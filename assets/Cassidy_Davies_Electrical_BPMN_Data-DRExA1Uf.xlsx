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elixkwan/Downloads/"/>
    </mc:Choice>
  </mc:AlternateContent>
  <xr:revisionPtr revIDLastSave="0" documentId="13_ncr:1_{5FADE0C7-5A79-594D-9DE7-60E0F05E64A5}" xr6:coauthVersionLast="47" xr6:coauthVersionMax="47" xr10:uidLastSave="{00000000-0000-0000-0000-000000000000}"/>
  <bookViews>
    <workbookView xWindow="0" yWindow="760" windowWidth="29400" windowHeight="17280" activeTab="1" xr2:uid="{00000000-000D-0000-FFFF-FFFF00000000}"/>
  </bookViews>
  <sheets>
    <sheet name="Executive Summary" sheetId="1" r:id="rId1"/>
    <sheet name="Job Directory" sheetId="2" r:id="rId2"/>
  </sheets>
  <definedNames>
    <definedName name="_xlnm._FilterDatabase" localSheetId="1" hidden="1">'Job Directory'!$A$4:$I$20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E7" i="1"/>
  <c r="B7" i="1"/>
  <c r="E4" i="1"/>
  <c r="B4" i="1"/>
</calcChain>
</file>

<file path=xl/sharedStrings.xml><?xml version="1.0" encoding="utf-8"?>
<sst xmlns="http://schemas.openxmlformats.org/spreadsheetml/2006/main" count="145" uniqueCount="85">
  <si>
    <t>Cassidy-Davies Electrical — Operations &amp; Workflow Dashboard</t>
  </si>
  <si>
    <t>Total Active Jobs</t>
  </si>
  <si>
    <t>Automated AI Validations</t>
  </si>
  <si>
    <t>Pending Manual Approval</t>
  </si>
  <si>
    <t>Total Revenue Pipeline</t>
  </si>
  <si>
    <t>Cassidy-Davies Electrical — Active Job Log</t>
  </si>
  <si>
    <t>Commercial, Residential &amp; Home Ventilation jobs across 6 BPMN swimlanes</t>
  </si>
  <si>
    <t>Job ID</t>
  </si>
  <si>
    <t>Client Name</t>
  </si>
  <si>
    <t>Service Type</t>
  </si>
  <si>
    <t>Job Category</t>
  </si>
  <si>
    <t>Creation Date</t>
  </si>
  <si>
    <t>AI Check Status</t>
  </si>
  <si>
    <t>Approval Status</t>
  </si>
  <si>
    <t>Assigned Tech</t>
  </si>
  <si>
    <t>Est. Value ($)</t>
  </si>
  <si>
    <t>CDE-2026-001</t>
  </si>
  <si>
    <t>Commercial</t>
  </si>
  <si>
    <t>3-Phase Power Distribution</t>
  </si>
  <si>
    <t>2026-07-10</t>
  </si>
  <si>
    <t>Passed</t>
  </si>
  <si>
    <t>Approved</t>
  </si>
  <si>
    <t>Mark Stevens</t>
  </si>
  <si>
    <t>CDE-2026-002</t>
  </si>
  <si>
    <t>Switchboard Upgrade</t>
  </si>
  <si>
    <t>2026-07-22</t>
  </si>
  <si>
    <t>Pending</t>
  </si>
  <si>
    <t>Sarah Jenkins</t>
  </si>
  <si>
    <t>CDE-2026-003</t>
  </si>
  <si>
    <t>Papanui Auto Workshop</t>
  </si>
  <si>
    <t>Motor Control Centre Repair</t>
  </si>
  <si>
    <t>2026-07-08</t>
  </si>
  <si>
    <t>CDE-2026-004</t>
  </si>
  <si>
    <t>Compliance Certification</t>
  </si>
  <si>
    <t>2026-07-25</t>
  </si>
  <si>
    <t>Flagged</t>
  </si>
  <si>
    <t>Unassigned</t>
  </si>
  <si>
    <t>CDE-2026-005</t>
  </si>
  <si>
    <t>Addington Cold Stores</t>
  </si>
  <si>
    <t>Refrigeration Wiring</t>
  </si>
  <si>
    <t>2026-07-15</t>
  </si>
  <si>
    <t>Dave Wilson</t>
  </si>
  <si>
    <t>CDE-2026-006</t>
  </si>
  <si>
    <t>Emergency Lighting Maintenance</t>
  </si>
  <si>
    <t>2026-07-27</t>
  </si>
  <si>
    <t>Aidan &amp; Grace Family Home</t>
  </si>
  <si>
    <t>Residential</t>
  </si>
  <si>
    <t>CDE-2026-008</t>
  </si>
  <si>
    <t>Switchboard Safety Upgrade</t>
  </si>
  <si>
    <t>2026-07-19</t>
  </si>
  <si>
    <t>CDE-2026-009</t>
  </si>
  <si>
    <t>Halswell Family Home</t>
  </si>
  <si>
    <t>EV Charger Installation</t>
  </si>
  <si>
    <t>2026-07-12</t>
  </si>
  <si>
    <t>CDE-2026-010</t>
  </si>
  <si>
    <t>Smart Lighting Setup</t>
  </si>
  <si>
    <t>2026-07-24</t>
  </si>
  <si>
    <t>CDE-2026-011</t>
  </si>
  <si>
    <t>Merivale Residence</t>
  </si>
  <si>
    <t>Solar Panel Wiring</t>
  </si>
  <si>
    <t>2026-07-09</t>
  </si>
  <si>
    <t>CDE-2026-012</t>
  </si>
  <si>
    <t>Outdoor Security Lighting</t>
  </si>
  <si>
    <t>2026-07-26</t>
  </si>
  <si>
    <t>CDE-2026-013</t>
  </si>
  <si>
    <t>Cashmere Residence</t>
  </si>
  <si>
    <t>Home Ventilation</t>
  </si>
  <si>
    <t>Heat Pump Installation</t>
  </si>
  <si>
    <t>2026-07-11</t>
  </si>
  <si>
    <t>CDE-2026-014</t>
  </si>
  <si>
    <t>Ventilation System Service</t>
  </si>
  <si>
    <t>2026-07-23</t>
  </si>
  <si>
    <t>CDE-2026-015</t>
  </si>
  <si>
    <t>Hornby Residence</t>
  </si>
  <si>
    <t>Whole-Home Ventilation System</t>
  </si>
  <si>
    <t>2026-07-14</t>
  </si>
  <si>
    <t>CDE-2026-016</t>
  </si>
  <si>
    <t>Bathroom Extraction Fan Upgrade</t>
  </si>
  <si>
    <t>2026-07-28</t>
  </si>
  <si>
    <t>CDE-2026-017</t>
  </si>
  <si>
    <t>Burnside Home</t>
  </si>
  <si>
    <t>Heat Recovery Ventilation Install</t>
  </si>
  <si>
    <t>2026-07-13</t>
  </si>
  <si>
    <t>Total Pipeline Value</t>
  </si>
  <si>
    <t>Riccarton Business Parks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</si>
</sst>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555555"/>
      <name val="Segoe UI"/>
    </font>
    <font>
      <b/>
      <sz val="10"/>
      <name val="Segoe UI"/>
    </font>
    <font>
      <b/>
      <sz val="14"/>
      <color rgb="FF1B365D"/>
      <name val="Segoe UI"/>
    </font>
    <font>
      <b/>
      <sz val="12"/>
      <color rgb="FF1B365D"/>
      <name val="Segoe UI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9EFF4"/>
        <bgColor rgb="FFE9EFF4"/>
      </patternFill>
    </fill>
    <fill>
      <patternFill patternType="solid">
        <fgColor rgb="FF1B365D"/>
        <bgColor rgb="FF1B365D"/>
      </patternFill>
    </fill>
    <fill>
      <patternFill patternType="solid">
        <fgColor rgb="FFF4F7F9"/>
        <bgColor rgb="FFF4F7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0" fillId="0" borderId="2" xfId="0" applyBorder="1"/>
    <xf numFmtId="164" fontId="3" fillId="0" borderId="2" xfId="0" applyNumberFormat="1" applyFont="1" applyBorder="1"/>
    <xf numFmtId="0" fontId="1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A11" sqref="A11:XFD18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22" customWidth="1"/>
    <col min="4" max="4" width="18" customWidth="1"/>
    <col min="5" max="5" width="20" customWidth="1"/>
    <col min="6" max="7" width="12" customWidth="1"/>
  </cols>
  <sheetData>
    <row r="1" spans="1:7" ht="23" x14ac:dyDescent="0.3">
      <c r="A1" s="14" t="s">
        <v>0</v>
      </c>
      <c r="B1" s="15"/>
      <c r="C1" s="15"/>
      <c r="D1" s="15"/>
      <c r="E1" s="15"/>
      <c r="F1" s="15"/>
      <c r="G1" s="15"/>
    </row>
    <row r="3" spans="1:7" x14ac:dyDescent="0.2">
      <c r="B3" s="16" t="s">
        <v>1</v>
      </c>
      <c r="C3" s="17"/>
      <c r="E3" s="16" t="s">
        <v>2</v>
      </c>
      <c r="F3" s="17"/>
    </row>
    <row r="4" spans="1:7" ht="21" x14ac:dyDescent="0.2">
      <c r="B4" s="18">
        <f>COUNTA('Job Directory'!A5:A22)</f>
        <v>17</v>
      </c>
      <c r="C4" s="17"/>
      <c r="E4" s="18" t="e">
        <f>COUNTIF('Job Directory'!#REF!, "Passed")</f>
        <v>#REF!</v>
      </c>
      <c r="F4" s="17"/>
    </row>
    <row r="6" spans="1:7" x14ac:dyDescent="0.2">
      <c r="B6" s="16" t="s">
        <v>3</v>
      </c>
      <c r="C6" s="17"/>
      <c r="E6" s="16" t="s">
        <v>4</v>
      </c>
      <c r="F6" s="17"/>
    </row>
    <row r="7" spans="1:7" ht="21" x14ac:dyDescent="0.2">
      <c r="B7" s="18">
        <f>COUNTIF('Job Directory'!F5:F22, "Pending")</f>
        <v>0</v>
      </c>
      <c r="C7" s="17"/>
      <c r="E7" s="19">
        <f>SUM('Job Directory'!H5:H22)</f>
        <v>0</v>
      </c>
      <c r="F7" s="17"/>
    </row>
    <row r="10" spans="1:7" ht="16" x14ac:dyDescent="0.2">
      <c r="A10" s="3"/>
    </row>
  </sheetData>
  <mergeCells count="9">
    <mergeCell ref="A1:G1"/>
    <mergeCell ref="B6:C6"/>
    <mergeCell ref="E6:F6"/>
    <mergeCell ref="B4:C4"/>
    <mergeCell ref="E7:F7"/>
    <mergeCell ref="E4:F4"/>
    <mergeCell ref="B7:C7"/>
    <mergeCell ref="B3:C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pane ySplit="4" topLeftCell="A5" activePane="bottomLeft" state="frozen"/>
      <selection pane="bottomLeft" activeCell="A11" sqref="A11:XFD11"/>
    </sheetView>
  </sheetViews>
  <sheetFormatPr baseColWidth="10" defaultColWidth="8.83203125" defaultRowHeight="15" x14ac:dyDescent="0.2"/>
  <cols>
    <col min="1" max="1" width="24" customWidth="1"/>
    <col min="2" max="2" width="29" customWidth="1"/>
    <col min="3" max="3" width="20" customWidth="1"/>
    <col min="4" max="4" width="37" customWidth="1"/>
    <col min="5" max="5" width="17" customWidth="1"/>
    <col min="6" max="7" width="19" customWidth="1"/>
    <col min="8" max="8" width="17" customWidth="1"/>
    <col min="9" max="9" width="18" customWidth="1"/>
  </cols>
  <sheetData>
    <row r="1" spans="1:9" ht="23" x14ac:dyDescent="0.3">
      <c r="A1" s="1" t="s">
        <v>5</v>
      </c>
    </row>
    <row r="2" spans="1:9" x14ac:dyDescent="0.2">
      <c r="A2" s="2" t="s">
        <v>6</v>
      </c>
    </row>
    <row r="4" spans="1:9" ht="16" x14ac:dyDescent="0.2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x14ac:dyDescent="0.2">
      <c r="A5" s="7" t="s">
        <v>16</v>
      </c>
      <c r="B5" s="5" t="s">
        <v>84</v>
      </c>
      <c r="C5" s="7" t="s">
        <v>17</v>
      </c>
      <c r="D5" s="5" t="s">
        <v>18</v>
      </c>
      <c r="E5" s="7" t="s">
        <v>19</v>
      </c>
      <c r="F5" s="7" t="s">
        <v>20</v>
      </c>
      <c r="G5" s="7" t="s">
        <v>21</v>
      </c>
      <c r="H5" s="5" t="s">
        <v>22</v>
      </c>
      <c r="I5" s="8">
        <v>8200</v>
      </c>
    </row>
    <row r="6" spans="1:9" x14ac:dyDescent="0.2">
      <c r="A6" s="9" t="s">
        <v>23</v>
      </c>
      <c r="B6" s="10" t="s">
        <v>84</v>
      </c>
      <c r="C6" s="9" t="s">
        <v>17</v>
      </c>
      <c r="D6" s="10" t="s">
        <v>24</v>
      </c>
      <c r="E6" s="9" t="s">
        <v>25</v>
      </c>
      <c r="F6" s="9" t="s">
        <v>20</v>
      </c>
      <c r="G6" s="9" t="s">
        <v>26</v>
      </c>
      <c r="H6" s="10" t="s">
        <v>27</v>
      </c>
      <c r="I6" s="11">
        <v>6400</v>
      </c>
    </row>
    <row r="7" spans="1:9" x14ac:dyDescent="0.2">
      <c r="A7" s="7" t="s">
        <v>28</v>
      </c>
      <c r="B7" s="5" t="s">
        <v>29</v>
      </c>
      <c r="C7" s="7" t="s">
        <v>17</v>
      </c>
      <c r="D7" s="5" t="s">
        <v>30</v>
      </c>
      <c r="E7" s="7" t="s">
        <v>31</v>
      </c>
      <c r="F7" s="7" t="s">
        <v>20</v>
      </c>
      <c r="G7" s="7" t="s">
        <v>21</v>
      </c>
      <c r="H7" s="5" t="s">
        <v>22</v>
      </c>
      <c r="I7" s="8">
        <v>11200</v>
      </c>
    </row>
    <row r="8" spans="1:9" x14ac:dyDescent="0.2">
      <c r="A8" s="9" t="s">
        <v>32</v>
      </c>
      <c r="B8" s="10" t="s">
        <v>29</v>
      </c>
      <c r="C8" s="9" t="s">
        <v>17</v>
      </c>
      <c r="D8" s="10" t="s">
        <v>33</v>
      </c>
      <c r="E8" s="9" t="s">
        <v>34</v>
      </c>
      <c r="F8" s="9" t="s">
        <v>35</v>
      </c>
      <c r="G8" s="9" t="s">
        <v>26</v>
      </c>
      <c r="H8" s="10" t="s">
        <v>36</v>
      </c>
      <c r="I8" s="11">
        <v>3100</v>
      </c>
    </row>
    <row r="9" spans="1:9" x14ac:dyDescent="0.2">
      <c r="A9" s="7" t="s">
        <v>37</v>
      </c>
      <c r="B9" s="5" t="s">
        <v>38</v>
      </c>
      <c r="C9" s="7" t="s">
        <v>17</v>
      </c>
      <c r="D9" s="5" t="s">
        <v>39</v>
      </c>
      <c r="E9" s="7" t="s">
        <v>40</v>
      </c>
      <c r="F9" s="7" t="s">
        <v>20</v>
      </c>
      <c r="G9" s="7" t="s">
        <v>21</v>
      </c>
      <c r="H9" s="5" t="s">
        <v>41</v>
      </c>
      <c r="I9" s="8">
        <v>5400</v>
      </c>
    </row>
    <row r="10" spans="1:9" x14ac:dyDescent="0.2">
      <c r="A10" s="9" t="s">
        <v>42</v>
      </c>
      <c r="B10" s="10" t="s">
        <v>38</v>
      </c>
      <c r="C10" s="9" t="s">
        <v>17</v>
      </c>
      <c r="D10" s="10" t="s">
        <v>43</v>
      </c>
      <c r="E10" s="9" t="s">
        <v>44</v>
      </c>
      <c r="F10" s="9" t="s">
        <v>20</v>
      </c>
      <c r="G10" s="9" t="s">
        <v>26</v>
      </c>
      <c r="H10" s="10" t="s">
        <v>36</v>
      </c>
      <c r="I10" s="11">
        <v>850</v>
      </c>
    </row>
    <row r="11" spans="1:9" x14ac:dyDescent="0.2">
      <c r="A11" s="9" t="s">
        <v>47</v>
      </c>
      <c r="B11" s="10" t="s">
        <v>45</v>
      </c>
      <c r="C11" s="9" t="s">
        <v>46</v>
      </c>
      <c r="D11" s="10" t="s">
        <v>48</v>
      </c>
      <c r="E11" s="9" t="s">
        <v>49</v>
      </c>
      <c r="F11" s="9" t="s">
        <v>20</v>
      </c>
      <c r="G11" s="9" t="s">
        <v>21</v>
      </c>
      <c r="H11" s="10" t="s">
        <v>22</v>
      </c>
      <c r="I11" s="11">
        <v>2150</v>
      </c>
    </row>
    <row r="12" spans="1:9" x14ac:dyDescent="0.2">
      <c r="A12" s="7" t="s">
        <v>50</v>
      </c>
      <c r="B12" s="5" t="s">
        <v>51</v>
      </c>
      <c r="C12" s="7" t="s">
        <v>46</v>
      </c>
      <c r="D12" s="5" t="s">
        <v>52</v>
      </c>
      <c r="E12" s="7" t="s">
        <v>53</v>
      </c>
      <c r="F12" s="7" t="s">
        <v>20</v>
      </c>
      <c r="G12" s="7" t="s">
        <v>26</v>
      </c>
      <c r="H12" s="5" t="s">
        <v>27</v>
      </c>
      <c r="I12" s="8">
        <v>3900</v>
      </c>
    </row>
    <row r="13" spans="1:9" x14ac:dyDescent="0.2">
      <c r="A13" s="9" t="s">
        <v>54</v>
      </c>
      <c r="B13" s="10" t="s">
        <v>51</v>
      </c>
      <c r="C13" s="9" t="s">
        <v>46</v>
      </c>
      <c r="D13" s="10" t="s">
        <v>55</v>
      </c>
      <c r="E13" s="9" t="s">
        <v>56</v>
      </c>
      <c r="F13" s="9" t="s">
        <v>20</v>
      </c>
      <c r="G13" s="9" t="s">
        <v>21</v>
      </c>
      <c r="H13" s="10" t="s">
        <v>27</v>
      </c>
      <c r="I13" s="11">
        <v>2750</v>
      </c>
    </row>
    <row r="14" spans="1:9" x14ac:dyDescent="0.2">
      <c r="A14" s="7" t="s">
        <v>57</v>
      </c>
      <c r="B14" s="5" t="s">
        <v>58</v>
      </c>
      <c r="C14" s="7" t="s">
        <v>46</v>
      </c>
      <c r="D14" s="5" t="s">
        <v>59</v>
      </c>
      <c r="E14" s="7" t="s">
        <v>60</v>
      </c>
      <c r="F14" s="7" t="s">
        <v>35</v>
      </c>
      <c r="G14" s="7" t="s">
        <v>26</v>
      </c>
      <c r="H14" s="5" t="s">
        <v>36</v>
      </c>
      <c r="I14" s="8">
        <v>8900</v>
      </c>
    </row>
    <row r="15" spans="1:9" x14ac:dyDescent="0.2">
      <c r="A15" s="9" t="s">
        <v>61</v>
      </c>
      <c r="B15" s="10" t="s">
        <v>58</v>
      </c>
      <c r="C15" s="9" t="s">
        <v>46</v>
      </c>
      <c r="D15" s="10" t="s">
        <v>62</v>
      </c>
      <c r="E15" s="9" t="s">
        <v>63</v>
      </c>
      <c r="F15" s="9" t="s">
        <v>20</v>
      </c>
      <c r="G15" s="9" t="s">
        <v>21</v>
      </c>
      <c r="H15" s="10" t="s">
        <v>41</v>
      </c>
      <c r="I15" s="11">
        <v>1850</v>
      </c>
    </row>
    <row r="16" spans="1:9" x14ac:dyDescent="0.2">
      <c r="A16" s="7" t="s">
        <v>64</v>
      </c>
      <c r="B16" s="5" t="s">
        <v>65</v>
      </c>
      <c r="C16" s="7" t="s">
        <v>66</v>
      </c>
      <c r="D16" s="5" t="s">
        <v>67</v>
      </c>
      <c r="E16" s="7" t="s">
        <v>68</v>
      </c>
      <c r="F16" s="7" t="s">
        <v>20</v>
      </c>
      <c r="G16" s="7" t="s">
        <v>21</v>
      </c>
      <c r="H16" s="5" t="s">
        <v>41</v>
      </c>
      <c r="I16" s="8">
        <v>4600</v>
      </c>
    </row>
    <row r="17" spans="1:9" x14ac:dyDescent="0.2">
      <c r="A17" s="9" t="s">
        <v>69</v>
      </c>
      <c r="B17" s="10" t="s">
        <v>65</v>
      </c>
      <c r="C17" s="9" t="s">
        <v>66</v>
      </c>
      <c r="D17" s="10" t="s">
        <v>70</v>
      </c>
      <c r="E17" s="9" t="s">
        <v>71</v>
      </c>
      <c r="F17" s="9" t="s">
        <v>20</v>
      </c>
      <c r="G17" s="9" t="s">
        <v>26</v>
      </c>
      <c r="H17" s="10" t="s">
        <v>36</v>
      </c>
      <c r="I17" s="11">
        <v>1250</v>
      </c>
    </row>
    <row r="18" spans="1:9" x14ac:dyDescent="0.2">
      <c r="A18" s="7" t="s">
        <v>72</v>
      </c>
      <c r="B18" s="5" t="s">
        <v>73</v>
      </c>
      <c r="C18" s="7" t="s">
        <v>66</v>
      </c>
      <c r="D18" s="5" t="s">
        <v>74</v>
      </c>
      <c r="E18" s="7" t="s">
        <v>75</v>
      </c>
      <c r="F18" s="7" t="s">
        <v>20</v>
      </c>
      <c r="G18" s="7" t="s">
        <v>26</v>
      </c>
      <c r="H18" s="5" t="s">
        <v>27</v>
      </c>
      <c r="I18" s="8">
        <v>7300</v>
      </c>
    </row>
    <row r="19" spans="1:9" x14ac:dyDescent="0.2">
      <c r="A19" s="9" t="s">
        <v>76</v>
      </c>
      <c r="B19" s="10" t="s">
        <v>73</v>
      </c>
      <c r="C19" s="9" t="s">
        <v>66</v>
      </c>
      <c r="D19" s="10" t="s">
        <v>77</v>
      </c>
      <c r="E19" s="9" t="s">
        <v>78</v>
      </c>
      <c r="F19" s="9" t="s">
        <v>20</v>
      </c>
      <c r="G19" s="9" t="s">
        <v>21</v>
      </c>
      <c r="H19" s="10" t="s">
        <v>22</v>
      </c>
      <c r="I19" s="11">
        <v>950</v>
      </c>
    </row>
    <row r="20" spans="1:9" x14ac:dyDescent="0.2">
      <c r="A20" s="7" t="s">
        <v>79</v>
      </c>
      <c r="B20" s="5" t="s">
        <v>80</v>
      </c>
      <c r="C20" s="7" t="s">
        <v>66</v>
      </c>
      <c r="D20" s="5" t="s">
        <v>81</v>
      </c>
      <c r="E20" s="7" t="s">
        <v>82</v>
      </c>
      <c r="F20" s="7" t="s">
        <v>20</v>
      </c>
      <c r="G20" s="7" t="s">
        <v>21</v>
      </c>
      <c r="H20" s="5" t="s">
        <v>41</v>
      </c>
      <c r="I20" s="8">
        <v>6100</v>
      </c>
    </row>
    <row r="21" spans="1:9" ht="16" thickBot="1" x14ac:dyDescent="0.25">
      <c r="A21" s="6" t="s">
        <v>83</v>
      </c>
      <c r="B21" s="12"/>
      <c r="C21" s="12"/>
      <c r="D21" s="12"/>
      <c r="E21" s="12"/>
      <c r="F21" s="12"/>
      <c r="G21" s="12"/>
      <c r="H21" s="12"/>
      <c r="I21" s="13">
        <f>SUM(I5:I20)</f>
        <v>74900</v>
      </c>
    </row>
  </sheetData>
  <autoFilter ref="A4:I2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Job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Kwan</cp:lastModifiedBy>
  <dcterms:created xsi:type="dcterms:W3CDTF">2026-07-29T22:05:09Z</dcterms:created>
  <dcterms:modified xsi:type="dcterms:W3CDTF">2026-08-04T00:27:55Z</dcterms:modified>
</cp:coreProperties>
</file>