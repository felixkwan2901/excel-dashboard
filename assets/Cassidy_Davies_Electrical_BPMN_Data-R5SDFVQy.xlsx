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<sst xmlns="http://schemas.openxmlformats.org/spreadsheetml/2006/main" count="1000" uniqueCount="224">
  <si>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</si>
  <si>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</si>
  <si>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</si>
  <si>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</si>
  <si>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</si>
  <si>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</si>
  <si>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</si>
  <si>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</si>
  <si>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</si>
  <si>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</si>
  <si>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</si>
  <si>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</si>
  <si>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</si>
  <si>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</si>
  <si>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</si>
  <si>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</si>
  <si>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</si>
  <si>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</si>
  <si>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</si>
  <si>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</si>
  <si>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</si>
  <si>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</si>
  <si>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</si>
  <si>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</si>
  <si>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</si>
  <si>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</si>
  <si>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</si>
  <si>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</si>
  <si>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</si>
  <si>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</si>
  <si>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</si>
  <si>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</si>
  <si>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</si>
  <si>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</si>
  <si>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</si>
  <si>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</si>
  <si>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</si>
  <si>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</si>
  <si>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</si>
  <si>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</si>
  <si>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</si>
  <si>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</si>
  <si>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</si>
  <si>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</si>
  <si>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</si>
  <si>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</si>
  <si>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</si>
  <si>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</si>
  <si>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</si>
  <si>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</si>
  <si>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</si>
  <si>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</si>
  <si>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</si>
  <si>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</si>
  <si>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</si>
  <si>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</si>
  <si>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</si>
  <si>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</si>
  <si>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</si>
  <si>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</si>
  <si>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</si>
  <si>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</si>
  <si>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</si>
  <si>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</si>
  <si>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</si>
  <si>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</si>
  <si>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</si>
  <si>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</si>
  <si>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</si>
  <si>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</si>
  <si>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</si>
  <si>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</si>
  <si>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</si>
  <si>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</si>
  <si>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</si>
  <si>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</si>
  <si>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</si>
  <si>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</si>
  <si>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</si>
  <si>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</si>
  <si>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</si>
  <si>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</si>
  <si>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</si>
  <si>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</si>
  <si>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</si>
  <si>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</si>
  <si>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</si>
  <si>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</si>
  <si>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</si>
  <si>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</si>
  <si>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</si>
  <si>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</si>
  <si>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</si>
  <si>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</si>
  <si>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</si>
  <si>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</si>
  <si>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</si>
  <si>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</si>
  <si>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</si>
  <si>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</si>
  <si>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</si>
  <si>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</si>
  <si>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</si>
  <si>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</si>
  <si>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</si>
  <si>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</si>
  <si>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</si>
  <si>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</si>
  <si>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</si>
  <si>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</si>
  <si>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</si>
  <si>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</si>
  <si>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</si>
  <si>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</si>
  <si>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</si>
  <si>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</si>
  <si>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</si>
  <si>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</si>
  <si>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</si>
  <si>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</si>
  <si>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Commercial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</si>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</sst>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0.0424605496540267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0.400401806808268</v>
      </c>
      <c r="N4" s="53">
        <v>0.9</v>
      </c>
      <c r="O4" s="52">
        <v>26268.88</v>
      </c>
      <c r="P4" s="52">
        <v>20570.43</v>
      </c>
      <c r="Q4" s="52">
        <v>5698.45</v>
      </c>
      <c r="R4" s="53">
        <v>0.21692778679563</v>
      </c>
      <c r="S4" s="54">
        <v>530.95</v>
      </c>
      <c r="T4" s="54">
        <v>418</v>
      </c>
      <c r="U4" s="54">
        <v>112.95</v>
      </c>
      <c r="V4" s="53">
        <v>0.212731895658725</v>
      </c>
      <c r="W4" s="53"/>
      <c r="X4" s="55">
        <v>221.035669856459</v>
      </c>
      <c r="Y4" s="55">
        <v>63.5714850739241</v>
      </c>
      <c r="Z4" s="53">
        <v>0.448692451627096</v>
      </c>
      <c r="AA4" s="56">
        <v>0.156957754008184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</v>
      </c>
      <c r="H11" s="52">
        <v>72292.47</v>
      </c>
      <c r="I11" s="52">
        <v>48296.81</v>
      </c>
      <c r="J11" s="52">
        <v>56719.74</v>
      </c>
      <c r="K11" s="52">
        <v>45701.86</v>
      </c>
      <c r="L11" s="52">
        <v>11017.88</v>
      </c>
      <c r="M11" s="53">
        <v>0.194251243041664</v>
      </c>
      <c r="N11" s="53"/>
      <c r="O11" s="52">
        <v>15572.73</v>
      </c>
      <c r="P11" s="52">
        <v>2594.95</v>
      </c>
      <c r="Q11" s="52">
        <v>12977.78</v>
      </c>
      <c r="R11" s="53">
        <v>0.833365761815687</v>
      </c>
      <c r="S11" s="54">
        <v>311.89</v>
      </c>
      <c r="T11" s="54">
        <v>52.5</v>
      </c>
      <c r="U11" s="54">
        <v>259.39</v>
      </c>
      <c r="V11" s="53">
        <v>0.831671422616948</v>
      </c>
      <c r="W11" s="53">
        <v>0.3</v>
      </c>
      <c r="X11" s="55">
        <v>54.4628571428571</v>
      </c>
      <c r="Y11" s="55">
        <v>72.8814646189362</v>
      </c>
      <c r="Z11" s="53">
        <v>0.055893616617839</v>
      </c>
      <c r="AA11" s="56">
        <v>0.239214585617637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/>
      <c r="E14" s="62"/>
      <c r="F14" s="52"/>
      <c r="G14" s="53"/>
      <c r="H14" s="52"/>
      <c r="I14" s="52"/>
      <c r="J14" s="52"/>
      <c r="K14" s="52"/>
      <c r="L14" s="52"/>
      <c r="M14" s="53"/>
      <c r="N14" s="53"/>
      <c r="O14" s="52"/>
      <c r="P14" s="52"/>
      <c r="Q14" s="52"/>
      <c r="R14" s="53"/>
      <c r="S14" s="54"/>
      <c r="T14" s="54"/>
      <c r="U14" s="54"/>
      <c r="V14" s="53"/>
      <c r="W14" s="53"/>
      <c r="X14" s="55"/>
      <c r="Y14" s="55"/>
      <c r="Z14" s="53"/>
      <c r="AA14" s="56"/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20501.24</v>
      </c>
      <c r="G18" s="53">
        <v>0.74549096155972</v>
      </c>
      <c r="H18" s="52">
        <v>19565.83</v>
      </c>
      <c r="I18" s="52">
        <v>7621.92</v>
      </c>
      <c r="J18" s="52">
        <v>13767.34</v>
      </c>
      <c r="K18" s="52">
        <v>5911.24</v>
      </c>
      <c r="L18" s="52">
        <v>7856.1</v>
      </c>
      <c r="M18" s="53">
        <v>0.570633107049002</v>
      </c>
      <c r="N18" s="53"/>
      <c r="O18" s="52">
        <v>5798.49</v>
      </c>
      <c r="P18" s="52">
        <v>1710.68</v>
      </c>
      <c r="Q18" s="52">
        <v>4087.81</v>
      </c>
      <c r="R18" s="53">
        <v>0.70497836505711</v>
      </c>
      <c r="S18" s="54">
        <v>125.39</v>
      </c>
      <c r="T18" s="54">
        <v>34.75</v>
      </c>
      <c r="U18" s="54">
        <v>90.64</v>
      </c>
      <c r="V18" s="53">
        <v>0.722864662253768</v>
      </c>
      <c r="W18" s="53">
        <v>0.25</v>
      </c>
      <c r="X18" s="55">
        <v>-17.9234532374101</v>
      </c>
      <c r="Y18" s="55">
        <v>63.2784911077438</v>
      </c>
      <c r="Z18" s="53">
        <v>-0.0889888385330643</v>
      </c>
      <c r="AA18" s="56">
        <v>0.288523551725943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53"/>
      <c r="O21" s="52"/>
      <c r="P21" s="52"/>
      <c r="Q21" s="52"/>
      <c r="R21" s="53"/>
      <c r="S21" s="54"/>
      <c r="T21" s="54"/>
      <c r="U21" s="54"/>
      <c r="V21" s="53"/>
      <c r="W21" s="53"/>
      <c r="X21" s="55"/>
      <c r="Y21" s="55"/>
      <c r="Z21" s="53"/>
      <c r="AA21" s="56"/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</v>
      </c>
      <c r="G25" s="53">
        <v>0.257652560324167</v>
      </c>
      <c r="H25" s="52">
        <v>102178.42</v>
      </c>
      <c r="I25" s="52">
        <v>75718.13</v>
      </c>
      <c r="J25" s="52">
        <v>62464.86</v>
      </c>
      <c r="K25" s="52">
        <v>56964.81</v>
      </c>
      <c r="L25" s="52">
        <v>5500.05</v>
      </c>
      <c r="M25" s="53">
        <v>0.0880503054037101</v>
      </c>
      <c r="N25" s="53">
        <v>0.9</v>
      </c>
      <c r="O25" s="52">
        <v>39713.56</v>
      </c>
      <c r="P25" s="52">
        <v>18753.32</v>
      </c>
      <c r="Q25" s="52">
        <v>20960.24</v>
      </c>
      <c r="R25" s="53">
        <v>0.527785471763297</v>
      </c>
      <c r="S25" s="54">
        <v>795.22</v>
      </c>
      <c r="T25" s="54">
        <v>388.25</v>
      </c>
      <c r="U25" s="54">
        <v>406.97</v>
      </c>
      <c r="V25" s="53">
        <v>0.511770327708056</v>
      </c>
      <c r="W25" s="53">
        <v>0.6</v>
      </c>
      <c r="X25" s="55">
        <v>93.4078300064391</v>
      </c>
      <c r="Y25" s="55">
        <v>61.2062070873469</v>
      </c>
      <c r="Z25" s="53">
        <v>0.32384698418663</v>
      </c>
      <c r="AA25" s="56">
        <v>0.32265253844825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</v>
      </c>
      <c r="G32" s="53">
        <v>0.547167932880305</v>
      </c>
      <c r="H32" s="52">
        <v>320431.12</v>
      </c>
      <c r="I32" s="52">
        <v>148939.51</v>
      </c>
      <c r="J32" s="62">
        <v>264519.78</v>
      </c>
      <c r="K32" s="52">
        <v>132316.71</v>
      </c>
      <c r="L32" s="52">
        <v>132203.07</v>
      </c>
      <c r="M32" s="53">
        <v>0.499785195647751</v>
      </c>
      <c r="N32" s="64"/>
      <c r="O32" s="52">
        <v>55911.34</v>
      </c>
      <c r="P32" s="52">
        <v>16622.8</v>
      </c>
      <c r="Q32" s="52">
        <v>39288.54</v>
      </c>
      <c r="R32" s="53">
        <v>0.702693585952331</v>
      </c>
      <c r="S32" s="54">
        <v>1120.27</v>
      </c>
      <c r="T32" s="54">
        <v>387.5</v>
      </c>
      <c r="U32" s="54">
        <v>732.77</v>
      </c>
      <c r="V32" s="53">
        <v>0.65410124345024</v>
      </c>
      <c r="W32" s="53">
        <v>0.4</v>
      </c>
      <c r="X32" s="55">
        <v>70.2506838709677</v>
      </c>
      <c r="Y32" s="55">
        <v>61.2271238183652</v>
      </c>
      <c r="Z32" s="53">
        <v>0.154529320087544</v>
      </c>
      <c r="AA32" s="56">
        <v>0.176316261575212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/>
      <c r="E35" s="52"/>
      <c r="F35" s="52"/>
      <c r="G35" s="53"/>
      <c r="H35" s="52"/>
      <c r="I35" s="65"/>
      <c r="J35" s="52"/>
      <c r="K35" s="52"/>
      <c r="L35" s="52"/>
      <c r="M35" s="53"/>
      <c r="N35" s="53"/>
      <c r="O35" s="52"/>
      <c r="P35" s="52"/>
      <c r="Q35" s="52"/>
      <c r="R35" s="53"/>
      <c r="S35" s="54"/>
      <c r="T35" s="54"/>
      <c r="U35" s="54"/>
      <c r="V35" s="53"/>
      <c r="W35" s="53"/>
      <c r="X35" s="55"/>
      <c r="Y35" s="55"/>
      <c r="Z35" s="53"/>
      <c r="AA35" s="56"/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</v>
      </c>
      <c r="H39" s="52">
        <v>94098.32</v>
      </c>
      <c r="I39" s="52">
        <v>32521.46</v>
      </c>
      <c r="J39" s="52">
        <v>69042.09</v>
      </c>
      <c r="K39" s="52">
        <v>26847.46</v>
      </c>
      <c r="L39" s="52">
        <v>42194.63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0.773549332840575</v>
      </c>
      <c r="S39" s="54">
        <v>501</v>
      </c>
      <c r="T39" s="54">
        <v>112</v>
      </c>
      <c r="U39" s="54">
        <v>389</v>
      </c>
      <c r="V39" s="53">
        <v>0.776447105788423</v>
      </c>
      <c r="W39" s="53">
        <v>0.4</v>
      </c>
      <c r="X39" s="55">
        <v>34.6154464285714</v>
      </c>
      <c r="Y39" s="55">
        <v>68.183992015968</v>
      </c>
      <c r="Z39" s="53">
        <v>0.106513777120362</v>
      </c>
      <c r="AA39" s="56">
        <v>0.266338527271097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/>
      <c r="E42" s="52"/>
      <c r="F42" s="52"/>
      <c r="G42" s="53"/>
      <c r="H42" s="52"/>
      <c r="I42" s="52"/>
      <c r="J42" s="52"/>
      <c r="K42" s="52"/>
      <c r="L42" s="52"/>
      <c r="M42" s="53"/>
      <c r="N42" s="53"/>
      <c r="O42" s="52"/>
      <c r="P42" s="52"/>
      <c r="Q42" s="52"/>
      <c r="R42" s="53"/>
      <c r="S42" s="54"/>
      <c r="T42" s="54"/>
      <c r="U42" s="54"/>
      <c r="V42" s="53"/>
      <c r="W42" s="53"/>
      <c r="X42" s="55"/>
      <c r="Y42" s="55"/>
      <c r="Z42" s="53"/>
      <c r="AA42" s="56"/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</v>
      </c>
      <c r="M46" s="53">
        <v>0.600549405640667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0.629383812917057</v>
      </c>
      <c r="S46" s="54">
        <v>212.3</v>
      </c>
      <c r="T46" s="54">
        <v>86.75</v>
      </c>
      <c r="U46" s="54">
        <v>125.55</v>
      </c>
      <c r="V46" s="53">
        <v>0.591380122468205</v>
      </c>
      <c r="W46" s="53">
        <v>0.4</v>
      </c>
      <c r="X46" s="55">
        <v>66.3423631123919</v>
      </c>
      <c r="Y46" s="55">
        <v>68.5620819594913</v>
      </c>
      <c r="Z46" s="53">
        <v>0.22727999725141</v>
      </c>
      <c r="AA46" s="56">
        <v>0.226353821097855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/>
      <c r="E49" s="52"/>
      <c r="F49" s="52"/>
      <c r="G49" s="53"/>
      <c r="H49" s="52"/>
      <c r="I49" s="52"/>
      <c r="J49" s="52"/>
      <c r="K49" s="52"/>
      <c r="L49" s="52"/>
      <c r="M49" s="53"/>
      <c r="N49" s="53"/>
      <c r="O49" s="52"/>
      <c r="P49" s="52"/>
      <c r="Q49" s="52"/>
      <c r="R49" s="53"/>
      <c r="S49" s="54"/>
      <c r="T49" s="54"/>
      <c r="U49" s="54"/>
      <c r="V49" s="53"/>
      <c r="W49" s="53"/>
      <c r="X49" s="55"/>
      <c r="Y49" s="55"/>
      <c r="Z49" s="53"/>
      <c r="AA49" s="56"/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0.343582536541599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</v>
      </c>
      <c r="M53" s="53">
        <v>0.0806418405362082</v>
      </c>
      <c r="N53" s="53"/>
      <c r="O53" s="52">
        <v>33402.22</v>
      </c>
      <c r="P53" s="52">
        <v>13536.31</v>
      </c>
      <c r="Q53" s="52">
        <v>19865.91</v>
      </c>
      <c r="R53" s="53">
        <v>0.594748193383554</v>
      </c>
      <c r="S53" s="54">
        <v>668.92</v>
      </c>
      <c r="T53" s="54">
        <v>269</v>
      </c>
      <c r="U53" s="54">
        <v>399.92</v>
      </c>
      <c r="V53" s="53">
        <v>0.597859235783053</v>
      </c>
      <c r="W53" s="53">
        <v>0.3</v>
      </c>
      <c r="X53" s="55">
        <v>69.2427881040892</v>
      </c>
      <c r="Y53" s="55">
        <v>66.5636697960892</v>
      </c>
      <c r="Z53" s="53">
        <v>0.188979682942295</v>
      </c>
      <c r="AA53" s="56">
        <v>0.296537658865514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/>
      <c r="E56" s="52"/>
      <c r="F56" s="52"/>
      <c r="G56" s="53"/>
      <c r="H56" s="52"/>
      <c r="I56" s="52"/>
      <c r="J56" s="52"/>
      <c r="K56" s="52"/>
      <c r="L56" s="52"/>
      <c r="M56" s="53"/>
      <c r="N56" s="53"/>
      <c r="O56" s="52"/>
      <c r="P56" s="52"/>
      <c r="Q56" s="52"/>
      <c r="R56" s="53"/>
      <c r="S56" s="54"/>
      <c r="T56" s="54"/>
      <c r="U56" s="54"/>
      <c r="V56" s="53"/>
      <c r="W56" s="53"/>
      <c r="X56" s="55"/>
      <c r="Y56" s="55"/>
      <c r="Z56" s="53"/>
      <c r="AA56" s="56"/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</v>
      </c>
      <c r="G60" s="53">
        <v>0.198926474102571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</v>
      </c>
      <c r="M60" s="53">
        <v>0.120572775058909</v>
      </c>
      <c r="N60" s="53"/>
      <c r="O60" s="52">
        <v>3170.58</v>
      </c>
      <c r="P60" s="52">
        <v>1034.03</v>
      </c>
      <c r="Q60" s="52">
        <v>2136.55</v>
      </c>
      <c r="R60" s="53">
        <v>0.673867241955731</v>
      </c>
      <c r="S60" s="54">
        <v>63.5</v>
      </c>
      <c r="T60" s="54">
        <v>26.75</v>
      </c>
      <c r="U60" s="54">
        <v>36.75</v>
      </c>
      <c r="V60" s="53">
        <v>0.578740157480315</v>
      </c>
      <c r="W60" s="53">
        <v>0.4</v>
      </c>
      <c r="X60" s="55">
        <v>155.708411214953</v>
      </c>
      <c r="Y60" s="55">
        <v>71.8248818897638</v>
      </c>
      <c r="Z60" s="53">
        <v>0.254621945829566</v>
      </c>
      <c r="AA60" s="56">
        <v>0.223347449825078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</v>
      </c>
      <c r="H67" s="52">
        <v>34612.41</v>
      </c>
      <c r="I67" s="52">
        <v>5397.27</v>
      </c>
      <c r="J67" s="52">
        <v>26584.53</v>
      </c>
      <c r="K67" s="52">
        <v>5397.27</v>
      </c>
      <c r="L67" s="52">
        <v>21187.26</v>
      </c>
      <c r="M67" s="53">
        <v>0.796977038901948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72.6967416987937</v>
      </c>
      <c r="Z67" s="53">
        <v>0.11974146451253</v>
      </c>
      <c r="AA67" s="56">
        <v>0.252488256827238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/>
      <c r="E70" s="52"/>
      <c r="F70" s="52"/>
      <c r="G70" s="53"/>
      <c r="H70" s="52"/>
      <c r="I70" s="52"/>
      <c r="J70" s="52"/>
      <c r="K70" s="52"/>
      <c r="L70" s="52"/>
      <c r="M70" s="53"/>
      <c r="N70" s="53"/>
      <c r="O70" s="52"/>
      <c r="P70" s="52"/>
      <c r="Q70" s="52"/>
      <c r="R70" s="53"/>
      <c r="S70" s="54"/>
      <c r="T70" s="54"/>
      <c r="U70" s="54"/>
      <c r="V70" s="53"/>
      <c r="W70" s="53"/>
      <c r="X70" s="55"/>
      <c r="Y70" s="55"/>
      <c r="Z70" s="53"/>
      <c r="AA70" s="56"/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/>
      <c r="G74" s="53"/>
      <c r="H74" s="52"/>
      <c r="I74" s="52"/>
      <c r="J74" s="52"/>
      <c r="K74" s="52"/>
      <c r="L74" s="52"/>
      <c r="M74" s="53"/>
      <c r="N74" s="53"/>
      <c r="O74" s="52"/>
      <c r="P74" s="52"/>
      <c r="Q74" s="52"/>
      <c r="R74" s="53"/>
      <c r="S74" s="54"/>
      <c r="T74" s="54"/>
      <c r="U74" s="54"/>
      <c r="V74" s="53"/>
      <c r="W74" s="53">
        <v>0</v>
      </c>
      <c r="X74" s="55"/>
      <c r="Y74" s="55"/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/>
      <c r="E77" s="52"/>
      <c r="F77" s="52"/>
      <c r="G77" s="53"/>
      <c r="H77" s="52"/>
      <c r="I77" s="52"/>
      <c r="J77" s="52"/>
      <c r="K77" s="52"/>
      <c r="L77" s="52"/>
      <c r="M77" s="53"/>
      <c r="N77" s="53"/>
      <c r="O77" s="52"/>
      <c r="P77" s="52"/>
      <c r="Q77" s="52"/>
      <c r="R77" s="53"/>
      <c r="S77" s="54"/>
      <c r="T77" s="54"/>
      <c r="U77" s="54"/>
      <c r="V77" s="53"/>
      <c r="W77" s="53"/>
      <c r="X77" s="55"/>
      <c r="Y77" s="55"/>
      <c r="Z77" s="53"/>
      <c r="AA77" s="56"/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0.230464381745763</v>
      </c>
      <c r="H81" s="52">
        <v>16606.83</v>
      </c>
      <c r="I81" s="52">
        <v>12921.64</v>
      </c>
      <c r="J81" s="52">
        <v>9659.99</v>
      </c>
      <c r="K81" s="52">
        <v>5569.48</v>
      </c>
      <c r="L81" s="52">
        <v>4090.51</v>
      </c>
      <c r="M81" s="53">
        <v>0.423448678518301</v>
      </c>
      <c r="N81" s="53">
        <v>0</v>
      </c>
      <c r="O81" s="52">
        <v>6946.84</v>
      </c>
      <c r="P81" s="52">
        <v>7352.16</v>
      </c>
      <c r="Q81" s="52">
        <v>-405.32</v>
      </c>
      <c r="R81" s="53">
        <v>-0.05834595298006</v>
      </c>
      <c r="S81" s="54">
        <v>139.07</v>
      </c>
      <c r="T81" s="54">
        <v>143.25</v>
      </c>
      <c r="U81" s="54">
        <v>-4.18000000000001</v>
      </c>
      <c r="V81" s="53">
        <v>-0.0300568059250738</v>
      </c>
      <c r="W81" s="53"/>
      <c r="X81" s="55">
        <v>46.6092146596859</v>
      </c>
      <c r="Y81" s="55">
        <v>63.7161860933343</v>
      </c>
      <c r="Z81" s="53">
        <v>0.340679167340616</v>
      </c>
      <c r="AA81" s="56">
        <v>0.347929388593615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/>
      <c r="E84" s="52"/>
      <c r="F84" s="52"/>
      <c r="G84" s="53"/>
      <c r="H84" s="52"/>
      <c r="I84" s="52"/>
      <c r="J84" s="52"/>
      <c r="K84" s="52"/>
      <c r="L84" s="52"/>
      <c r="M84" s="53"/>
      <c r="N84" s="53"/>
      <c r="O84" s="52"/>
      <c r="P84" s="52"/>
      <c r="Q84" s="52"/>
      <c r="R84" s="53"/>
      <c r="S84" s="54"/>
      <c r="T84" s="54"/>
      <c r="U84" s="54"/>
      <c r="V84" s="53"/>
      <c r="W84" s="53"/>
      <c r="X84" s="55"/>
      <c r="Y84" s="55"/>
      <c r="Z84" s="53"/>
      <c r="AA84" s="56"/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4059.96</v>
      </c>
      <c r="G88" s="53">
        <v>0.109482962961764</v>
      </c>
      <c r="H88" s="52">
        <v>27002.93</v>
      </c>
      <c r="I88" s="52">
        <v>21520.62</v>
      </c>
      <c r="J88" s="52">
        <v>15440.32</v>
      </c>
      <c r="K88" s="52">
        <v>14143.19</v>
      </c>
      <c r="L88" s="52">
        <v>1297.13</v>
      </c>
      <c r="M88" s="53">
        <v>0.0840092692379433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</v>
      </c>
      <c r="S88" s="68">
        <v>231.75</v>
      </c>
      <c r="T88" s="68">
        <v>148.5</v>
      </c>
      <c r="U88" s="54">
        <v>83.25</v>
      </c>
      <c r="V88" s="53">
        <v>0.359223300970874</v>
      </c>
      <c r="W88" s="53"/>
      <c r="X88" s="55">
        <v>77.4575757575758</v>
      </c>
      <c r="Y88" s="55">
        <v>43.4955771305286</v>
      </c>
      <c r="Z88" s="53">
        <v>0.34831558664897</v>
      </c>
      <c r="AA88" s="56">
        <v>0.271825144816915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/>
      <c r="E91" s="67"/>
      <c r="F91" s="52"/>
      <c r="G91" s="53"/>
      <c r="H91" s="52"/>
      <c r="I91" s="52"/>
      <c r="J91" s="52"/>
      <c r="K91" s="52"/>
      <c r="L91" s="52"/>
      <c r="M91" s="53"/>
      <c r="N91" s="53"/>
      <c r="O91" s="52"/>
      <c r="P91" s="52"/>
      <c r="Q91" s="52"/>
      <c r="R91" s="53"/>
      <c r="S91" s="68"/>
      <c r="T91" s="68"/>
      <c r="U91" s="54"/>
      <c r="V91" s="53"/>
      <c r="W91" s="53"/>
      <c r="X91" s="55"/>
      <c r="Y91" s="55"/>
      <c r="Z91" s="53"/>
      <c r="AA91" s="56"/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0.779949622204724</v>
      </c>
      <c r="H95" s="52">
        <v>19428.98</v>
      </c>
      <c r="I95" s="52">
        <v>7925.81</v>
      </c>
      <c r="J95" s="52">
        <v>12051.32</v>
      </c>
      <c r="K95" s="52">
        <v>7679.91</v>
      </c>
      <c r="L95" s="52">
        <v>4371.41</v>
      </c>
      <c r="M95" s="53">
        <v>0.362732879053913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</v>
      </c>
      <c r="S95" s="54">
        <v>147.9</v>
      </c>
      <c r="T95" s="54">
        <v>5</v>
      </c>
      <c r="U95" s="54">
        <v>142.9</v>
      </c>
      <c r="V95" s="53">
        <v>0.966193373901285</v>
      </c>
      <c r="W95" s="53"/>
      <c r="X95" s="55">
        <v>-432.708</v>
      </c>
      <c r="Y95" s="55">
        <v>45.6873563218391</v>
      </c>
      <c r="Z95" s="53">
        <v>-0.375466612984119</v>
      </c>
      <c r="AA95" s="56">
        <v>0.258043377145314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/>
      <c r="E98" s="52"/>
      <c r="F98" s="52"/>
      <c r="G98" s="53"/>
      <c r="H98" s="52"/>
      <c r="I98" s="52"/>
      <c r="J98" s="52"/>
      <c r="K98" s="52"/>
      <c r="L98" s="52"/>
      <c r="M98" s="53"/>
      <c r="N98" s="53"/>
      <c r="O98" s="52"/>
      <c r="P98" s="52"/>
      <c r="Q98" s="52"/>
      <c r="R98" s="53"/>
      <c r="S98" s="54"/>
      <c r="T98" s="54"/>
      <c r="U98" s="54"/>
      <c r="V98" s="53"/>
      <c r="W98" s="53"/>
      <c r="X98" s="55"/>
      <c r="Y98" s="55"/>
      <c r="Z98" s="53"/>
      <c r="AA98" s="56"/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-0.0100000000020373</v>
      </c>
      <c r="G102" s="53">
        <v>-3.01313546335011e-7</v>
      </c>
      <c r="H102" s="52">
        <v>23790.07</v>
      </c>
      <c r="I102" s="52">
        <v>32303.46</v>
      </c>
      <c r="J102" s="52">
        <v>13406.21</v>
      </c>
      <c r="K102" s="52">
        <v>16562.52</v>
      </c>
      <c r="L102" s="52">
        <v>-3156.31</v>
      </c>
      <c r="M102" s="53">
        <v>-0.235436413423331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</v>
      </c>
      <c r="S102" s="54">
        <v>208.2</v>
      </c>
      <c r="T102" s="54">
        <v>317.25</v>
      </c>
      <c r="U102" s="54">
        <v>-109.05</v>
      </c>
      <c r="V102" s="53">
        <v>-0.523775216138329</v>
      </c>
      <c r="W102" s="53"/>
      <c r="X102" s="55">
        <v>2.78824271079591</v>
      </c>
      <c r="Y102" s="55">
        <v>45.1390489913545</v>
      </c>
      <c r="Z102" s="53">
        <v>0.0266532843317305</v>
      </c>
      <c r="AA102" s="56">
        <v>0.283172964220222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</v>
      </c>
      <c r="G109" s="53">
        <v>0.373115403962936</v>
      </c>
      <c r="H109" s="52">
        <v>35959.67</v>
      </c>
      <c r="I109" s="52">
        <v>21861.72</v>
      </c>
      <c r="J109" s="52">
        <v>20162.34</v>
      </c>
      <c r="K109" s="52">
        <v>12155.27</v>
      </c>
      <c r="L109" s="52">
        <v>8007.07</v>
      </c>
      <c r="M109" s="53">
        <v>0.397129995823897</v>
      </c>
      <c r="N109" s="53">
        <v>0</v>
      </c>
      <c r="O109" s="52">
        <v>15797.33</v>
      </c>
      <c r="P109" s="52">
        <v>9706.45</v>
      </c>
      <c r="Q109" s="52">
        <v>6090.88</v>
      </c>
      <c r="R109" s="53">
        <v>0.385563889594001</v>
      </c>
      <c r="S109" s="54">
        <v>316.34</v>
      </c>
      <c r="T109" s="54">
        <v>204.75</v>
      </c>
      <c r="U109" s="54">
        <v>111.59</v>
      </c>
      <c r="V109" s="53">
        <v>0.35275336663084</v>
      </c>
      <c r="W109" s="53">
        <v>0</v>
      </c>
      <c r="X109" s="55">
        <v>66.386862026862</v>
      </c>
      <c r="Y109" s="55">
        <v>65.1099449958905</v>
      </c>
      <c r="Z109" s="53">
        <v>0.383385376665201</v>
      </c>
      <c r="AA109" s="56">
        <v>0.364182044343228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0</v>
      </c>
      <c r="E116" s="52">
        <v>0</v>
      </c>
      <c r="F116" s="52">
        <v>0</v>
      </c>
      <c r="G116" s="53"/>
      <c r="H116" s="52">
        <v>0</v>
      </c>
      <c r="I116" s="52">
        <v>0</v>
      </c>
      <c r="J116" s="52"/>
      <c r="K116" s="52"/>
      <c r="L116" s="52"/>
      <c r="M116" s="53"/>
      <c r="N116" s="53">
        <v>0</v>
      </c>
      <c r="O116" s="52">
        <v>0</v>
      </c>
      <c r="P116" s="52">
        <v>0</v>
      </c>
      <c r="Q116" s="52"/>
      <c r="R116" s="53"/>
      <c r="S116" s="54">
        <v>0</v>
      </c>
      <c r="T116" s="54">
        <v>0</v>
      </c>
      <c r="U116" s="54"/>
      <c r="V116" s="53"/>
      <c r="W116" s="53">
        <v>0</v>
      </c>
      <c r="X116" s="55"/>
      <c r="Y116" s="55"/>
      <c r="Z116" s="53"/>
      <c r="AA116" s="56"/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/>
      <c r="E119" s="52"/>
      <c r="F119" s="52">
        <v>0</v>
      </c>
      <c r="G119" s="53"/>
      <c r="H119" s="52"/>
      <c r="I119" s="52"/>
      <c r="J119" s="52"/>
      <c r="K119" s="52"/>
      <c r="L119" s="52"/>
      <c r="M119" s="53"/>
      <c r="N119" s="53"/>
      <c r="O119" s="52"/>
      <c r="P119" s="52"/>
      <c r="Q119" s="52"/>
      <c r="R119" s="53"/>
      <c r="S119" s="54"/>
      <c r="T119" s="54"/>
      <c r="U119" s="54"/>
      <c r="V119" s="53"/>
      <c r="W119" s="53"/>
      <c r="X119" s="55"/>
      <c r="Y119" s="55"/>
      <c r="Z119" s="53"/>
      <c r="AA119" s="56"/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0</v>
      </c>
      <c r="G123" s="53"/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53835.87</v>
      </c>
      <c r="M123" s="53">
        <v>0.815423809808708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61.8545560961335</v>
      </c>
      <c r="Z123" s="53">
        <v>0.206983394005495</v>
      </c>
      <c r="AA123" s="56">
        <v>0.1750921737769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/>
      <c r="E126" s="52"/>
      <c r="F126" s="52">
        <v>0</v>
      </c>
      <c r="G126" s="53"/>
      <c r="H126" s="52"/>
      <c r="I126" s="52"/>
      <c r="J126" s="52"/>
      <c r="K126" s="52"/>
      <c r="L126" s="52"/>
      <c r="M126" s="53"/>
      <c r="N126" s="53"/>
      <c r="O126" s="52"/>
      <c r="P126" s="52"/>
      <c r="Q126" s="52"/>
      <c r="R126" s="53"/>
      <c r="S126" s="54"/>
      <c r="T126" s="54"/>
      <c r="U126" s="54"/>
      <c r="V126" s="53"/>
      <c r="W126" s="53"/>
      <c r="X126" s="55"/>
      <c r="Y126" s="55"/>
      <c r="Z126" s="53"/>
      <c r="AA126" s="56"/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0.548121353067268</v>
      </c>
      <c r="H130" s="52">
        <v>23448.14</v>
      </c>
      <c r="I130" s="52">
        <v>11238.62</v>
      </c>
      <c r="J130" s="52">
        <v>15632.03</v>
      </c>
      <c r="K130" s="52">
        <v>11154.51</v>
      </c>
      <c r="L130" s="52">
        <v>4477.52</v>
      </c>
      <c r="M130" s="53">
        <v>0.286432408330844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</v>
      </c>
      <c r="W130" s="53">
        <v>0</v>
      </c>
      <c r="X130" s="55">
        <v>1566.105</v>
      </c>
      <c r="Y130" s="55">
        <v>53.2119108280255</v>
      </c>
      <c r="Z130" s="53">
        <v>0.217956095785699</v>
      </c>
      <c r="AA130" s="56">
        <v>0.262692984588275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95</v>
      </c>
      <c r="D133" s="52"/>
      <c r="E133" s="52"/>
      <c r="F133" s="52"/>
      <c r="G133" s="53"/>
      <c r="H133" s="52"/>
      <c r="I133" s="52"/>
      <c r="J133" s="52"/>
      <c r="K133" s="52"/>
      <c r="L133" s="52"/>
      <c r="M133" s="53"/>
      <c r="N133" s="53"/>
      <c r="O133" s="52"/>
      <c r="P133" s="52"/>
      <c r="Q133" s="52"/>
      <c r="R133" s="53"/>
      <c r="S133" s="54"/>
      <c r="T133" s="54"/>
      <c r="U133" s="54"/>
      <c r="V133" s="53"/>
      <c r="W133" s="53"/>
      <c r="X133" s="55"/>
      <c r="Y133" s="55"/>
      <c r="Z133" s="53"/>
      <c r="AA133" s="56"/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</v>
      </c>
      <c r="G137" s="53">
        <v>0.0499999126675691</v>
      </c>
      <c r="H137" s="52">
        <v>21262.27</v>
      </c>
      <c r="I137" s="52">
        <v>24965.42</v>
      </c>
      <c r="J137" s="52">
        <v>11588.8</v>
      </c>
      <c r="K137" s="52">
        <v>11702.32</v>
      </c>
      <c r="L137" s="52">
        <v>-113.519999999997</v>
      </c>
      <c r="M137" s="53">
        <v>-0.0097956647797871</v>
      </c>
      <c r="N137" s="53">
        <v>0</v>
      </c>
      <c r="O137" s="52">
        <v>9673.47</v>
      </c>
      <c r="P137" s="52">
        <v>13263.1</v>
      </c>
      <c r="Q137" s="52">
        <v>-3589.63</v>
      </c>
      <c r="R137" s="53">
        <v>-0.3710798710287</v>
      </c>
      <c r="S137" s="54">
        <v>193.82</v>
      </c>
      <c r="T137" s="54">
        <v>266.75</v>
      </c>
      <c r="U137" s="54">
        <v>-72.93</v>
      </c>
      <c r="V137" s="53">
        <v>-0.37627695800227</v>
      </c>
      <c r="W137" s="53"/>
      <c r="X137" s="55">
        <v>8.35808809746954</v>
      </c>
      <c r="Y137" s="55">
        <v>37.9939118769993</v>
      </c>
      <c r="Z137" s="53">
        <v>0.0819828982891671</v>
      </c>
      <c r="AA137" s="56">
        <v>0.257245709794332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0</v>
      </c>
      <c r="E144" s="52">
        <v>0</v>
      </c>
      <c r="F144" s="52"/>
      <c r="G144" s="53"/>
      <c r="H144" s="52">
        <v>0</v>
      </c>
      <c r="I144" s="52"/>
      <c r="J144" s="52"/>
      <c r="K144" s="52"/>
      <c r="L144" s="52"/>
      <c r="M144" s="53"/>
      <c r="N144" s="53"/>
      <c r="O144" s="52">
        <v>0</v>
      </c>
      <c r="P144" s="52"/>
      <c r="Q144" s="52"/>
      <c r="R144" s="53"/>
      <c r="S144" s="54">
        <v>0</v>
      </c>
      <c r="T144" s="54">
        <v>0</v>
      </c>
      <c r="U144" s="54"/>
      <c r="V144" s="53"/>
      <c r="W144" s="53"/>
      <c r="X144" s="55"/>
      <c r="Y144" s="55"/>
      <c r="Z144" s="53"/>
      <c r="AA144" s="56"/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/>
      <c r="G151" s="53"/>
      <c r="H151" s="52">
        <v>22750.99</v>
      </c>
      <c r="I151" s="52">
        <v>22238.62</v>
      </c>
      <c r="J151" s="52">
        <v>12243.41</v>
      </c>
      <c r="K151" s="52">
        <v>9324.41</v>
      </c>
      <c r="L151" s="52">
        <v>2919</v>
      </c>
      <c r="M151" s="53">
        <v>0.238413971271076</v>
      </c>
      <c r="N151" s="53"/>
      <c r="O151" s="52">
        <v>10507.58</v>
      </c>
      <c r="P151" s="52">
        <v>12914.21</v>
      </c>
      <c r="Q151" s="52">
        <v>-2406.63</v>
      </c>
      <c r="R151" s="53">
        <v>-0.229037513870939</v>
      </c>
      <c r="S151" s="54">
        <v>210.6</v>
      </c>
      <c r="T151" s="54">
        <v>260.75</v>
      </c>
      <c r="U151" s="54">
        <v>-50.15</v>
      </c>
      <c r="V151" s="53">
        <v>-0.238129154795822</v>
      </c>
      <c r="W151" s="53"/>
      <c r="X151" s="55">
        <v>40.4018791946309</v>
      </c>
      <c r="Y151" s="55">
        <v>47.5898385565052</v>
      </c>
      <c r="Z151" s="53">
        <v>0.321443206550676</v>
      </c>
      <c r="AA151" s="56">
        <v>0.30580949617388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0</v>
      </c>
      <c r="K158" s="52">
        <v>0</v>
      </c>
      <c r="L158" s="52"/>
      <c r="M158" s="53"/>
      <c r="N158" s="53"/>
      <c r="O158" s="52">
        <v>5508.47</v>
      </c>
      <c r="P158" s="52">
        <v>2298.36</v>
      </c>
      <c r="Q158" s="52">
        <v>3210.11</v>
      </c>
      <c r="R158" s="53">
        <v>0.582758914907406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-51.36</v>
      </c>
      <c r="Y158" s="55">
        <v>112.195400217313</v>
      </c>
      <c r="Z158" s="53"/>
      <c r="AA158" s="56">
        <v>0.222350780727547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/>
      <c r="E161" s="52"/>
      <c r="F161" s="52"/>
      <c r="G161" s="53"/>
      <c r="H161" s="52"/>
      <c r="I161" s="52"/>
      <c r="J161" s="52">
        <v>0</v>
      </c>
      <c r="K161" s="52">
        <v>0</v>
      </c>
      <c r="L161" s="52"/>
      <c r="M161" s="53"/>
      <c r="N161" s="53"/>
      <c r="O161" s="52"/>
      <c r="P161" s="52"/>
      <c r="Q161" s="52"/>
      <c r="R161" s="53"/>
      <c r="S161" s="54"/>
      <c r="T161" s="54"/>
      <c r="U161" s="54"/>
      <c r="V161" s="53"/>
      <c r="W161" s="53"/>
      <c r="X161" s="55"/>
      <c r="Y161" s="55"/>
      <c r="Z161" s="53"/>
      <c r="AA161" s="56"/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/>
      <c r="E165" s="52"/>
      <c r="F165" s="52"/>
      <c r="G165" s="53"/>
      <c r="H165" s="52"/>
      <c r="I165" s="52"/>
      <c r="J165" s="52"/>
      <c r="K165" s="52"/>
      <c r="L165" s="52"/>
      <c r="M165" s="53"/>
      <c r="N165" s="53"/>
      <c r="O165" s="52"/>
      <c r="P165" s="52"/>
      <c r="Q165" s="52"/>
      <c r="R165" s="53"/>
      <c r="S165" s="54"/>
      <c r="T165" s="54"/>
      <c r="U165" s="54"/>
      <c r="V165" s="53"/>
      <c r="W165" s="53"/>
      <c r="X165" s="55"/>
      <c r="Y165" s="55"/>
      <c r="Z165" s="53"/>
      <c r="AA165" s="56"/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51970.66</v>
      </c>
      <c r="G172" s="53">
        <v>0.355386262761894</v>
      </c>
      <c r="H172" s="52">
        <v>114651.87</v>
      </c>
      <c r="I172" s="52">
        <v>75526.07</v>
      </c>
      <c r="J172" s="52">
        <v>82888.08</v>
      </c>
      <c r="K172" s="52">
        <v>0</v>
      </c>
      <c r="L172" s="52">
        <v>82888.08</v>
      </c>
      <c r="M172" s="53">
        <v>1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259.716095159967</v>
      </c>
      <c r="Y172" s="55">
        <v>47.8760098828309</v>
      </c>
      <c r="Z172" s="53">
        <v>0.839625126436818</v>
      </c>
      <c r="AA172" s="56">
        <v>0.215986489339129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/>
      <c r="E175" s="52"/>
      <c r="F175" s="52"/>
      <c r="G175" s="53"/>
      <c r="H175" s="52"/>
      <c r="I175" s="52"/>
      <c r="J175" s="52"/>
      <c r="K175" s="52">
        <v>0</v>
      </c>
      <c r="L175" s="52"/>
      <c r="M175" s="53"/>
      <c r="N175" s="53"/>
      <c r="O175" s="52"/>
      <c r="P175" s="52"/>
      <c r="Q175" s="52"/>
      <c r="R175" s="53"/>
      <c r="S175" s="54"/>
      <c r="T175" s="54"/>
      <c r="U175" s="54"/>
      <c r="V175" s="53"/>
      <c r="W175" s="53"/>
      <c r="X175" s="55"/>
      <c r="Y175" s="55"/>
      <c r="Z175" s="53"/>
      <c r="AA175" s="56"/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</v>
      </c>
      <c r="K179" s="52">
        <v>2298.71</v>
      </c>
      <c r="L179" s="52">
        <v>678.400000000001</v>
      </c>
      <c r="M179" s="53">
        <v>0.22787199666791</v>
      </c>
      <c r="N179" s="53"/>
      <c r="O179" s="52">
        <v>6249.16</v>
      </c>
      <c r="P179" s="52">
        <v>647.44</v>
      </c>
      <c r="Q179" s="52">
        <v>5601.72</v>
      </c>
      <c r="R179" s="53">
        <v>0.896395675578798</v>
      </c>
      <c r="S179" s="54">
        <v>125.17</v>
      </c>
      <c r="T179" s="54">
        <v>11.25</v>
      </c>
      <c r="U179" s="54">
        <v>113.92</v>
      </c>
      <c r="V179" s="53">
        <v>0.910122233762084</v>
      </c>
      <c r="W179" s="53"/>
      <c r="X179" s="55">
        <v>-261.88</v>
      </c>
      <c r="Y179" s="55">
        <v>61.2867300471359</v>
      </c>
      <c r="Z179" s="53"/>
      <c r="AA179" s="56">
        <v>0.453987062014389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/>
      <c r="E182" s="52"/>
      <c r="F182" s="52"/>
      <c r="G182" s="53"/>
      <c r="H182" s="52"/>
      <c r="I182" s="52"/>
      <c r="J182" s="52"/>
      <c r="K182" s="52"/>
      <c r="L182" s="52"/>
      <c r="M182" s="53"/>
      <c r="N182" s="53"/>
      <c r="O182" s="52"/>
      <c r="P182" s="52"/>
      <c r="Q182" s="52"/>
      <c r="R182" s="53"/>
      <c r="S182" s="54"/>
      <c r="T182" s="54"/>
      <c r="U182" s="54"/>
      <c r="V182" s="53"/>
      <c r="W182" s="53"/>
      <c r="X182" s="55"/>
      <c r="Y182" s="55"/>
      <c r="Z182" s="53"/>
      <c r="AA182" s="56"/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0</v>
      </c>
      <c r="L186" s="52">
        <v>9784.33</v>
      </c>
      <c r="M186" s="53">
        <v>1</v>
      </c>
      <c r="N186" s="53"/>
      <c r="O186" s="52">
        <v>6514.76</v>
      </c>
      <c r="P186" s="52">
        <v>1444.13</v>
      </c>
      <c r="Q186" s="52">
        <v>5070.63</v>
      </c>
      <c r="R186" s="53">
        <v>0.778329516359774</v>
      </c>
      <c r="S186" s="54">
        <v>130.62</v>
      </c>
      <c r="T186" s="54">
        <v>32.25</v>
      </c>
      <c r="U186" s="54">
        <v>98.37</v>
      </c>
      <c r="V186" s="53">
        <v>0.753100597152044</v>
      </c>
      <c r="W186" s="53"/>
      <c r="X186" s="55">
        <v>-6.55968992248063</v>
      </c>
      <c r="Y186" s="55">
        <v>35.9288776603889</v>
      </c>
      <c r="Z186" s="53">
        <v>-0.171631861623586</v>
      </c>
      <c r="AA186" s="56">
        <v>0.22356150784199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/>
      <c r="E189" s="52"/>
      <c r="F189" s="52"/>
      <c r="G189" s="53"/>
      <c r="H189" s="52"/>
      <c r="I189" s="52"/>
      <c r="J189" s="52"/>
      <c r="K189" s="52">
        <v>0</v>
      </c>
      <c r="L189" s="52"/>
      <c r="M189" s="53"/>
      <c r="N189" s="53"/>
      <c r="O189" s="52"/>
      <c r="P189" s="52"/>
      <c r="Q189" s="52"/>
      <c r="R189" s="53"/>
      <c r="S189" s="54"/>
      <c r="T189" s="54"/>
      <c r="U189" s="54"/>
      <c r="V189" s="53"/>
      <c r="W189" s="53"/>
      <c r="X189" s="55"/>
      <c r="Y189" s="55"/>
      <c r="Z189" s="53"/>
      <c r="AA189" s="56"/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0</v>
      </c>
      <c r="E193" s="52">
        <v>0</v>
      </c>
      <c r="F193" s="52"/>
      <c r="G193" s="53"/>
      <c r="H193" s="52">
        <v>0</v>
      </c>
      <c r="I193" s="52">
        <v>0</v>
      </c>
      <c r="J193" s="52"/>
      <c r="K193" s="52">
        <v>0</v>
      </c>
      <c r="L193" s="52"/>
      <c r="M193" s="53"/>
      <c r="N193" s="53"/>
      <c r="O193" s="52">
        <v>0</v>
      </c>
      <c r="P193" s="52">
        <v>0</v>
      </c>
      <c r="Q193" s="52"/>
      <c r="R193" s="53"/>
      <c r="S193" s="54">
        <v>0</v>
      </c>
      <c r="T193" s="54">
        <v>0</v>
      </c>
      <c r="U193" s="54"/>
      <c r="V193" s="53"/>
      <c r="W193" s="53"/>
      <c r="X193" s="55"/>
      <c r="Y193" s="55"/>
      <c r="Z193" s="53"/>
      <c r="AA193" s="56"/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/>
      <c r="E196" s="52"/>
      <c r="F196" s="52"/>
      <c r="G196" s="53"/>
      <c r="H196" s="52"/>
      <c r="I196" s="52"/>
      <c r="J196" s="52"/>
      <c r="K196" s="52">
        <v>0</v>
      </c>
      <c r="L196" s="52"/>
      <c r="M196" s="53"/>
      <c r="N196" s="53"/>
      <c r="O196" s="52"/>
      <c r="P196" s="52"/>
      <c r="Q196" s="52"/>
      <c r="R196" s="53"/>
      <c r="S196" s="54"/>
      <c r="T196" s="54"/>
      <c r="U196" s="54"/>
      <c r="V196" s="53"/>
      <c r="W196" s="53"/>
      <c r="X196" s="55"/>
      <c r="Y196" s="55"/>
      <c r="Z196" s="53"/>
      <c r="AA196" s="56"/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</v>
      </c>
      <c r="K214" s="52"/>
      <c r="L214" s="52">
        <v>99479.62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</v>
      </c>
      <c r="Z214" s="53"/>
      <c r="AA214" s="56">
        <v>0.143790046441692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/>
      <c r="E217" s="52"/>
      <c r="F217" s="52"/>
      <c r="G217" s="53"/>
      <c r="H217" s="52"/>
      <c r="I217" s="52"/>
      <c r="J217" s="52"/>
      <c r="K217" s="52"/>
      <c r="L217" s="52"/>
      <c r="M217" s="53"/>
      <c r="N217" s="53"/>
      <c r="O217" s="52"/>
      <c r="P217" s="52"/>
      <c r="Q217" s="52"/>
      <c r="R217" s="53"/>
      <c r="S217" s="54"/>
      <c r="T217" s="54"/>
      <c r="U217" s="54"/>
      <c r="V217" s="53"/>
      <c r="W217" s="53"/>
      <c r="X217" s="55"/>
      <c r="Y217" s="55"/>
      <c r="Z217" s="53"/>
      <c r="AA217" s="56"/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117930.2</v>
      </c>
      <c r="G221" s="53">
        <v>0.302914568501587</v>
      </c>
      <c r="H221" s="52">
        <v>289549.48</v>
      </c>
      <c r="I221" s="52">
        <v>224459.32</v>
      </c>
      <c r="J221" s="52">
        <v>0</v>
      </c>
      <c r="K221" s="52">
        <v>0</v>
      </c>
      <c r="L221" s="52"/>
      <c r="M221" s="53"/>
      <c r="N221" s="53"/>
      <c r="O221" s="52">
        <v>115269.5</v>
      </c>
      <c r="P221" s="52">
        <v>48310.19</v>
      </c>
      <c r="Q221" s="52">
        <v>66959.31</v>
      </c>
      <c r="R221" s="53">
        <v>0.580893558139838</v>
      </c>
      <c r="S221" s="54">
        <v>2312.68</v>
      </c>
      <c r="T221" s="54">
        <v>1014.25</v>
      </c>
      <c r="U221" s="54">
        <v>1298.43</v>
      </c>
      <c r="V221" s="53">
        <v>0.561439542003217</v>
      </c>
      <c r="W221" s="53"/>
      <c r="X221" s="55">
        <v>219.943761400049</v>
      </c>
      <c r="Y221" s="55">
        <v>118.498387152568</v>
      </c>
      <c r="Z221" s="53">
        <v>0.821988579825611</v>
      </c>
      <c r="AA221" s="56">
        <v>0.256265521519856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/>
      <c r="E224" s="52"/>
      <c r="F224" s="52"/>
      <c r="G224" s="53"/>
      <c r="H224" s="52"/>
      <c r="I224" s="52"/>
      <c r="J224" s="52">
        <v>0</v>
      </c>
      <c r="K224" s="52">
        <v>0</v>
      </c>
      <c r="L224" s="52"/>
      <c r="M224" s="53"/>
      <c r="N224" s="53"/>
      <c r="O224" s="52"/>
      <c r="P224" s="52"/>
      <c r="Q224" s="52"/>
      <c r="R224" s="53"/>
      <c r="S224" s="54"/>
      <c r="T224" s="54"/>
      <c r="U224" s="54"/>
      <c r="V224" s="53"/>
      <c r="W224" s="53"/>
      <c r="X224" s="55"/>
      <c r="Y224" s="55"/>
      <c r="Z224" s="53"/>
      <c r="AA224" s="56"/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99</v>
      </c>
      <c r="B2" s="81" t="s">
        <v>100</v>
      </c>
      <c r="C2" s="82" t="s">
        <v>101</v>
      </c>
      <c r="D2" s="82" t="s">
        <v>102</v>
      </c>
      <c r="E2" s="82" t="s">
        <v>103</v>
      </c>
      <c r="F2" s="82" t="s">
        <v>104</v>
      </c>
      <c r="G2" s="83" t="s">
        <v>105</v>
      </c>
      <c r="H2" s="83" t="s">
        <v>106</v>
      </c>
      <c r="I2" s="81" t="s">
        <v>107</v>
      </c>
      <c r="J2" s="82" t="s">
        <v>108</v>
      </c>
      <c r="K2" s="82" t="s">
        <v>109</v>
      </c>
      <c r="L2" s="83" t="s">
        <v>110</v>
      </c>
      <c r="M2" s="83" t="s">
        <v>111</v>
      </c>
      <c r="N2" s="81" t="s">
        <v>112</v>
      </c>
      <c r="O2" s="84" t="s">
        <v>113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f>'Main Sheet'!A4</f>
        <v>7658</v>
      </c>
      <c r="B4" s="54" t="str">
        <f>'Main Sheet'!B4</f>
        <v>Charity Hospital</v>
      </c>
      <c r="C4" s="52">
        <v>0</v>
      </c>
      <c r="D4" s="52">
        <v>51687.05</v>
      </c>
      <c r="E4" s="52">
        <f>C4-D4</f>
        <v>9727.83</v>
      </c>
      <c r="F4" s="52">
        <v>0</v>
      </c>
      <c r="G4" s="53">
        <f>(E4+F4)/C4</f>
        <v>0.4863915</v>
      </c>
      <c r="H4" s="53">
        <v>0.2149</v>
      </c>
      <c r="I4" s="86">
        <v>0</v>
      </c>
      <c r="J4" s="87">
        <v>90</v>
      </c>
      <c r="K4" s="52">
        <f>(I4*40)+J4</f>
        <v>90</v>
      </c>
      <c r="L4" s="53">
        <f>((E4-K4)+F4)/C4</f>
        <v>0.4818915</v>
      </c>
      <c r="M4" s="52">
        <f>SUM(E4:F4)-K4</f>
        <v>9637.83</v>
      </c>
      <c r="N4" s="54">
        <v>20</v>
      </c>
      <c r="O4" s="58">
        <f>SUM(M4/(N4+I4))</f>
        <v>481.8915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f>'Main Sheet'!A6</f>
        <v>8142</v>
      </c>
      <c r="B6" s="54" t="str">
        <f>'Main Sheet'!B6</f>
        <v>Fisher Developements</v>
      </c>
      <c r="C6" s="52">
        <v>3912</v>
      </c>
      <c r="D6" s="52">
        <v>6513.389999999999</v>
      </c>
      <c r="E6" s="52">
        <f>C6-D6</f>
        <v>-3968.93</v>
      </c>
      <c r="F6" s="52">
        <v>0</v>
      </c>
      <c r="G6" s="53" t="e">
        <f>(E6+F6)/C6</f>
        <v>#DIV/0!</v>
      </c>
      <c r="H6" s="53">
        <f>'Deliverables Sheet'!AA11</f>
        <v>0.239214585617637</v>
      </c>
      <c r="I6" s="54">
        <v>16</v>
      </c>
      <c r="J6" s="52">
        <v>272.6</v>
      </c>
      <c r="K6" s="52">
        <f>(I6*40)+J6</f>
        <v>912.6</v>
      </c>
      <c r="L6" s="53" t="e">
        <f>((E6-K6)+F6)/C6</f>
        <v>#DIV/0!</v>
      </c>
      <c r="M6" s="52">
        <f>SUM(E6:F6)-K6</f>
        <v>-4881.53</v>
      </c>
      <c r="N6" s="54">
        <f>'Deliverables Sheet'!AE11</f>
        <v>-52.5</v>
      </c>
      <c r="O6" s="58">
        <f>SUM(M6/(N6+I6))</f>
        <v>133.740547945205</v>
      </c>
      <c r="Q6" s="35" t="s">
        <v>114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f>'Main Sheet'!A8</f>
        <v>8824</v>
      </c>
      <c r="B8" s="54" t="str">
        <f>'Main Sheet'!B8</f>
        <v>3 Innovation Road</v>
      </c>
      <c r="C8" s="52">
        <v>0</v>
      </c>
      <c r="D8" s="52">
        <v>0</v>
      </c>
      <c r="E8" s="52">
        <f>C8-D8</f>
        <v>2227.16</v>
      </c>
      <c r="F8" s="52"/>
      <c r="G8" s="53">
        <f>(E8+F8)/C8</f>
        <v>0.318207535847569</v>
      </c>
      <c r="H8" s="53">
        <f>'Deliverables Sheet'!AA18</f>
        <v>0.288523551725943</v>
      </c>
      <c r="I8" s="54">
        <v>16</v>
      </c>
      <c r="J8" s="52"/>
      <c r="K8" s="52">
        <f>(I8*40)+J8</f>
        <v>640</v>
      </c>
      <c r="L8" s="53">
        <f>((E8-K8)+F8)/C8</f>
        <v>0.22676694651297</v>
      </c>
      <c r="M8" s="52">
        <f>SUM(E8:F8)-K8</f>
        <v>1587.16</v>
      </c>
      <c r="N8" s="54">
        <f>'Deliverables Sheet'!AE18</f>
        <v>-34.75</v>
      </c>
      <c r="O8" s="58">
        <f>SUM(M8/(N8+I8))</f>
        <v>-84.6485333333333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f>'Main Sheet'!A10</f>
        <v>8127</v>
      </c>
      <c r="B10" s="54" t="str">
        <f>'Main Sheet'!B10</f>
        <v>Rolly Autowash</v>
      </c>
      <c r="C10" s="52">
        <v>0</v>
      </c>
      <c r="D10" s="52">
        <v>5315.239999999991</v>
      </c>
      <c r="E10" s="52">
        <f>C10-D10</f>
        <v>19246.78</v>
      </c>
      <c r="F10" s="52">
        <v>0</v>
      </c>
      <c r="G10" s="53">
        <f>(E10+F10)/C10</f>
        <v>0.361570889143544</v>
      </c>
      <c r="H10" s="53">
        <f>'Deliverables Sheet'!AA25</f>
        <v>0.32265253844825</v>
      </c>
      <c r="I10" s="54">
        <v>48</v>
      </c>
      <c r="J10" s="52">
        <v>3000</v>
      </c>
      <c r="K10" s="52">
        <v>1000</v>
      </c>
      <c r="L10" s="53">
        <f>((E10-K10)+F10)/C10</f>
        <v>0.342784843418309</v>
      </c>
      <c r="M10" s="52">
        <f>SUM(E10:F10)-K10</f>
        <v>18246.78</v>
      </c>
      <c r="N10" s="54">
        <f>'Deliverables Sheet'!AE25</f>
        <v>-388.25</v>
      </c>
      <c r="O10" s="58">
        <f>SUM(M10/(N10+I10))</f>
        <v>-53.6275679647318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115</v>
      </c>
      <c r="C12" s="52">
        <v>0</v>
      </c>
      <c r="D12" s="52">
        <v>1154.6499999999942</v>
      </c>
      <c r="E12" s="52">
        <f>C12-D12</f>
        <v>7144.34</v>
      </c>
      <c r="F12" s="52"/>
      <c r="G12" s="53">
        <f>(E12+F12)/C12</f>
        <v>0.351073218673219</v>
      </c>
      <c r="H12" s="53">
        <f>'Deliverables Sheet'!AA32</f>
        <v>0.176316261575212</v>
      </c>
      <c r="I12" s="54">
        <v>16</v>
      </c>
      <c r="J12" s="52">
        <v>2000</v>
      </c>
      <c r="K12" s="52">
        <f>(I12*40)+J12</f>
        <v>2640</v>
      </c>
      <c r="L12" s="53">
        <f>((E12-K12)+F12)/C12</f>
        <v>0.221343488943489</v>
      </c>
      <c r="M12" s="52">
        <f>SUM(E12:F12)-K12</f>
        <v>4504.34</v>
      </c>
      <c r="N12" s="54">
        <v>53</v>
      </c>
      <c r="O12" s="58">
        <f>SUM(M12/(N12+I12))</f>
        <v>65.2802898550725</v>
      </c>
      <c r="Q12" s="35" t="s">
        <v>116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f>'Main Sheet'!A14</f>
        <v>8886</v>
      </c>
      <c r="B14" s="54" t="str">
        <f>'Main Sheet'!B14</f>
        <v>Monkey Toe - Fisher fit out</v>
      </c>
      <c r="C14" s="52">
        <v>0</v>
      </c>
      <c r="D14" s="52">
        <v>2138.1600000000035</v>
      </c>
      <c r="E14" s="52">
        <f>C14-D14</f>
        <v>3415.11</v>
      </c>
      <c r="F14" s="52">
        <v>0</v>
      </c>
      <c r="G14" s="53">
        <f>(E14+F14)/C14</f>
        <v>0.338129702970297</v>
      </c>
      <c r="H14" s="53">
        <f>'Deliverables Sheet'!AA39</f>
        <v>0.266338527271097</v>
      </c>
      <c r="I14" s="54">
        <v>0</v>
      </c>
      <c r="J14" s="52">
        <v>3000</v>
      </c>
      <c r="K14" s="52">
        <v>0</v>
      </c>
      <c r="L14" s="53">
        <f>((E14-K14)+F14)/C14</f>
        <v>0.338129702970297</v>
      </c>
      <c r="M14" s="52">
        <f>SUM(E14:F14)-K14</f>
        <v>3415.11</v>
      </c>
      <c r="N14" s="54">
        <f>'Deliverables Sheet'!AE39</f>
        <v>-112</v>
      </c>
      <c r="O14" s="58">
        <f>SUM(M14/(N14+I14))</f>
        <v>-30.4920535714286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f>'Main Sheet'!A16</f>
        <v>8887</v>
      </c>
      <c r="B16" s="54" t="str">
        <f>'Main Sheet'!B16</f>
        <v>Tenancy 2 - Fisher Fit out</v>
      </c>
      <c r="C16" s="52">
        <v>0</v>
      </c>
      <c r="D16" s="52">
        <v>5565.0300000000025</v>
      </c>
      <c r="E16" s="52">
        <f>C16-D16</f>
        <v>5660</v>
      </c>
      <c r="F16" s="52"/>
      <c r="G16" s="53">
        <f>(E16+F16)/C16</f>
        <v>0.539047619047619</v>
      </c>
      <c r="H16" s="53">
        <f>'Deliverables Sheet'!AA46</f>
        <v>0.226353821097855</v>
      </c>
      <c r="I16" s="54">
        <v>0</v>
      </c>
      <c r="J16" s="52">
        <v>3000</v>
      </c>
      <c r="K16" s="52">
        <f>(I16*40)+J16</f>
        <v>3000</v>
      </c>
      <c r="L16" s="53">
        <f>((E16-K16)+F16)/C16</f>
        <v>0.253333333333333</v>
      </c>
      <c r="M16" s="52">
        <f>SUM(E16:F16)-K16</f>
        <v>2660</v>
      </c>
      <c r="N16" s="54">
        <f>'Deliverables Sheet'!AE46</f>
        <v>-86.75</v>
      </c>
      <c r="O16" s="58">
        <f>SUM(M16/(N16+I16))</f>
        <v>-30.6628242074928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f>'Main Sheet'!A18</f>
        <v>8670</v>
      </c>
      <c r="B18" s="54" t="str">
        <f>'Main Sheet'!B18</f>
        <v>Studio DB - tautara fit out</v>
      </c>
      <c r="C18" s="52">
        <v>0</v>
      </c>
      <c r="D18" s="52">
        <v>10982.64</v>
      </c>
      <c r="E18" s="52">
        <f>C18-D18</f>
        <v>16075.1</v>
      </c>
      <c r="F18" s="52">
        <v>0</v>
      </c>
      <c r="G18" s="53">
        <f>(E18+F18)/C18</f>
        <v>0.432578691158227</v>
      </c>
      <c r="H18" s="53">
        <f>'Deliverables Sheet'!AA53</f>
        <v>0.296537658865514</v>
      </c>
      <c r="I18" s="54">
        <v>80</v>
      </c>
      <c r="J18" s="52">
        <v>5000</v>
      </c>
      <c r="K18" s="52">
        <f>(I18*40)+J18</f>
        <v>8200</v>
      </c>
      <c r="L18" s="53">
        <f>((E18-K18)+F18)/C18</f>
        <v>0.21191783881532</v>
      </c>
      <c r="M18" s="52">
        <f>SUM(E18:F18)-K18</f>
        <v>7875.1</v>
      </c>
      <c r="N18" s="54">
        <f>'Deliverables Sheet'!AE53</f>
        <v>-269</v>
      </c>
      <c r="O18" s="58">
        <f>SUM(M18/(N18+I18))</f>
        <v>-41.6671957671958</v>
      </c>
      <c r="Q18" s="35" t="s">
        <v>117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f>'Main Sheet'!A20</f>
        <v>8907</v>
      </c>
      <c r="B20" s="54" t="str">
        <f>'Main Sheet'!B20</f>
        <v>35 Mania</v>
      </c>
      <c r="C20" s="52">
        <v>0</v>
      </c>
      <c r="D20" s="52">
        <v>1407.8799999999992</v>
      </c>
      <c r="E20" s="52">
        <f>C20-D20</f>
        <v>0</v>
      </c>
      <c r="F20" s="52"/>
      <c r="G20" s="53" t="e">
        <f>(E20+F20)/C20</f>
        <v>#DIV/0!</v>
      </c>
      <c r="H20" s="53">
        <f>'Deliverables Sheet'!AA60</f>
        <v>0.223347449825078</v>
      </c>
      <c r="I20" s="54"/>
      <c r="J20" s="52"/>
      <c r="K20" s="52">
        <f>(I20*40)+J20</f>
        <v>0</v>
      </c>
      <c r="L20" s="53" t="e">
        <f>((E20-K20)+F20)/C20</f>
        <v>#DIV/0!</v>
      </c>
      <c r="M20" s="52">
        <f>SUM(E20:F20)-K20</f>
        <v>0</v>
      </c>
      <c r="N20" s="54"/>
      <c r="O20" s="58" t="e">
        <f>SUM(M20/(N20+I20))</f>
        <v>#DIV/0!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f>'Main Sheet'!A22</f>
        <v>9065</v>
      </c>
      <c r="B22" s="54" t="str">
        <f>'Main Sheet'!B22</f>
        <v>Cooltranz stage 4</v>
      </c>
      <c r="C22" s="52">
        <v>0</v>
      </c>
      <c r="D22" s="52">
        <v>4584.16</v>
      </c>
      <c r="E22" s="52">
        <f>C22-D22</f>
        <v>0</v>
      </c>
      <c r="F22" s="52">
        <v>0</v>
      </c>
      <c r="G22" s="53" t="e">
        <f>(E22+F22)/C22</f>
        <v>#DIV/0!</v>
      </c>
      <c r="H22" s="53">
        <f>'Deliverables Sheet'!AA67</f>
        <v>0.252488256827238</v>
      </c>
      <c r="I22" s="54"/>
      <c r="J22" s="52"/>
      <c r="K22" s="52">
        <f>(I22*40)+J22</f>
        <v>0</v>
      </c>
      <c r="L22" s="53" t="e">
        <f>((E22-K22)+F22)/C22</f>
        <v>#DIV/0!</v>
      </c>
      <c r="M22" s="52">
        <f>SUM(E22:F22)-K22</f>
        <v>0</v>
      </c>
      <c r="N22" s="54">
        <f>'Deliverables Sheet'!AE67</f>
        <v>0</v>
      </c>
      <c r="O22" s="58" t="e">
        <f>SUM(M22/(N22+I22))</f>
        <v>#DIV/0!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f>'Main Sheet'!A24</f>
        <v>9259</v>
      </c>
      <c r="B24" s="54" t="str">
        <f>'Main Sheet'!B24</f>
        <v>Andrew Reeve Stage 2</v>
      </c>
      <c r="C24" s="52">
        <v>0</v>
      </c>
      <c r="D24" s="52">
        <v>22353.17</v>
      </c>
      <c r="E24" s="52">
        <f>C24-D24</f>
        <v>0</v>
      </c>
      <c r="F24" s="52"/>
      <c r="G24" s="53" t="e">
        <f>(E24+F24)/C24</f>
        <v>#DIV/0!</v>
      </c>
      <c r="H24" s="53" t="e">
        <f>'Deliverables Sheet'!AA74</f>
        <v>#DIV/0!</v>
      </c>
      <c r="I24" s="54"/>
      <c r="J24" s="52"/>
      <c r="K24" s="52">
        <f>(I24*40)+J24</f>
        <v>0</v>
      </c>
      <c r="L24" s="53" t="e">
        <f>((E24-K24)+F24)/C24</f>
        <v>#DIV/0!</v>
      </c>
      <c r="M24" s="52">
        <f>SUM(E24:F24)-K24</f>
        <v>0</v>
      </c>
      <c r="N24" s="54">
        <f>'Deliverables Sheet'!AE74</f>
        <v>0</v>
      </c>
      <c r="O24" s="58" t="e">
        <f>SUM(M24/(N24+I24))</f>
        <v>#DIV/0!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f>'Main Sheet'!A26</f>
        <v>8352</v>
      </c>
      <c r="B26" s="54" t="str">
        <f>'Main Sheet'!B26</f>
        <v>5 Sanscrit Place</v>
      </c>
      <c r="C26" s="52">
        <v>0</v>
      </c>
      <c r="D26" s="52">
        <v>-192.5</v>
      </c>
      <c r="E26" s="52">
        <f>C26-D26</f>
        <v>0</v>
      </c>
      <c r="F26" s="52">
        <v>0</v>
      </c>
      <c r="G26" s="53" t="e">
        <f>(E26+F26)/C26</f>
        <v>#DIV/0!</v>
      </c>
      <c r="H26" s="53">
        <f>'Deliverables Sheet'!AA81</f>
        <v>0.347929388593615</v>
      </c>
      <c r="I26" s="54"/>
      <c r="J26" s="52">
        <v>0</v>
      </c>
      <c r="K26" s="52">
        <f>(I26*40)+J26</f>
        <v>0</v>
      </c>
      <c r="L26" s="53" t="e">
        <f>((E26-K26)+F26)/C26</f>
        <v>#DIV/0!</v>
      </c>
      <c r="M26" s="52">
        <f>SUM(E26:F26)-K26</f>
        <v>0</v>
      </c>
      <c r="N26" s="54">
        <f>'Deliverables Sheet'!AE81</f>
        <v>-143.25</v>
      </c>
      <c r="O26" s="58">
        <f>SUM(M26/(N26+I26))</f>
        <v>0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f>'Main Sheet'!A28</f>
        <v>8234</v>
      </c>
      <c r="B28" s="54" t="str">
        <f>'Main Sheet'!B28</f>
        <v>Melhuish House</v>
      </c>
      <c r="C28" s="52">
        <v>0</v>
      </c>
      <c r="D28" s="52">
        <v>4476.1500000000015</v>
      </c>
      <c r="E28" s="52">
        <f>C28-D28</f>
        <v>2313.69</v>
      </c>
      <c r="F28" s="52">
        <v>0</v>
      </c>
      <c r="G28" s="53">
        <f>(E28+F28)/C28</f>
        <v>0.346291312820482</v>
      </c>
      <c r="H28" s="53">
        <f>'Deliverables Sheet'!AA88</f>
        <v>0.271825144816915</v>
      </c>
      <c r="I28" s="54"/>
      <c r="J28" s="52"/>
      <c r="K28" s="52">
        <f>(I28*40)+J28</f>
        <v>0</v>
      </c>
      <c r="L28" s="53">
        <f>((E28-K28)+F28)/C28</f>
        <v>0.346291312820482</v>
      </c>
      <c r="M28" s="52">
        <f>SUM(E28:F28)-K28</f>
        <v>2313.69</v>
      </c>
      <c r="N28" s="54">
        <f>'Deliverables Sheet'!AE88</f>
        <v>-148.5</v>
      </c>
      <c r="O28" s="58">
        <f>SUM(M28/(N28+I28))</f>
        <v>-15.580404040404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f>'Main Sheet'!A30</f>
        <v>8214</v>
      </c>
      <c r="B30" s="54" t="str">
        <f>'Main Sheet'!B30</f>
        <v>6 Tiroroa Lane</v>
      </c>
      <c r="C30" s="52">
        <v>0</v>
      </c>
      <c r="D30" s="52">
        <v>0</v>
      </c>
      <c r="E30" s="52">
        <f>C30-D30</f>
        <v>0</v>
      </c>
      <c r="F30" s="52">
        <v>0</v>
      </c>
      <c r="G30" s="53" t="e">
        <f>(E30+F30)/C30</f>
        <v>#DIV/0!</v>
      </c>
      <c r="H30" s="53">
        <f>'Deliverables Sheet'!AA95</f>
        <v>0.258043377145314</v>
      </c>
      <c r="I30" s="54"/>
      <c r="J30" s="52"/>
      <c r="K30" s="52">
        <f>(I30*40)+J30</f>
        <v>0</v>
      </c>
      <c r="L30" s="53" t="e">
        <f>((E30-K30)+F30)/C30</f>
        <v>#DIV/0!</v>
      </c>
      <c r="M30" s="52">
        <f>SUM(E30:F30)-K30</f>
        <v>0</v>
      </c>
      <c r="N30" s="54">
        <f>'Deliverables Sheet'!AE95</f>
        <v>-5</v>
      </c>
      <c r="O30" s="58">
        <f>SUM(M30/(N30+I30))</f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f>'Main Sheet'!A32</f>
        <v>6792</v>
      </c>
      <c r="B32" s="54" t="str">
        <f>'Main Sheet'!B32</f>
        <v>Major Hornbrook </v>
      </c>
      <c r="C32" s="52">
        <v>0</v>
      </c>
      <c r="D32" s="52">
        <v>-1171.8899999999994</v>
      </c>
      <c r="E32" s="52">
        <f>C32-D32</f>
        <v>4327.53</v>
      </c>
      <c r="F32" s="52">
        <v>0</v>
      </c>
      <c r="G32" s="53">
        <f>(E32+F32)/C32</f>
        <v>0.6924048</v>
      </c>
      <c r="H32" s="53">
        <f>'Deliverables Sheet'!AA102</f>
        <v>0.283172964220222</v>
      </c>
      <c r="I32" s="54">
        <v>64</v>
      </c>
      <c r="J32" s="52">
        <v>0</v>
      </c>
      <c r="K32" s="52">
        <f>(I32*40)+J32</f>
        <v>2560</v>
      </c>
      <c r="L32" s="53">
        <f>((E32-K32)+F32)/C32</f>
        <v>0.2828048</v>
      </c>
      <c r="M32" s="52">
        <f>SUM(E32:F32)-K32</f>
        <v>1767.53</v>
      </c>
      <c r="N32" s="54">
        <f>'Deliverables Sheet'!AE102</f>
        <v>-317.25</v>
      </c>
      <c r="O32" s="58">
        <f>SUM(M32/(N32+I32))</f>
        <v>-6.97938795656466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f>'Main Sheet'!A34</f>
        <v>8840</v>
      </c>
      <c r="B34" s="54" t="str">
        <f>'Main Sheet'!B34</f>
        <v>Inline Architecture</v>
      </c>
      <c r="C34" s="52">
        <v>-35454.43</v>
      </c>
      <c r="D34" s="52">
        <v>16334.04</v>
      </c>
      <c r="E34" s="52">
        <f>C34-D34</f>
        <v>0</v>
      </c>
      <c r="F34" s="52">
        <v>0</v>
      </c>
      <c r="G34" s="53" t="e">
        <f>(E34+F34)/C34</f>
        <v>#DIV/0!</v>
      </c>
      <c r="H34" s="53">
        <f>'Deliverables Sheet'!AA109</f>
        <v>0.364182044343228</v>
      </c>
      <c r="I34" s="54"/>
      <c r="J34" s="52">
        <v>0</v>
      </c>
      <c r="K34" s="52">
        <f>(I34*40)+J34</f>
        <v>0</v>
      </c>
      <c r="L34" s="53" t="e">
        <f>((E34-K34)+F34)/C34</f>
        <v>#DIV/0!</v>
      </c>
      <c r="M34" s="52">
        <f>SUM(E34:F34)-K34</f>
        <v>0</v>
      </c>
      <c r="N34" s="54">
        <f>'Deliverables Sheet'!AE109</f>
        <v>-204.75</v>
      </c>
      <c r="O34" s="58">
        <f>SUM(M34/(N34+I34))</f>
        <v>0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f>'Main Sheet'!A36</f>
        <v>8769</v>
      </c>
      <c r="B36" s="54" t="str">
        <f>'Main Sheet'!B36</f>
        <v>Percival Bach</v>
      </c>
      <c r="C36" s="52">
        <v>0</v>
      </c>
      <c r="D36" s="52">
        <v>0</v>
      </c>
      <c r="E36" s="52">
        <f>C36-D36</f>
        <v>10702.1</v>
      </c>
      <c r="F36" s="52">
        <v>0</v>
      </c>
      <c r="G36" s="53">
        <f>(E36+F36)/C36</f>
        <v>0.494732365327453</v>
      </c>
      <c r="H36" s="53" t="e">
        <f>'Deliverables Sheet'!AA116</f>
        <v>#DIV/0!</v>
      </c>
      <c r="I36" s="54">
        <v>80</v>
      </c>
      <c r="J36" s="52">
        <v>0</v>
      </c>
      <c r="K36" s="52">
        <f>(I36*40)+J36</f>
        <v>3200</v>
      </c>
      <c r="L36" s="53">
        <f>((E36-K36)+F36)/C36</f>
        <v>0.346804055084805</v>
      </c>
      <c r="M36" s="52">
        <f>SUM(E36:F36)-K36</f>
        <v>7502.1</v>
      </c>
      <c r="N36" s="54">
        <f>'Deliverables Sheet'!AE116</f>
        <v>0</v>
      </c>
      <c r="O36" s="58">
        <f>SUM(M36/(N36+I36))</f>
        <v>93.77625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f>'Main Sheet'!A38</f>
        <v>7901</v>
      </c>
      <c r="B38" s="54" t="str">
        <f>'Main Sheet'!B38</f>
        <v>St Albans Street</v>
      </c>
      <c r="C38" s="52">
        <v>0</v>
      </c>
      <c r="D38" s="52">
        <v>6365.780000000001</v>
      </c>
      <c r="E38" s="52">
        <f>C38-D38</f>
        <v>0</v>
      </c>
      <c r="F38" s="52">
        <v>0</v>
      </c>
      <c r="G38" s="53" t="e">
        <f>(E38+F38)/C38</f>
        <v>#DIV/0!</v>
      </c>
      <c r="H38" s="53">
        <f>'Deliverables Sheet'!AA123</f>
        <v>0.1750921737769</v>
      </c>
      <c r="I38" s="54"/>
      <c r="J38" s="52"/>
      <c r="K38" s="52">
        <f>(I38*40)+J38</f>
        <v>0</v>
      </c>
      <c r="L38" s="53" t="e">
        <f>((E38-K38)+F38)/C38</f>
        <v>#DIV/0!</v>
      </c>
      <c r="M38" s="52">
        <f>SUM(E38:F38)-K38</f>
        <v>0</v>
      </c>
      <c r="N38" s="54">
        <f>'Deliverables Sheet'!AE123</f>
        <v>0</v>
      </c>
      <c r="O38" s="58" t="e">
        <f>SUM(M38/(N38+I38))</f>
        <v>#DIV/0!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f>'Main Sheet'!A40</f>
        <v>8923</v>
      </c>
      <c r="B40" s="54" t="str">
        <f>'Main Sheet'!B40</f>
        <v>4 Perry St</v>
      </c>
      <c r="C40" s="52">
        <v>0</v>
      </c>
      <c r="D40" s="52">
        <v>0</v>
      </c>
      <c r="E40" s="52">
        <f>C40-D40</f>
        <v>0</v>
      </c>
      <c r="F40" s="52">
        <v>0</v>
      </c>
      <c r="G40" s="53" t="e">
        <f>(E40+F40)/C40</f>
        <v>#DIV/0!</v>
      </c>
      <c r="H40" s="53">
        <f>'Deliverables Sheet'!AA130</f>
        <v>0.262692984588275</v>
      </c>
      <c r="I40" s="54"/>
      <c r="J40" s="52">
        <v>0</v>
      </c>
      <c r="K40" s="52">
        <f>(I40*40)+J40</f>
        <v>0</v>
      </c>
      <c r="L40" s="53" t="e">
        <f>((E40-K40)+F40)/C40</f>
        <v>#DIV/0!</v>
      </c>
      <c r="M40" s="52">
        <f>SUM(E40:F40)-K40</f>
        <v>0</v>
      </c>
      <c r="N40" s="54">
        <f>'Deliverables Sheet'!AE130</f>
        <v>-2</v>
      </c>
      <c r="O40" s="58">
        <f>SUM(M40/(N40+I40))</f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f>'Main Sheet'!A42</f>
        <v>7864</v>
      </c>
      <c r="B42" s="54" t="str">
        <f>'Main Sheet'!B42</f>
        <v>Ryans House</v>
      </c>
      <c r="C42" s="52">
        <v>3554.300000000003</v>
      </c>
      <c r="D42" s="52">
        <v>584.890000000003</v>
      </c>
      <c r="E42" s="52">
        <f>C42-D42</f>
        <v>-106.2</v>
      </c>
      <c r="F42" s="52"/>
      <c r="G42" s="53">
        <f>(E42+F42)/C42</f>
        <v>-0.0158301906479646</v>
      </c>
      <c r="H42" s="53">
        <f>'Deliverables Sheet'!AA137</f>
        <v>0.257245709794332</v>
      </c>
      <c r="I42" s="54">
        <v>0</v>
      </c>
      <c r="J42" s="52"/>
      <c r="K42" s="52">
        <f>(I42*40)+J42</f>
        <v>0</v>
      </c>
      <c r="L42" s="53">
        <f>((E42-K42)+F42)/C42</f>
        <v>-0.0158301906479646</v>
      </c>
      <c r="M42" s="52">
        <f>SUM(E42:F42)-K42</f>
        <v>-106.2</v>
      </c>
      <c r="N42" s="54">
        <f>'Deliverables Sheet'!AE137</f>
        <v>-266.75</v>
      </c>
      <c r="O42" s="58">
        <f>SUM(M42/(N42+I42))</f>
        <v>0.398125585754451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f>'Main Sheet'!A44</f>
        <v>7912</v>
      </c>
      <c r="B44" s="54" t="str">
        <f>'Main Sheet'!B44</f>
        <v>71A Fendalton Road </v>
      </c>
      <c r="C44" s="52">
        <v>9034.53</v>
      </c>
      <c r="D44" s="52">
        <v>6362.08</v>
      </c>
      <c r="E44" s="52">
        <f>C44-D44</f>
        <v>1991.31</v>
      </c>
      <c r="F44" s="52"/>
      <c r="G44" s="53">
        <f>(E44+F44)/C44</f>
        <v>0.312249208522089</v>
      </c>
      <c r="H44" s="53" t="e">
        <f>'Deliverables Sheet'!AA144</f>
        <v>#DIV/0!</v>
      </c>
      <c r="I44" s="54"/>
      <c r="J44" s="52"/>
      <c r="K44" s="52">
        <f>(I44*40)+J44</f>
        <v>0</v>
      </c>
      <c r="L44" s="53">
        <f>((E44-K44)+F44)/C44</f>
        <v>0.312249208522089</v>
      </c>
      <c r="M44" s="52">
        <f>SUM(E44:F44)-K44</f>
        <v>1991.31</v>
      </c>
      <c r="N44" s="54">
        <f>'Deliverables Sheet'!AE144</f>
        <v>0</v>
      </c>
      <c r="O44" s="58" t="e">
        <f>SUM(M44/(N44+I44))</f>
        <v>#DIV/0!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f>'Main Sheet'!A46</f>
        <v>8360</v>
      </c>
      <c r="B46" s="98" t="str">
        <f>'Main Sheet'!B46</f>
        <v>Dixon House</v>
      </c>
      <c r="C46" s="99">
        <v>0</v>
      </c>
      <c r="D46" s="99">
        <v>15.4900000000016</v>
      </c>
      <c r="E46" s="99">
        <f>C46-D46</f>
        <v>651.410000000001</v>
      </c>
      <c r="F46" s="99"/>
      <c r="G46" s="100">
        <f>(E46+F46)/C46</f>
        <v>0.127995740090504</v>
      </c>
      <c r="H46" s="100">
        <f>'Deliverables Sheet'!AA151</f>
        <v>0.30580949617388</v>
      </c>
      <c r="I46" s="98"/>
      <c r="J46" s="99"/>
      <c r="K46" s="99">
        <f>(I46*40)+J46</f>
        <v>0</v>
      </c>
      <c r="L46" s="100">
        <f>((E46-K46)+F46)/C46</f>
        <v>0.127995740090504</v>
      </c>
      <c r="M46" s="99">
        <f>SUM(E46:F46)-K46</f>
        <v>651.410000000001</v>
      </c>
      <c r="N46" s="98">
        <f>'Deliverables Sheet'!AE151</f>
        <v>-260.75</v>
      </c>
      <c r="O46" s="60">
        <f>SUM(M46/(N46+I46))</f>
        <v>-2.49821668264622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f>'Main Sheet'!A48</f>
        <v>8337</v>
      </c>
      <c r="B48" s="98" t="str">
        <f>'Main Sheet'!B48</f>
        <v>Waimak Dairys </v>
      </c>
      <c r="C48" s="99">
        <v>13424.5</v>
      </c>
      <c r="D48" s="99">
        <v>2862.0099999999993</v>
      </c>
      <c r="E48" s="99">
        <f>C48-D48</f>
        <v>5862.4</v>
      </c>
      <c r="F48" s="99"/>
      <c r="G48" s="100">
        <f>(E48+F48)/C48</f>
        <v>0.436694104063466</v>
      </c>
      <c r="H48" s="100">
        <f>'Deliverables Sheet'!AA158</f>
        <v>0.222350780727547</v>
      </c>
      <c r="I48" s="98"/>
      <c r="J48" s="99">
        <v>2530</v>
      </c>
      <c r="K48" s="99">
        <f>(I48*40)+J48</f>
        <v>2530</v>
      </c>
      <c r="L48" s="100">
        <f>((E48-K48)+F48)/C48</f>
        <v>0.248232708853216</v>
      </c>
      <c r="M48" s="99">
        <f>SUM(E48:F48)-K48</f>
        <v>3332.4</v>
      </c>
      <c r="N48" s="98">
        <f>'Deliverables Sheet'!AE158</f>
        <v>-44.75</v>
      </c>
      <c r="O48" s="60">
        <f>SUM(M48/(N48+I48))</f>
        <v>-74.4670391061452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f>'Main Sheet'!A50</f>
        <v>9240</v>
      </c>
      <c r="B50" s="98" t="str">
        <f>'Main Sheet'!B50</f>
        <v>Daves Twizel Shack</v>
      </c>
      <c r="C50" s="99">
        <v>0</v>
      </c>
      <c r="D50" s="99">
        <v>0</v>
      </c>
      <c r="E50" s="99">
        <f>C50-D50</f>
        <v>0</v>
      </c>
      <c r="F50" s="99"/>
      <c r="G50" s="100" t="e">
        <f>(E50+F50)/C50</f>
        <v>#DIV/0!</v>
      </c>
      <c r="H50" s="100" t="e">
        <f>'Deliverables Sheet'!AA165</f>
        <v>#DIV/0!</v>
      </c>
      <c r="I50" s="98">
        <v>0</v>
      </c>
      <c r="J50" s="99"/>
      <c r="K50" s="99">
        <f>(I50*40)+J50</f>
        <v>0</v>
      </c>
      <c r="L50" s="100" t="e">
        <f>((E50-K50)+F50)/C50</f>
        <v>#DIV/0!</v>
      </c>
      <c r="M50" s="99">
        <f>SUM(E50:F50)-K50</f>
        <v>0</v>
      </c>
      <c r="N50" s="98">
        <f>'Deliverables Sheet'!AE165</f>
        <v>0</v>
      </c>
      <c r="O50" s="60" t="e">
        <f>SUM(M50/(N50+I50))</f>
        <v>#DIV/0!</v>
      </c>
      <c r="Q50" s="35" t="s">
        <v>118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f>'Main Sheet'!A52</f>
        <v>7428</v>
      </c>
      <c r="B52" s="98" t="str">
        <f>'Main Sheet'!B52</f>
        <v>FAB Pegasus Lakeside</v>
      </c>
      <c r="C52" s="99">
        <v>0</v>
      </c>
      <c r="D52" s="99">
        <v>20350.28</v>
      </c>
      <c r="E52" s="99">
        <f>C52-D52</f>
        <v>2683.58</v>
      </c>
      <c r="F52" s="99"/>
      <c r="G52" s="100">
        <f>(E52+F52)/C52</f>
        <v>0.570713397063046</v>
      </c>
      <c r="H52" s="100">
        <f>'Deliverables Sheet'!AA172</f>
        <v>0.215986489339129</v>
      </c>
      <c r="I52" s="98">
        <v>32</v>
      </c>
      <c r="J52" s="99">
        <v>0</v>
      </c>
      <c r="K52" s="99">
        <f>(I52*40)+J52</f>
        <v>1280</v>
      </c>
      <c r="L52" s="100">
        <f>((E52-K52)+F52)/C52</f>
        <v>0.298497495826377</v>
      </c>
      <c r="M52" s="99">
        <f>SUM(E52:F52)-K52</f>
        <v>1403.58</v>
      </c>
      <c r="N52" s="98">
        <f>'Deliverables Sheet'!AE172</f>
        <v>-304.75</v>
      </c>
      <c r="O52" s="60">
        <f>SUM(M52/(N52+I52))</f>
        <v>-5.14603116406966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f>'Main Sheet'!A54</f>
        <v>9351</v>
      </c>
      <c r="B54" s="98" t="str">
        <f>'Main Sheet'!B54</f>
        <v>Harewood Golf Club</v>
      </c>
      <c r="C54" s="99">
        <v>5491.7</v>
      </c>
      <c r="D54" s="99">
        <v>756.6300000000001</v>
      </c>
      <c r="E54" s="99">
        <f>C54-D54</f>
        <v>2545.55</v>
      </c>
      <c r="F54" s="99"/>
      <c r="G54" s="100">
        <f>(E54+F54)/C54</f>
        <v>0.46352677677222</v>
      </c>
      <c r="H54" s="100">
        <f>'Deliverables Sheet'!AA179</f>
        <v>0.453987062014389</v>
      </c>
      <c r="I54" s="98">
        <v>16</v>
      </c>
      <c r="J54" s="99">
        <v>0</v>
      </c>
      <c r="K54" s="99">
        <f>(I54*40)+J54</f>
        <v>640</v>
      </c>
      <c r="L54" s="100">
        <f>((E54-K54)+F54)/C54</f>
        <v>0.34698727170093</v>
      </c>
      <c r="M54" s="99">
        <f>SUM(E54:F54)-K54</f>
        <v>1905.55</v>
      </c>
      <c r="N54" s="98">
        <f>'Deliverables Sheet'!AE179</f>
        <v>-11.25</v>
      </c>
      <c r="O54" s="60">
        <f>SUM(M54/(N54+I54))</f>
        <v>401.168421052632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f>'Main Sheet'!A56</f>
        <v>7429</v>
      </c>
      <c r="B56" s="98" t="str">
        <f>'Main Sheet'!B56</f>
        <v>Taggart House</v>
      </c>
      <c r="C56" s="99">
        <v>12937.1</v>
      </c>
      <c r="D56" s="99">
        <v>4850.19</v>
      </c>
      <c r="E56" s="99">
        <f>C56-D56</f>
        <v>9059.83</v>
      </c>
      <c r="F56" s="99"/>
      <c r="G56" s="100">
        <f>(E56+F56)/C56</f>
        <v>0.700298366712787</v>
      </c>
      <c r="H56" s="100">
        <f>'Deliverables Sheet'!AA186</f>
        <v>0.22356150784199</v>
      </c>
      <c r="I56" s="98">
        <v>10</v>
      </c>
      <c r="J56" s="99">
        <v>5000</v>
      </c>
      <c r="K56" s="99">
        <f>(I56*40)+J56</f>
        <v>5400</v>
      </c>
      <c r="L56" s="100">
        <f>((E56-K56)+F56)/C56</f>
        <v>0.282894157114036</v>
      </c>
      <c r="M56" s="99">
        <f>SUM(E56:F56)-K56</f>
        <v>3659.83</v>
      </c>
      <c r="N56" s="98">
        <f>'Deliverables Sheet'!AE186</f>
        <v>-32.25</v>
      </c>
      <c r="O56" s="60">
        <f>SUM(M56/(N56+I56))</f>
        <v>-164.486741573034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f>'Main Sheet'!A58</f>
        <v>9508</v>
      </c>
      <c r="B58" s="98" t="str">
        <f>'Main Sheet'!B58</f>
        <v>St Barnabas Church</v>
      </c>
      <c r="C58" s="99">
        <v>0</v>
      </c>
      <c r="D58" s="99">
        <v>7180.07</v>
      </c>
      <c r="E58" s="99">
        <f>C58-D58</f>
        <v>0</v>
      </c>
      <c r="F58" s="99"/>
      <c r="G58" s="100" t="e">
        <f>(E58+F58)/C58</f>
        <v>#DIV/0!</v>
      </c>
      <c r="H58" s="100" t="e">
        <f>'Deliverables Sheet'!AA193</f>
        <v>#DIV/0!</v>
      </c>
      <c r="I58" s="98"/>
      <c r="J58" s="99"/>
      <c r="K58" s="99">
        <f>(I58*40)+J58</f>
        <v>0</v>
      </c>
      <c r="L58" s="100" t="e">
        <f>((E58-K58)+F58)/C58</f>
        <v>#DIV/0!</v>
      </c>
      <c r="M58" s="99">
        <f>SUM(E58:F58)-K58</f>
        <v>0</v>
      </c>
      <c r="N58" s="98">
        <f>'Deliverables Sheet'!AE193</f>
        <v>0</v>
      </c>
      <c r="O58" s="60" t="e">
        <f>SUM(M58/(N58+I58))</f>
        <v>#DIV/0!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>
        <f>'Main Sheet'!A60</f>
        <v>0</v>
      </c>
      <c r="B60" s="98">
        <f>'Main Sheet'!B60</f>
        <v>0</v>
      </c>
      <c r="C60" s="99"/>
      <c r="D60" s="99"/>
      <c r="E60" s="99">
        <f>C60-D60</f>
        <v>0</v>
      </c>
      <c r="F60" s="99"/>
      <c r="G60" s="100" t="e">
        <f>(E60+F60)/C60</f>
        <v>#DIV/0!</v>
      </c>
      <c r="H60" s="100" t="e">
        <f>'Deliverables Sheet'!AA200</f>
        <v>#DIV/0!</v>
      </c>
      <c r="I60" s="98"/>
      <c r="J60" s="99"/>
      <c r="K60" s="99">
        <f>(I60*40)+J60</f>
        <v>0</v>
      </c>
      <c r="L60" s="100" t="e">
        <f>((E60-K60)+F60)/C60</f>
        <v>#DIV/0!</v>
      </c>
      <c r="M60" s="99">
        <f>SUM(E60:F60)-K60</f>
        <v>0</v>
      </c>
      <c r="N60" s="98">
        <f>'Deliverables Sheet'!AE200</f>
        <v>0</v>
      </c>
      <c r="O60" s="60" t="e">
        <f>SUM(M60/(N60+I60))</f>
        <v>#DIV/0!</v>
      </c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>
        <f>'Main Sheet'!A62</f>
        <v>0</v>
      </c>
      <c r="B62" s="98" t="str">
        <f>'Main Sheet'!B62</f>
        <v>Contracting</v>
      </c>
      <c r="C62" s="99"/>
      <c r="D62" s="99"/>
      <c r="E62" s="99">
        <f>C62-D62</f>
        <v>0</v>
      </c>
      <c r="F62" s="99"/>
      <c r="G62" s="100" t="e">
        <f>(E62+F62)/C62</f>
        <v>#DIV/0!</v>
      </c>
      <c r="H62" s="100" t="e">
        <f>'Deliverables Sheet'!AA207</f>
        <v>#DIV/0!</v>
      </c>
      <c r="I62" s="98">
        <v>0</v>
      </c>
      <c r="J62" s="99"/>
      <c r="K62" s="99">
        <f>(I62*40)+J62</f>
        <v>0</v>
      </c>
      <c r="L62" s="100" t="e">
        <f>((E62-K62)+F62)/C62</f>
        <v>#DIV/0!</v>
      </c>
      <c r="M62" s="99">
        <f>SUM(E62:F62)-K62</f>
        <v>0</v>
      </c>
      <c r="N62" s="98">
        <f>'Deliverables Sheet'!AE207</f>
        <v>0</v>
      </c>
      <c r="O62" s="60" t="e">
        <f>SUM(M62/(N62+I62))</f>
        <v>#DIV/0!</v>
      </c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f>'Main Sheet'!A64</f>
        <v>8946</v>
      </c>
      <c r="B64" s="98" t="str">
        <f>'Main Sheet'!B64</f>
        <v>Westcoast Vaults</v>
      </c>
      <c r="C64" s="99">
        <v>0</v>
      </c>
      <c r="D64" s="99">
        <v>1749.8</v>
      </c>
      <c r="E64" s="99">
        <f>C64-D64</f>
        <v>0</v>
      </c>
      <c r="F64" s="99"/>
      <c r="G64" s="100" t="e">
        <f>(E64+F64)/C64</f>
        <v>#DIV/0!</v>
      </c>
      <c r="H64" s="100">
        <f>'Deliverables Sheet'!AA214</f>
        <v>0.143790046441692</v>
      </c>
      <c r="I64" s="98"/>
      <c r="J64" s="99">
        <v>1750</v>
      </c>
      <c r="K64" s="99">
        <f>(I64*40)+J64</f>
        <v>1750</v>
      </c>
      <c r="L64" s="100" t="e">
        <f>((E64-K64)+F64)/C64</f>
        <v>#DIV/0!</v>
      </c>
      <c r="M64" s="99">
        <f>SUM(E64:F64)-K64</f>
        <v>-1750</v>
      </c>
      <c r="N64" s="98">
        <f>'Deliverables Sheet'!AE214</f>
        <v>0</v>
      </c>
      <c r="O64" s="60" t="e">
        <f>SUM(M64/(N64+I64))</f>
        <v>#DIV/0!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tr">
        <f>'Main Sheet'!B66</f>
        <v>Roydvale</v>
      </c>
      <c r="C66" s="99">
        <v>0</v>
      </c>
      <c r="D66" s="99">
        <v>3855.079999999987</v>
      </c>
      <c r="E66" s="99">
        <f>C66-D66</f>
        <v>11482</v>
      </c>
      <c r="F66" s="99"/>
      <c r="G66" s="100">
        <f>(E66+F66)/C66</f>
        <v>0.376459016393443</v>
      </c>
      <c r="H66" s="100">
        <f>'Deliverables Sheet'!AA221</f>
        <v>0.256265521519856</v>
      </c>
      <c r="I66" s="98">
        <v>80</v>
      </c>
      <c r="J66" s="99">
        <v>0</v>
      </c>
      <c r="K66" s="99">
        <f>(I66*40)+J66</f>
        <v>3200</v>
      </c>
      <c r="L66" s="100">
        <f>((E66-K66)+F66)/C66</f>
        <v>0.271540983606557</v>
      </c>
      <c r="M66" s="99">
        <f>SUM(E66:F66)-K66</f>
        <v>8282</v>
      </c>
      <c r="N66" s="98">
        <f>'Deliverables Sheet'!AE221</f>
        <v>-1014.25</v>
      </c>
      <c r="O66" s="60">
        <f>SUM(M66/(N66+I66))</f>
        <v>-8.86486486486487</v>
      </c>
    </row>
    <row r="67" ht="15" customHeight="1" spans="1:30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30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30" x14ac:dyDescent="0.25">
      <c r="A69" s="49" t="s">
        <v>119</v>
      </c>
      <c r="B69" s="103" t="s">
        <v>120</v>
      </c>
      <c r="C69" s="104">
        <f>SUM(C4,C6,C8,C10,C12,C14,C16,C18,C20,C22,C24)</f>
        <v>158341.18</v>
      </c>
      <c r="D69" s="104">
        <f>SUM(D4,D6,D8,D10,D12,D14,D16,D18,D20,D22,D24)</f>
        <v>98813.79</v>
      </c>
      <c r="E69" s="105">
        <f>SUM(E4,E6,E8,E10,E12,E14,E16,E18,E20,E22,E24)</f>
        <v>59527.39</v>
      </c>
      <c r="F69" s="106" t="s">
        <v>121</v>
      </c>
      <c r="G69" s="107">
        <f>SUM(E69/C69)</f>
        <v>0.375943832173033</v>
      </c>
      <c r="H69" s="108" t="s">
        <v>122</v>
      </c>
      <c r="I69" s="109">
        <f>(E69-(K4+K6+K8+K10+K12+K14+K16+K18+K20+K22+K24))/C69</f>
        <v>0.271848359346571</v>
      </c>
      <c r="J69" s="36"/>
      <c r="K69" s="36"/>
      <c r="L69" s="37"/>
      <c r="M69" s="37"/>
      <c r="N69" s="35"/>
      <c r="O69" s="35"/>
    </row>
    <row r="70" ht="15" customHeight="1" spans="1:30" x14ac:dyDescent="0.25">
      <c r="A70" s="59"/>
      <c r="B70" s="98" t="s">
        <v>123</v>
      </c>
      <c r="C70" s="99">
        <f>SUM(C26,C28,C30,C32,C34,C36,C38,C40,C42,C44,C46)</f>
        <v>52738.76</v>
      </c>
      <c r="D70" s="99">
        <f>SUM(D26,D28,D30,D32,D34,D36,D38,D40,D42,D44,D46)</f>
        <v>32858.92</v>
      </c>
      <c r="E70" s="110">
        <f>SUM(E26,E28,E30,E32,E34,E36,E38,E40,E42,E44,E46)</f>
        <v>19879.84</v>
      </c>
      <c r="F70" s="111" t="s">
        <v>121</v>
      </c>
      <c r="G70" s="112">
        <f>SUM(E70/C70)</f>
        <v>0.376949325315954</v>
      </c>
      <c r="H70" s="113" t="s">
        <v>122</v>
      </c>
      <c r="I70" s="114">
        <f>(E70-(K26+K28+K30+K32+K34+K36+K38+K40+K42+K44+K46))/C70</f>
        <v>0.267731740374632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124</v>
      </c>
      <c r="C2" s="117" t="s">
        <v>125</v>
      </c>
      <c r="D2" s="117" t="s">
        <v>126</v>
      </c>
      <c r="E2" s="117" t="s">
        <v>127</v>
      </c>
      <c r="F2" s="117" t="s">
        <v>128</v>
      </c>
      <c r="G2" s="117" t="s">
        <v>129</v>
      </c>
      <c r="H2" s="117" t="s">
        <v>130</v>
      </c>
      <c r="I2" s="117" t="s">
        <v>131</v>
      </c>
      <c r="J2" s="117" t="s">
        <v>132</v>
      </c>
      <c r="K2" s="117" t="s">
        <v>133</v>
      </c>
      <c r="L2" s="117" t="s">
        <v>134</v>
      </c>
      <c r="M2" s="117" t="s">
        <v>135</v>
      </c>
      <c r="N2" s="117" t="s">
        <v>136</v>
      </c>
      <c r="O2" s="117" t="s">
        <v>137</v>
      </c>
      <c r="P2" s="117" t="s">
        <v>138</v>
      </c>
      <c r="Q2" s="118" t="s">
        <v>139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140</v>
      </c>
      <c r="B3" s="123" t="s">
        <v>141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f>'Main Sheet'!A4</f>
        <v>7658</v>
      </c>
      <c r="B4" s="20" t="str">
        <f>'Main Sheet'!B4</f>
        <v>Charity Hospital</v>
      </c>
      <c r="C4" s="54">
        <f t="array" ref="C4:C4">LOOKUP(2,1/('Deliverables Sheet'!S4:S9&lt;&gt;0),'Deliverables Sheet'!S4:S9)</f>
        <v>530.95</v>
      </c>
      <c r="D4" s="54">
        <f t="array" ref="D4:D4">LOOKUP(2,1/('Deliverables Sheet'!T4:T9&lt;&gt;0),'Deliverables Sheet'!T4:T9)</f>
        <v>418</v>
      </c>
      <c r="E4" s="54">
        <f t="array" ref="E4:E4">LOOKUP(2,1/('Deliverables Sheet'!U4:U9&lt;&gt;0),'Deliverables Sheet'!U4:U9)</f>
        <v>112.95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142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f>'Main Sheet'!A6</f>
        <v>8142</v>
      </c>
      <c r="B6" s="20" t="str">
        <f>'Main Sheet'!B6</f>
        <v>Fisher Developements</v>
      </c>
      <c r="C6" s="54">
        <f t="array" ref="C6:C6">LOOKUP(2,1/('Deliverables Sheet'!S11:S16&lt;&gt;0),'Deliverables Sheet'!S11:S16)</f>
        <v>311.89</v>
      </c>
      <c r="D6" s="54">
        <f t="array" ref="D6:D6">LOOKUP(2,1/('Deliverables Sheet'!T11:T16&lt;&gt;0),'Deliverables Sheet'!T11:T16)</f>
        <v>52.5</v>
      </c>
      <c r="E6" s="54">
        <f t="array" ref="E6:E6">LOOKUP(2,1/('Deliverables Sheet'!U11:U16&lt;&gt;0),'Deliverables Sheet'!U11:U16)</f>
        <v>259.39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143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f>'Main Sheet'!A8</f>
        <v>8824</v>
      </c>
      <c r="B8" s="20" t="str">
        <f>'Main Sheet'!B8</f>
        <v>3 Innovation Road</v>
      </c>
      <c r="C8" s="54">
        <f t="array" ref="C8:C8">LOOKUP(2,1/('Deliverables Sheet'!S18:S23&lt;&gt;0),'Deliverables Sheet'!S18:S23)</f>
        <v>125.39</v>
      </c>
      <c r="D8" s="54">
        <f t="array" ref="D8:D8">LOOKUP(2,1/('Deliverables Sheet'!T18:T23&lt;&gt;0),'Deliverables Sheet'!T18:T23)</f>
        <v>34.75</v>
      </c>
      <c r="E8" s="54">
        <f t="array" ref="E8:E8">LOOKUP(2,1/('Deliverables Sheet'!U18:U23&lt;&gt;0),'Deliverables Sheet'!U18:U23)</f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142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f>'Main Sheet'!A10</f>
        <v>8127</v>
      </c>
      <c r="B10" s="20" t="str">
        <f>'Main Sheet'!B10</f>
        <v>Rolly Autowash</v>
      </c>
      <c r="C10" s="54">
        <f t="array" ref="C10:C10">LOOKUP(2,1/('Deliverables Sheet'!S25:S30&lt;&gt;0),'Deliverables Sheet'!S25:S30)</f>
        <v>795.22</v>
      </c>
      <c r="D10" s="54">
        <f t="array" ref="D10:D10">LOOKUP(2,1/('Deliverables Sheet'!T25:T30&lt;&gt;0),'Deliverables Sheet'!T25:T30)</f>
        <v>388.25</v>
      </c>
      <c r="E10" s="54">
        <f t="array" ref="E10:E10">LOOKUP(2,1/('Deliverables Sheet'!U25:U30&lt;&gt;0),'Deliverables Sheet'!U25:U30)</f>
        <v>406.97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142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115</v>
      </c>
      <c r="C12" s="54">
        <f>'Deliverables Sheet'!S32</f>
        <v>1120.27</v>
      </c>
      <c r="D12" s="54">
        <f>'Deliverables Sheet'!T32</f>
        <v>387.5</v>
      </c>
      <c r="E12" s="54">
        <f t="array" ref="E12:E12">LOOKUP(2,1/('Deliverables Sheet'!U32:U37&lt;&gt;0),'Deliverables Sheet'!U32:U37)</f>
        <v>732.77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142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f>'Main Sheet'!A14</f>
        <v>8886</v>
      </c>
      <c r="B14" s="20" t="str">
        <f>'Main Sheet'!B14</f>
        <v>Monkey Toe - Fisher fit out</v>
      </c>
      <c r="C14" s="54">
        <f>'Deliverables Sheet'!S39</f>
        <v>501</v>
      </c>
      <c r="D14" s="54">
        <f>'Deliverables Sheet'!T39</f>
        <v>112</v>
      </c>
      <c r="E14" s="54">
        <f t="array" ref="E14:E14">LOOKUP(2,1/('Deliverables Sheet'!U39:U44&lt;&gt;0),'Deliverables Sheet'!U39:U44)</f>
        <v>389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142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f>'Main Sheet'!A16</f>
        <v>8887</v>
      </c>
      <c r="B16" s="20" t="str">
        <f>'Main Sheet'!B16</f>
        <v>Tenancy 2 - Fisher Fit out</v>
      </c>
      <c r="C16" s="54">
        <f t="array" ref="C16:C16">LOOKUP(2,1/('Deliverables Sheet'!S46:S51&lt;&gt;0),'Deliverables Sheet'!S46:S51)</f>
        <v>212.3</v>
      </c>
      <c r="D16" s="54">
        <f t="array" ref="D16:D16">LOOKUP(2,1/('Deliverables Sheet'!T46:T51&lt;&gt;0),'Deliverables Sheet'!T46:T51)</f>
        <v>86.75</v>
      </c>
      <c r="E16" s="54">
        <f t="array" ref="E16:E16">LOOKUP(2,1/('Deliverables Sheet'!U46:U51&lt;&gt;0),'Deliverables Sheet'!U46:U51)</f>
        <v>125.55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f>'Main Sheet'!A18</f>
        <v>8670</v>
      </c>
      <c r="B18" s="20" t="str">
        <f>'Main Sheet'!B18</f>
        <v>Studio DB - tautara fit out</v>
      </c>
      <c r="C18" s="54">
        <f t="array" ref="C18:C18">LOOKUP(2,1/('Deliverables Sheet'!S53:S58&lt;&gt;0),'Deliverables Sheet'!S53:S58)</f>
        <v>668.92</v>
      </c>
      <c r="D18" s="54">
        <f t="array" ref="D18:D18">LOOKUP(2,1/('Deliverables Sheet'!T53:T58&lt;&gt;0),'Deliverables Sheet'!T53:T58)</f>
        <v>269</v>
      </c>
      <c r="E18" s="54">
        <f t="array" ref="E18:E18">LOOKUP(2,1/('Deliverables Sheet'!U53:U58&lt;&gt;0),'Deliverables Sheet'!U53:U58)</f>
        <v>399.92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f>'Main Sheet'!A20</f>
        <v>8907</v>
      </c>
      <c r="B20" s="20" t="str">
        <f>'Main Sheet'!B20</f>
        <v>35 Mania</v>
      </c>
      <c r="C20" s="54">
        <f t="array" ref="C20:C20">LOOKUP(2,1/('Deliverables Sheet'!S60:S65&lt;&gt;0),'Deliverables Sheet'!S60:S65)</f>
        <v>63.5</v>
      </c>
      <c r="D20" s="54">
        <f t="array" ref="D20:D20">LOOKUP(2,1/('Deliverables Sheet'!T60:T65&lt;&gt;0),'Deliverables Sheet'!T60:T65)</f>
        <v>26.75</v>
      </c>
      <c r="E20" s="54">
        <f t="array" ref="E20:E20">LOOKUP(2,1/('Deliverables Sheet'!U60:U65&lt;&gt;0),'Deliverables Sheet'!U60:U65)</f>
        <v>36.75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f>'Main Sheet'!A22</f>
        <v>9065</v>
      </c>
      <c r="B22" s="20" t="str">
        <f>'Main Sheet'!B22</f>
        <v>Cooltranz stage 4</v>
      </c>
      <c r="C22" s="54">
        <f t="array" ref="C22:C22">LOOKUP(2,1/('Deliverables Sheet'!S67:S72&lt;&gt;0),'Deliverables Sheet'!S67:S72)</f>
        <v>160.82</v>
      </c>
      <c r="D22" s="54" t="e">
        <f t="array" ref="D22:D22">LOOKUP(2,1/('Deliverables Sheet'!T67:T72&lt;&gt;0),'Deliverables Sheet'!T67:T72)</f>
        <v>#N/A</v>
      </c>
      <c r="E22" s="54">
        <f t="array" ref="E22:E22">LOOKUP(2,1/('Deliverables Sheet'!U67:U72&lt;&gt;0),'Deliverables Sheet'!U67:U72)</f>
        <v>160.82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f>'Main Sheet'!A24</f>
        <v>9259</v>
      </c>
      <c r="B24" s="20" t="str">
        <f>'Main Sheet'!B24</f>
        <v>Andrew Reeve Stage 2</v>
      </c>
      <c r="C24" s="54"/>
      <c r="D24" s="54"/>
      <c r="E24" s="54" t="e">
        <f t="array" ref="E24:E24">LOOKUP(2,1/('Deliverables Sheet'!U69:U74&lt;&gt;0),'Deliverables Sheet'!U69:U74)</f>
        <v>#N/A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f>'Main Sheet'!A26</f>
        <v>8352</v>
      </c>
      <c r="B26" s="20" t="str">
        <f>'Main Sheet'!B26</f>
        <v>5 Sanscrit Place</v>
      </c>
      <c r="C26" s="54">
        <f t="array" ref="C26:C26">LOOKUP(2,1/('Deliverables Sheet'!S81:S86&lt;&gt;0),'Deliverables Sheet'!S81:S86)</f>
        <v>139.07</v>
      </c>
      <c r="D26" s="54">
        <f t="array" ref="D26:D26">LOOKUP(2,1/('Deliverables Sheet'!T81:T86&lt;&gt;0),'Deliverables Sheet'!T81:T86)</f>
        <v>143.25</v>
      </c>
      <c r="E26" s="54">
        <f t="array" ref="E26:E26">LOOKUP(2,1/('Deliverables Sheet'!U81:U86&lt;&gt;0),'Deliverables Sheet'!U81:U86)</f>
        <v>-4.18000000000001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f>'Main Sheet'!A28</f>
        <v>8234</v>
      </c>
      <c r="B28" s="20" t="str">
        <f>'Main Sheet'!B28</f>
        <v>Melhuish House</v>
      </c>
      <c r="C28" s="54">
        <f t="array" ref="C28:C28">LOOKUP(2,1/('Deliverables Sheet'!S88:S93&lt;&gt;0),'Deliverables Sheet'!S88:S93)</f>
        <v>231.75</v>
      </c>
      <c r="D28" s="54">
        <f t="array" ref="D28:D28">LOOKUP(2,1/('Deliverables Sheet'!T88:T93&lt;&gt;0),'Deliverables Sheet'!T88:T93)</f>
        <v>148.5</v>
      </c>
      <c r="E28" s="54">
        <f t="array" ref="E28:E28">LOOKUP(2,1/('Deliverables Sheet'!U88:U93&lt;&gt;0),'Deliverables Sheet'!U88:U93)</f>
        <v>83.25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f>'Main Sheet'!A30</f>
        <v>8214</v>
      </c>
      <c r="B30" s="20" t="str">
        <f>'Main Sheet'!B30</f>
        <v>6 Tiroroa Lane</v>
      </c>
      <c r="C30" s="54">
        <f t="array" ref="C30:C30">LOOKUP(2,1/('Deliverables Sheet'!S95:S100&lt;&gt;0),'Deliverables Sheet'!S95:S100)</f>
        <v>147.9</v>
      </c>
      <c r="D30" s="54">
        <f t="array" ref="D30:D30">LOOKUP(2,1/('Deliverables Sheet'!T95:T100&lt;&gt;0),'Deliverables Sheet'!T95:T100)</f>
        <v>5</v>
      </c>
      <c r="E30" s="54">
        <f t="array" ref="E30:E30">LOOKUP(2,1/('Deliverables Sheet'!U95:U100&lt;&gt;0),'Deliverables Sheet'!U95:U100)</f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f>'Main Sheet'!A32</f>
        <v>6792</v>
      </c>
      <c r="B32" s="20" t="str">
        <f>'Main Sheet'!B32</f>
        <v>Major Hornbrook </v>
      </c>
      <c r="C32" s="54">
        <f t="array" ref="C32:C32">LOOKUP(2,1/('Deliverables Sheet'!S102:S107&lt;&gt;0),'Deliverables Sheet'!S102:S107)</f>
        <v>208.2</v>
      </c>
      <c r="D32" s="54">
        <f t="array" ref="D32:D32">LOOKUP(2,1/('Deliverables Sheet'!T102:T107&lt;&gt;0),'Deliverables Sheet'!T102:T107)</f>
        <v>317.25</v>
      </c>
      <c r="E32" s="54">
        <f t="array" ref="E32:E32">LOOKUP(2,1/('Deliverables Sheet'!U102:U107&lt;&gt;0),'Deliverables Sheet'!U102:U107)</f>
        <v>-109.05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f>'Main Sheet'!A34</f>
        <v>8840</v>
      </c>
      <c r="B34" s="20" t="str">
        <f>'Main Sheet'!B34</f>
        <v>Inline Architecture</v>
      </c>
      <c r="C34" s="54">
        <f t="array" ref="C34:C34">LOOKUP(2,1/('Deliverables Sheet'!S109:S114&lt;&gt;0),'Deliverables Sheet'!S109:S114)</f>
        <v>316.34</v>
      </c>
      <c r="D34" s="54">
        <f t="array" ref="D34:D34">LOOKUP(2,1/('Deliverables Sheet'!T109:T114&lt;&gt;0),'Deliverables Sheet'!T109:T114)</f>
        <v>204.75</v>
      </c>
      <c r="E34" s="54">
        <f t="array" ref="E34:E34">LOOKUP(2,1/('Deliverables Sheet'!U109:U114&lt;&gt;0),'Deliverables Sheet'!U109:U114)</f>
        <v>111.59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f>'Main Sheet'!A36</f>
        <v>8769</v>
      </c>
      <c r="B36" s="20" t="str">
        <f>'Main Sheet'!B36</f>
        <v>Percival Bach</v>
      </c>
      <c r="C36" s="54" t="e">
        <f t="array" ref="C36:C36">LOOKUP(2,1/('Deliverables Sheet'!S116:S121&lt;&gt;0),'Deliverables Sheet'!S116:S121)</f>
        <v>#N/A</v>
      </c>
      <c r="D36" s="54" t="e">
        <f t="array" ref="D36:D36">LOOKUP(2,1/('Deliverables Sheet'!T116:T121&lt;&gt;0),'Deliverables Sheet'!T116:T121)</f>
        <v>#N/A</v>
      </c>
      <c r="E36" s="54" t="e">
        <f t="array" ref="E36:E36">LOOKUP(2,1/('Deliverables Sheet'!U116:U121&lt;&gt;0),'Deliverables Sheet'!U116:U121)</f>
        <v>#N/A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f>'Main Sheet'!A38</f>
        <v>7901</v>
      </c>
      <c r="B38" s="20" t="str">
        <f>'Main Sheet'!B38</f>
        <v>St Albans Street</v>
      </c>
      <c r="C38" s="54">
        <f t="array" ref="C38:C38">LOOKUP(2,1/('Deliverables Sheet'!S123:S128&lt;&gt;0),'Deliverables Sheet'!S123:S128)</f>
        <v>273.37</v>
      </c>
      <c r="D38" s="54" t="e">
        <f t="array" ref="D38:D38">LOOKUP(2,1/('Deliverables Sheet'!T123:T128&lt;&gt;0),'Deliverables Sheet'!T123:T128)</f>
        <v>#N/A</v>
      </c>
      <c r="E38" s="54">
        <f t="array" ref="E38:E38">LOOKUP(2,1/('Deliverables Sheet'!U123:U128&lt;&gt;0),'Deliverables Sheet'!U123:U128)</f>
        <v>273.37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f>'Main Sheet'!A40</f>
        <v>8923</v>
      </c>
      <c r="B40" s="20" t="str">
        <f>'Main Sheet'!B40</f>
        <v>4 Perry St</v>
      </c>
      <c r="C40" s="54">
        <f t="array" ref="C40:C40">LOOKUP(2,1/('Deliverables Sheet'!S130:S135&lt;&gt;0),'Deliverables Sheet'!S130:S135)</f>
        <v>157</v>
      </c>
      <c r="D40" s="54">
        <f t="array" ref="D40:D40">LOOKUP(2,1/('Deliverables Sheet'!T130:T135&lt;&gt;0),'Deliverables Sheet'!T130:T135)</f>
        <v>2</v>
      </c>
      <c r="E40" s="54">
        <f t="array" ref="E40:E40">LOOKUP(2,1/('Deliverables Sheet'!U130:U135&lt;&gt;0),'Deliverables Sheet'!U130:U135)</f>
        <v>155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f>'Main Sheet'!A42</f>
        <v>7864</v>
      </c>
      <c r="B42" s="20" t="str">
        <f>'Main Sheet'!B42</f>
        <v>Ryans House</v>
      </c>
      <c r="C42" s="54">
        <f t="array" ref="C42:C42">LOOKUP(2,1/('Deliverables Sheet'!S137:S142&lt;&gt;0),'Deliverables Sheet'!S137:S142)</f>
        <v>193.82</v>
      </c>
      <c r="D42" s="54">
        <f t="array" ref="D42:D42">LOOKUP(2,1/('Deliverables Sheet'!T137:T142&lt;&gt;0),'Deliverables Sheet'!T137:T142)</f>
        <v>266.75</v>
      </c>
      <c r="E42" s="54">
        <f t="array" ref="E42:E42">LOOKUP(2,1/('Deliverables Sheet'!U137:U142&lt;&gt;0),'Deliverables Sheet'!U137:U142)</f>
        <v>-72.93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f>'Main Sheet'!A44</f>
        <v>7912</v>
      </c>
      <c r="B44" s="20" t="str">
        <f>'Main Sheet'!B44</f>
        <v>71A Fendalton Road </v>
      </c>
      <c r="C44" s="54" t="e">
        <f t="array" ref="C44:C44">LOOKUP(2,1/('Deliverables Sheet'!S144:S149&lt;&gt;0),'Deliverables Sheet'!S144:S149)</f>
        <v>#N/A</v>
      </c>
      <c r="D44" s="54" t="e">
        <f t="array" ref="D44:D44">LOOKUP(2,1/('Deliverables Sheet'!T144:T149&lt;&gt;0),'Deliverables Sheet'!T144:T149)</f>
        <v>#N/A</v>
      </c>
      <c r="E44" s="54" t="e">
        <f t="array" ref="E44:E44">LOOKUP(2,1/('Deliverables Sheet'!U144:U149&lt;&gt;0),'Deliverables Sheet'!U144:U149)</f>
        <v>#N/A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f>'Main Sheet'!A46</f>
        <v>8360</v>
      </c>
      <c r="B46" s="75" t="str">
        <f>'Main Sheet'!B46</f>
        <v>Dixon House</v>
      </c>
      <c r="C46" s="54">
        <f t="array" ref="C46:C46">LOOKUP(2,1/('Deliverables Sheet'!S151:S156&lt;&gt;0),'Deliverables Sheet'!S151:S156)</f>
        <v>210.6</v>
      </c>
      <c r="D46" s="54">
        <f t="array" ref="D46:D46">LOOKUP(2,1/('Deliverables Sheet'!T151:T156&lt;&gt;0),'Deliverables Sheet'!T151:T156)</f>
        <v>260.75</v>
      </c>
      <c r="E46" s="54">
        <f t="array" ref="E46:E46">LOOKUP(2,1/('Deliverables Sheet'!U151:U156&lt;&gt;0),'Deliverables Sheet'!U151:U156)</f>
        <v>-50.15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f>'Main Sheet'!A48</f>
        <v>8337</v>
      </c>
      <c r="B48" s="20" t="str">
        <f>'Main Sheet'!B48</f>
        <v>Waimak Dairys </v>
      </c>
      <c r="C48" s="54">
        <f t="array" ref="C48:C48">LOOKUP(2,1/('Deliverables Sheet'!S158:S163&lt;&gt;0),'Deliverables Sheet'!S158:S163)</f>
        <v>110.44</v>
      </c>
      <c r="D48" s="54">
        <f t="array" ref="D48:D48">LOOKUP(2,1/('Deliverables Sheet'!T158:T163&lt;&gt;0),'Deliverables Sheet'!T158:T163)</f>
        <v>44.75</v>
      </c>
      <c r="E48" s="54">
        <f t="array" ref="E48:E48">LOOKUP(2,1/('Deliverables Sheet'!U158:U163&lt;&gt;0),'Deliverables Sheet'!U158:U163)</f>
        <v>65.69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f>'Main Sheet'!A50</f>
        <v>9240</v>
      </c>
      <c r="B50" s="20" t="str">
        <f>'Main Sheet'!B50</f>
        <v>Daves Twizel Shack</v>
      </c>
      <c r="C50" s="54" t="e">
        <f t="array" ref="C50:C50">LOOKUP(2,1/('Deliverables Sheet'!S165:S170&lt;&gt;0),'Deliverables Sheet'!S165:S170)</f>
        <v>#N/A</v>
      </c>
      <c r="D50" s="54" t="e">
        <f t="array" ref="D50:D50">LOOKUP(2,1/('Deliverables Sheet'!T165:T170&lt;&gt;0),'Deliverables Sheet'!T165:T170)</f>
        <v>#N/A</v>
      </c>
      <c r="E50" s="54" t="e">
        <f t="array" ref="E50:E50">LOOKUP(2,1/('Deliverables Sheet'!U165:U170&lt;&gt;0),'Deliverables Sheet'!U165:U170)</f>
        <v>#N/A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f>'Main Sheet'!A52</f>
        <v>7428</v>
      </c>
      <c r="B52" s="20" t="str">
        <f>'Main Sheet'!B52</f>
        <v>FAB Pegasus Lakeside</v>
      </c>
      <c r="C52" s="54">
        <f t="array" ref="C52:C52">LOOKUP(2,1/('Deliverables Sheet'!S172:S177&lt;&gt;0),'Deliverables Sheet'!S172:S177)</f>
        <v>659.73</v>
      </c>
      <c r="D52" s="54">
        <f t="array" ref="D52:D52">LOOKUP(2,1/('Deliverables Sheet'!T172:T177&lt;&gt;0),'Deliverables Sheet'!T172:T177)</f>
        <v>304.75</v>
      </c>
      <c r="E52" s="54">
        <f t="array" ref="E52:E52">LOOKUP(2,1/('Deliverables Sheet'!U172:U177&lt;&gt;0),'Deliverables Sheet'!U172:U177)</f>
        <v>354.98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f>'Main Sheet'!A54</f>
        <v>9351</v>
      </c>
      <c r="B54" s="20" t="str">
        <f>'Main Sheet'!B54</f>
        <v>Harewood Golf Club</v>
      </c>
      <c r="C54" s="54">
        <f t="array" ref="C54:C54">LOOKUP(2,1/('Deliverables Sheet'!S179:S184&lt;&gt;0),'Deliverables Sheet'!S179:S184)</f>
        <v>125.17</v>
      </c>
      <c r="D54" s="54">
        <f t="array" ref="D54:D54">LOOKUP(2,1/('Deliverables Sheet'!T179:T184&lt;&gt;0),'Deliverables Sheet'!T179:T184)</f>
        <v>11.25</v>
      </c>
      <c r="E54" s="54">
        <f t="array" ref="E54:E54">LOOKUP(2,1/('Deliverables Sheet'!U179:U184&lt;&gt;0),'Deliverables Sheet'!U179:U184)</f>
        <v>113.92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f>'Main Sheet'!A56</f>
        <v>7429</v>
      </c>
      <c r="B56" s="20" t="str">
        <f>'Main Sheet'!B56</f>
        <v>Taggart House</v>
      </c>
      <c r="C56" s="54">
        <f t="array" ref="C56:C56">LOOKUP(2,1/('Deliverables Sheet'!S186:S191&lt;&gt;0),'Deliverables Sheet'!S186:S191)</f>
        <v>130.62</v>
      </c>
      <c r="D56" s="54">
        <f t="array" ref="D56:D56">LOOKUP(2,1/('Deliverables Sheet'!T186:T191&lt;&gt;0),'Deliverables Sheet'!T186:T191)</f>
        <v>32.25</v>
      </c>
      <c r="E56" s="54">
        <f t="array" ref="E56:E56">LOOKUP(2,1/('Deliverables Sheet'!U186:U191&lt;&gt;0),'Deliverables Sheet'!U186:U191)</f>
        <v>98.37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f>'Main Sheet'!A58</f>
        <v>9508</v>
      </c>
      <c r="B58" s="20" t="str">
        <f>'Main Sheet'!B58</f>
        <v>St Barnabas Church</v>
      </c>
      <c r="C58" s="54" t="e">
        <f t="array" ref="C58:C58">LOOKUP(2,1/('Deliverables Sheet'!S193:S198&lt;&gt;0),'Deliverables Sheet'!S193:S198)</f>
        <v>#N/A</v>
      </c>
      <c r="D58" s="54" t="e">
        <f t="array" ref="D58:D58">LOOKUP(2,1/('Deliverables Sheet'!T193:T198&lt;&gt;0),'Deliverables Sheet'!T193:T198)</f>
        <v>#N/A</v>
      </c>
      <c r="E58" s="54" t="e">
        <f t="array" ref="E58:E58">LOOKUP(2,1/('Deliverables Sheet'!U193:U198&lt;&gt;0),'Deliverables Sheet'!U193:U198)</f>
        <v>#N/A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>
        <f>'Main Sheet'!A60</f>
        <v>0</v>
      </c>
      <c r="B60" s="20">
        <f>'Main Sheet'!B60</f>
        <v>0</v>
      </c>
      <c r="C60" s="54" t="e">
        <f t="array" ref="C60:C60">LOOKUP(2,1/('Deliverables Sheet'!S200:S205&lt;&gt;0),'Deliverables Sheet'!S200:S205)</f>
        <v>#N/A</v>
      </c>
      <c r="D60" s="54" t="e">
        <f t="array" ref="D60:D60">LOOKUP(2,1/('Deliverables Sheet'!T200:T205&lt;&gt;0),'Deliverables Sheet'!T200:T205)</f>
        <v>#N/A</v>
      </c>
      <c r="E60" s="54" t="e">
        <f t="array" ref="E60:E60">LOOKUP(2,1/('Deliverables Sheet'!U200:U205&lt;&gt;0),'Deliverables Sheet'!U200:U205)</f>
        <v>#N/A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>
        <f>'Main Sheet'!A62</f>
        <v>0</v>
      </c>
      <c r="B62" s="20" t="str">
        <f>'Main Sheet'!B62</f>
        <v>Contracting</v>
      </c>
      <c r="C62" s="54" t="e">
        <f t="array" ref="C62:C62">LOOKUP(2,1/('Deliverables Sheet'!S207:S212&lt;&gt;0),'Deliverables Sheet'!S207:S212)</f>
        <v>#N/A</v>
      </c>
      <c r="D62" s="54" t="e">
        <f t="array" ref="D62:D62">LOOKUP(2,1/('Deliverables Sheet'!T207:T212&lt;&gt;0),'Deliverables Sheet'!T207:T212)</f>
        <v>#N/A</v>
      </c>
      <c r="E62" s="54" t="e">
        <f t="array" ref="E62:E62">LOOKUP(2,1/('Deliverables Sheet'!U207:U212&lt;&gt;0),'Deliverables Sheet'!U207:U212)</f>
        <v>#N/A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f>'Main Sheet'!A64</f>
        <v>8946</v>
      </c>
      <c r="B64" s="20" t="str">
        <f>'Main Sheet'!B64</f>
        <v>Westcoast Vaults</v>
      </c>
      <c r="C64" s="54">
        <f t="array" ref="C64:C64">LOOKUP(2,1/('Deliverables Sheet'!S214:S219&lt;&gt;0),'Deliverables Sheet'!S214:S219)</f>
        <v>358.86</v>
      </c>
      <c r="D64" s="54" t="e">
        <f t="array" ref="D64:D64">LOOKUP(2,1/('Deliverables Sheet'!T214:T219&lt;&gt;0),'Deliverables Sheet'!T214:T219)</f>
        <v>#N/A</v>
      </c>
      <c r="E64" s="54">
        <f t="array" ref="E64:E64">LOOKUP(2,1/('Deliverables Sheet'!U214:U219&lt;&gt;0),'Deliverables Sheet'!U214:U219)</f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f>'Main Sheet'!A66</f>
        <v>8308</v>
      </c>
      <c r="B66" s="20" t="str">
        <f>'Main Sheet'!B66</f>
        <v>Roydvale</v>
      </c>
      <c r="C66" s="54">
        <f t="array" ref="C66:C66">LOOKUP(2,1/('Deliverables Sheet'!S221:S226&lt;&gt;0),'Deliverables Sheet'!S221:S226)</f>
        <v>2312.68</v>
      </c>
      <c r="D66" s="54">
        <f t="array" ref="D66:D66">LOOKUP(2,1/('Deliverables Sheet'!T221:T226&lt;&gt;0),'Deliverables Sheet'!T221:T226)</f>
        <v>1014.25</v>
      </c>
      <c r="E66" s="54">
        <f t="array" ref="E66:E66">LOOKUP(2,1/('Deliverables Sheet'!U221:U226&lt;&gt;0),'Deliverables Sheet'!U221:U226)</f>
        <v>1298.43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30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30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30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30" x14ac:dyDescent="0.25">
      <c r="A70" s="142"/>
      <c r="B70" s="146" t="s">
        <v>144</v>
      </c>
      <c r="C70" s="147" t="e">
        <f>C3+C71+C72</f>
        <v>#N/A</v>
      </c>
      <c r="D70" s="147" t="e">
        <f>D3+D71+D72</f>
        <v>#N/A</v>
      </c>
      <c r="E70" s="147" t="e">
        <f>E3+E71+E72</f>
        <v>#N/A</v>
      </c>
      <c r="F70" s="147">
        <f>F3+F71+F72</f>
        <v>640</v>
      </c>
      <c r="G70" s="147">
        <f>G3+G71+G72</f>
        <v>715</v>
      </c>
      <c r="H70" s="147">
        <f>H3+H71+H72</f>
        <v>790</v>
      </c>
      <c r="I70" s="147">
        <f>I3+I71+I72</f>
        <v>700</v>
      </c>
      <c r="J70" s="147">
        <f>J3+J71+J72</f>
        <v>700</v>
      </c>
      <c r="K70" s="147">
        <f>K3+K71+K72</f>
        <v>700</v>
      </c>
      <c r="L70" s="147">
        <f>L3+L71+L72</f>
        <v>716</v>
      </c>
      <c r="M70" s="147">
        <f>M3+M71+M72</f>
        <v>2520</v>
      </c>
      <c r="N70" s="147">
        <f>N3+N71+N72</f>
        <v>3060</v>
      </c>
      <c r="O70" s="147">
        <f>O3+O71+O72</f>
        <v>1316</v>
      </c>
      <c r="P70" s="147">
        <f>P3+P71+P72</f>
        <v>914</v>
      </c>
      <c r="Q70" s="147">
        <f>Q3+Q71+Q72</f>
        <v>650</v>
      </c>
    </row>
    <row r="71" ht="15" customHeight="1" spans="1:30" x14ac:dyDescent="0.25">
      <c r="A71" s="142"/>
      <c r="B71" s="77" t="s">
        <v>145</v>
      </c>
      <c r="C71" s="20" t="e">
        <f>SUM(C26:C46)</f>
        <v>#N/A</v>
      </c>
      <c r="D71" s="20" t="e">
        <f>SUM(D26:D46)</f>
        <v>#N/A</v>
      </c>
      <c r="E71" s="20" t="e">
        <f>SUM(E26:E46)</f>
        <v>#N/A</v>
      </c>
      <c r="F71" s="20">
        <f>SUM(F26:F46)</f>
        <v>140</v>
      </c>
      <c r="G71" s="20">
        <f>SUM(G26:G46)</f>
        <v>15</v>
      </c>
      <c r="H71" s="20">
        <f>SUM(H26:H46)</f>
        <v>90</v>
      </c>
      <c r="I71" s="20">
        <f>SUM(I26:I66)</f>
        <v>0</v>
      </c>
      <c r="J71" s="20">
        <f>SUM(J26:J66)</f>
        <v>0</v>
      </c>
      <c r="K71" s="20">
        <f>SUM(K26:K66)</f>
        <v>0</v>
      </c>
      <c r="L71" s="20">
        <f>SUM(L26:L66)</f>
        <v>16</v>
      </c>
      <c r="M71" s="20">
        <f>SUM(M26:M66)</f>
        <v>800</v>
      </c>
      <c r="N71" s="20">
        <f>SUM(N26:N66)</f>
        <v>858</v>
      </c>
      <c r="O71" s="20">
        <f>SUM(O26:O46)</f>
        <v>476</v>
      </c>
      <c r="P71" s="20">
        <f>SUM(P26:P46)</f>
        <v>214</v>
      </c>
      <c r="Q71" s="20">
        <f>SUM(Q26:Q46)</f>
        <v>150</v>
      </c>
    </row>
    <row r="72" ht="15" customHeight="1" spans="1:30" x14ac:dyDescent="0.25">
      <c r="A72" s="142"/>
      <c r="B72" s="77" t="s">
        <v>146</v>
      </c>
      <c r="C72" s="20">
        <f>SUM(C4:C24)</f>
        <v>4490.26</v>
      </c>
      <c r="D72" s="20" t="e">
        <f>SUM(D4:D24)</f>
        <v>#N/A</v>
      </c>
      <c r="E72" s="20" t="e">
        <f>SUM(E4:E24)</f>
        <v>#N/A</v>
      </c>
      <c r="F72" s="20">
        <f>SUM(F4:F24)</f>
        <v>0</v>
      </c>
      <c r="G72" s="20">
        <f>SUM(G4:G24)</f>
        <v>0</v>
      </c>
      <c r="H72" s="20">
        <f>SUM(H4:H24)</f>
        <v>0</v>
      </c>
      <c r="I72" s="20">
        <f>SUM(I4:I24)</f>
        <v>0</v>
      </c>
      <c r="J72" s="20">
        <f>SUM(J4:J24)</f>
        <v>0</v>
      </c>
      <c r="K72" s="20">
        <f>SUM(K4:K24)</f>
        <v>0</v>
      </c>
      <c r="L72" s="20">
        <f>SUM(L4:L24)</f>
        <v>0</v>
      </c>
      <c r="M72" s="20">
        <f>SUM(M4:M24)</f>
        <v>1020</v>
      </c>
      <c r="N72" s="20">
        <f>SUM(N4:N24)</f>
        <v>1502</v>
      </c>
      <c r="O72" s="20">
        <f>SUM(O4:O24)</f>
        <v>140</v>
      </c>
      <c r="P72" s="20">
        <f>SUM(P4:P24)</f>
        <v>0</v>
      </c>
      <c r="Q72" s="20">
        <f>SUM(Q4:Q24)</f>
        <v>0</v>
      </c>
    </row>
    <row r="73" ht="15" customHeight="1" spans="1:30" x14ac:dyDescent="0.25">
      <c r="A73" s="142"/>
      <c r="B73" s="148" t="s">
        <v>147</v>
      </c>
      <c r="C73" s="149"/>
      <c r="D73" s="149"/>
      <c r="E73" s="149"/>
      <c r="F73" s="149">
        <f>F77*F76*8*0.8</f>
        <v>1488</v>
      </c>
      <c r="G73" s="149">
        <f>G77*G76*8*0.8</f>
        <v>2112</v>
      </c>
      <c r="H73" s="149">
        <f>H77*H76*8*0.8</f>
        <v>1984</v>
      </c>
      <c r="I73" s="149">
        <f>I77*I76*8*0.8</f>
        <v>1884.8</v>
      </c>
      <c r="J73" s="149">
        <f>J77*J76*8*0.8</f>
        <v>1948.8</v>
      </c>
      <c r="K73" s="149">
        <f>K77*K76*8*0.8</f>
        <v>2083.2</v>
      </c>
      <c r="L73" s="149">
        <f>L77*L76*8*0.8</f>
        <v>2604.8</v>
      </c>
      <c r="M73" s="149">
        <f>M77*M76*8*0.8</f>
        <v>2486.4</v>
      </c>
      <c r="N73" s="149">
        <f>N77*N76*8*0.8</f>
        <v>2604.8</v>
      </c>
      <c r="O73" s="149">
        <f>O77*O76*8*0.8</f>
        <v>2217.6</v>
      </c>
      <c r="P73" s="149">
        <f>P77*P76*8*0.8</f>
        <v>2112</v>
      </c>
      <c r="Q73" s="150">
        <f>Q77*Q76*8*0.8</f>
        <v>1478.4</v>
      </c>
    </row>
    <row r="74" ht="15" customHeight="1" spans="1:30" x14ac:dyDescent="0.25">
      <c r="A74" s="142"/>
      <c r="B74" s="151" t="s">
        <v>148</v>
      </c>
      <c r="C74" s="152"/>
      <c r="D74" s="152"/>
      <c r="E74" s="152"/>
      <c r="F74" s="153">
        <f>F70-F73</f>
        <v>-848</v>
      </c>
      <c r="G74" s="153">
        <f>G70-G73</f>
        <v>-1397</v>
      </c>
      <c r="H74" s="154">
        <f>H70-H73</f>
        <v>-1194</v>
      </c>
      <c r="I74" s="153">
        <f>I70-I73</f>
        <v>-1184.8</v>
      </c>
      <c r="J74" s="153">
        <f>J70-J73</f>
        <v>-1248.8</v>
      </c>
      <c r="K74" s="153">
        <f>K70-K73</f>
        <v>-1383.2</v>
      </c>
      <c r="L74" s="153">
        <f>L70-L73</f>
        <v>-1888.8</v>
      </c>
      <c r="M74" s="153">
        <f>M70-M73</f>
        <v>33.5999999999999</v>
      </c>
      <c r="N74" s="153">
        <f>N70-N73</f>
        <v>455.2</v>
      </c>
      <c r="O74" s="153">
        <f>O70-O73</f>
        <v>-901.6</v>
      </c>
      <c r="P74" s="153">
        <f>P70-P73</f>
        <v>-1198</v>
      </c>
      <c r="Q74" s="155">
        <f>Q70-Q73</f>
        <v>-828.4</v>
      </c>
    </row>
    <row r="75" ht="15" customHeight="1" spans="1:30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30" x14ac:dyDescent="0.25">
      <c r="A76" s="142"/>
      <c r="B76" s="156" t="s">
        <v>149</v>
      </c>
      <c r="C76" s="157" t="s">
        <v>150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30" x14ac:dyDescent="0.25">
      <c r="A77" s="161"/>
      <c r="B77" s="162" t="s">
        <v>151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30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30" x14ac:dyDescent="0.25">
      <c r="A79" s="35"/>
      <c r="B79" s="164" t="s">
        <v>152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153</v>
      </c>
      <c r="M79" s="166"/>
      <c r="N79" s="35"/>
      <c r="O79" s="35"/>
      <c r="P79" s="35"/>
      <c r="Q79" s="35"/>
    </row>
    <row r="80" ht="15" customHeight="1" spans="1:30" x14ac:dyDescent="0.25">
      <c r="A80" s="35"/>
      <c r="B80" s="167" t="s">
        <v>154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30" x14ac:dyDescent="0.25">
      <c r="A81" s="35"/>
      <c r="B81" s="19" t="s">
        <v>155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30" x14ac:dyDescent="0.25">
      <c r="A82" s="35"/>
      <c r="B82" s="19" t="s">
        <v>156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30" x14ac:dyDescent="0.25">
      <c r="A83" s="35"/>
      <c r="B83" s="19" t="s">
        <v>157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9" t="s">
        <v>158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30" x14ac:dyDescent="0.25">
      <c r="A85" s="35"/>
      <c r="B85" s="19" t="s">
        <v>159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160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161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162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163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164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 t="s">
        <v>165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 t="s">
        <v>166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 t="s">
        <v>167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 t="s">
        <v>168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 t="s">
        <v>169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170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171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64" t="s">
        <v>172</v>
      </c>
      <c r="C109" s="170">
        <f>SUM(C80:C108)</f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174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175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176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177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178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179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180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184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185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186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187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188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189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191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192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194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195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196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197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199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200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204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205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206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207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208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209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212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212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214</v>
      </c>
      <c r="P2" s="42" t="s">
        <v>215</v>
      </c>
      <c r="Q2" s="42" t="s">
        <v>216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217</v>
      </c>
      <c r="C3" s="35" t="s">
        <v>218</v>
      </c>
      <c r="D3" s="35" t="s">
        <v>219</v>
      </c>
    </row>
    <row r="4" ht="15" customHeight="1" spans="1:30" x14ac:dyDescent="0.25">
      <c r="A4" s="35" t="s">
        <v>220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221</v>
      </c>
      <c r="B5" s="35">
        <v>60</v>
      </c>
      <c r="P5" s="35">
        <v>95.35</v>
      </c>
    </row>
    <row r="6" ht="15" customHeight="1" spans="1:30" x14ac:dyDescent="0.25">
      <c r="A6" s="35" t="s">
        <v>222</v>
      </c>
      <c r="B6" s="35">
        <v>100</v>
      </c>
      <c r="P6" s="35">
        <v>102.69</v>
      </c>
    </row>
    <row r="7" ht="15" customHeight="1" spans="1:30" x14ac:dyDescent="0.25">
      <c r="A7" s="35" t="s">
        <v>223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