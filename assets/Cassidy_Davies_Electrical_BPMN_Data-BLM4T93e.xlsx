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kwan/Downloads/"/>
    </mc:Choice>
  </mc:AlternateContent>
  <xr:revisionPtr revIDLastSave="0" documentId="8_{48C57304-CCDB-D648-9EDE-EA185D7ED1B8}" xr6:coauthVersionLast="47" xr6:coauthVersionMax="47" xr10:uidLastSave="{00000000-0000-0000-0000-000000000000}"/>
  <bookViews>
    <workbookView xWindow="1080" yWindow="1260" windowWidth="27640" windowHeight="16740" xr2:uid="{DDC748B6-9C93-9045-B063-264076C9D13B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6" i="1" l="1"/>
  <c r="U226" i="1"/>
  <c r="V226" i="1" s="1"/>
  <c r="Q226" i="1"/>
  <c r="R226" i="1" s="1"/>
  <c r="K226" i="1"/>
  <c r="AI225" i="1" s="1"/>
  <c r="J226" i="1"/>
  <c r="L226" i="1" s="1"/>
  <c r="M226" i="1" s="1"/>
  <c r="G226" i="1"/>
  <c r="F226" i="1"/>
  <c r="AH225" i="1"/>
  <c r="AA225" i="1"/>
  <c r="X225" i="1"/>
  <c r="V225" i="1"/>
  <c r="U225" i="1"/>
  <c r="Q225" i="1"/>
  <c r="R225" i="1" s="1"/>
  <c r="K225" i="1"/>
  <c r="AI224" i="1" s="1"/>
  <c r="J225" i="1"/>
  <c r="L225" i="1" s="1"/>
  <c r="M225" i="1" s="1"/>
  <c r="G225" i="1"/>
  <c r="F225" i="1"/>
  <c r="AH224" i="1"/>
  <c r="AA224" i="1"/>
  <c r="X224" i="1"/>
  <c r="V224" i="1"/>
  <c r="U224" i="1"/>
  <c r="Q224" i="1"/>
  <c r="R224" i="1" s="1"/>
  <c r="K224" i="1"/>
  <c r="AI223" i="1" s="1"/>
  <c r="J224" i="1"/>
  <c r="L224" i="1" s="1"/>
  <c r="M224" i="1" s="1"/>
  <c r="G224" i="1"/>
  <c r="F224" i="1"/>
  <c r="AH223" i="1"/>
  <c r="AA223" i="1"/>
  <c r="X223" i="1"/>
  <c r="V223" i="1"/>
  <c r="U223" i="1"/>
  <c r="Q223" i="1"/>
  <c r="R223" i="1" s="1"/>
  <c r="K223" i="1"/>
  <c r="AI222" i="1" s="1"/>
  <c r="J223" i="1"/>
  <c r="L223" i="1" s="1"/>
  <c r="M223" i="1" s="1"/>
  <c r="G223" i="1"/>
  <c r="F223" i="1"/>
  <c r="AH222" i="1"/>
  <c r="AA222" i="1"/>
  <c r="Z222" i="1"/>
  <c r="Y222" i="1"/>
  <c r="X222" i="1"/>
  <c r="V222" i="1"/>
  <c r="U222" i="1"/>
  <c r="Q222" i="1"/>
  <c r="R222" i="1" s="1"/>
  <c r="L222" i="1"/>
  <c r="M222" i="1" s="1"/>
  <c r="G222" i="1"/>
  <c r="AI221" i="1"/>
  <c r="AI226" i="1" s="1"/>
  <c r="AE222" i="1" s="1"/>
  <c r="AH221" i="1"/>
  <c r="AH226" i="1" s="1"/>
  <c r="AE221" i="1" s="1"/>
  <c r="AA221" i="1"/>
  <c r="Z221" i="1"/>
  <c r="Y221" i="1"/>
  <c r="X221" i="1"/>
  <c r="V221" i="1"/>
  <c r="U221" i="1"/>
  <c r="R221" i="1"/>
  <c r="Q221" i="1"/>
  <c r="L221" i="1"/>
  <c r="M221" i="1" s="1"/>
  <c r="F221" i="1"/>
  <c r="G221" i="1" s="1"/>
  <c r="B221" i="1"/>
  <c r="A221" i="1"/>
  <c r="AA219" i="1"/>
  <c r="Z219" i="1"/>
  <c r="X219" i="1"/>
  <c r="V219" i="1"/>
  <c r="U219" i="1"/>
  <c r="R219" i="1"/>
  <c r="Q219" i="1"/>
  <c r="L219" i="1"/>
  <c r="M219" i="1" s="1"/>
  <c r="K219" i="1"/>
  <c r="J219" i="1"/>
  <c r="Y219" i="1" s="1"/>
  <c r="G219" i="1"/>
  <c r="F219" i="1"/>
  <c r="AI218" i="1"/>
  <c r="AH218" i="1"/>
  <c r="AA218" i="1"/>
  <c r="Z218" i="1"/>
  <c r="X218" i="1"/>
  <c r="V218" i="1"/>
  <c r="U218" i="1"/>
  <c r="R218" i="1"/>
  <c r="Q218" i="1"/>
  <c r="L218" i="1"/>
  <c r="M218" i="1" s="1"/>
  <c r="K218" i="1"/>
  <c r="J218" i="1"/>
  <c r="Y218" i="1" s="1"/>
  <c r="G218" i="1"/>
  <c r="F218" i="1"/>
  <c r="AI217" i="1"/>
  <c r="AH217" i="1"/>
  <c r="AA217" i="1"/>
  <c r="Z217" i="1"/>
  <c r="X217" i="1"/>
  <c r="V217" i="1"/>
  <c r="U217" i="1"/>
  <c r="R217" i="1"/>
  <c r="Q217" i="1"/>
  <c r="L217" i="1"/>
  <c r="M217" i="1" s="1"/>
  <c r="K217" i="1"/>
  <c r="J217" i="1"/>
  <c r="Y217" i="1" s="1"/>
  <c r="G217" i="1"/>
  <c r="F217" i="1"/>
  <c r="AI216" i="1"/>
  <c r="AH216" i="1"/>
  <c r="AA216" i="1"/>
  <c r="Z216" i="1"/>
  <c r="X216" i="1"/>
  <c r="V216" i="1"/>
  <c r="U216" i="1"/>
  <c r="R216" i="1"/>
  <c r="Q216" i="1"/>
  <c r="L216" i="1"/>
  <c r="M216" i="1" s="1"/>
  <c r="K216" i="1"/>
  <c r="J216" i="1"/>
  <c r="Y216" i="1" s="1"/>
  <c r="G216" i="1"/>
  <c r="F216" i="1"/>
  <c r="AH215" i="1"/>
  <c r="AA215" i="1"/>
  <c r="X215" i="1"/>
  <c r="U215" i="1"/>
  <c r="V215" i="1" s="1"/>
  <c r="Q215" i="1"/>
  <c r="R215" i="1" s="1"/>
  <c r="K215" i="1"/>
  <c r="J215" i="1"/>
  <c r="F215" i="1"/>
  <c r="G215" i="1" s="1"/>
  <c r="AH214" i="1"/>
  <c r="AH219" i="1" s="1"/>
  <c r="AE214" i="1"/>
  <c r="AA214" i="1"/>
  <c r="Y214" i="1"/>
  <c r="V214" i="1"/>
  <c r="U214" i="1"/>
  <c r="Q214" i="1"/>
  <c r="R214" i="1" s="1"/>
  <c r="K214" i="1"/>
  <c r="J214" i="1"/>
  <c r="G214" i="1"/>
  <c r="F214" i="1"/>
  <c r="B214" i="1"/>
  <c r="A214" i="1"/>
  <c r="AA212" i="1"/>
  <c r="Y212" i="1"/>
  <c r="U212" i="1"/>
  <c r="V212" i="1" s="1"/>
  <c r="Q212" i="1"/>
  <c r="R212" i="1" s="1"/>
  <c r="K212" i="1"/>
  <c r="X212" i="1" s="1"/>
  <c r="J212" i="1"/>
  <c r="F212" i="1"/>
  <c r="G212" i="1" s="1"/>
  <c r="AH211" i="1"/>
  <c r="AA211" i="1"/>
  <c r="Y211" i="1"/>
  <c r="U211" i="1"/>
  <c r="V211" i="1" s="1"/>
  <c r="Q211" i="1"/>
  <c r="R211" i="1" s="1"/>
  <c r="K211" i="1"/>
  <c r="X211" i="1" s="1"/>
  <c r="J211" i="1"/>
  <c r="F211" i="1"/>
  <c r="G211" i="1" s="1"/>
  <c r="AH210" i="1"/>
  <c r="AA210" i="1"/>
  <c r="Y210" i="1"/>
  <c r="U210" i="1"/>
  <c r="V210" i="1" s="1"/>
  <c r="Q210" i="1"/>
  <c r="R210" i="1" s="1"/>
  <c r="K210" i="1"/>
  <c r="X210" i="1" s="1"/>
  <c r="J210" i="1"/>
  <c r="F210" i="1"/>
  <c r="G210" i="1" s="1"/>
  <c r="AH209" i="1"/>
  <c r="AA209" i="1"/>
  <c r="Y209" i="1"/>
  <c r="U209" i="1"/>
  <c r="V209" i="1" s="1"/>
  <c r="Q209" i="1"/>
  <c r="R209" i="1" s="1"/>
  <c r="K209" i="1"/>
  <c r="X209" i="1" s="1"/>
  <c r="J209" i="1"/>
  <c r="F209" i="1"/>
  <c r="G209" i="1" s="1"/>
  <c r="AH208" i="1"/>
  <c r="AH212" i="1" s="1"/>
  <c r="AE207" i="1" s="1"/>
  <c r="AA208" i="1"/>
  <c r="Z208" i="1"/>
  <c r="Y208" i="1"/>
  <c r="X208" i="1"/>
  <c r="V208" i="1"/>
  <c r="U208" i="1"/>
  <c r="Q208" i="1"/>
  <c r="R208" i="1" s="1"/>
  <c r="M208" i="1"/>
  <c r="L208" i="1"/>
  <c r="F208" i="1"/>
  <c r="G208" i="1" s="1"/>
  <c r="AI207" i="1"/>
  <c r="AH207" i="1"/>
  <c r="AA207" i="1"/>
  <c r="Z207" i="1"/>
  <c r="Y207" i="1"/>
  <c r="X207" i="1"/>
  <c r="U207" i="1"/>
  <c r="V207" i="1" s="1"/>
  <c r="Q207" i="1"/>
  <c r="R207" i="1" s="1"/>
  <c r="M207" i="1"/>
  <c r="L207" i="1"/>
  <c r="F207" i="1"/>
  <c r="G207" i="1" s="1"/>
  <c r="B207" i="1"/>
  <c r="A207" i="1"/>
  <c r="AA205" i="1"/>
  <c r="Z205" i="1"/>
  <c r="X205" i="1"/>
  <c r="U205" i="1"/>
  <c r="V205" i="1" s="1"/>
  <c r="Q205" i="1"/>
  <c r="R205" i="1" s="1"/>
  <c r="M205" i="1"/>
  <c r="L205" i="1"/>
  <c r="K205" i="1"/>
  <c r="AI204" i="1" s="1"/>
  <c r="J205" i="1"/>
  <c r="Y205" i="1" s="1"/>
  <c r="F205" i="1"/>
  <c r="G205" i="1" s="1"/>
  <c r="AH204" i="1"/>
  <c r="AA204" i="1"/>
  <c r="Z204" i="1"/>
  <c r="X204" i="1"/>
  <c r="U204" i="1"/>
  <c r="V204" i="1" s="1"/>
  <c r="Q204" i="1"/>
  <c r="R204" i="1" s="1"/>
  <c r="M204" i="1"/>
  <c r="L204" i="1"/>
  <c r="K204" i="1"/>
  <c r="AI203" i="1" s="1"/>
  <c r="J204" i="1"/>
  <c r="Y204" i="1" s="1"/>
  <c r="F204" i="1"/>
  <c r="G204" i="1" s="1"/>
  <c r="AH203" i="1"/>
  <c r="AA203" i="1"/>
  <c r="Z203" i="1"/>
  <c r="X203" i="1"/>
  <c r="U203" i="1"/>
  <c r="V203" i="1" s="1"/>
  <c r="Q203" i="1"/>
  <c r="R203" i="1" s="1"/>
  <c r="M203" i="1"/>
  <c r="L203" i="1"/>
  <c r="K203" i="1"/>
  <c r="AI202" i="1" s="1"/>
  <c r="J203" i="1"/>
  <c r="Y203" i="1" s="1"/>
  <c r="F203" i="1"/>
  <c r="G203" i="1" s="1"/>
  <c r="AH202" i="1"/>
  <c r="AA202" i="1"/>
  <c r="Z202" i="1"/>
  <c r="X202" i="1"/>
  <c r="U202" i="1"/>
  <c r="V202" i="1" s="1"/>
  <c r="Q202" i="1"/>
  <c r="R202" i="1" s="1"/>
  <c r="L202" i="1"/>
  <c r="M202" i="1" s="1"/>
  <c r="K202" i="1"/>
  <c r="AI201" i="1" s="1"/>
  <c r="J202" i="1"/>
  <c r="Y202" i="1" s="1"/>
  <c r="F202" i="1"/>
  <c r="G202" i="1" s="1"/>
  <c r="AH201" i="1"/>
  <c r="AA201" i="1"/>
  <c r="Z201" i="1"/>
  <c r="Y201" i="1"/>
  <c r="X201" i="1"/>
  <c r="V201" i="1"/>
  <c r="U201" i="1"/>
  <c r="Q201" i="1"/>
  <c r="R201" i="1" s="1"/>
  <c r="M201" i="1"/>
  <c r="L201" i="1"/>
  <c r="G201" i="1"/>
  <c r="AI200" i="1"/>
  <c r="AH200" i="1"/>
  <c r="AH205" i="1" s="1"/>
  <c r="AE200" i="1" s="1"/>
  <c r="AA200" i="1"/>
  <c r="Z200" i="1"/>
  <c r="Y200" i="1"/>
  <c r="X200" i="1"/>
  <c r="U200" i="1"/>
  <c r="V200" i="1" s="1"/>
  <c r="R200" i="1"/>
  <c r="Q200" i="1"/>
  <c r="L200" i="1"/>
  <c r="M200" i="1" s="1"/>
  <c r="G200" i="1"/>
  <c r="F200" i="1"/>
  <c r="B200" i="1"/>
  <c r="A200" i="1"/>
  <c r="AA198" i="1"/>
  <c r="Y198" i="1"/>
  <c r="U198" i="1"/>
  <c r="V198" i="1" s="1"/>
  <c r="R198" i="1"/>
  <c r="Q198" i="1"/>
  <c r="K198" i="1"/>
  <c r="J198" i="1"/>
  <c r="F198" i="1"/>
  <c r="G198" i="1" s="1"/>
  <c r="AH197" i="1"/>
  <c r="AA197" i="1"/>
  <c r="Y197" i="1"/>
  <c r="U197" i="1"/>
  <c r="V197" i="1" s="1"/>
  <c r="R197" i="1"/>
  <c r="Q197" i="1"/>
  <c r="L197" i="1"/>
  <c r="M197" i="1" s="1"/>
  <c r="K197" i="1"/>
  <c r="X197" i="1" s="1"/>
  <c r="J197" i="1"/>
  <c r="F197" i="1"/>
  <c r="G197" i="1" s="1"/>
  <c r="AH196" i="1"/>
  <c r="AA196" i="1"/>
  <c r="Z196" i="1"/>
  <c r="Y196" i="1"/>
  <c r="U196" i="1"/>
  <c r="V196" i="1" s="1"/>
  <c r="R196" i="1"/>
  <c r="Q196" i="1"/>
  <c r="K196" i="1"/>
  <c r="J196" i="1"/>
  <c r="F196" i="1"/>
  <c r="G196" i="1" s="1"/>
  <c r="AI195" i="1"/>
  <c r="AH195" i="1"/>
  <c r="AA195" i="1"/>
  <c r="Y195" i="1"/>
  <c r="U195" i="1"/>
  <c r="V195" i="1" s="1"/>
  <c r="R195" i="1"/>
  <c r="Q195" i="1"/>
  <c r="L195" i="1"/>
  <c r="M195" i="1" s="1"/>
  <c r="K195" i="1"/>
  <c r="X195" i="1" s="1"/>
  <c r="J195" i="1"/>
  <c r="F195" i="1"/>
  <c r="G195" i="1" s="1"/>
  <c r="AH194" i="1"/>
  <c r="AA194" i="1"/>
  <c r="Z194" i="1"/>
  <c r="X194" i="1"/>
  <c r="U194" i="1"/>
  <c r="V194" i="1" s="1"/>
  <c r="Q194" i="1"/>
  <c r="R194" i="1" s="1"/>
  <c r="L194" i="1"/>
  <c r="M194" i="1" s="1"/>
  <c r="J194" i="1"/>
  <c r="Y194" i="1" s="1"/>
  <c r="F194" i="1"/>
  <c r="G194" i="1" s="1"/>
  <c r="AI193" i="1"/>
  <c r="AH193" i="1"/>
  <c r="AH198" i="1" s="1"/>
  <c r="AE193" i="1" s="1"/>
  <c r="AA193" i="1"/>
  <c r="Z193" i="1"/>
  <c r="X193" i="1"/>
  <c r="U193" i="1"/>
  <c r="V193" i="1" s="1"/>
  <c r="Q193" i="1"/>
  <c r="R193" i="1" s="1"/>
  <c r="M193" i="1"/>
  <c r="L193" i="1"/>
  <c r="J193" i="1"/>
  <c r="Y193" i="1" s="1"/>
  <c r="F193" i="1"/>
  <c r="G193" i="1" s="1"/>
  <c r="B193" i="1"/>
  <c r="A193" i="1"/>
  <c r="AH191" i="1"/>
  <c r="AE186" i="1" s="1"/>
  <c r="AA191" i="1"/>
  <c r="X191" i="1"/>
  <c r="V191" i="1"/>
  <c r="U191" i="1"/>
  <c r="Q191" i="1"/>
  <c r="R191" i="1" s="1"/>
  <c r="K191" i="1"/>
  <c r="J191" i="1"/>
  <c r="G191" i="1"/>
  <c r="F191" i="1"/>
  <c r="AH190" i="1"/>
  <c r="AA190" i="1"/>
  <c r="V190" i="1"/>
  <c r="U190" i="1"/>
  <c r="Q190" i="1"/>
  <c r="R190" i="1" s="1"/>
  <c r="K190" i="1"/>
  <c r="J190" i="1"/>
  <c r="G190" i="1"/>
  <c r="F190" i="1"/>
  <c r="AH189" i="1"/>
  <c r="AA189" i="1"/>
  <c r="X189" i="1"/>
  <c r="V189" i="1"/>
  <c r="U189" i="1"/>
  <c r="Q189" i="1"/>
  <c r="R189" i="1" s="1"/>
  <c r="K189" i="1"/>
  <c r="J189" i="1"/>
  <c r="L189" i="1" s="1"/>
  <c r="M189" i="1" s="1"/>
  <c r="G189" i="1"/>
  <c r="F189" i="1"/>
  <c r="AH188" i="1"/>
  <c r="AA188" i="1"/>
  <c r="V188" i="1"/>
  <c r="U188" i="1"/>
  <c r="Q188" i="1"/>
  <c r="R188" i="1" s="1"/>
  <c r="K188" i="1"/>
  <c r="J188" i="1"/>
  <c r="G188" i="1"/>
  <c r="F188" i="1"/>
  <c r="AH187" i="1"/>
  <c r="AA187" i="1"/>
  <c r="Z187" i="1"/>
  <c r="X187" i="1"/>
  <c r="U187" i="1"/>
  <c r="V187" i="1" s="1"/>
  <c r="Q187" i="1"/>
  <c r="R187" i="1" s="1"/>
  <c r="L187" i="1"/>
  <c r="M187" i="1" s="1"/>
  <c r="J187" i="1"/>
  <c r="Y187" i="1" s="1"/>
  <c r="G187" i="1"/>
  <c r="F187" i="1"/>
  <c r="AI186" i="1"/>
  <c r="AH186" i="1"/>
  <c r="AA186" i="1"/>
  <c r="Z186" i="1"/>
  <c r="Y186" i="1"/>
  <c r="X186" i="1"/>
  <c r="U186" i="1"/>
  <c r="V186" i="1" s="1"/>
  <c r="R186" i="1"/>
  <c r="Q186" i="1"/>
  <c r="J186" i="1"/>
  <c r="L186" i="1" s="1"/>
  <c r="M186" i="1" s="1"/>
  <c r="G186" i="1"/>
  <c r="F186" i="1"/>
  <c r="B186" i="1"/>
  <c r="A186" i="1"/>
  <c r="AA184" i="1"/>
  <c r="Y184" i="1"/>
  <c r="V184" i="1"/>
  <c r="U184" i="1"/>
  <c r="R184" i="1"/>
  <c r="Q184" i="1"/>
  <c r="M184" i="1"/>
  <c r="L184" i="1"/>
  <c r="K184" i="1"/>
  <c r="X184" i="1" s="1"/>
  <c r="J184" i="1"/>
  <c r="G184" i="1"/>
  <c r="F184" i="1"/>
  <c r="AI183" i="1"/>
  <c r="AH183" i="1"/>
  <c r="AA183" i="1"/>
  <c r="Y183" i="1"/>
  <c r="U183" i="1"/>
  <c r="V183" i="1" s="1"/>
  <c r="R183" i="1"/>
  <c r="Q183" i="1"/>
  <c r="L183" i="1"/>
  <c r="M183" i="1" s="1"/>
  <c r="K183" i="1"/>
  <c r="X183" i="1" s="1"/>
  <c r="J183" i="1"/>
  <c r="G183" i="1"/>
  <c r="F183" i="1"/>
  <c r="AH182" i="1"/>
  <c r="AA182" i="1"/>
  <c r="Y182" i="1"/>
  <c r="U182" i="1"/>
  <c r="V182" i="1" s="1"/>
  <c r="R182" i="1"/>
  <c r="Q182" i="1"/>
  <c r="K182" i="1"/>
  <c r="Z182" i="1" s="1"/>
  <c r="J182" i="1"/>
  <c r="F182" i="1"/>
  <c r="G182" i="1" s="1"/>
  <c r="AI181" i="1"/>
  <c r="AH181" i="1"/>
  <c r="AA181" i="1"/>
  <c r="Y181" i="1"/>
  <c r="V181" i="1"/>
  <c r="U181" i="1"/>
  <c r="R181" i="1"/>
  <c r="Q181" i="1"/>
  <c r="M181" i="1"/>
  <c r="L181" i="1"/>
  <c r="K181" i="1"/>
  <c r="X181" i="1" s="1"/>
  <c r="J181" i="1"/>
  <c r="G181" i="1"/>
  <c r="F181" i="1"/>
  <c r="AI180" i="1"/>
  <c r="AH180" i="1"/>
  <c r="AA180" i="1"/>
  <c r="Z180" i="1"/>
  <c r="X180" i="1"/>
  <c r="V180" i="1"/>
  <c r="U180" i="1"/>
  <c r="R180" i="1"/>
  <c r="Q180" i="1"/>
  <c r="K180" i="1"/>
  <c r="J180" i="1"/>
  <c r="Y180" i="1" s="1"/>
  <c r="G180" i="1"/>
  <c r="F180" i="1"/>
  <c r="AH179" i="1"/>
  <c r="AH184" i="1" s="1"/>
  <c r="AE179" i="1"/>
  <c r="AA179" i="1"/>
  <c r="V179" i="1"/>
  <c r="U179" i="1"/>
  <c r="R179" i="1"/>
  <c r="Q179" i="1"/>
  <c r="K179" i="1"/>
  <c r="J179" i="1"/>
  <c r="G179" i="1"/>
  <c r="F179" i="1"/>
  <c r="B179" i="1"/>
  <c r="A179" i="1"/>
  <c r="AA177" i="1"/>
  <c r="Z177" i="1"/>
  <c r="X177" i="1"/>
  <c r="V177" i="1"/>
  <c r="U177" i="1"/>
  <c r="R177" i="1"/>
  <c r="Q177" i="1"/>
  <c r="M177" i="1"/>
  <c r="L177" i="1"/>
  <c r="K177" i="1"/>
  <c r="J177" i="1"/>
  <c r="Y177" i="1" s="1"/>
  <c r="G177" i="1"/>
  <c r="F177" i="1"/>
  <c r="AI176" i="1"/>
  <c r="AH176" i="1"/>
  <c r="AA176" i="1"/>
  <c r="Z176" i="1"/>
  <c r="X176" i="1"/>
  <c r="U176" i="1"/>
  <c r="V176" i="1" s="1"/>
  <c r="R176" i="1"/>
  <c r="Q176" i="1"/>
  <c r="L176" i="1"/>
  <c r="M176" i="1" s="1"/>
  <c r="K176" i="1"/>
  <c r="J176" i="1"/>
  <c r="Y176" i="1" s="1"/>
  <c r="F176" i="1"/>
  <c r="G176" i="1" s="1"/>
  <c r="AI175" i="1"/>
  <c r="AH175" i="1"/>
  <c r="AA175" i="1"/>
  <c r="Z175" i="1"/>
  <c r="X175" i="1"/>
  <c r="U175" i="1"/>
  <c r="V175" i="1" s="1"/>
  <c r="R175" i="1"/>
  <c r="Q175" i="1"/>
  <c r="L175" i="1"/>
  <c r="M175" i="1" s="1"/>
  <c r="K175" i="1"/>
  <c r="J175" i="1"/>
  <c r="Y175" i="1" s="1"/>
  <c r="G175" i="1"/>
  <c r="F175" i="1"/>
  <c r="AI174" i="1"/>
  <c r="AH174" i="1"/>
  <c r="AA174" i="1"/>
  <c r="Z174" i="1"/>
  <c r="X174" i="1"/>
  <c r="V174" i="1"/>
  <c r="U174" i="1"/>
  <c r="R174" i="1"/>
  <c r="Q174" i="1"/>
  <c r="K174" i="1"/>
  <c r="J174" i="1"/>
  <c r="Y174" i="1" s="1"/>
  <c r="G174" i="1"/>
  <c r="F174" i="1"/>
  <c r="AI173" i="1"/>
  <c r="AI177" i="1" s="1"/>
  <c r="AE173" i="1" s="1"/>
  <c r="AH173" i="1"/>
  <c r="AA173" i="1"/>
  <c r="Z173" i="1"/>
  <c r="Y173" i="1"/>
  <c r="X173" i="1"/>
  <c r="U173" i="1"/>
  <c r="V173" i="1" s="1"/>
  <c r="Q173" i="1"/>
  <c r="R173" i="1" s="1"/>
  <c r="L173" i="1"/>
  <c r="M173" i="1" s="1"/>
  <c r="J173" i="1"/>
  <c r="G173" i="1"/>
  <c r="AI172" i="1"/>
  <c r="AH172" i="1"/>
  <c r="AH177" i="1" s="1"/>
  <c r="AE172" i="1" s="1"/>
  <c r="AA172" i="1"/>
  <c r="Z172" i="1"/>
  <c r="X172" i="1"/>
  <c r="U172" i="1"/>
  <c r="V172" i="1" s="1"/>
  <c r="R172" i="1"/>
  <c r="Q172" i="1"/>
  <c r="L172" i="1"/>
  <c r="M172" i="1" s="1"/>
  <c r="J172" i="1"/>
  <c r="Y172" i="1" s="1"/>
  <c r="G172" i="1"/>
  <c r="F172" i="1"/>
  <c r="B172" i="1"/>
  <c r="A172" i="1"/>
  <c r="AA170" i="1"/>
  <c r="Y170" i="1"/>
  <c r="U170" i="1"/>
  <c r="V170" i="1" s="1"/>
  <c r="Q170" i="1"/>
  <c r="R170" i="1" s="1"/>
  <c r="K170" i="1"/>
  <c r="AI169" i="1" s="1"/>
  <c r="J170" i="1"/>
  <c r="L170" i="1" s="1"/>
  <c r="M170" i="1" s="1"/>
  <c r="G170" i="1"/>
  <c r="F170" i="1"/>
  <c r="AH169" i="1"/>
  <c r="AA169" i="1"/>
  <c r="Y169" i="1"/>
  <c r="X169" i="1"/>
  <c r="V169" i="1"/>
  <c r="U169" i="1"/>
  <c r="Q169" i="1"/>
  <c r="R169" i="1" s="1"/>
  <c r="M169" i="1"/>
  <c r="K169" i="1"/>
  <c r="J169" i="1"/>
  <c r="L169" i="1" s="1"/>
  <c r="G169" i="1"/>
  <c r="F169" i="1"/>
  <c r="AH168" i="1"/>
  <c r="AA168" i="1"/>
  <c r="Z168" i="1"/>
  <c r="V168" i="1"/>
  <c r="U168" i="1"/>
  <c r="Q168" i="1"/>
  <c r="R168" i="1" s="1"/>
  <c r="K168" i="1"/>
  <c r="J168" i="1"/>
  <c r="Y168" i="1" s="1"/>
  <c r="F168" i="1"/>
  <c r="G168" i="1" s="1"/>
  <c r="AH167" i="1"/>
  <c r="AA167" i="1"/>
  <c r="Z167" i="1"/>
  <c r="U167" i="1"/>
  <c r="V167" i="1" s="1"/>
  <c r="Q167" i="1"/>
  <c r="R167" i="1" s="1"/>
  <c r="K167" i="1"/>
  <c r="X167" i="1" s="1"/>
  <c r="J167" i="1"/>
  <c r="Y167" i="1" s="1"/>
  <c r="G167" i="1"/>
  <c r="F167" i="1"/>
  <c r="AH166" i="1"/>
  <c r="AA166" i="1"/>
  <c r="Y166" i="1"/>
  <c r="V166" i="1"/>
  <c r="U166" i="1"/>
  <c r="Q166" i="1"/>
  <c r="R166" i="1" s="1"/>
  <c r="K166" i="1"/>
  <c r="Z166" i="1" s="1"/>
  <c r="J166" i="1"/>
  <c r="G166" i="1"/>
  <c r="F166" i="1"/>
  <c r="AH165" i="1"/>
  <c r="AH170" i="1" s="1"/>
  <c r="AE165" i="1" s="1"/>
  <c r="AA165" i="1"/>
  <c r="X165" i="1"/>
  <c r="U165" i="1"/>
  <c r="V165" i="1" s="1"/>
  <c r="Q165" i="1"/>
  <c r="R165" i="1" s="1"/>
  <c r="M165" i="1"/>
  <c r="L165" i="1"/>
  <c r="K165" i="1"/>
  <c r="Z165" i="1" s="1"/>
  <c r="J165" i="1"/>
  <c r="Y165" i="1" s="1"/>
  <c r="F165" i="1"/>
  <c r="G165" i="1" s="1"/>
  <c r="B165" i="1"/>
  <c r="A165" i="1"/>
  <c r="AA163" i="1"/>
  <c r="Z163" i="1"/>
  <c r="X163" i="1"/>
  <c r="V163" i="1"/>
  <c r="U163" i="1"/>
  <c r="Q163" i="1"/>
  <c r="R163" i="1" s="1"/>
  <c r="L163" i="1"/>
  <c r="M163" i="1" s="1"/>
  <c r="K163" i="1"/>
  <c r="J163" i="1"/>
  <c r="Y163" i="1" s="1"/>
  <c r="G163" i="1"/>
  <c r="F163" i="1"/>
  <c r="AI162" i="1"/>
  <c r="AH162" i="1"/>
  <c r="AA162" i="1"/>
  <c r="Z162" i="1"/>
  <c r="X162" i="1"/>
  <c r="U162" i="1"/>
  <c r="V162" i="1" s="1"/>
  <c r="R162" i="1"/>
  <c r="Q162" i="1"/>
  <c r="K162" i="1"/>
  <c r="J162" i="1"/>
  <c r="Y162" i="1" s="1"/>
  <c r="F162" i="1"/>
  <c r="G162" i="1" s="1"/>
  <c r="AI161" i="1"/>
  <c r="AH161" i="1"/>
  <c r="AA161" i="1"/>
  <c r="Z161" i="1"/>
  <c r="X161" i="1"/>
  <c r="V161" i="1"/>
  <c r="U161" i="1"/>
  <c r="R161" i="1"/>
  <c r="Q161" i="1"/>
  <c r="L161" i="1"/>
  <c r="M161" i="1" s="1"/>
  <c r="K161" i="1"/>
  <c r="J161" i="1"/>
  <c r="Y161" i="1" s="1"/>
  <c r="G161" i="1"/>
  <c r="F161" i="1"/>
  <c r="AI160" i="1"/>
  <c r="AI163" i="1" s="1"/>
  <c r="AE159" i="1" s="1"/>
  <c r="AH160" i="1"/>
  <c r="AA160" i="1"/>
  <c r="Z160" i="1"/>
  <c r="X160" i="1"/>
  <c r="V160" i="1"/>
  <c r="U160" i="1"/>
  <c r="Q160" i="1"/>
  <c r="R160" i="1" s="1"/>
  <c r="K160" i="1"/>
  <c r="J160" i="1"/>
  <c r="F160" i="1"/>
  <c r="G160" i="1" s="1"/>
  <c r="AI159" i="1"/>
  <c r="AH159" i="1"/>
  <c r="AH163" i="1" s="1"/>
  <c r="AE158" i="1" s="1"/>
  <c r="AA159" i="1"/>
  <c r="Z159" i="1"/>
  <c r="Y159" i="1"/>
  <c r="X159" i="1"/>
  <c r="V159" i="1"/>
  <c r="U159" i="1"/>
  <c r="R159" i="1"/>
  <c r="Q159" i="1"/>
  <c r="M159" i="1"/>
  <c r="L159" i="1"/>
  <c r="G159" i="1"/>
  <c r="F159" i="1"/>
  <c r="AI158" i="1"/>
  <c r="AH158" i="1"/>
  <c r="AA158" i="1"/>
  <c r="Z158" i="1"/>
  <c r="Y158" i="1"/>
  <c r="X158" i="1"/>
  <c r="V158" i="1"/>
  <c r="U158" i="1"/>
  <c r="Q158" i="1"/>
  <c r="R158" i="1" s="1"/>
  <c r="M158" i="1"/>
  <c r="L158" i="1"/>
  <c r="F158" i="1"/>
  <c r="G158" i="1" s="1"/>
  <c r="B158" i="1"/>
  <c r="A158" i="1"/>
  <c r="AA156" i="1"/>
  <c r="Z156" i="1"/>
  <c r="X156" i="1"/>
  <c r="V156" i="1"/>
  <c r="U156" i="1"/>
  <c r="Q156" i="1"/>
  <c r="R156" i="1" s="1"/>
  <c r="L156" i="1"/>
  <c r="M156" i="1" s="1"/>
  <c r="K156" i="1"/>
  <c r="J156" i="1"/>
  <c r="Y156" i="1" s="1"/>
  <c r="F156" i="1"/>
  <c r="G156" i="1" s="1"/>
  <c r="AI155" i="1"/>
  <c r="AH155" i="1"/>
  <c r="AA155" i="1"/>
  <c r="Z155" i="1"/>
  <c r="X155" i="1"/>
  <c r="U155" i="1"/>
  <c r="V155" i="1" s="1"/>
  <c r="Q155" i="1"/>
  <c r="R155" i="1" s="1"/>
  <c r="M155" i="1"/>
  <c r="L155" i="1"/>
  <c r="K155" i="1"/>
  <c r="J155" i="1"/>
  <c r="Y155" i="1" s="1"/>
  <c r="F155" i="1"/>
  <c r="G155" i="1" s="1"/>
  <c r="AI154" i="1"/>
  <c r="AH154" i="1"/>
  <c r="AA154" i="1"/>
  <c r="Z154" i="1"/>
  <c r="X154" i="1"/>
  <c r="V154" i="1"/>
  <c r="U154" i="1"/>
  <c r="Q154" i="1"/>
  <c r="R154" i="1" s="1"/>
  <c r="L154" i="1"/>
  <c r="M154" i="1" s="1"/>
  <c r="K154" i="1"/>
  <c r="J154" i="1"/>
  <c r="Y154" i="1" s="1"/>
  <c r="G154" i="1"/>
  <c r="F154" i="1"/>
  <c r="AI153" i="1"/>
  <c r="AH153" i="1"/>
  <c r="AA153" i="1"/>
  <c r="Z153" i="1"/>
  <c r="X153" i="1"/>
  <c r="V153" i="1"/>
  <c r="U153" i="1"/>
  <c r="Q153" i="1"/>
  <c r="R153" i="1" s="1"/>
  <c r="L153" i="1"/>
  <c r="M153" i="1" s="1"/>
  <c r="K153" i="1"/>
  <c r="J153" i="1"/>
  <c r="Y153" i="1" s="1"/>
  <c r="G153" i="1"/>
  <c r="F153" i="1"/>
  <c r="AH152" i="1"/>
  <c r="AA152" i="1"/>
  <c r="Y152" i="1"/>
  <c r="V152" i="1"/>
  <c r="U152" i="1"/>
  <c r="Q152" i="1"/>
  <c r="R152" i="1" s="1"/>
  <c r="K152" i="1"/>
  <c r="J152" i="1"/>
  <c r="L152" i="1" s="1"/>
  <c r="M152" i="1" s="1"/>
  <c r="F152" i="1"/>
  <c r="G152" i="1" s="1"/>
  <c r="AH151" i="1"/>
  <c r="AA151" i="1"/>
  <c r="Z151" i="1"/>
  <c r="Y151" i="1"/>
  <c r="V151" i="1"/>
  <c r="U151" i="1"/>
  <c r="Q151" i="1"/>
  <c r="R151" i="1" s="1"/>
  <c r="L151" i="1"/>
  <c r="M151" i="1" s="1"/>
  <c r="K151" i="1"/>
  <c r="X151" i="1" s="1"/>
  <c r="J151" i="1"/>
  <c r="F151" i="1"/>
  <c r="G151" i="1" s="1"/>
  <c r="B151" i="1"/>
  <c r="A151" i="1"/>
  <c r="AA149" i="1"/>
  <c r="Z149" i="1"/>
  <c r="V149" i="1"/>
  <c r="U149" i="1"/>
  <c r="Q149" i="1"/>
  <c r="R149" i="1" s="1"/>
  <c r="K149" i="1"/>
  <c r="J149" i="1"/>
  <c r="Y149" i="1" s="1"/>
  <c r="F149" i="1"/>
  <c r="G149" i="1" s="1"/>
  <c r="AH148" i="1"/>
  <c r="AA148" i="1"/>
  <c r="Y148" i="1"/>
  <c r="V148" i="1"/>
  <c r="U148" i="1"/>
  <c r="Q148" i="1"/>
  <c r="R148" i="1" s="1"/>
  <c r="K148" i="1"/>
  <c r="J148" i="1"/>
  <c r="G148" i="1"/>
  <c r="F148" i="1"/>
  <c r="AH147" i="1"/>
  <c r="AA147" i="1"/>
  <c r="X147" i="1"/>
  <c r="U147" i="1"/>
  <c r="V147" i="1" s="1"/>
  <c r="Q147" i="1"/>
  <c r="R147" i="1" s="1"/>
  <c r="L147" i="1"/>
  <c r="M147" i="1" s="1"/>
  <c r="K147" i="1"/>
  <c r="AI146" i="1" s="1"/>
  <c r="J147" i="1"/>
  <c r="Y147" i="1" s="1"/>
  <c r="F147" i="1"/>
  <c r="G147" i="1" s="1"/>
  <c r="AH146" i="1"/>
  <c r="AA146" i="1"/>
  <c r="X146" i="1"/>
  <c r="U146" i="1"/>
  <c r="V146" i="1" s="1"/>
  <c r="Q146" i="1"/>
  <c r="R146" i="1" s="1"/>
  <c r="L146" i="1"/>
  <c r="M146" i="1" s="1"/>
  <c r="K146" i="1"/>
  <c r="J146" i="1"/>
  <c r="Y146" i="1" s="1"/>
  <c r="F146" i="1"/>
  <c r="G146" i="1" s="1"/>
  <c r="AH145" i="1"/>
  <c r="AA145" i="1"/>
  <c r="Z145" i="1"/>
  <c r="X145" i="1"/>
  <c r="V145" i="1"/>
  <c r="U145" i="1"/>
  <c r="Q145" i="1"/>
  <c r="R145" i="1" s="1"/>
  <c r="L145" i="1"/>
  <c r="M145" i="1" s="1"/>
  <c r="K145" i="1"/>
  <c r="J145" i="1"/>
  <c r="Y145" i="1" s="1"/>
  <c r="G145" i="1"/>
  <c r="F145" i="1"/>
  <c r="AI144" i="1"/>
  <c r="AH144" i="1"/>
  <c r="AH149" i="1" s="1"/>
  <c r="AE144" i="1" s="1"/>
  <c r="AA144" i="1"/>
  <c r="X144" i="1"/>
  <c r="U144" i="1"/>
  <c r="V144" i="1" s="1"/>
  <c r="R144" i="1"/>
  <c r="Q144" i="1"/>
  <c r="L144" i="1"/>
  <c r="M144" i="1" s="1"/>
  <c r="K144" i="1"/>
  <c r="Z144" i="1" s="1"/>
  <c r="J144" i="1"/>
  <c r="Y144" i="1" s="1"/>
  <c r="F144" i="1"/>
  <c r="G144" i="1" s="1"/>
  <c r="B144" i="1"/>
  <c r="A144" i="1"/>
  <c r="AH142" i="1"/>
  <c r="AE137" i="1" s="1"/>
  <c r="AA142" i="1"/>
  <c r="Z142" i="1"/>
  <c r="U142" i="1"/>
  <c r="V142" i="1" s="1"/>
  <c r="Q142" i="1"/>
  <c r="R142" i="1" s="1"/>
  <c r="L142" i="1"/>
  <c r="M142" i="1" s="1"/>
  <c r="K142" i="1"/>
  <c r="X142" i="1" s="1"/>
  <c r="J142" i="1"/>
  <c r="Y142" i="1" s="1"/>
  <c r="G142" i="1"/>
  <c r="F142" i="1"/>
  <c r="AI141" i="1"/>
  <c r="AH141" i="1"/>
  <c r="AA141" i="1"/>
  <c r="Z141" i="1"/>
  <c r="U141" i="1"/>
  <c r="V141" i="1" s="1"/>
  <c r="R141" i="1"/>
  <c r="Q141" i="1"/>
  <c r="L141" i="1"/>
  <c r="M141" i="1" s="1"/>
  <c r="K141" i="1"/>
  <c r="X141" i="1" s="1"/>
  <c r="J141" i="1"/>
  <c r="Y141" i="1" s="1"/>
  <c r="F141" i="1"/>
  <c r="G141" i="1" s="1"/>
  <c r="AI140" i="1"/>
  <c r="AH140" i="1"/>
  <c r="AA140" i="1"/>
  <c r="Z140" i="1"/>
  <c r="X140" i="1"/>
  <c r="V140" i="1"/>
  <c r="U140" i="1"/>
  <c r="R140" i="1"/>
  <c r="Q140" i="1"/>
  <c r="L140" i="1"/>
  <c r="M140" i="1" s="1"/>
  <c r="K140" i="1"/>
  <c r="J140" i="1"/>
  <c r="Y140" i="1" s="1"/>
  <c r="F140" i="1"/>
  <c r="G140" i="1" s="1"/>
  <c r="AI139" i="1"/>
  <c r="AH139" i="1"/>
  <c r="AA139" i="1"/>
  <c r="Z139" i="1"/>
  <c r="X139" i="1"/>
  <c r="V139" i="1"/>
  <c r="U139" i="1"/>
  <c r="R139" i="1"/>
  <c r="Q139" i="1"/>
  <c r="L139" i="1"/>
  <c r="M139" i="1" s="1"/>
  <c r="K139" i="1"/>
  <c r="J139" i="1"/>
  <c r="Y139" i="1" s="1"/>
  <c r="F139" i="1"/>
  <c r="G139" i="1" s="1"/>
  <c r="AI138" i="1"/>
  <c r="AH138" i="1"/>
  <c r="AA138" i="1"/>
  <c r="X138" i="1"/>
  <c r="U138" i="1"/>
  <c r="V138" i="1" s="1"/>
  <c r="R138" i="1"/>
  <c r="Q138" i="1"/>
  <c r="K138" i="1"/>
  <c r="Z138" i="1" s="1"/>
  <c r="J138" i="1"/>
  <c r="F138" i="1"/>
  <c r="G138" i="1" s="1"/>
  <c r="AI137" i="1"/>
  <c r="AI142" i="1" s="1"/>
  <c r="AE138" i="1" s="1"/>
  <c r="AH137" i="1"/>
  <c r="AA137" i="1"/>
  <c r="U137" i="1"/>
  <c r="V137" i="1" s="1"/>
  <c r="Q137" i="1"/>
  <c r="R137" i="1" s="1"/>
  <c r="K137" i="1"/>
  <c r="Z137" i="1" s="1"/>
  <c r="J137" i="1"/>
  <c r="L137" i="1" s="1"/>
  <c r="M137" i="1" s="1"/>
  <c r="F137" i="1"/>
  <c r="G137" i="1" s="1"/>
  <c r="B137" i="1"/>
  <c r="A137" i="1"/>
  <c r="AA135" i="1"/>
  <c r="Z135" i="1"/>
  <c r="X135" i="1"/>
  <c r="U135" i="1"/>
  <c r="V135" i="1" s="1"/>
  <c r="R135" i="1"/>
  <c r="Q135" i="1"/>
  <c r="L135" i="1"/>
  <c r="M135" i="1" s="1"/>
  <c r="K135" i="1"/>
  <c r="J135" i="1"/>
  <c r="Y135" i="1" s="1"/>
  <c r="F135" i="1"/>
  <c r="G135" i="1" s="1"/>
  <c r="AH134" i="1"/>
  <c r="AA134" i="1"/>
  <c r="Y134" i="1"/>
  <c r="U134" i="1"/>
  <c r="V134" i="1" s="1"/>
  <c r="Q134" i="1"/>
  <c r="R134" i="1" s="1"/>
  <c r="K134" i="1"/>
  <c r="J134" i="1"/>
  <c r="L134" i="1" s="1"/>
  <c r="M134" i="1" s="1"/>
  <c r="F134" i="1"/>
  <c r="G134" i="1" s="1"/>
  <c r="AH133" i="1"/>
  <c r="AA133" i="1"/>
  <c r="Y133" i="1"/>
  <c r="U133" i="1"/>
  <c r="V133" i="1" s="1"/>
  <c r="Q133" i="1"/>
  <c r="R133" i="1" s="1"/>
  <c r="L133" i="1"/>
  <c r="M133" i="1" s="1"/>
  <c r="K133" i="1"/>
  <c r="J133" i="1"/>
  <c r="F133" i="1"/>
  <c r="G133" i="1" s="1"/>
  <c r="AH132" i="1"/>
  <c r="AA132" i="1"/>
  <c r="Y132" i="1"/>
  <c r="X132" i="1"/>
  <c r="U132" i="1"/>
  <c r="V132" i="1" s="1"/>
  <c r="Q132" i="1"/>
  <c r="R132" i="1" s="1"/>
  <c r="K132" i="1"/>
  <c r="J132" i="1"/>
  <c r="L132" i="1" s="1"/>
  <c r="M132" i="1" s="1"/>
  <c r="F132" i="1"/>
  <c r="G132" i="1" s="1"/>
  <c r="AH131" i="1"/>
  <c r="AA131" i="1"/>
  <c r="Z131" i="1"/>
  <c r="Y131" i="1"/>
  <c r="V131" i="1"/>
  <c r="U131" i="1"/>
  <c r="Q131" i="1"/>
  <c r="R131" i="1" s="1"/>
  <c r="L131" i="1"/>
  <c r="M131" i="1" s="1"/>
  <c r="K131" i="1"/>
  <c r="J131" i="1"/>
  <c r="G131" i="1"/>
  <c r="F131" i="1"/>
  <c r="AH130" i="1"/>
  <c r="AH135" i="1" s="1"/>
  <c r="AE130" i="1"/>
  <c r="AA130" i="1"/>
  <c r="Z130" i="1"/>
  <c r="X130" i="1"/>
  <c r="V130" i="1"/>
  <c r="U130" i="1"/>
  <c r="R130" i="1"/>
  <c r="Q130" i="1"/>
  <c r="L130" i="1"/>
  <c r="M130" i="1" s="1"/>
  <c r="K130" i="1"/>
  <c r="J130" i="1"/>
  <c r="Y130" i="1" s="1"/>
  <c r="G130" i="1"/>
  <c r="F130" i="1"/>
  <c r="B130" i="1"/>
  <c r="A130" i="1"/>
  <c r="AA128" i="1"/>
  <c r="Z128" i="1"/>
  <c r="V128" i="1"/>
  <c r="U128" i="1"/>
  <c r="R128" i="1"/>
  <c r="Q128" i="1"/>
  <c r="L128" i="1"/>
  <c r="M128" i="1" s="1"/>
  <c r="K128" i="1"/>
  <c r="X128" i="1" s="1"/>
  <c r="J128" i="1"/>
  <c r="Y128" i="1" s="1"/>
  <c r="F128" i="1"/>
  <c r="G128" i="1" s="1"/>
  <c r="AI127" i="1"/>
  <c r="AH127" i="1"/>
  <c r="AA127" i="1"/>
  <c r="Z127" i="1"/>
  <c r="U127" i="1"/>
  <c r="V127" i="1" s="1"/>
  <c r="Q127" i="1"/>
  <c r="R127" i="1" s="1"/>
  <c r="L127" i="1"/>
  <c r="M127" i="1" s="1"/>
  <c r="K127" i="1"/>
  <c r="X127" i="1" s="1"/>
  <c r="J127" i="1"/>
  <c r="Y127" i="1" s="1"/>
  <c r="F127" i="1"/>
  <c r="G127" i="1" s="1"/>
  <c r="AI126" i="1"/>
  <c r="AH126" i="1"/>
  <c r="AA126" i="1"/>
  <c r="Z126" i="1"/>
  <c r="V126" i="1"/>
  <c r="U126" i="1"/>
  <c r="Q126" i="1"/>
  <c r="R126" i="1" s="1"/>
  <c r="L126" i="1"/>
  <c r="M126" i="1" s="1"/>
  <c r="K126" i="1"/>
  <c r="X126" i="1" s="1"/>
  <c r="J126" i="1"/>
  <c r="Y126" i="1" s="1"/>
  <c r="F126" i="1"/>
  <c r="G126" i="1" s="1"/>
  <c r="AI125" i="1"/>
  <c r="AH125" i="1"/>
  <c r="AH128" i="1" s="1"/>
  <c r="AA125" i="1"/>
  <c r="Z125" i="1"/>
  <c r="U125" i="1"/>
  <c r="V125" i="1" s="1"/>
  <c r="Q125" i="1"/>
  <c r="R125" i="1" s="1"/>
  <c r="L125" i="1"/>
  <c r="M125" i="1" s="1"/>
  <c r="K125" i="1"/>
  <c r="X125" i="1" s="1"/>
  <c r="J125" i="1"/>
  <c r="Y125" i="1" s="1"/>
  <c r="G125" i="1"/>
  <c r="F125" i="1"/>
  <c r="AI124" i="1"/>
  <c r="AH124" i="1"/>
  <c r="AA124" i="1"/>
  <c r="Z124" i="1"/>
  <c r="X124" i="1"/>
  <c r="V124" i="1"/>
  <c r="U124" i="1"/>
  <c r="R124" i="1"/>
  <c r="Q124" i="1"/>
  <c r="K124" i="1"/>
  <c r="J124" i="1"/>
  <c r="G124" i="1"/>
  <c r="F124" i="1"/>
  <c r="AI123" i="1"/>
  <c r="AI128" i="1" s="1"/>
  <c r="AE124" i="1" s="1"/>
  <c r="AH123" i="1"/>
  <c r="AE123" i="1"/>
  <c r="AA123" i="1"/>
  <c r="U123" i="1"/>
  <c r="V123" i="1" s="1"/>
  <c r="Q123" i="1"/>
  <c r="R123" i="1" s="1"/>
  <c r="K123" i="1"/>
  <c r="Z123" i="1" s="1"/>
  <c r="J123" i="1"/>
  <c r="L123" i="1" s="1"/>
  <c r="M123" i="1" s="1"/>
  <c r="G123" i="1"/>
  <c r="B123" i="1"/>
  <c r="A123" i="1"/>
  <c r="AA121" i="1"/>
  <c r="Z121" i="1"/>
  <c r="X121" i="1"/>
  <c r="V121" i="1"/>
  <c r="U121" i="1"/>
  <c r="R121" i="1"/>
  <c r="Q121" i="1"/>
  <c r="K121" i="1"/>
  <c r="L121" i="1" s="1"/>
  <c r="M121" i="1" s="1"/>
  <c r="J121" i="1"/>
  <c r="Y121" i="1" s="1"/>
  <c r="G121" i="1"/>
  <c r="F121" i="1"/>
  <c r="AI120" i="1"/>
  <c r="AH120" i="1"/>
  <c r="AA120" i="1"/>
  <c r="Z120" i="1"/>
  <c r="Y120" i="1"/>
  <c r="V120" i="1"/>
  <c r="U120" i="1"/>
  <c r="R120" i="1"/>
  <c r="Q120" i="1"/>
  <c r="L120" i="1"/>
  <c r="M120" i="1" s="1"/>
  <c r="K120" i="1"/>
  <c r="J120" i="1"/>
  <c r="G120" i="1"/>
  <c r="F120" i="1"/>
  <c r="AH119" i="1"/>
  <c r="AA119" i="1"/>
  <c r="Z119" i="1"/>
  <c r="V119" i="1"/>
  <c r="U119" i="1"/>
  <c r="R119" i="1"/>
  <c r="Q119" i="1"/>
  <c r="K119" i="1"/>
  <c r="X119" i="1" s="1"/>
  <c r="J119" i="1"/>
  <c r="L119" i="1" s="1"/>
  <c r="M119" i="1" s="1"/>
  <c r="G119" i="1"/>
  <c r="F119" i="1"/>
  <c r="AH118" i="1"/>
  <c r="AA118" i="1"/>
  <c r="X118" i="1"/>
  <c r="V118" i="1"/>
  <c r="U118" i="1"/>
  <c r="R118" i="1"/>
  <c r="Q118" i="1"/>
  <c r="L118" i="1"/>
  <c r="M118" i="1" s="1"/>
  <c r="K118" i="1"/>
  <c r="Z118" i="1" s="1"/>
  <c r="J118" i="1"/>
  <c r="Y118" i="1" s="1"/>
  <c r="G118" i="1"/>
  <c r="F118" i="1"/>
  <c r="AH117" i="1"/>
  <c r="AA117" i="1"/>
  <c r="U117" i="1"/>
  <c r="V117" i="1" s="1"/>
  <c r="R117" i="1"/>
  <c r="Q117" i="1"/>
  <c r="K117" i="1"/>
  <c r="X117" i="1" s="1"/>
  <c r="J117" i="1"/>
  <c r="F117" i="1"/>
  <c r="G117" i="1" s="1"/>
  <c r="AH116" i="1"/>
  <c r="AH121" i="1" s="1"/>
  <c r="AE116" i="1"/>
  <c r="AA116" i="1"/>
  <c r="Z116" i="1"/>
  <c r="Y116" i="1"/>
  <c r="V116" i="1"/>
  <c r="U116" i="1"/>
  <c r="Q116" i="1"/>
  <c r="R116" i="1" s="1"/>
  <c r="L116" i="1"/>
  <c r="M116" i="1" s="1"/>
  <c r="K116" i="1"/>
  <c r="X116" i="1" s="1"/>
  <c r="J116" i="1"/>
  <c r="G116" i="1"/>
  <c r="B116" i="1"/>
  <c r="A116" i="1"/>
  <c r="AH114" i="1"/>
  <c r="AE109" i="1" s="1"/>
  <c r="AA114" i="1"/>
  <c r="Z114" i="1"/>
  <c r="X114" i="1"/>
  <c r="V114" i="1"/>
  <c r="U114" i="1"/>
  <c r="Q114" i="1"/>
  <c r="R114" i="1" s="1"/>
  <c r="L114" i="1"/>
  <c r="M114" i="1" s="1"/>
  <c r="K114" i="1"/>
  <c r="J114" i="1"/>
  <c r="Y114" i="1" s="1"/>
  <c r="G114" i="1"/>
  <c r="F114" i="1"/>
  <c r="AI113" i="1"/>
  <c r="AH113" i="1"/>
  <c r="AA113" i="1"/>
  <c r="Z113" i="1"/>
  <c r="X113" i="1"/>
  <c r="V113" i="1"/>
  <c r="U113" i="1"/>
  <c r="R113" i="1"/>
  <c r="Q113" i="1"/>
  <c r="L113" i="1"/>
  <c r="M113" i="1" s="1"/>
  <c r="K113" i="1"/>
  <c r="J113" i="1"/>
  <c r="Y113" i="1" s="1"/>
  <c r="G113" i="1"/>
  <c r="F113" i="1"/>
  <c r="AI112" i="1"/>
  <c r="AH112" i="1"/>
  <c r="AA112" i="1"/>
  <c r="Z112" i="1"/>
  <c r="X112" i="1"/>
  <c r="V112" i="1"/>
  <c r="U112" i="1"/>
  <c r="Q112" i="1"/>
  <c r="R112" i="1" s="1"/>
  <c r="M112" i="1"/>
  <c r="L112" i="1"/>
  <c r="K112" i="1"/>
  <c r="J112" i="1"/>
  <c r="Y112" i="1" s="1"/>
  <c r="G112" i="1"/>
  <c r="F112" i="1"/>
  <c r="AI111" i="1"/>
  <c r="AH111" i="1"/>
  <c r="AA111" i="1"/>
  <c r="Z111" i="1"/>
  <c r="X111" i="1"/>
  <c r="V111" i="1"/>
  <c r="U111" i="1"/>
  <c r="R111" i="1"/>
  <c r="Q111" i="1"/>
  <c r="L111" i="1"/>
  <c r="M111" i="1" s="1"/>
  <c r="K111" i="1"/>
  <c r="J111" i="1"/>
  <c r="Y111" i="1" s="1"/>
  <c r="G111" i="1"/>
  <c r="F111" i="1"/>
  <c r="AI110" i="1"/>
  <c r="AH110" i="1"/>
  <c r="AA110" i="1"/>
  <c r="Y110" i="1"/>
  <c r="U110" i="1"/>
  <c r="V110" i="1" s="1"/>
  <c r="R110" i="1"/>
  <c r="Q110" i="1"/>
  <c r="M110" i="1"/>
  <c r="K110" i="1"/>
  <c r="J110" i="1"/>
  <c r="L110" i="1" s="1"/>
  <c r="F110" i="1"/>
  <c r="G110" i="1" s="1"/>
  <c r="AI109" i="1"/>
  <c r="AH109" i="1"/>
  <c r="AA109" i="1"/>
  <c r="Z109" i="1"/>
  <c r="Y109" i="1"/>
  <c r="U109" i="1"/>
  <c r="V109" i="1" s="1"/>
  <c r="R109" i="1"/>
  <c r="Q109" i="1"/>
  <c r="L109" i="1"/>
  <c r="M109" i="1" s="1"/>
  <c r="K109" i="1"/>
  <c r="X109" i="1" s="1"/>
  <c r="J109" i="1"/>
  <c r="F109" i="1"/>
  <c r="G109" i="1" s="1"/>
  <c r="B109" i="1"/>
  <c r="A109" i="1"/>
  <c r="AH107" i="1"/>
  <c r="AE102" i="1" s="1"/>
  <c r="AA107" i="1"/>
  <c r="U107" i="1"/>
  <c r="V107" i="1" s="1"/>
  <c r="Q107" i="1"/>
  <c r="R107" i="1" s="1"/>
  <c r="K107" i="1"/>
  <c r="J107" i="1"/>
  <c r="G107" i="1"/>
  <c r="F107" i="1"/>
  <c r="AH106" i="1"/>
  <c r="AA106" i="1"/>
  <c r="Y106" i="1"/>
  <c r="X106" i="1"/>
  <c r="V106" i="1"/>
  <c r="U106" i="1"/>
  <c r="Q106" i="1"/>
  <c r="R106" i="1" s="1"/>
  <c r="K106" i="1"/>
  <c r="J106" i="1"/>
  <c r="L106" i="1" s="1"/>
  <c r="M106" i="1" s="1"/>
  <c r="F106" i="1"/>
  <c r="G106" i="1" s="1"/>
  <c r="AH105" i="1"/>
  <c r="AA105" i="1"/>
  <c r="Y105" i="1"/>
  <c r="X105" i="1"/>
  <c r="U105" i="1"/>
  <c r="V105" i="1" s="1"/>
  <c r="Q105" i="1"/>
  <c r="R105" i="1" s="1"/>
  <c r="K105" i="1"/>
  <c r="J105" i="1"/>
  <c r="L105" i="1" s="1"/>
  <c r="M105" i="1" s="1"/>
  <c r="F105" i="1"/>
  <c r="G105" i="1" s="1"/>
  <c r="AH104" i="1"/>
  <c r="AA104" i="1"/>
  <c r="V104" i="1"/>
  <c r="U104" i="1"/>
  <c r="Q104" i="1"/>
  <c r="R104" i="1" s="1"/>
  <c r="K104" i="1"/>
  <c r="J104" i="1"/>
  <c r="L104" i="1" s="1"/>
  <c r="M104" i="1" s="1"/>
  <c r="F104" i="1"/>
  <c r="G104" i="1" s="1"/>
  <c r="AH103" i="1"/>
  <c r="AA103" i="1"/>
  <c r="Z103" i="1"/>
  <c r="V103" i="1"/>
  <c r="U103" i="1"/>
  <c r="R103" i="1"/>
  <c r="Q103" i="1"/>
  <c r="K103" i="1"/>
  <c r="J103" i="1"/>
  <c r="Y103" i="1" s="1"/>
  <c r="G103" i="1"/>
  <c r="F103" i="1"/>
  <c r="AH102" i="1"/>
  <c r="AA102" i="1"/>
  <c r="Y102" i="1"/>
  <c r="U102" i="1"/>
  <c r="V102" i="1" s="1"/>
  <c r="R102" i="1"/>
  <c r="Q102" i="1"/>
  <c r="K102" i="1"/>
  <c r="Z102" i="1" s="1"/>
  <c r="J102" i="1"/>
  <c r="F102" i="1"/>
  <c r="G102" i="1" s="1"/>
  <c r="B102" i="1"/>
  <c r="A102" i="1"/>
  <c r="AA100" i="1"/>
  <c r="Z100" i="1"/>
  <c r="X100" i="1"/>
  <c r="V100" i="1"/>
  <c r="U100" i="1"/>
  <c r="R100" i="1"/>
  <c r="Q100" i="1"/>
  <c r="K100" i="1"/>
  <c r="J100" i="1"/>
  <c r="G100" i="1"/>
  <c r="F100" i="1"/>
  <c r="AI99" i="1"/>
  <c r="AH99" i="1"/>
  <c r="AA99" i="1"/>
  <c r="Z99" i="1"/>
  <c r="X99" i="1"/>
  <c r="U99" i="1"/>
  <c r="V99" i="1" s="1"/>
  <c r="Q99" i="1"/>
  <c r="R99" i="1" s="1"/>
  <c r="L99" i="1"/>
  <c r="M99" i="1" s="1"/>
  <c r="K99" i="1"/>
  <c r="J99" i="1"/>
  <c r="Y99" i="1" s="1"/>
  <c r="F99" i="1"/>
  <c r="G99" i="1" s="1"/>
  <c r="AI98" i="1"/>
  <c r="AH98" i="1"/>
  <c r="AA98" i="1"/>
  <c r="Z98" i="1"/>
  <c r="X98" i="1"/>
  <c r="U98" i="1"/>
  <c r="V98" i="1" s="1"/>
  <c r="Q98" i="1"/>
  <c r="R98" i="1" s="1"/>
  <c r="M98" i="1"/>
  <c r="L98" i="1"/>
  <c r="K98" i="1"/>
  <c r="J98" i="1"/>
  <c r="Y98" i="1" s="1"/>
  <c r="F98" i="1"/>
  <c r="G98" i="1" s="1"/>
  <c r="AI97" i="1"/>
  <c r="AH97" i="1"/>
  <c r="AA97" i="1"/>
  <c r="Z97" i="1"/>
  <c r="X97" i="1"/>
  <c r="U97" i="1"/>
  <c r="V97" i="1" s="1"/>
  <c r="Q97" i="1"/>
  <c r="R97" i="1" s="1"/>
  <c r="L97" i="1"/>
  <c r="M97" i="1" s="1"/>
  <c r="K97" i="1"/>
  <c r="J97" i="1"/>
  <c r="Y97" i="1" s="1"/>
  <c r="F97" i="1"/>
  <c r="G97" i="1" s="1"/>
  <c r="AH96" i="1"/>
  <c r="AA96" i="1"/>
  <c r="X96" i="1"/>
  <c r="U96" i="1"/>
  <c r="V96" i="1" s="1"/>
  <c r="Q96" i="1"/>
  <c r="R96" i="1" s="1"/>
  <c r="K96" i="1"/>
  <c r="Z96" i="1" s="1"/>
  <c r="J96" i="1"/>
  <c r="G96" i="1"/>
  <c r="F96" i="1"/>
  <c r="AI95" i="1"/>
  <c r="AH95" i="1"/>
  <c r="AH100" i="1" s="1"/>
  <c r="AE95" i="1" s="1"/>
  <c r="AA95" i="1"/>
  <c r="Z95" i="1"/>
  <c r="X95" i="1"/>
  <c r="U95" i="1"/>
  <c r="V95" i="1" s="1"/>
  <c r="R95" i="1"/>
  <c r="Q95" i="1"/>
  <c r="M95" i="1"/>
  <c r="L95" i="1"/>
  <c r="K95" i="1"/>
  <c r="J95" i="1"/>
  <c r="Y95" i="1" s="1"/>
  <c r="F95" i="1"/>
  <c r="G95" i="1" s="1"/>
  <c r="B95" i="1"/>
  <c r="A95" i="1"/>
  <c r="AA93" i="1"/>
  <c r="Z93" i="1"/>
  <c r="X93" i="1"/>
  <c r="U93" i="1"/>
  <c r="V93" i="1" s="1"/>
  <c r="R93" i="1"/>
  <c r="Q93" i="1"/>
  <c r="L93" i="1"/>
  <c r="M93" i="1" s="1"/>
  <c r="K93" i="1"/>
  <c r="J93" i="1"/>
  <c r="Y93" i="1" s="1"/>
  <c r="F93" i="1"/>
  <c r="G93" i="1" s="1"/>
  <c r="AI92" i="1"/>
  <c r="AH92" i="1"/>
  <c r="AH93" i="1" s="1"/>
  <c r="AE88" i="1" s="1"/>
  <c r="AA92" i="1"/>
  <c r="Z92" i="1"/>
  <c r="X92" i="1"/>
  <c r="U92" i="1"/>
  <c r="V92" i="1" s="1"/>
  <c r="Q92" i="1"/>
  <c r="R92" i="1" s="1"/>
  <c r="K92" i="1"/>
  <c r="J92" i="1"/>
  <c r="Y92" i="1" s="1"/>
  <c r="G92" i="1"/>
  <c r="F92" i="1"/>
  <c r="AI91" i="1"/>
  <c r="AH91" i="1"/>
  <c r="AA91" i="1"/>
  <c r="Z91" i="1"/>
  <c r="X91" i="1"/>
  <c r="V91" i="1"/>
  <c r="U91" i="1"/>
  <c r="Q91" i="1"/>
  <c r="R91" i="1" s="1"/>
  <c r="L91" i="1"/>
  <c r="M91" i="1" s="1"/>
  <c r="K91" i="1"/>
  <c r="J91" i="1"/>
  <c r="Y91" i="1" s="1"/>
  <c r="F91" i="1"/>
  <c r="G91" i="1" s="1"/>
  <c r="AI90" i="1"/>
  <c r="AH90" i="1"/>
  <c r="AA90" i="1"/>
  <c r="Z90" i="1"/>
  <c r="X90" i="1"/>
  <c r="V90" i="1"/>
  <c r="U90" i="1"/>
  <c r="Q90" i="1"/>
  <c r="R90" i="1" s="1"/>
  <c r="K90" i="1"/>
  <c r="J90" i="1"/>
  <c r="F90" i="1"/>
  <c r="G90" i="1" s="1"/>
  <c r="AH89" i="1"/>
  <c r="AA89" i="1"/>
  <c r="U89" i="1"/>
  <c r="V89" i="1" s="1"/>
  <c r="R89" i="1"/>
  <c r="Q89" i="1"/>
  <c r="K89" i="1"/>
  <c r="J89" i="1"/>
  <c r="F89" i="1"/>
  <c r="G89" i="1" s="1"/>
  <c r="AH88" i="1"/>
  <c r="AA88" i="1"/>
  <c r="Z88" i="1"/>
  <c r="U88" i="1"/>
  <c r="V88" i="1" s="1"/>
  <c r="Q88" i="1"/>
  <c r="R88" i="1" s="1"/>
  <c r="K88" i="1"/>
  <c r="X88" i="1" s="1"/>
  <c r="J88" i="1"/>
  <c r="F88" i="1"/>
  <c r="G88" i="1" s="1"/>
  <c r="B88" i="1"/>
  <c r="A88" i="1"/>
  <c r="AA86" i="1"/>
  <c r="Z86" i="1"/>
  <c r="U86" i="1"/>
  <c r="V86" i="1" s="1"/>
  <c r="Q86" i="1"/>
  <c r="R86" i="1" s="1"/>
  <c r="K86" i="1"/>
  <c r="AI85" i="1" s="1"/>
  <c r="J86" i="1"/>
  <c r="Y86" i="1" s="1"/>
  <c r="F86" i="1"/>
  <c r="G86" i="1" s="1"/>
  <c r="AH85" i="1"/>
  <c r="AA85" i="1"/>
  <c r="Z85" i="1"/>
  <c r="Y85" i="1"/>
  <c r="X85" i="1"/>
  <c r="U85" i="1"/>
  <c r="V85" i="1" s="1"/>
  <c r="Q85" i="1"/>
  <c r="R85" i="1" s="1"/>
  <c r="K85" i="1"/>
  <c r="J85" i="1"/>
  <c r="L85" i="1" s="1"/>
  <c r="M85" i="1" s="1"/>
  <c r="F85" i="1"/>
  <c r="G85" i="1" s="1"/>
  <c r="AH84" i="1"/>
  <c r="AH86" i="1" s="1"/>
  <c r="AE81" i="1" s="1"/>
  <c r="AA84" i="1"/>
  <c r="Z84" i="1"/>
  <c r="Y84" i="1"/>
  <c r="U84" i="1"/>
  <c r="V84" i="1" s="1"/>
  <c r="Q84" i="1"/>
  <c r="R84" i="1" s="1"/>
  <c r="K84" i="1"/>
  <c r="J84" i="1"/>
  <c r="L84" i="1" s="1"/>
  <c r="M84" i="1" s="1"/>
  <c r="F84" i="1"/>
  <c r="G84" i="1" s="1"/>
  <c r="AH83" i="1"/>
  <c r="AA83" i="1"/>
  <c r="X83" i="1"/>
  <c r="U83" i="1"/>
  <c r="V83" i="1" s="1"/>
  <c r="Q83" i="1"/>
  <c r="R83" i="1" s="1"/>
  <c r="K83" i="1"/>
  <c r="J83" i="1"/>
  <c r="L83" i="1" s="1"/>
  <c r="M83" i="1" s="1"/>
  <c r="G83" i="1"/>
  <c r="F83" i="1"/>
  <c r="AH82" i="1"/>
  <c r="AA82" i="1"/>
  <c r="V82" i="1"/>
  <c r="U82" i="1"/>
  <c r="Q82" i="1"/>
  <c r="R82" i="1" s="1"/>
  <c r="K82" i="1"/>
  <c r="Z82" i="1" s="1"/>
  <c r="J82" i="1"/>
  <c r="L82" i="1" s="1"/>
  <c r="M82" i="1" s="1"/>
  <c r="G82" i="1"/>
  <c r="F82" i="1"/>
  <c r="AI81" i="1"/>
  <c r="AH81" i="1"/>
  <c r="AA81" i="1"/>
  <c r="Z81" i="1"/>
  <c r="Y81" i="1"/>
  <c r="X81" i="1"/>
  <c r="U81" i="1"/>
  <c r="V81" i="1" s="1"/>
  <c r="Q81" i="1"/>
  <c r="R81" i="1" s="1"/>
  <c r="K81" i="1"/>
  <c r="J81" i="1"/>
  <c r="L81" i="1" s="1"/>
  <c r="M81" i="1" s="1"/>
  <c r="F81" i="1"/>
  <c r="G81" i="1" s="1"/>
  <c r="B81" i="1"/>
  <c r="A81" i="1"/>
  <c r="AA79" i="1"/>
  <c r="Z79" i="1"/>
  <c r="X79" i="1"/>
  <c r="V79" i="1"/>
  <c r="U79" i="1"/>
  <c r="Q79" i="1"/>
  <c r="R79" i="1" s="1"/>
  <c r="K79" i="1"/>
  <c r="J79" i="1"/>
  <c r="G79" i="1"/>
  <c r="F79" i="1"/>
  <c r="AI78" i="1"/>
  <c r="AH78" i="1"/>
  <c r="AA78" i="1"/>
  <c r="Z78" i="1"/>
  <c r="X78" i="1"/>
  <c r="U78" i="1"/>
  <c r="V78" i="1" s="1"/>
  <c r="Q78" i="1"/>
  <c r="R78" i="1" s="1"/>
  <c r="K78" i="1"/>
  <c r="J78" i="1"/>
  <c r="G78" i="1"/>
  <c r="F78" i="1"/>
  <c r="AI77" i="1"/>
  <c r="AH77" i="1"/>
  <c r="AA77" i="1"/>
  <c r="Z77" i="1"/>
  <c r="X77" i="1"/>
  <c r="U77" i="1"/>
  <c r="V77" i="1" s="1"/>
  <c r="R77" i="1"/>
  <c r="Q77" i="1"/>
  <c r="M77" i="1"/>
  <c r="L77" i="1"/>
  <c r="K77" i="1"/>
  <c r="J77" i="1"/>
  <c r="Y77" i="1" s="1"/>
  <c r="F77" i="1"/>
  <c r="G77" i="1" s="1"/>
  <c r="AI76" i="1"/>
  <c r="AH76" i="1"/>
  <c r="AA76" i="1"/>
  <c r="Z76" i="1"/>
  <c r="X76" i="1"/>
  <c r="U76" i="1"/>
  <c r="V76" i="1" s="1"/>
  <c r="Q76" i="1"/>
  <c r="R76" i="1" s="1"/>
  <c r="L76" i="1"/>
  <c r="M76" i="1" s="1"/>
  <c r="K76" i="1"/>
  <c r="J76" i="1"/>
  <c r="Y76" i="1" s="1"/>
  <c r="F76" i="1"/>
  <c r="G76" i="1" s="1"/>
  <c r="AH75" i="1"/>
  <c r="AA75" i="1"/>
  <c r="Y75" i="1"/>
  <c r="U75" i="1"/>
  <c r="V75" i="1" s="1"/>
  <c r="Q75" i="1"/>
  <c r="R75" i="1" s="1"/>
  <c r="K75" i="1"/>
  <c r="AI75" i="1" s="1"/>
  <c r="J75" i="1"/>
  <c r="F75" i="1"/>
  <c r="G75" i="1" s="1"/>
  <c r="AH74" i="1"/>
  <c r="AA74" i="1"/>
  <c r="Z74" i="1"/>
  <c r="U74" i="1"/>
  <c r="V74" i="1" s="1"/>
  <c r="Q74" i="1"/>
  <c r="R74" i="1" s="1"/>
  <c r="K74" i="1"/>
  <c r="X74" i="1" s="1"/>
  <c r="J74" i="1"/>
  <c r="F74" i="1"/>
  <c r="G74" i="1" s="1"/>
  <c r="B74" i="1"/>
  <c r="A74" i="1"/>
  <c r="AA72" i="1"/>
  <c r="Z72" i="1"/>
  <c r="Y72" i="1"/>
  <c r="U72" i="1"/>
  <c r="V72" i="1" s="1"/>
  <c r="Q72" i="1"/>
  <c r="R72" i="1" s="1"/>
  <c r="M72" i="1"/>
  <c r="K72" i="1"/>
  <c r="J72" i="1"/>
  <c r="L72" i="1" s="1"/>
  <c r="F72" i="1"/>
  <c r="G72" i="1" s="1"/>
  <c r="AH71" i="1"/>
  <c r="AA71" i="1"/>
  <c r="V71" i="1"/>
  <c r="U71" i="1"/>
  <c r="Q71" i="1"/>
  <c r="R71" i="1" s="1"/>
  <c r="K71" i="1"/>
  <c r="Z71" i="1" s="1"/>
  <c r="J71" i="1"/>
  <c r="Y71" i="1" s="1"/>
  <c r="F71" i="1"/>
  <c r="G71" i="1" s="1"/>
  <c r="AH70" i="1"/>
  <c r="AA70" i="1"/>
  <c r="Y70" i="1"/>
  <c r="U70" i="1"/>
  <c r="V70" i="1" s="1"/>
  <c r="Q70" i="1"/>
  <c r="R70" i="1" s="1"/>
  <c r="K70" i="1"/>
  <c r="AI69" i="1" s="1"/>
  <c r="J70" i="1"/>
  <c r="G70" i="1"/>
  <c r="F70" i="1"/>
  <c r="AH69" i="1"/>
  <c r="AA69" i="1"/>
  <c r="X69" i="1"/>
  <c r="U69" i="1"/>
  <c r="V69" i="1" s="1"/>
  <c r="Q69" i="1"/>
  <c r="R69" i="1" s="1"/>
  <c r="L69" i="1"/>
  <c r="M69" i="1" s="1"/>
  <c r="K69" i="1"/>
  <c r="J69" i="1"/>
  <c r="Y69" i="1" s="1"/>
  <c r="G69" i="1"/>
  <c r="F69" i="1"/>
  <c r="AH68" i="1"/>
  <c r="AH72" i="1" s="1"/>
  <c r="AE67" i="1" s="1"/>
  <c r="AA68" i="1"/>
  <c r="Z68" i="1"/>
  <c r="X68" i="1"/>
  <c r="V68" i="1"/>
  <c r="U68" i="1"/>
  <c r="R68" i="1"/>
  <c r="Q68" i="1"/>
  <c r="M68" i="1"/>
  <c r="L68" i="1"/>
  <c r="K68" i="1"/>
  <c r="J68" i="1"/>
  <c r="Y68" i="1" s="1"/>
  <c r="G68" i="1"/>
  <c r="F68" i="1"/>
  <c r="AI67" i="1"/>
  <c r="AH67" i="1"/>
  <c r="AA67" i="1"/>
  <c r="X67" i="1"/>
  <c r="U67" i="1"/>
  <c r="V67" i="1" s="1"/>
  <c r="R67" i="1"/>
  <c r="Q67" i="1"/>
  <c r="M67" i="1"/>
  <c r="L67" i="1"/>
  <c r="K67" i="1"/>
  <c r="Z67" i="1" s="1"/>
  <c r="J67" i="1"/>
  <c r="Y67" i="1" s="1"/>
  <c r="F67" i="1"/>
  <c r="G67" i="1" s="1"/>
  <c r="B67" i="1"/>
  <c r="A67" i="1"/>
  <c r="AA65" i="1"/>
  <c r="Z65" i="1"/>
  <c r="X65" i="1"/>
  <c r="U65" i="1"/>
  <c r="V65" i="1" s="1"/>
  <c r="R65" i="1"/>
  <c r="Q65" i="1"/>
  <c r="M65" i="1"/>
  <c r="L65" i="1"/>
  <c r="K65" i="1"/>
  <c r="J65" i="1"/>
  <c r="Y65" i="1" s="1"/>
  <c r="G65" i="1"/>
  <c r="F65" i="1"/>
  <c r="AI64" i="1"/>
  <c r="AH64" i="1"/>
  <c r="AA64" i="1"/>
  <c r="Z64" i="1"/>
  <c r="X64" i="1"/>
  <c r="U64" i="1"/>
  <c r="V64" i="1" s="1"/>
  <c r="R64" i="1"/>
  <c r="Q64" i="1"/>
  <c r="L64" i="1"/>
  <c r="M64" i="1" s="1"/>
  <c r="K64" i="1"/>
  <c r="J64" i="1"/>
  <c r="Y64" i="1" s="1"/>
  <c r="F64" i="1"/>
  <c r="G64" i="1" s="1"/>
  <c r="AI63" i="1"/>
  <c r="AH63" i="1"/>
  <c r="AH65" i="1" s="1"/>
  <c r="AE60" i="1" s="1"/>
  <c r="AA63" i="1"/>
  <c r="Z63" i="1"/>
  <c r="X63" i="1"/>
  <c r="U63" i="1"/>
  <c r="V63" i="1" s="1"/>
  <c r="R63" i="1"/>
  <c r="Q63" i="1"/>
  <c r="K63" i="1"/>
  <c r="J63" i="1"/>
  <c r="F63" i="1"/>
  <c r="G63" i="1" s="1"/>
  <c r="AI62" i="1"/>
  <c r="AH62" i="1"/>
  <c r="AA62" i="1"/>
  <c r="Z62" i="1"/>
  <c r="X62" i="1"/>
  <c r="V62" i="1"/>
  <c r="U62" i="1"/>
  <c r="Q62" i="1"/>
  <c r="R62" i="1" s="1"/>
  <c r="K62" i="1"/>
  <c r="J62" i="1"/>
  <c r="Y62" i="1" s="1"/>
  <c r="G62" i="1"/>
  <c r="F62" i="1"/>
  <c r="AH61" i="1"/>
  <c r="AA61" i="1"/>
  <c r="X61" i="1"/>
  <c r="V61" i="1"/>
  <c r="U61" i="1"/>
  <c r="Q61" i="1"/>
  <c r="R61" i="1" s="1"/>
  <c r="K61" i="1"/>
  <c r="J61" i="1"/>
  <c r="F61" i="1"/>
  <c r="G61" i="1" s="1"/>
  <c r="AH60" i="1"/>
  <c r="AA60" i="1"/>
  <c r="Z60" i="1"/>
  <c r="X60" i="1"/>
  <c r="V60" i="1"/>
  <c r="U60" i="1"/>
  <c r="Q60" i="1"/>
  <c r="R60" i="1" s="1"/>
  <c r="K60" i="1"/>
  <c r="J60" i="1"/>
  <c r="Y60" i="1" s="1"/>
  <c r="G60" i="1"/>
  <c r="F60" i="1"/>
  <c r="B60" i="1"/>
  <c r="A60" i="1"/>
  <c r="AA58" i="1"/>
  <c r="Z58" i="1"/>
  <c r="Y58" i="1"/>
  <c r="U58" i="1"/>
  <c r="V58" i="1" s="1"/>
  <c r="Q58" i="1"/>
  <c r="R58" i="1" s="1"/>
  <c r="K58" i="1"/>
  <c r="X58" i="1" s="1"/>
  <c r="J58" i="1"/>
  <c r="F58" i="1"/>
  <c r="G58" i="1" s="1"/>
  <c r="AH57" i="1"/>
  <c r="AA57" i="1"/>
  <c r="Z57" i="1"/>
  <c r="Y57" i="1"/>
  <c r="U57" i="1"/>
  <c r="V57" i="1" s="1"/>
  <c r="Q57" i="1"/>
  <c r="R57" i="1" s="1"/>
  <c r="L57" i="1"/>
  <c r="M57" i="1" s="1"/>
  <c r="K57" i="1"/>
  <c r="X57" i="1" s="1"/>
  <c r="J57" i="1"/>
  <c r="F57" i="1"/>
  <c r="G57" i="1" s="1"/>
  <c r="AH56" i="1"/>
  <c r="AA56" i="1"/>
  <c r="Z56" i="1"/>
  <c r="Y56" i="1"/>
  <c r="U56" i="1"/>
  <c r="V56" i="1" s="1"/>
  <c r="Q56" i="1"/>
  <c r="R56" i="1" s="1"/>
  <c r="K56" i="1"/>
  <c r="X56" i="1" s="1"/>
  <c r="J56" i="1"/>
  <c r="F56" i="1"/>
  <c r="G56" i="1" s="1"/>
  <c r="AH55" i="1"/>
  <c r="AA55" i="1"/>
  <c r="Z55" i="1"/>
  <c r="Y55" i="1"/>
  <c r="U55" i="1"/>
  <c r="V55" i="1" s="1"/>
  <c r="Q55" i="1"/>
  <c r="R55" i="1" s="1"/>
  <c r="L55" i="1"/>
  <c r="M55" i="1" s="1"/>
  <c r="K55" i="1"/>
  <c r="X55" i="1" s="1"/>
  <c r="J55" i="1"/>
  <c r="F55" i="1"/>
  <c r="G55" i="1" s="1"/>
  <c r="AI54" i="1"/>
  <c r="AH54" i="1"/>
  <c r="AH58" i="1" s="1"/>
  <c r="AE53" i="1" s="1"/>
  <c r="AA54" i="1"/>
  <c r="Z54" i="1"/>
  <c r="X54" i="1"/>
  <c r="U54" i="1"/>
  <c r="V54" i="1" s="1"/>
  <c r="R54" i="1"/>
  <c r="Q54" i="1"/>
  <c r="M54" i="1"/>
  <c r="L54" i="1"/>
  <c r="K54" i="1"/>
  <c r="J54" i="1"/>
  <c r="Y54" i="1" s="1"/>
  <c r="F54" i="1"/>
  <c r="G54" i="1" s="1"/>
  <c r="AI53" i="1"/>
  <c r="AH53" i="1"/>
  <c r="AA53" i="1"/>
  <c r="X53" i="1"/>
  <c r="V53" i="1"/>
  <c r="U53" i="1"/>
  <c r="Q53" i="1"/>
  <c r="R53" i="1" s="1"/>
  <c r="K53" i="1"/>
  <c r="Z53" i="1" s="1"/>
  <c r="J53" i="1"/>
  <c r="F53" i="1"/>
  <c r="G53" i="1" s="1"/>
  <c r="B53" i="1"/>
  <c r="A53" i="1"/>
  <c r="AA51" i="1"/>
  <c r="Z51" i="1"/>
  <c r="Y51" i="1"/>
  <c r="U51" i="1"/>
  <c r="V51" i="1" s="1"/>
  <c r="R51" i="1"/>
  <c r="Q51" i="1"/>
  <c r="K51" i="1"/>
  <c r="X51" i="1" s="1"/>
  <c r="J51" i="1"/>
  <c r="L51" i="1" s="1"/>
  <c r="M51" i="1" s="1"/>
  <c r="F51" i="1"/>
  <c r="G51" i="1" s="1"/>
  <c r="AH50" i="1"/>
  <c r="AA50" i="1"/>
  <c r="Y50" i="1"/>
  <c r="X50" i="1"/>
  <c r="U50" i="1"/>
  <c r="V50" i="1" s="1"/>
  <c r="R50" i="1"/>
  <c r="Q50" i="1"/>
  <c r="L50" i="1"/>
  <c r="M50" i="1" s="1"/>
  <c r="K50" i="1"/>
  <c r="Z50" i="1" s="1"/>
  <c r="J50" i="1"/>
  <c r="F50" i="1"/>
  <c r="G50" i="1" s="1"/>
  <c r="AH49" i="1"/>
  <c r="AA49" i="1"/>
  <c r="Y49" i="1"/>
  <c r="U49" i="1"/>
  <c r="V49" i="1" s="1"/>
  <c r="R49" i="1"/>
  <c r="Q49" i="1"/>
  <c r="K49" i="1"/>
  <c r="X49" i="1" s="1"/>
  <c r="J49" i="1"/>
  <c r="F49" i="1"/>
  <c r="G49" i="1" s="1"/>
  <c r="AH48" i="1"/>
  <c r="AA48" i="1"/>
  <c r="Z48" i="1"/>
  <c r="Y48" i="1"/>
  <c r="X48" i="1"/>
  <c r="U48" i="1"/>
  <c r="V48" i="1" s="1"/>
  <c r="R48" i="1"/>
  <c r="Q48" i="1"/>
  <c r="K48" i="1"/>
  <c r="J48" i="1"/>
  <c r="L48" i="1" s="1"/>
  <c r="M48" i="1" s="1"/>
  <c r="F48" i="1"/>
  <c r="G48" i="1" s="1"/>
  <c r="AH47" i="1"/>
  <c r="AA47" i="1"/>
  <c r="Y47" i="1"/>
  <c r="U47" i="1"/>
  <c r="V47" i="1" s="1"/>
  <c r="Q47" i="1"/>
  <c r="R47" i="1" s="1"/>
  <c r="K47" i="1"/>
  <c r="AI47" i="1" s="1"/>
  <c r="J47" i="1"/>
  <c r="F47" i="1"/>
  <c r="G47" i="1" s="1"/>
  <c r="AH46" i="1"/>
  <c r="AH51" i="1" s="1"/>
  <c r="AE46" i="1"/>
  <c r="AA46" i="1"/>
  <c r="Z46" i="1"/>
  <c r="X46" i="1"/>
  <c r="V46" i="1"/>
  <c r="U46" i="1"/>
  <c r="Q46" i="1"/>
  <c r="R46" i="1" s="1"/>
  <c r="L46" i="1"/>
  <c r="M46" i="1" s="1"/>
  <c r="K46" i="1"/>
  <c r="J46" i="1"/>
  <c r="Y46" i="1" s="1"/>
  <c r="G46" i="1"/>
  <c r="F46" i="1"/>
  <c r="B46" i="1"/>
  <c r="A46" i="1"/>
  <c r="AA44" i="1"/>
  <c r="Y44" i="1"/>
  <c r="U44" i="1"/>
  <c r="V44" i="1" s="1"/>
  <c r="Q44" i="1"/>
  <c r="R44" i="1" s="1"/>
  <c r="K44" i="1"/>
  <c r="X44" i="1" s="1"/>
  <c r="J44" i="1"/>
  <c r="F44" i="1"/>
  <c r="G44" i="1" s="1"/>
  <c r="AI43" i="1"/>
  <c r="AH43" i="1"/>
  <c r="AA43" i="1"/>
  <c r="Z43" i="1"/>
  <c r="Y43" i="1"/>
  <c r="U43" i="1"/>
  <c r="V43" i="1" s="1"/>
  <c r="R43" i="1"/>
  <c r="Q43" i="1"/>
  <c r="L43" i="1"/>
  <c r="M43" i="1" s="1"/>
  <c r="K43" i="1"/>
  <c r="X43" i="1" s="1"/>
  <c r="J43" i="1"/>
  <c r="F43" i="1"/>
  <c r="G43" i="1" s="1"/>
  <c r="AH42" i="1"/>
  <c r="AA42" i="1"/>
  <c r="Y42" i="1"/>
  <c r="U42" i="1"/>
  <c r="V42" i="1" s="1"/>
  <c r="Q42" i="1"/>
  <c r="R42" i="1" s="1"/>
  <c r="K42" i="1"/>
  <c r="X42" i="1" s="1"/>
  <c r="J42" i="1"/>
  <c r="F42" i="1"/>
  <c r="G42" i="1" s="1"/>
  <c r="AI41" i="1"/>
  <c r="AH41" i="1"/>
  <c r="AA41" i="1"/>
  <c r="Z41" i="1"/>
  <c r="Y41" i="1"/>
  <c r="U41" i="1"/>
  <c r="V41" i="1" s="1"/>
  <c r="R41" i="1"/>
  <c r="Q41" i="1"/>
  <c r="L41" i="1"/>
  <c r="M41" i="1" s="1"/>
  <c r="K41" i="1"/>
  <c r="X41" i="1" s="1"/>
  <c r="J41" i="1"/>
  <c r="F41" i="1"/>
  <c r="G41" i="1" s="1"/>
  <c r="AI40" i="1"/>
  <c r="AH40" i="1"/>
  <c r="AH44" i="1" s="1"/>
  <c r="AE39" i="1" s="1"/>
  <c r="AA40" i="1"/>
  <c r="Z40" i="1"/>
  <c r="X40" i="1"/>
  <c r="V40" i="1"/>
  <c r="U40" i="1"/>
  <c r="R40" i="1"/>
  <c r="Q40" i="1"/>
  <c r="M40" i="1"/>
  <c r="L40" i="1"/>
  <c r="K40" i="1"/>
  <c r="J40" i="1"/>
  <c r="Y40" i="1" s="1"/>
  <c r="G40" i="1"/>
  <c r="F40" i="1"/>
  <c r="AH39" i="1"/>
  <c r="AA39" i="1"/>
  <c r="V39" i="1"/>
  <c r="U39" i="1"/>
  <c r="Q39" i="1"/>
  <c r="R39" i="1" s="1"/>
  <c r="K39" i="1"/>
  <c r="Z39" i="1" s="1"/>
  <c r="J39" i="1"/>
  <c r="G39" i="1"/>
  <c r="F39" i="1"/>
  <c r="B39" i="1"/>
  <c r="A39" i="1"/>
  <c r="AA37" i="1"/>
  <c r="U37" i="1"/>
  <c r="V37" i="1" s="1"/>
  <c r="R37" i="1"/>
  <c r="Q37" i="1"/>
  <c r="K37" i="1"/>
  <c r="Z37" i="1" s="1"/>
  <c r="J37" i="1"/>
  <c r="L37" i="1" s="1"/>
  <c r="M37" i="1" s="1"/>
  <c r="F37" i="1"/>
  <c r="G37" i="1" s="1"/>
  <c r="AH36" i="1"/>
  <c r="AA36" i="1"/>
  <c r="X36" i="1"/>
  <c r="U36" i="1"/>
  <c r="V36" i="1" s="1"/>
  <c r="R36" i="1"/>
  <c r="Q36" i="1"/>
  <c r="K36" i="1"/>
  <c r="Z36" i="1" s="1"/>
  <c r="J36" i="1"/>
  <c r="L36" i="1" s="1"/>
  <c r="M36" i="1" s="1"/>
  <c r="F36" i="1"/>
  <c r="G36" i="1" s="1"/>
  <c r="AH35" i="1"/>
  <c r="AA35" i="1"/>
  <c r="Z35" i="1"/>
  <c r="U35" i="1"/>
  <c r="V35" i="1" s="1"/>
  <c r="R35" i="1"/>
  <c r="Q35" i="1"/>
  <c r="K35" i="1"/>
  <c r="X35" i="1" s="1"/>
  <c r="J35" i="1"/>
  <c r="Y35" i="1" s="1"/>
  <c r="F35" i="1"/>
  <c r="G35" i="1" s="1"/>
  <c r="AH34" i="1"/>
  <c r="AA34" i="1"/>
  <c r="X34" i="1"/>
  <c r="U34" i="1"/>
  <c r="V34" i="1" s="1"/>
  <c r="R34" i="1"/>
  <c r="Q34" i="1"/>
  <c r="L34" i="1"/>
  <c r="M34" i="1" s="1"/>
  <c r="K34" i="1"/>
  <c r="AI33" i="1" s="1"/>
  <c r="J34" i="1"/>
  <c r="Y34" i="1" s="1"/>
  <c r="F34" i="1"/>
  <c r="G34" i="1" s="1"/>
  <c r="AH33" i="1"/>
  <c r="AA33" i="1"/>
  <c r="Z33" i="1"/>
  <c r="Y33" i="1"/>
  <c r="U33" i="1"/>
  <c r="V33" i="1" s="1"/>
  <c r="Q33" i="1"/>
  <c r="R33" i="1" s="1"/>
  <c r="K33" i="1"/>
  <c r="J33" i="1"/>
  <c r="G33" i="1"/>
  <c r="F33" i="1"/>
  <c r="AH32" i="1"/>
  <c r="AH37" i="1" s="1"/>
  <c r="AE32" i="1" s="1"/>
  <c r="AA32" i="1"/>
  <c r="Z32" i="1"/>
  <c r="X32" i="1"/>
  <c r="V32" i="1"/>
  <c r="U32" i="1"/>
  <c r="Q32" i="1"/>
  <c r="R32" i="1" s="1"/>
  <c r="K32" i="1"/>
  <c r="J32" i="1"/>
  <c r="Y32" i="1" s="1"/>
  <c r="G32" i="1"/>
  <c r="F32" i="1"/>
  <c r="B32" i="1"/>
  <c r="A32" i="1"/>
  <c r="AA30" i="1"/>
  <c r="Z30" i="1"/>
  <c r="Y30" i="1"/>
  <c r="V30" i="1"/>
  <c r="U30" i="1"/>
  <c r="R30" i="1"/>
  <c r="Q30" i="1"/>
  <c r="K30" i="1"/>
  <c r="X30" i="1" s="1"/>
  <c r="J30" i="1"/>
  <c r="G30" i="1"/>
  <c r="F30" i="1"/>
  <c r="AI29" i="1"/>
  <c r="AH29" i="1"/>
  <c r="AA29" i="1"/>
  <c r="Y29" i="1"/>
  <c r="U29" i="1"/>
  <c r="V29" i="1" s="1"/>
  <c r="R29" i="1"/>
  <c r="Q29" i="1"/>
  <c r="L29" i="1"/>
  <c r="M29" i="1" s="1"/>
  <c r="K29" i="1"/>
  <c r="X29" i="1" s="1"/>
  <c r="J29" i="1"/>
  <c r="F29" i="1"/>
  <c r="G29" i="1" s="1"/>
  <c r="AI28" i="1"/>
  <c r="AH28" i="1"/>
  <c r="AA28" i="1"/>
  <c r="Z28" i="1"/>
  <c r="Y28" i="1"/>
  <c r="U28" i="1"/>
  <c r="V28" i="1" s="1"/>
  <c r="Q28" i="1"/>
  <c r="R28" i="1" s="1"/>
  <c r="L28" i="1"/>
  <c r="M28" i="1" s="1"/>
  <c r="K28" i="1"/>
  <c r="X28" i="1" s="1"/>
  <c r="J28" i="1"/>
  <c r="G28" i="1"/>
  <c r="F28" i="1"/>
  <c r="AH27" i="1"/>
  <c r="AA27" i="1"/>
  <c r="Y27" i="1"/>
  <c r="V27" i="1"/>
  <c r="U27" i="1"/>
  <c r="Q27" i="1"/>
  <c r="R27" i="1" s="1"/>
  <c r="K27" i="1"/>
  <c r="X27" i="1" s="1"/>
  <c r="J27" i="1"/>
  <c r="F27" i="1"/>
  <c r="G27" i="1" s="1"/>
  <c r="AH26" i="1"/>
  <c r="AH30" i="1" s="1"/>
  <c r="AE25" i="1" s="1"/>
  <c r="AA26" i="1"/>
  <c r="Z26" i="1"/>
  <c r="X26" i="1"/>
  <c r="V26" i="1"/>
  <c r="U26" i="1"/>
  <c r="R26" i="1"/>
  <c r="Q26" i="1"/>
  <c r="K26" i="1"/>
  <c r="J26" i="1"/>
  <c r="Y26" i="1" s="1"/>
  <c r="G26" i="1"/>
  <c r="F26" i="1"/>
  <c r="AI25" i="1"/>
  <c r="AH25" i="1"/>
  <c r="AA25" i="1"/>
  <c r="Y25" i="1"/>
  <c r="X25" i="1"/>
  <c r="V25" i="1"/>
  <c r="U25" i="1"/>
  <c r="Q25" i="1"/>
  <c r="R25" i="1" s="1"/>
  <c r="K25" i="1"/>
  <c r="Z25" i="1" s="1"/>
  <c r="J25" i="1"/>
  <c r="L25" i="1" s="1"/>
  <c r="M25" i="1" s="1"/>
  <c r="F25" i="1"/>
  <c r="G25" i="1" s="1"/>
  <c r="B25" i="1"/>
  <c r="A25" i="1"/>
  <c r="AA23" i="1"/>
  <c r="X23" i="1"/>
  <c r="U23" i="1"/>
  <c r="V23" i="1" s="1"/>
  <c r="R23" i="1"/>
  <c r="Q23" i="1"/>
  <c r="K23" i="1"/>
  <c r="Z23" i="1" s="1"/>
  <c r="J23" i="1"/>
  <c r="L23" i="1" s="1"/>
  <c r="M23" i="1" s="1"/>
  <c r="F23" i="1"/>
  <c r="G23" i="1" s="1"/>
  <c r="AH22" i="1"/>
  <c r="AA22" i="1"/>
  <c r="Z22" i="1"/>
  <c r="U22" i="1"/>
  <c r="V22" i="1" s="1"/>
  <c r="R22" i="1"/>
  <c r="Q22" i="1"/>
  <c r="K22" i="1"/>
  <c r="X22" i="1" s="1"/>
  <c r="J22" i="1"/>
  <c r="Y22" i="1" s="1"/>
  <c r="F22" i="1"/>
  <c r="G22" i="1" s="1"/>
  <c r="AH21" i="1"/>
  <c r="AA21" i="1"/>
  <c r="X21" i="1"/>
  <c r="U21" i="1"/>
  <c r="V21" i="1" s="1"/>
  <c r="R21" i="1"/>
  <c r="Q21" i="1"/>
  <c r="L21" i="1"/>
  <c r="M21" i="1" s="1"/>
  <c r="K21" i="1"/>
  <c r="AI20" i="1" s="1"/>
  <c r="J21" i="1"/>
  <c r="Y21" i="1" s="1"/>
  <c r="F21" i="1"/>
  <c r="G21" i="1" s="1"/>
  <c r="AH20" i="1"/>
  <c r="AA20" i="1"/>
  <c r="U20" i="1"/>
  <c r="V20" i="1" s="1"/>
  <c r="R20" i="1"/>
  <c r="Q20" i="1"/>
  <c r="K20" i="1"/>
  <c r="Z20" i="1" s="1"/>
  <c r="J20" i="1"/>
  <c r="L20" i="1" s="1"/>
  <c r="M20" i="1" s="1"/>
  <c r="F20" i="1"/>
  <c r="G20" i="1" s="1"/>
  <c r="AH19" i="1"/>
  <c r="AA19" i="1"/>
  <c r="Z19" i="1"/>
  <c r="Y19" i="1"/>
  <c r="V19" i="1"/>
  <c r="U19" i="1"/>
  <c r="Q19" i="1"/>
  <c r="R19" i="1" s="1"/>
  <c r="M19" i="1"/>
  <c r="L19" i="1"/>
  <c r="K19" i="1"/>
  <c r="J19" i="1"/>
  <c r="F19" i="1"/>
  <c r="G19" i="1" s="1"/>
  <c r="AH18" i="1"/>
  <c r="AH23" i="1" s="1"/>
  <c r="AE18" i="1" s="1"/>
  <c r="AA18" i="1"/>
  <c r="Z18" i="1"/>
  <c r="X18" i="1"/>
  <c r="V18" i="1"/>
  <c r="U18" i="1"/>
  <c r="R18" i="1"/>
  <c r="Q18" i="1"/>
  <c r="L18" i="1"/>
  <c r="M18" i="1" s="1"/>
  <c r="K18" i="1"/>
  <c r="J18" i="1"/>
  <c r="Y18" i="1" s="1"/>
  <c r="G18" i="1"/>
  <c r="F18" i="1"/>
  <c r="AA16" i="1"/>
  <c r="Z16" i="1"/>
  <c r="X16" i="1"/>
  <c r="V16" i="1"/>
  <c r="U16" i="1"/>
  <c r="Q16" i="1"/>
  <c r="R16" i="1" s="1"/>
  <c r="M16" i="1"/>
  <c r="L16" i="1"/>
  <c r="K16" i="1"/>
  <c r="J16" i="1"/>
  <c r="Y16" i="1" s="1"/>
  <c r="G16" i="1"/>
  <c r="F16" i="1"/>
  <c r="AI15" i="1"/>
  <c r="AH15" i="1"/>
  <c r="AH16" i="1" s="1"/>
  <c r="AE11" i="1" s="1"/>
  <c r="AA15" i="1"/>
  <c r="Z15" i="1"/>
  <c r="X15" i="1"/>
  <c r="V15" i="1"/>
  <c r="U15" i="1"/>
  <c r="Q15" i="1"/>
  <c r="R15" i="1" s="1"/>
  <c r="K15" i="1"/>
  <c r="J15" i="1"/>
  <c r="Y15" i="1" s="1"/>
  <c r="G15" i="1"/>
  <c r="F15" i="1"/>
  <c r="AI14" i="1"/>
  <c r="AH14" i="1"/>
  <c r="AA14" i="1"/>
  <c r="Z14" i="1"/>
  <c r="X14" i="1"/>
  <c r="V14" i="1"/>
  <c r="U14" i="1"/>
  <c r="Q14" i="1"/>
  <c r="R14" i="1" s="1"/>
  <c r="L14" i="1"/>
  <c r="M14" i="1" s="1"/>
  <c r="K14" i="1"/>
  <c r="J14" i="1"/>
  <c r="Y14" i="1" s="1"/>
  <c r="G14" i="1"/>
  <c r="F14" i="1"/>
  <c r="AH13" i="1"/>
  <c r="AA13" i="1"/>
  <c r="V13" i="1"/>
  <c r="U13" i="1"/>
  <c r="R13" i="1"/>
  <c r="Q13" i="1"/>
  <c r="K13" i="1"/>
  <c r="AI12" i="1" s="1"/>
  <c r="J13" i="1"/>
  <c r="Y13" i="1" s="1"/>
  <c r="G13" i="1"/>
  <c r="F13" i="1"/>
  <c r="AH12" i="1"/>
  <c r="AA12" i="1"/>
  <c r="U12" i="1"/>
  <c r="V12" i="1" s="1"/>
  <c r="R12" i="1"/>
  <c r="Q12" i="1"/>
  <c r="K12" i="1"/>
  <c r="Z12" i="1" s="1"/>
  <c r="J12" i="1"/>
  <c r="L12" i="1" s="1"/>
  <c r="M12" i="1" s="1"/>
  <c r="F12" i="1"/>
  <c r="G12" i="1" s="1"/>
  <c r="AI11" i="1"/>
  <c r="AH11" i="1"/>
  <c r="AA11" i="1"/>
  <c r="Y11" i="1"/>
  <c r="V11" i="1"/>
  <c r="U11" i="1"/>
  <c r="R11" i="1"/>
  <c r="Q11" i="1"/>
  <c r="K11" i="1"/>
  <c r="X11" i="1" s="1"/>
  <c r="J11" i="1"/>
  <c r="G11" i="1"/>
  <c r="F11" i="1"/>
  <c r="B11" i="1"/>
  <c r="A11" i="1"/>
  <c r="AA9" i="1"/>
  <c r="X9" i="1"/>
  <c r="U9" i="1"/>
  <c r="V9" i="1" s="1"/>
  <c r="R9" i="1"/>
  <c r="Q9" i="1"/>
  <c r="K9" i="1"/>
  <c r="Z9" i="1" s="1"/>
  <c r="J9" i="1"/>
  <c r="L9" i="1" s="1"/>
  <c r="M9" i="1" s="1"/>
  <c r="G9" i="1"/>
  <c r="F9" i="1"/>
  <c r="AI8" i="1"/>
  <c r="AH8" i="1"/>
  <c r="AA8" i="1"/>
  <c r="X8" i="1"/>
  <c r="V8" i="1"/>
  <c r="U8" i="1"/>
  <c r="Q8" i="1"/>
  <c r="R8" i="1" s="1"/>
  <c r="K8" i="1"/>
  <c r="Z8" i="1" s="1"/>
  <c r="J8" i="1"/>
  <c r="L8" i="1" s="1"/>
  <c r="M8" i="1" s="1"/>
  <c r="F8" i="1"/>
  <c r="G8" i="1" s="1"/>
  <c r="AH7" i="1"/>
  <c r="AA7" i="1"/>
  <c r="U7" i="1"/>
  <c r="V7" i="1" s="1"/>
  <c r="R7" i="1"/>
  <c r="Q7" i="1"/>
  <c r="K7" i="1"/>
  <c r="Z7" i="1" s="1"/>
  <c r="J7" i="1"/>
  <c r="F7" i="1"/>
  <c r="G7" i="1" s="1"/>
  <c r="AH6" i="1"/>
  <c r="AA6" i="1"/>
  <c r="X6" i="1"/>
  <c r="V6" i="1"/>
  <c r="U6" i="1"/>
  <c r="Q6" i="1"/>
  <c r="R6" i="1" s="1"/>
  <c r="K6" i="1"/>
  <c r="Z6" i="1" s="1"/>
  <c r="J6" i="1"/>
  <c r="G6" i="1"/>
  <c r="F6" i="1"/>
  <c r="AH5" i="1"/>
  <c r="AA5" i="1"/>
  <c r="X5" i="1"/>
  <c r="V5" i="1"/>
  <c r="U5" i="1"/>
  <c r="Q5" i="1"/>
  <c r="R5" i="1" s="1"/>
  <c r="L5" i="1"/>
  <c r="M5" i="1" s="1"/>
  <c r="K5" i="1"/>
  <c r="AI4" i="1" s="1"/>
  <c r="J5" i="1"/>
  <c r="Y5" i="1" s="1"/>
  <c r="G5" i="1"/>
  <c r="F5" i="1"/>
  <c r="AH4" i="1"/>
  <c r="AH9" i="1" s="1"/>
  <c r="AE4" i="1" s="1"/>
  <c r="AA4" i="1"/>
  <c r="Z4" i="1"/>
  <c r="Y4" i="1"/>
  <c r="V4" i="1"/>
  <c r="U4" i="1"/>
  <c r="R4" i="1"/>
  <c r="Q4" i="1"/>
  <c r="L4" i="1"/>
  <c r="M4" i="1" s="1"/>
  <c r="K4" i="1"/>
  <c r="X4" i="1" s="1"/>
  <c r="J4" i="1"/>
  <c r="G4" i="1"/>
  <c r="F4" i="1"/>
  <c r="B4" i="1"/>
  <c r="A4" i="1"/>
  <c r="AI9" i="1" l="1"/>
  <c r="AE5" i="1" s="1"/>
  <c r="AI86" i="1"/>
  <c r="AE82" i="1" s="1"/>
  <c r="Z89" i="1"/>
  <c r="X89" i="1"/>
  <c r="AI89" i="1"/>
  <c r="L6" i="1"/>
  <c r="M6" i="1" s="1"/>
  <c r="Y6" i="1"/>
  <c r="X12" i="1"/>
  <c r="AI19" i="1"/>
  <c r="L22" i="1"/>
  <c r="M22" i="1" s="1"/>
  <c r="L35" i="1"/>
  <c r="M35" i="1" s="1"/>
  <c r="AI36" i="1"/>
  <c r="X39" i="1"/>
  <c r="Z42" i="1"/>
  <c r="Z44" i="1"/>
  <c r="L47" i="1"/>
  <c r="M47" i="1" s="1"/>
  <c r="Z49" i="1"/>
  <c r="AI50" i="1"/>
  <c r="X71" i="1"/>
  <c r="Y79" i="1"/>
  <c r="L79" i="1"/>
  <c r="M79" i="1" s="1"/>
  <c r="X82" i="1"/>
  <c r="AI82" i="1"/>
  <c r="Z104" i="1"/>
  <c r="AI103" i="1"/>
  <c r="X104" i="1"/>
  <c r="AI114" i="1"/>
  <c r="AE110" i="1" s="1"/>
  <c r="Y119" i="1"/>
  <c r="AI131" i="1"/>
  <c r="Z132" i="1"/>
  <c r="Z5" i="1"/>
  <c r="AI7" i="1"/>
  <c r="Y12" i="1"/>
  <c r="X13" i="1"/>
  <c r="L15" i="1"/>
  <c r="M15" i="1" s="1"/>
  <c r="X20" i="1"/>
  <c r="Z21" i="1"/>
  <c r="Z27" i="1"/>
  <c r="Z34" i="1"/>
  <c r="X37" i="1"/>
  <c r="L53" i="1"/>
  <c r="M53" i="1" s="1"/>
  <c r="Y53" i="1"/>
  <c r="L60" i="1"/>
  <c r="M60" i="1" s="1"/>
  <c r="AI72" i="1"/>
  <c r="AE68" i="1" s="1"/>
  <c r="L74" i="1"/>
  <c r="M74" i="1" s="1"/>
  <c r="Y82" i="1"/>
  <c r="L86" i="1"/>
  <c r="M86" i="1" s="1"/>
  <c r="Y90" i="1"/>
  <c r="L90" i="1"/>
  <c r="M90" i="1" s="1"/>
  <c r="AI132" i="1"/>
  <c r="X133" i="1"/>
  <c r="Z133" i="1"/>
  <c r="AI147" i="1"/>
  <c r="X148" i="1"/>
  <c r="AI46" i="1"/>
  <c r="X47" i="1"/>
  <c r="Y9" i="1"/>
  <c r="Z13" i="1"/>
  <c r="Y20" i="1"/>
  <c r="AI22" i="1"/>
  <c r="AI35" i="1"/>
  <c r="Y37" i="1"/>
  <c r="L39" i="1"/>
  <c r="M39" i="1" s="1"/>
  <c r="Y39" i="1"/>
  <c r="L49" i="1"/>
  <c r="M49" i="1" s="1"/>
  <c r="L56" i="1"/>
  <c r="M56" i="1" s="1"/>
  <c r="AI56" i="1"/>
  <c r="L58" i="1"/>
  <c r="M58" i="1" s="1"/>
  <c r="X70" i="1"/>
  <c r="AI70" i="1"/>
  <c r="AH79" i="1"/>
  <c r="AE74" i="1" s="1"/>
  <c r="AI6" i="1"/>
  <c r="Z11" i="1"/>
  <c r="L13" i="1"/>
  <c r="M13" i="1" s="1"/>
  <c r="L27" i="1"/>
  <c r="M27" i="1" s="1"/>
  <c r="AI32" i="1"/>
  <c r="AI37" i="1" s="1"/>
  <c r="AE33" i="1" s="1"/>
  <c r="X33" i="1"/>
  <c r="L42" i="1"/>
  <c r="M42" i="1" s="1"/>
  <c r="AI42" i="1"/>
  <c r="L44" i="1"/>
  <c r="M44" i="1" s="1"/>
  <c r="AI49" i="1"/>
  <c r="L62" i="1"/>
  <c r="M62" i="1" s="1"/>
  <c r="L71" i="1"/>
  <c r="M71" i="1" s="1"/>
  <c r="AI74" i="1"/>
  <c r="AI79" i="1" s="1"/>
  <c r="AE75" i="1" s="1"/>
  <c r="Y78" i="1"/>
  <c r="L78" i="1"/>
  <c r="M78" i="1" s="1"/>
  <c r="AI116" i="1"/>
  <c r="AI117" i="1"/>
  <c r="Z117" i="1"/>
  <c r="AI133" i="1"/>
  <c r="Z134" i="1"/>
  <c r="Y8" i="1"/>
  <c r="L11" i="1"/>
  <c r="M11" i="1" s="1"/>
  <c r="AI21" i="1"/>
  <c r="Y23" i="1"/>
  <c r="L26" i="1"/>
  <c r="M26" i="1" s="1"/>
  <c r="AI27" i="1"/>
  <c r="L33" i="1"/>
  <c r="M33" i="1" s="1"/>
  <c r="AI34" i="1"/>
  <c r="Y36" i="1"/>
  <c r="AI39" i="1"/>
  <c r="AI44" i="1" s="1"/>
  <c r="AE40" i="1" s="1"/>
  <c r="Z70" i="1"/>
  <c r="Y83" i="1"/>
  <c r="Y88" i="1"/>
  <c r="L88" i="1"/>
  <c r="M88" i="1" s="1"/>
  <c r="AI88" i="1"/>
  <c r="AI93" i="1" s="1"/>
  <c r="AE89" i="1" s="1"/>
  <c r="L92" i="1"/>
  <c r="M92" i="1" s="1"/>
  <c r="Y100" i="1"/>
  <c r="L100" i="1"/>
  <c r="M100" i="1" s="1"/>
  <c r="Y104" i="1"/>
  <c r="Y137" i="1"/>
  <c r="AI5" i="1"/>
  <c r="X7" i="1"/>
  <c r="AI13" i="1"/>
  <c r="AI16" i="1" s="1"/>
  <c r="AE12" i="1" s="1"/>
  <c r="AI18" i="1"/>
  <c r="AI23" i="1" s="1"/>
  <c r="AE19" i="1" s="1"/>
  <c r="X19" i="1"/>
  <c r="Z29" i="1"/>
  <c r="L30" i="1"/>
  <c r="M30" i="1" s="1"/>
  <c r="L32" i="1"/>
  <c r="M32" i="1" s="1"/>
  <c r="L75" i="1"/>
  <c r="M75" i="1" s="1"/>
  <c r="Z83" i="1"/>
  <c r="AI102" i="1"/>
  <c r="AI107" i="1" s="1"/>
  <c r="AE103" i="1" s="1"/>
  <c r="X103" i="1"/>
  <c r="L7" i="1"/>
  <c r="M7" i="1" s="1"/>
  <c r="Y7" i="1"/>
  <c r="AI26" i="1"/>
  <c r="AI30" i="1" s="1"/>
  <c r="AE26" i="1" s="1"/>
  <c r="Z47" i="1"/>
  <c r="AI48" i="1"/>
  <c r="AI55" i="1"/>
  <c r="AI58" i="1" s="1"/>
  <c r="AE54" i="1" s="1"/>
  <c r="AI57" i="1"/>
  <c r="Z61" i="1"/>
  <c r="AI60" i="1"/>
  <c r="AI65" i="1" s="1"/>
  <c r="AE61" i="1" s="1"/>
  <c r="AI61" i="1"/>
  <c r="Y63" i="1"/>
  <c r="L63" i="1"/>
  <c r="M63" i="1" s="1"/>
  <c r="L70" i="1"/>
  <c r="M70" i="1" s="1"/>
  <c r="AI71" i="1"/>
  <c r="X72" i="1"/>
  <c r="Y74" i="1"/>
  <c r="Z75" i="1"/>
  <c r="X75" i="1"/>
  <c r="X102" i="1"/>
  <c r="L103" i="1"/>
  <c r="M103" i="1" s="1"/>
  <c r="Z107" i="1"/>
  <c r="AI106" i="1"/>
  <c r="X107" i="1"/>
  <c r="X134" i="1"/>
  <c r="Z148" i="1"/>
  <c r="L61" i="1"/>
  <c r="M61" i="1" s="1"/>
  <c r="Y61" i="1"/>
  <c r="AI83" i="1"/>
  <c r="L102" i="1"/>
  <c r="M102" i="1" s="1"/>
  <c r="L107" i="1"/>
  <c r="M107" i="1" s="1"/>
  <c r="Y107" i="1"/>
  <c r="Z179" i="1"/>
  <c r="X179" i="1"/>
  <c r="AI179" i="1"/>
  <c r="AI84" i="1"/>
  <c r="AI118" i="1"/>
  <c r="Z152" i="1"/>
  <c r="AI151" i="1"/>
  <c r="AI152" i="1"/>
  <c r="X152" i="1"/>
  <c r="AH156" i="1"/>
  <c r="AE151" i="1" s="1"/>
  <c r="AI68" i="1"/>
  <c r="Z69" i="1"/>
  <c r="X84" i="1"/>
  <c r="X86" i="1"/>
  <c r="L89" i="1"/>
  <c r="M89" i="1" s="1"/>
  <c r="Y89" i="1"/>
  <c r="AI96" i="1"/>
  <c r="AI100" i="1" s="1"/>
  <c r="AE96" i="1" s="1"/>
  <c r="Z105" i="1"/>
  <c r="AI104" i="1"/>
  <c r="L117" i="1"/>
  <c r="M117" i="1" s="1"/>
  <c r="AI119" i="1"/>
  <c r="X120" i="1"/>
  <c r="Y123" i="1"/>
  <c r="AI134" i="1"/>
  <c r="L149" i="1"/>
  <c r="M149" i="1" s="1"/>
  <c r="L96" i="1"/>
  <c r="M96" i="1" s="1"/>
  <c r="Y96" i="1"/>
  <c r="Z106" i="1"/>
  <c r="AI105" i="1"/>
  <c r="AI130" i="1"/>
  <c r="X131" i="1"/>
  <c r="AI148" i="1"/>
  <c r="X149" i="1"/>
  <c r="Y191" i="1"/>
  <c r="L191" i="1"/>
  <c r="M191" i="1" s="1"/>
  <c r="Y160" i="1"/>
  <c r="L160" i="1"/>
  <c r="M160" i="1" s="1"/>
  <c r="X170" i="1"/>
  <c r="L188" i="1"/>
  <c r="M188" i="1" s="1"/>
  <c r="Y188" i="1"/>
  <c r="Y189" i="1"/>
  <c r="AI190" i="1"/>
  <c r="Z191" i="1"/>
  <c r="X198" i="1"/>
  <c r="L198" i="1"/>
  <c r="M198" i="1" s="1"/>
  <c r="X182" i="1"/>
  <c r="L182" i="1"/>
  <c r="M182" i="1" s="1"/>
  <c r="AI166" i="1"/>
  <c r="Z170" i="1"/>
  <c r="AI182" i="1"/>
  <c r="Y117" i="1"/>
  <c r="X123" i="1"/>
  <c r="L124" i="1"/>
  <c r="M124" i="1" s="1"/>
  <c r="Y124" i="1"/>
  <c r="X137" i="1"/>
  <c r="L138" i="1"/>
  <c r="M138" i="1" s="1"/>
  <c r="Y138" i="1"/>
  <c r="L148" i="1"/>
  <c r="M148" i="1" s="1"/>
  <c r="L162" i="1"/>
  <c r="M162" i="1" s="1"/>
  <c r="L167" i="1"/>
  <c r="M167" i="1" s="1"/>
  <c r="AI188" i="1"/>
  <c r="Z189" i="1"/>
  <c r="X196" i="1"/>
  <c r="L196" i="1"/>
  <c r="M196" i="1" s="1"/>
  <c r="Z214" i="1"/>
  <c r="L214" i="1"/>
  <c r="M214" i="1" s="1"/>
  <c r="X214" i="1"/>
  <c r="AI165" i="1"/>
  <c r="X166" i="1"/>
  <c r="L215" i="1"/>
  <c r="M215" i="1" s="1"/>
  <c r="Y215" i="1"/>
  <c r="X110" i="1"/>
  <c r="Z110" i="1"/>
  <c r="L166" i="1"/>
  <c r="M166" i="1" s="1"/>
  <c r="AI167" i="1"/>
  <c r="X168" i="1"/>
  <c r="L168" i="1"/>
  <c r="M168" i="1" s="1"/>
  <c r="L174" i="1"/>
  <c r="M174" i="1" s="1"/>
  <c r="L180" i="1"/>
  <c r="M180" i="1" s="1"/>
  <c r="L190" i="1"/>
  <c r="M190" i="1" s="1"/>
  <c r="Y190" i="1"/>
  <c r="AI197" i="1"/>
  <c r="Z198" i="1"/>
  <c r="AI205" i="1"/>
  <c r="AE201" i="1" s="1"/>
  <c r="AI145" i="1"/>
  <c r="AI149" i="1" s="1"/>
  <c r="AE145" i="1" s="1"/>
  <c r="Z146" i="1"/>
  <c r="L179" i="1"/>
  <c r="M179" i="1" s="1"/>
  <c r="Y179" i="1"/>
  <c r="Z181" i="1"/>
  <c r="AI187" i="1"/>
  <c r="AI191" i="1" s="1"/>
  <c r="AE187" i="1" s="1"/>
  <c r="Z188" i="1"/>
  <c r="AI189" i="1"/>
  <c r="Z190" i="1"/>
  <c r="AI168" i="1"/>
  <c r="Z169" i="1"/>
  <c r="Z184" i="1"/>
  <c r="X188" i="1"/>
  <c r="X190" i="1"/>
  <c r="AI194" i="1"/>
  <c r="AI198" i="1" s="1"/>
  <c r="AE194" i="1" s="1"/>
  <c r="AI196" i="1"/>
  <c r="AI214" i="1"/>
  <c r="AI219" i="1" s="1"/>
  <c r="AE215" i="1" s="1"/>
  <c r="Z147" i="1"/>
  <c r="Z183" i="1"/>
  <c r="Z195" i="1"/>
  <c r="Z197" i="1"/>
  <c r="AI215" i="1"/>
  <c r="L209" i="1"/>
  <c r="M209" i="1" s="1"/>
  <c r="Z209" i="1"/>
  <c r="L210" i="1"/>
  <c r="M210" i="1" s="1"/>
  <c r="Z210" i="1"/>
  <c r="L211" i="1"/>
  <c r="M211" i="1" s="1"/>
  <c r="Z211" i="1"/>
  <c r="L212" i="1"/>
  <c r="M212" i="1" s="1"/>
  <c r="Z212" i="1"/>
  <c r="X226" i="1"/>
  <c r="Y223" i="1"/>
  <c r="Y224" i="1"/>
  <c r="Y225" i="1"/>
  <c r="Y226" i="1"/>
  <c r="AI208" i="1"/>
  <c r="AI212" i="1" s="1"/>
  <c r="AE208" i="1" s="1"/>
  <c r="AI209" i="1"/>
  <c r="AI210" i="1"/>
  <c r="AI211" i="1"/>
  <c r="Z215" i="1"/>
  <c r="Z223" i="1"/>
  <c r="Z224" i="1"/>
  <c r="Z225" i="1"/>
  <c r="Z226" i="1"/>
  <c r="AI170" i="1" l="1"/>
  <c r="AE166" i="1" s="1"/>
  <c r="AI156" i="1"/>
  <c r="AE152" i="1" s="1"/>
  <c r="AI121" i="1"/>
  <c r="AE117" i="1" s="1"/>
  <c r="AI51" i="1"/>
  <c r="AE47" i="1" s="1"/>
  <c r="AI135" i="1"/>
  <c r="AE131" i="1" s="1"/>
  <c r="AI184" i="1"/>
  <c r="AE180" i="1" s="1"/>
</calcChain>
</file>

<file path=xl/sharedStrings.xml><?xml version="1.0" encoding="utf-8"?>
<sst xmlns="http://schemas.openxmlformats.org/spreadsheetml/2006/main" count="319" uniqueCount="40">
  <si>
    <t xml:space="preserve">                        Updated Job Spreadsheet</t>
  </si>
  <si>
    <t>Job
Number</t>
  </si>
  <si>
    <t>Job
Name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</si>
  <si>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</si>
  <si>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</si>
  <si>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</si>
  <si>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</si>
  <si>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</si>
  <si>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</si>
  <si>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</si>
  <si>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</si>
  <si>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</si>
  <si>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</si>
  <si>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</si>
  <si>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</si>
  <si>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</si>
  <si>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</si>
  <si>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</si>
  <si>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</si>
  <si>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</si>
  <si>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</si>
  <si>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</si>
  <si>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</si>
  <si>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</si>
  <si>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</si>
  <si>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</si>
  <si>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</si>
  <si>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</si>
  <si>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</si>
  <si>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</si>
  <si>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</si>
  <si>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</si>
  <si>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</si>
  <si>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</si>
  <si>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</si>
  <si>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</si>
  <si>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</si>
  <si>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</si>
  <si>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</si>
  <si>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3 Innovation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</si>
</sst>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7" x14ac:knownFonts="1">
    <font>
      <sz val="12"/>
      <color theme="1"/>
      <name val="Aptos Narrow"/>
      <family val="2"/>
      <scheme val="minor"/>
    </font>
    <font>
      <b/>
      <sz val="24"/>
      <color theme="1"/>
      <name val="Aptos Display"/>
      <scheme val="major"/>
    </font>
    <font>
      <sz val="11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 wrapText="1"/>
    </xf>
    <xf numFmtId="9" fontId="4" fillId="6" borderId="5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9" fontId="4" fillId="7" borderId="5" xfId="0" applyNumberFormat="1" applyFont="1" applyFill="1" applyBorder="1" applyAlignment="1">
      <alignment horizontal="center" vertical="center" wrapText="1"/>
    </xf>
    <xf numFmtId="9" fontId="4" fillId="8" borderId="5" xfId="0" applyNumberFormat="1" applyFont="1" applyFill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164" fontId="0" fillId="0" borderId="5" xfId="0" applyNumberFormat="1" applyBorder="1" applyProtection="1">
      <protection locked="0"/>
    </xf>
    <xf numFmtId="164" fontId="0" fillId="0" borderId="5" xfId="0" applyNumberFormat="1" applyBorder="1"/>
    <xf numFmtId="9" fontId="0" fillId="0" borderId="5" xfId="0" applyNumberFormat="1" applyBorder="1"/>
    <xf numFmtId="9" fontId="0" fillId="0" borderId="5" xfId="0" applyNumberForma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5" xfId="0" applyBorder="1"/>
    <xf numFmtId="165" fontId="0" fillId="0" borderId="5" xfId="0" applyNumberFormat="1" applyBorder="1"/>
    <xf numFmtId="9" fontId="0" fillId="0" borderId="6" xfId="0" applyNumberFormat="1" applyBorder="1" applyProtection="1">
      <protection locked="0"/>
    </xf>
    <xf numFmtId="165" fontId="0" fillId="0" borderId="0" xfId="0" applyNumberFormat="1"/>
    <xf numFmtId="164" fontId="0" fillId="0" borderId="6" xfId="0" applyNumberFormat="1" applyBorder="1"/>
    <xf numFmtId="164" fontId="0" fillId="0" borderId="0" xfId="0" applyNumberFormat="1"/>
    <xf numFmtId="0" fontId="0" fillId="0" borderId="7" xfId="0" applyBorder="1"/>
    <xf numFmtId="164" fontId="0" fillId="0" borderId="8" xfId="0" applyNumberFormat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164" fontId="0" fillId="0" borderId="9" xfId="0" applyNumberFormat="1" applyBorder="1" applyProtection="1">
      <protection locked="0"/>
    </xf>
    <xf numFmtId="0" fontId="4" fillId="0" borderId="10" xfId="0" applyFont="1" applyBorder="1" applyAlignment="1">
      <alignment horizontal="center" vertical="center"/>
    </xf>
    <xf numFmtId="0" fontId="0" fillId="3" borderId="11" xfId="0" applyFill="1" applyBorder="1"/>
    <xf numFmtId="165" fontId="0" fillId="0" borderId="5" xfId="0" applyNumberFormat="1" applyBorder="1" applyProtection="1">
      <protection locked="0"/>
    </xf>
    <xf numFmtId="0" fontId="0" fillId="3" borderId="12" xfId="0" applyFill="1" applyBorder="1"/>
    <xf numFmtId="9" fontId="0" fillId="0" borderId="10" xfId="0" applyNumberFormat="1" applyBorder="1" applyProtection="1">
      <protection locked="0"/>
    </xf>
    <xf numFmtId="164" fontId="0" fillId="0" borderId="11" xfId="0" applyNumberFormat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164" fontId="5" fillId="0" borderId="5" xfId="0" applyNumberFormat="1" applyFont="1" applyBorder="1" applyProtection="1">
      <protection locked="0"/>
    </xf>
    <xf numFmtId="0" fontId="5" fillId="0" borderId="11" xfId="0" applyFont="1" applyBorder="1"/>
    <xf numFmtId="164" fontId="6" fillId="0" borderId="5" xfId="0" applyNumberFormat="1" applyFont="1" applyBorder="1" applyProtection="1">
      <protection locked="0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8" borderId="4" xfId="0" applyFill="1" applyBorder="1"/>
    <xf numFmtId="0" fontId="4" fillId="8" borderId="5" xfId="0" applyFont="1" applyFill="1" applyBorder="1"/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4" xfId="0" applyFont="1" applyBorder="1"/>
    <xf numFmtId="9" fontId="0" fillId="0" borderId="0" xfId="0" applyNumberFormat="1"/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elixkwan/Downloads/The%20Real%20Operations%20Spreadsheet.xlsx" TargetMode="External"/><Relationship Id="rId1" Type="http://schemas.openxmlformats.org/officeDocument/2006/relationships/externalLinkPath" Target="The%20Real%20Operations%20Spread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Sheet"/>
      <sheetName val="Deliverables Sheet"/>
      <sheetName val="Claim Calculator By Month"/>
      <sheetName val="Upcoming Work Calculator"/>
      <sheetName val="Note Cam (To Do)"/>
      <sheetName val="Note Tom (To Do) "/>
      <sheetName val="Deliverables_RR_Test_Sheet (2)"/>
      <sheetName val="Sheet1"/>
    </sheetNames>
    <sheetDataSet>
      <sheetData sheetId="0">
        <row r="4">
          <cell r="A4">
            <v>7658</v>
          </cell>
          <cell r="B4" t="str">
            <v>Charity Hospital</v>
          </cell>
        </row>
        <row r="6">
          <cell r="A6">
            <v>8142</v>
          </cell>
          <cell r="B6" t="str">
            <v>Fisher Developements</v>
          </cell>
        </row>
        <row r="10">
          <cell r="A10">
            <v>8127</v>
          </cell>
          <cell r="B10" t="str">
            <v>Rolly Autowash</v>
          </cell>
        </row>
        <row r="12">
          <cell r="A12">
            <v>8183</v>
          </cell>
          <cell r="B12" t="str">
            <v>Murney - 1 Freight Drive + 109 Iport</v>
          </cell>
        </row>
        <row r="14">
          <cell r="A14">
            <v>8886</v>
          </cell>
          <cell r="B14" t="str">
            <v>Monkey Toe - Fisher fit out</v>
          </cell>
        </row>
        <row r="16">
          <cell r="A16">
            <v>8887</v>
          </cell>
          <cell r="B16" t="str">
            <v>Tenancy 2 - Fisher Fit out</v>
          </cell>
        </row>
        <row r="18">
          <cell r="A18">
            <v>8670</v>
          </cell>
          <cell r="B18" t="str">
            <v>Studio DB - tautara fit out</v>
          </cell>
        </row>
        <row r="20">
          <cell r="A20">
            <v>8907</v>
          </cell>
          <cell r="B20" t="str">
            <v>35 Mania</v>
          </cell>
        </row>
        <row r="22">
          <cell r="A22">
            <v>9065</v>
          </cell>
          <cell r="B22" t="str">
            <v>Cooltranz stage 4</v>
          </cell>
        </row>
        <row r="24">
          <cell r="A24">
            <v>9259</v>
          </cell>
          <cell r="B24" t="str">
            <v>Andrew Reeve Stage 2</v>
          </cell>
        </row>
        <row r="26">
          <cell r="A26">
            <v>8352</v>
          </cell>
          <cell r="B26" t="str">
            <v>5 Sanscrit Place</v>
          </cell>
        </row>
        <row r="28">
          <cell r="A28">
            <v>8234</v>
          </cell>
          <cell r="B28" t="str">
            <v>Melhuish House</v>
          </cell>
        </row>
        <row r="30">
          <cell r="A30">
            <v>8214</v>
          </cell>
          <cell r="B30" t="str">
            <v>6 Tiroroa Lane</v>
          </cell>
        </row>
        <row r="32">
          <cell r="A32">
            <v>6792</v>
          </cell>
          <cell r="B32" t="str">
            <v xml:space="preserve">Major Hornbrook </v>
          </cell>
        </row>
        <row r="34">
          <cell r="A34">
            <v>8840</v>
          </cell>
          <cell r="B34" t="str">
            <v>Inline Architecture</v>
          </cell>
        </row>
        <row r="36">
          <cell r="A36">
            <v>8769</v>
          </cell>
          <cell r="B36" t="str">
            <v>Percival Bach</v>
          </cell>
        </row>
        <row r="38">
          <cell r="A38">
            <v>7901</v>
          </cell>
          <cell r="B38" t="str">
            <v>St Albans Street</v>
          </cell>
        </row>
        <row r="40">
          <cell r="A40">
            <v>8923</v>
          </cell>
          <cell r="B40" t="str">
            <v>4 Perry St</v>
          </cell>
        </row>
        <row r="42">
          <cell r="A42">
            <v>7864</v>
          </cell>
          <cell r="B42" t="str">
            <v>Ryans House</v>
          </cell>
        </row>
        <row r="44">
          <cell r="A44">
            <v>7912</v>
          </cell>
          <cell r="B44" t="str">
            <v xml:space="preserve">71A Fendalton Road </v>
          </cell>
        </row>
        <row r="46">
          <cell r="A46">
            <v>8360</v>
          </cell>
          <cell r="B46" t="str">
            <v>Dixon House</v>
          </cell>
        </row>
        <row r="48">
          <cell r="A48">
            <v>8337</v>
          </cell>
          <cell r="B48" t="str">
            <v xml:space="preserve">Waimak Dairys </v>
          </cell>
        </row>
        <row r="50">
          <cell r="A50">
            <v>9240</v>
          </cell>
          <cell r="B50" t="str">
            <v>Daves Twizel Shack</v>
          </cell>
        </row>
        <row r="52">
          <cell r="A52">
            <v>7428</v>
          </cell>
          <cell r="B52" t="str">
            <v>FAB Pegasus Lakeside</v>
          </cell>
        </row>
        <row r="54">
          <cell r="A54">
            <v>9351</v>
          </cell>
          <cell r="B54" t="str">
            <v>Harewood Golf Club</v>
          </cell>
        </row>
        <row r="56">
          <cell r="A56">
            <v>7429</v>
          </cell>
          <cell r="B56" t="str">
            <v>Taggart House</v>
          </cell>
        </row>
        <row r="58">
          <cell r="A58">
            <v>9508</v>
          </cell>
          <cell r="B58" t="str">
            <v>St Barnabas Church</v>
          </cell>
        </row>
        <row r="62">
          <cell r="B62" t="str">
            <v>Contracting</v>
          </cell>
        </row>
        <row r="64">
          <cell r="A64">
            <v>8946</v>
          </cell>
          <cell r="B64" t="str">
            <v>Westcoast Vaults</v>
          </cell>
        </row>
        <row r="66">
          <cell r="A66">
            <v>8308</v>
          </cell>
          <cell r="B66" t="str">
            <v>Roydvale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7002-1383-E040-A396-3CBDAA92C0B4}">
  <dimension ref="A1:AI226"/>
  <sheetViews>
    <sheetView tabSelected="1" workbookViewId="0">
      <selection sqref="A1:XFD1048576"/>
    </sheetView>
  </sheetViews>
  <sheetFormatPr baseColWidth="10" defaultColWidth="8.83203125" defaultRowHeight="16" x14ac:dyDescent="0.2"/>
  <cols>
    <col min="2" max="3" width="26.5" customWidth="1"/>
    <col min="4" max="4" width="13.83203125" style="33" customWidth="1"/>
    <col min="5" max="5" width="14.83203125" style="33" customWidth="1"/>
    <col min="6" max="6" width="13.6640625" style="33" customWidth="1"/>
    <col min="7" max="7" width="12.6640625" style="63" customWidth="1"/>
    <col min="8" max="8" width="15.5" style="33" customWidth="1"/>
    <col min="9" max="9" width="16.5" style="33" customWidth="1"/>
    <col min="10" max="10" width="13.83203125" style="33" customWidth="1"/>
    <col min="11" max="11" width="14" style="33" customWidth="1"/>
    <col min="12" max="12" width="14.33203125" style="33" customWidth="1"/>
    <col min="13" max="14" width="12.6640625" style="63" customWidth="1"/>
    <col min="15" max="17" width="12.6640625" style="33" customWidth="1"/>
    <col min="18" max="18" width="12.6640625" style="63" customWidth="1"/>
    <col min="19" max="21" width="12.6640625" customWidth="1"/>
    <col min="22" max="27" width="12.6640625" style="63" customWidth="1"/>
    <col min="30" max="30" width="29" bestFit="1" customWidth="1"/>
    <col min="31" max="31" width="17" customWidth="1"/>
    <col min="34" max="34" width="11" bestFit="1" customWidth="1"/>
    <col min="35" max="35" width="13.6640625" bestFit="1" customWidth="1"/>
  </cols>
  <sheetData>
    <row r="1" spans="1:35" ht="30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</row>
    <row r="2" spans="1:35" ht="50.25" customHeight="1" thickBot="1" x14ac:dyDescent="0.25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7" t="s">
        <v>8</v>
      </c>
      <c r="I2" s="7" t="s">
        <v>9</v>
      </c>
      <c r="J2" s="10" t="s">
        <v>10</v>
      </c>
      <c r="K2" s="10" t="s">
        <v>11</v>
      </c>
      <c r="L2" s="8" t="s">
        <v>12</v>
      </c>
      <c r="M2" s="9" t="s">
        <v>13</v>
      </c>
      <c r="N2" s="11" t="s">
        <v>14</v>
      </c>
      <c r="O2" s="12" t="s">
        <v>15</v>
      </c>
      <c r="P2" s="12" t="s">
        <v>16</v>
      </c>
      <c r="Q2" s="8" t="s">
        <v>17</v>
      </c>
      <c r="R2" s="9" t="s">
        <v>18</v>
      </c>
      <c r="S2" s="13" t="s">
        <v>19</v>
      </c>
      <c r="T2" s="13" t="s">
        <v>20</v>
      </c>
      <c r="U2" s="14" t="s">
        <v>21</v>
      </c>
      <c r="V2" s="9" t="s">
        <v>22</v>
      </c>
      <c r="W2" s="11" t="s">
        <v>23</v>
      </c>
      <c r="X2" s="15" t="s">
        <v>24</v>
      </c>
      <c r="Y2" s="16" t="s">
        <v>25</v>
      </c>
      <c r="Z2" s="15" t="s">
        <v>26</v>
      </c>
      <c r="AA2" s="17" t="s">
        <v>27</v>
      </c>
    </row>
    <row r="3" spans="1:35" ht="16.5" customHeight="1" x14ac:dyDescent="0.2">
      <c r="A3" s="5"/>
      <c r="B3" s="6"/>
      <c r="C3" s="6"/>
      <c r="D3" s="7"/>
      <c r="E3" s="7"/>
      <c r="F3" s="8"/>
      <c r="G3" s="9"/>
      <c r="H3" s="7"/>
      <c r="I3" s="7"/>
      <c r="J3" s="10"/>
      <c r="K3" s="10"/>
      <c r="L3" s="8"/>
      <c r="M3" s="9"/>
      <c r="N3" s="11"/>
      <c r="O3" s="12"/>
      <c r="P3" s="12"/>
      <c r="Q3" s="8"/>
      <c r="R3" s="9"/>
      <c r="S3" s="13"/>
      <c r="T3" s="13"/>
      <c r="U3" s="14"/>
      <c r="V3" s="9"/>
      <c r="W3" s="11"/>
      <c r="X3" s="15"/>
      <c r="Y3" s="16"/>
      <c r="Z3" s="15"/>
      <c r="AA3" s="17"/>
      <c r="AH3" s="18" t="s">
        <v>28</v>
      </c>
      <c r="AI3" s="19" t="s">
        <v>29</v>
      </c>
    </row>
    <row r="4" spans="1:35" x14ac:dyDescent="0.2">
      <c r="A4" s="20">
        <f>'[1]Main Sheet'!A4</f>
        <v>7658</v>
      </c>
      <c r="B4" s="21" t="str">
        <f>'[1]Main Sheet'!B4</f>
        <v>Charity Hospital</v>
      </c>
      <c r="C4" s="22" t="s">
        <v>30</v>
      </c>
      <c r="D4" s="23">
        <v>151187.84</v>
      </c>
      <c r="E4" s="23">
        <v>84036.95</v>
      </c>
      <c r="F4" s="24">
        <f>D4-E4</f>
        <v>67150.89</v>
      </c>
      <c r="G4" s="25">
        <f>F4/D4</f>
        <v>0.4441553632884761</v>
      </c>
      <c r="H4" s="24">
        <v>123244.87</v>
      </c>
      <c r="I4" s="24">
        <v>83080.14</v>
      </c>
      <c r="J4" s="23">
        <f>SUM(H4-O4)</f>
        <v>99869.39</v>
      </c>
      <c r="K4" s="23">
        <f>SUM(I4-P4)</f>
        <v>71217.91</v>
      </c>
      <c r="L4" s="24">
        <f>J4-K4</f>
        <v>28651.479999999996</v>
      </c>
      <c r="M4" s="25">
        <f>L4/J4</f>
        <v>0.28688950638428851</v>
      </c>
      <c r="N4" s="26">
        <v>0.2</v>
      </c>
      <c r="O4" s="23">
        <v>23375.48</v>
      </c>
      <c r="P4" s="23">
        <v>11862.23</v>
      </c>
      <c r="Q4" s="24">
        <f>O4-P4</f>
        <v>11513.25</v>
      </c>
      <c r="R4" s="25">
        <f>Q4/O4</f>
        <v>0.49253534045076297</v>
      </c>
      <c r="S4" s="27">
        <v>473</v>
      </c>
      <c r="T4" s="27">
        <v>247.75</v>
      </c>
      <c r="U4" s="28">
        <f>S4-T4</f>
        <v>225.25</v>
      </c>
      <c r="V4" s="25">
        <f>U4/S4</f>
        <v>0.47621564482029599</v>
      </c>
      <c r="W4" s="26"/>
      <c r="X4" s="29">
        <f>(E4-K4-P4)/T4</f>
        <v>3.8619979818365047</v>
      </c>
      <c r="Y4" s="29">
        <f>(D4-J4-O4)/S4</f>
        <v>59.076046511627901</v>
      </c>
      <c r="Z4" s="25">
        <f>(E4-K4-P4)/E4</f>
        <v>1.1385586935270664E-2</v>
      </c>
      <c r="AA4" s="30">
        <f>SUM(D4-H4)/D4</f>
        <v>0.18482286670674045</v>
      </c>
      <c r="AB4" s="31"/>
      <c r="AD4" t="s">
        <v>31</v>
      </c>
      <c r="AE4">
        <f>AH9</f>
        <v>170.25</v>
      </c>
      <c r="AH4" s="20">
        <f>SUM(T5-T4)</f>
        <v>55</v>
      </c>
      <c r="AI4" s="32">
        <f>SUM(K5-K4)</f>
        <v>4159.1900000000023</v>
      </c>
    </row>
    <row r="5" spans="1:35" x14ac:dyDescent="0.2">
      <c r="A5" s="20"/>
      <c r="B5" s="21"/>
      <c r="C5" s="22" t="s">
        <v>32</v>
      </c>
      <c r="D5" s="23">
        <v>151187.84</v>
      </c>
      <c r="E5" s="23">
        <v>84036.95</v>
      </c>
      <c r="F5" s="24">
        <f t="shared" ref="F5:F9" si="0">D5-E5</f>
        <v>67150.89</v>
      </c>
      <c r="G5" s="25">
        <f>F5/D5</f>
        <v>0.4441553632884761</v>
      </c>
      <c r="H5" s="24">
        <v>123244.87</v>
      </c>
      <c r="I5" s="24">
        <v>90009.08</v>
      </c>
      <c r="J5" s="23">
        <f t="shared" ref="J5:K9" si="1">SUM(H5-O5)</f>
        <v>99869.39</v>
      </c>
      <c r="K5" s="23">
        <f t="shared" si="1"/>
        <v>75377.100000000006</v>
      </c>
      <c r="L5" s="24">
        <f t="shared" ref="L5:L9" si="2">J5-K5</f>
        <v>24492.289999999994</v>
      </c>
      <c r="M5" s="25">
        <f t="shared" ref="M5:M9" si="3">L5/J5</f>
        <v>0.24524321215940134</v>
      </c>
      <c r="N5" s="26">
        <v>0.2</v>
      </c>
      <c r="O5" s="23">
        <v>23375.48</v>
      </c>
      <c r="P5" s="23">
        <v>14631.98</v>
      </c>
      <c r="Q5" s="24">
        <f t="shared" ref="Q5:Q9" si="4">O5-P5</f>
        <v>8743.5</v>
      </c>
      <c r="R5" s="25">
        <f t="shared" ref="R5:R9" si="5">Q5/O5</f>
        <v>0.37404579499543966</v>
      </c>
      <c r="S5" s="27">
        <v>473</v>
      </c>
      <c r="T5" s="27">
        <v>302.75</v>
      </c>
      <c r="U5" s="28">
        <f t="shared" ref="U5:U9" si="6">S5-T5</f>
        <v>170.25</v>
      </c>
      <c r="V5" s="25">
        <f t="shared" ref="V5:V9" si="7">U5/S5</f>
        <v>0.35993657505285415</v>
      </c>
      <c r="W5" s="26"/>
      <c r="X5" s="29">
        <f t="shared" ref="X5:X9" si="8">(E5-K5-P5)/T5</f>
        <v>-19.726275805119762</v>
      </c>
      <c r="Y5" s="29">
        <f t="shared" ref="Y5:Y9" si="9">(D5-J5-O5)/S5</f>
        <v>59.076046511627901</v>
      </c>
      <c r="Z5" s="25">
        <f t="shared" ref="Z5:Z9" si="10">(E5-K5-P5)/E5</f>
        <v>-7.1065525343316338E-2</v>
      </c>
      <c r="AA5" s="30">
        <f t="shared" ref="AA5:AA9" si="11">SUM(D5-H5)/D5</f>
        <v>0.18482286670674045</v>
      </c>
      <c r="AB5" s="31"/>
      <c r="AD5" t="s">
        <v>33</v>
      </c>
      <c r="AE5" s="33">
        <f>AI9</f>
        <v>21734.649999999994</v>
      </c>
      <c r="AH5" s="20">
        <f>SUM(T6-T5)</f>
        <v>0</v>
      </c>
      <c r="AI5" s="32">
        <f>SUM(K6-K5)</f>
        <v>0</v>
      </c>
    </row>
    <row r="6" spans="1:35" x14ac:dyDescent="0.2">
      <c r="A6" s="20"/>
      <c r="B6" s="21"/>
      <c r="C6" s="22" t="s">
        <v>34</v>
      </c>
      <c r="D6" s="23">
        <v>151187.84</v>
      </c>
      <c r="E6" s="23">
        <v>84036.95</v>
      </c>
      <c r="F6" s="24">
        <f t="shared" si="0"/>
        <v>67150.89</v>
      </c>
      <c r="G6" s="25">
        <f t="shared" ref="G6:G10" si="12">F6/D6</f>
        <v>0.4441553632884761</v>
      </c>
      <c r="H6" s="24">
        <v>123244.87</v>
      </c>
      <c r="I6" s="24">
        <v>90009.08</v>
      </c>
      <c r="J6" s="23">
        <f t="shared" si="1"/>
        <v>99869.39</v>
      </c>
      <c r="K6" s="23">
        <f t="shared" si="1"/>
        <v>75377.100000000006</v>
      </c>
      <c r="L6" s="24">
        <f t="shared" si="2"/>
        <v>24492.289999999994</v>
      </c>
      <c r="M6" s="25">
        <f t="shared" si="3"/>
        <v>0.24524321215940134</v>
      </c>
      <c r="N6" s="26">
        <v>0.8</v>
      </c>
      <c r="O6" s="23">
        <v>23375.48</v>
      </c>
      <c r="P6" s="23">
        <v>14631.98</v>
      </c>
      <c r="Q6" s="24">
        <f t="shared" si="4"/>
        <v>8743.5</v>
      </c>
      <c r="R6" s="25">
        <f t="shared" si="5"/>
        <v>0.37404579499543966</v>
      </c>
      <c r="S6" s="27">
        <v>473</v>
      </c>
      <c r="T6" s="27">
        <v>302.75</v>
      </c>
      <c r="U6" s="28">
        <f t="shared" si="6"/>
        <v>170.25</v>
      </c>
      <c r="V6" s="25">
        <f t="shared" si="7"/>
        <v>0.35993657505285415</v>
      </c>
      <c r="W6" s="26"/>
      <c r="X6" s="29">
        <f t="shared" si="8"/>
        <v>-19.726275805119762</v>
      </c>
      <c r="Y6" s="29">
        <f t="shared" si="9"/>
        <v>59.076046511627901</v>
      </c>
      <c r="Z6" s="25">
        <f t="shared" si="10"/>
        <v>-7.1065525343316338E-2</v>
      </c>
      <c r="AA6" s="30">
        <f t="shared" si="11"/>
        <v>0.18482286670674045</v>
      </c>
      <c r="AB6" s="31"/>
      <c r="AH6" s="20">
        <f>SUM(T7-T6)</f>
        <v>0</v>
      </c>
      <c r="AI6" s="32">
        <f>SUM(K7-K6)</f>
        <v>0</v>
      </c>
    </row>
    <row r="7" spans="1:35" x14ac:dyDescent="0.2">
      <c r="A7" s="20"/>
      <c r="B7" s="21"/>
      <c r="C7" s="22" t="s">
        <v>35</v>
      </c>
      <c r="D7" s="23">
        <v>151187.84</v>
      </c>
      <c r="E7" s="23">
        <v>84036.95</v>
      </c>
      <c r="F7" s="24">
        <f t="shared" si="0"/>
        <v>67150.89</v>
      </c>
      <c r="G7" s="25">
        <f>F7/D7</f>
        <v>0.4441553632884761</v>
      </c>
      <c r="H7" s="24">
        <v>123244.87</v>
      </c>
      <c r="I7" s="24">
        <v>90009.08</v>
      </c>
      <c r="J7" s="23">
        <f>SUM(H7-O7)</f>
        <v>99869.39</v>
      </c>
      <c r="K7" s="23">
        <f t="shared" si="1"/>
        <v>75377.100000000006</v>
      </c>
      <c r="L7" s="24">
        <f t="shared" si="2"/>
        <v>24492.289999999994</v>
      </c>
      <c r="M7" s="25">
        <f t="shared" si="3"/>
        <v>0.24524321215940134</v>
      </c>
      <c r="N7" s="26">
        <v>0.8</v>
      </c>
      <c r="O7" s="23">
        <v>23375.48</v>
      </c>
      <c r="P7" s="23">
        <v>14631.98</v>
      </c>
      <c r="Q7" s="24">
        <f t="shared" si="4"/>
        <v>8743.5</v>
      </c>
      <c r="R7" s="25">
        <f t="shared" si="5"/>
        <v>0.37404579499543966</v>
      </c>
      <c r="S7" s="27">
        <v>473</v>
      </c>
      <c r="T7" s="27">
        <v>302.75</v>
      </c>
      <c r="U7" s="28">
        <f t="shared" si="6"/>
        <v>170.25</v>
      </c>
      <c r="V7" s="25">
        <f t="shared" si="7"/>
        <v>0.35993657505285415</v>
      </c>
      <c r="W7" s="26"/>
      <c r="X7" s="29">
        <f t="shared" si="8"/>
        <v>-19.726275805119762</v>
      </c>
      <c r="Y7" s="29">
        <f t="shared" si="9"/>
        <v>59.076046511627901</v>
      </c>
      <c r="Z7" s="25">
        <f t="shared" si="10"/>
        <v>-7.1065525343316338E-2</v>
      </c>
      <c r="AA7" s="30">
        <f t="shared" si="11"/>
        <v>0.18482286670674045</v>
      </c>
      <c r="AB7" s="31"/>
      <c r="AD7" t="s">
        <v>36</v>
      </c>
      <c r="AE7" s="33">
        <v>0</v>
      </c>
      <c r="AH7" s="20">
        <f>SUM(T8-T7)</f>
        <v>52.75</v>
      </c>
      <c r="AI7" s="32">
        <f>SUM(K8-K7)</f>
        <v>9611.1199999999953</v>
      </c>
    </row>
    <row r="8" spans="1:35" x14ac:dyDescent="0.2">
      <c r="A8" s="20"/>
      <c r="B8" s="21"/>
      <c r="C8" s="22" t="s">
        <v>37</v>
      </c>
      <c r="D8" s="23">
        <v>211177.4</v>
      </c>
      <c r="E8" s="23">
        <v>205915.9</v>
      </c>
      <c r="F8" s="24">
        <f t="shared" si="0"/>
        <v>5261.5</v>
      </c>
      <c r="G8" s="25">
        <f t="shared" si="12"/>
        <v>2.4915071404421119E-2</v>
      </c>
      <c r="H8" s="24">
        <v>179035.16</v>
      </c>
      <c r="I8" s="24">
        <v>102494.5</v>
      </c>
      <c r="J8" s="23">
        <f t="shared" ref="J8:J9" si="13">SUM(H8-O8)</f>
        <v>153862.87</v>
      </c>
      <c r="K8" s="23">
        <f t="shared" si="1"/>
        <v>84988.22</v>
      </c>
      <c r="L8" s="24">
        <f t="shared" si="2"/>
        <v>68874.649999999994</v>
      </c>
      <c r="M8" s="25">
        <f t="shared" si="3"/>
        <v>0.44763658704663445</v>
      </c>
      <c r="N8" s="26">
        <v>0.8</v>
      </c>
      <c r="O8" s="23">
        <v>25172.29</v>
      </c>
      <c r="P8" s="23">
        <v>17506.28</v>
      </c>
      <c r="Q8" s="24">
        <f t="shared" si="4"/>
        <v>7666.010000000002</v>
      </c>
      <c r="R8" s="25">
        <f t="shared" si="5"/>
        <v>0.30454162096495796</v>
      </c>
      <c r="S8" s="27">
        <v>509</v>
      </c>
      <c r="T8" s="27">
        <v>355.5</v>
      </c>
      <c r="U8" s="28">
        <f t="shared" si="6"/>
        <v>153.5</v>
      </c>
      <c r="V8" s="25">
        <f t="shared" si="7"/>
        <v>0.30157170923379173</v>
      </c>
      <c r="W8" s="26"/>
      <c r="X8" s="29">
        <f t="shared" si="8"/>
        <v>290.9181434599156</v>
      </c>
      <c r="Y8" s="29">
        <f t="shared" si="9"/>
        <v>63.147819253438108</v>
      </c>
      <c r="Z8" s="25">
        <f t="shared" si="10"/>
        <v>0.50225067612554442</v>
      </c>
      <c r="AA8" s="30">
        <f t="shared" si="11"/>
        <v>0.15220492344351239</v>
      </c>
      <c r="AB8" s="31"/>
      <c r="AH8" s="20">
        <f>SUM(T9-T8)</f>
        <v>62.5</v>
      </c>
      <c r="AI8" s="32">
        <f>SUM(K9-K8)</f>
        <v>7964.3399999999965</v>
      </c>
    </row>
    <row r="9" spans="1:35" ht="17" thickBot="1" x14ac:dyDescent="0.25">
      <c r="A9" s="20"/>
      <c r="B9" s="21"/>
      <c r="C9" s="22" t="s">
        <v>38</v>
      </c>
      <c r="D9" s="23">
        <v>215046.91</v>
      </c>
      <c r="E9" s="23">
        <v>205915.9</v>
      </c>
      <c r="F9" s="24">
        <f t="shared" si="0"/>
        <v>9131.0100000000093</v>
      </c>
      <c r="G9" s="25">
        <f t="shared" si="12"/>
        <v>4.2460549654026694E-2</v>
      </c>
      <c r="H9" s="24">
        <v>181293.63</v>
      </c>
      <c r="I9" s="24">
        <v>113522.99</v>
      </c>
      <c r="J9" s="23">
        <f t="shared" si="13"/>
        <v>155024.75</v>
      </c>
      <c r="K9" s="23">
        <f t="shared" si="1"/>
        <v>92952.56</v>
      </c>
      <c r="L9" s="24">
        <f t="shared" si="2"/>
        <v>62072.19</v>
      </c>
      <c r="M9" s="25">
        <f t="shared" si="3"/>
        <v>0.4004018068082677</v>
      </c>
      <c r="N9" s="26">
        <v>0.9</v>
      </c>
      <c r="O9" s="23">
        <v>26268.880000000001</v>
      </c>
      <c r="P9" s="23">
        <v>20570.43</v>
      </c>
      <c r="Q9" s="24">
        <f t="shared" si="4"/>
        <v>5698.4500000000007</v>
      </c>
      <c r="R9" s="25">
        <f t="shared" si="5"/>
        <v>0.21692778679563043</v>
      </c>
      <c r="S9" s="27">
        <v>530.95000000000005</v>
      </c>
      <c r="T9" s="27">
        <v>418</v>
      </c>
      <c r="U9" s="28">
        <f t="shared" si="6"/>
        <v>112.95000000000005</v>
      </c>
      <c r="V9" s="25">
        <f t="shared" si="7"/>
        <v>0.212731895658725</v>
      </c>
      <c r="W9" s="26"/>
      <c r="X9" s="29">
        <f t="shared" si="8"/>
        <v>221.03566985645935</v>
      </c>
      <c r="Y9" s="29">
        <f t="shared" si="9"/>
        <v>63.571485073924087</v>
      </c>
      <c r="Z9" s="25">
        <f t="shared" si="10"/>
        <v>0.44869245162709631</v>
      </c>
      <c r="AA9" s="30">
        <f t="shared" si="11"/>
        <v>0.1569577540081836</v>
      </c>
      <c r="AB9" s="31"/>
      <c r="AH9" s="34">
        <f>SUM(AH4,AH5,AH6,AH7,AH8)</f>
        <v>170.25</v>
      </c>
      <c r="AI9" s="35">
        <f>SUM(AI4,AI5,AI6,AI7,AI8)</f>
        <v>21734.649999999994</v>
      </c>
    </row>
    <row r="10" spans="1:35" ht="9" customHeight="1" x14ac:dyDescent="0.2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8"/>
    </row>
    <row r="11" spans="1:35" x14ac:dyDescent="0.2">
      <c r="A11" s="20">
        <f>'[1]Main Sheet'!A6</f>
        <v>8142</v>
      </c>
      <c r="B11" s="21" t="str">
        <f>'[1]Main Sheet'!B6</f>
        <v>Fisher Developements</v>
      </c>
      <c r="C11" s="22" t="s">
        <v>30</v>
      </c>
      <c r="D11" s="23">
        <v>95023.47</v>
      </c>
      <c r="E11" s="39">
        <v>51156.11</v>
      </c>
      <c r="F11" s="24">
        <f>D11-E11</f>
        <v>43867.360000000001</v>
      </c>
      <c r="G11" s="25">
        <f>F11/D11</f>
        <v>0.46164763294794431</v>
      </c>
      <c r="H11" s="24">
        <v>72292.47</v>
      </c>
      <c r="I11" s="24">
        <v>46015.25</v>
      </c>
      <c r="J11" s="23">
        <f>SUM(H11-O11)</f>
        <v>56719.740000000005</v>
      </c>
      <c r="K11" s="23">
        <f>SUM(I11-P11)</f>
        <v>43985.17</v>
      </c>
      <c r="L11" s="24">
        <f>J11-K11</f>
        <v>12734.570000000007</v>
      </c>
      <c r="M11" s="25">
        <f t="shared" ref="M11:M16" si="14">L11/J11</f>
        <v>0.22451742550300841</v>
      </c>
      <c r="N11" s="26">
        <v>0.5</v>
      </c>
      <c r="O11" s="23">
        <v>15572.73</v>
      </c>
      <c r="P11" s="23">
        <v>2030.08</v>
      </c>
      <c r="Q11" s="24">
        <f t="shared" ref="Q11:Q16" si="15">O11-P11</f>
        <v>13542.65</v>
      </c>
      <c r="R11" s="25">
        <f t="shared" ref="R11:R16" si="16">Q11/O11</f>
        <v>0.86963878523547256</v>
      </c>
      <c r="S11" s="27">
        <v>311.89</v>
      </c>
      <c r="T11" s="27">
        <v>45.5</v>
      </c>
      <c r="U11" s="28">
        <f t="shared" ref="U11:U16" si="17">S11-T11</f>
        <v>266.39</v>
      </c>
      <c r="V11" s="25">
        <f t="shared" ref="V11:V16" si="18">U11/S11</f>
        <v>0.8541152329346885</v>
      </c>
      <c r="W11" s="26">
        <v>0.1</v>
      </c>
      <c r="X11" s="29">
        <f t="shared" ref="X11:X16" si="19">(E11-K11-P11)/T11</f>
        <v>112.98593406593412</v>
      </c>
      <c r="Y11" s="29">
        <f>(D11-J11-O11)/S11</f>
        <v>72.88146461893615</v>
      </c>
      <c r="Z11" s="25">
        <f t="shared" ref="Z11:Z16" si="20">(E11-K11-P11)/E11</f>
        <v>0.10049356763053333</v>
      </c>
      <c r="AA11" s="30">
        <f>SUM(D11-H11)/D11</f>
        <v>0.23921458561763742</v>
      </c>
      <c r="AB11" s="31"/>
      <c r="AD11" t="s">
        <v>31</v>
      </c>
      <c r="AE11">
        <f>AH16</f>
        <v>7</v>
      </c>
      <c r="AH11" s="20">
        <f>SUM(T12-T11)</f>
        <v>7</v>
      </c>
      <c r="AI11" s="32">
        <f>SUM(K12-K11)</f>
        <v>-178.95999999999185</v>
      </c>
    </row>
    <row r="12" spans="1:35" x14ac:dyDescent="0.2">
      <c r="A12" s="20"/>
      <c r="B12" s="21"/>
      <c r="C12" s="40" t="s">
        <v>32</v>
      </c>
      <c r="D12" s="23">
        <v>95023.47</v>
      </c>
      <c r="E12" s="39">
        <v>51156.11</v>
      </c>
      <c r="F12" s="24">
        <f t="shared" ref="F12:F16" si="21">D12-E12</f>
        <v>43867.360000000001</v>
      </c>
      <c r="G12" s="25">
        <f t="shared" ref="G12:G16" si="22">F12/D12</f>
        <v>0.46164763294794431</v>
      </c>
      <c r="H12" s="24">
        <v>72292.47</v>
      </c>
      <c r="I12" s="24">
        <v>46401.16</v>
      </c>
      <c r="J12" s="23">
        <f t="shared" ref="J12:K16" si="23">SUM(H12-O12)</f>
        <v>56719.740000000005</v>
      </c>
      <c r="K12" s="23">
        <f t="shared" si="23"/>
        <v>43806.210000000006</v>
      </c>
      <c r="L12" s="24">
        <f>J12-K12</f>
        <v>12913.529999999999</v>
      </c>
      <c r="M12" s="25">
        <f t="shared" si="14"/>
        <v>0.22767258806193394</v>
      </c>
      <c r="N12" s="26">
        <v>0.5</v>
      </c>
      <c r="O12" s="23">
        <v>15572.73</v>
      </c>
      <c r="P12" s="23">
        <v>2594.9499999999998</v>
      </c>
      <c r="Q12" s="24">
        <f t="shared" si="15"/>
        <v>12977.779999999999</v>
      </c>
      <c r="R12" s="25">
        <f t="shared" si="16"/>
        <v>0.83336576181568678</v>
      </c>
      <c r="S12" s="27">
        <v>311.89</v>
      </c>
      <c r="T12" s="27">
        <v>52.5</v>
      </c>
      <c r="U12" s="28">
        <f t="shared" si="17"/>
        <v>259.39</v>
      </c>
      <c r="V12" s="25">
        <f t="shared" si="18"/>
        <v>0.83167142261694826</v>
      </c>
      <c r="W12" s="26"/>
      <c r="X12" s="29">
        <f t="shared" si="19"/>
        <v>90.570476190476086</v>
      </c>
      <c r="Y12" s="29">
        <f>(D12-J12-O12)/S12</f>
        <v>72.88146461893615</v>
      </c>
      <c r="Z12" s="25">
        <f t="shared" si="20"/>
        <v>9.2949796221800177E-2</v>
      </c>
      <c r="AA12" s="30">
        <f t="shared" ref="AA12:AA16" si="24">SUM(D12-H12)/D12</f>
        <v>0.23921458561763742</v>
      </c>
      <c r="AB12" s="31"/>
      <c r="AD12" t="s">
        <v>33</v>
      </c>
      <c r="AE12" s="33">
        <f>AI16</f>
        <v>1716.6900000000023</v>
      </c>
      <c r="AH12" s="20">
        <f>SUM(T13-T12)</f>
        <v>0</v>
      </c>
      <c r="AI12" s="32">
        <f>SUM(K13-K12)</f>
        <v>0</v>
      </c>
    </row>
    <row r="13" spans="1:35" x14ac:dyDescent="0.2">
      <c r="A13" s="20"/>
      <c r="B13" s="21"/>
      <c r="C13" s="40" t="s">
        <v>34</v>
      </c>
      <c r="D13" s="23">
        <v>95023.47</v>
      </c>
      <c r="E13" s="39">
        <v>51156.11</v>
      </c>
      <c r="F13" s="24">
        <f t="shared" si="21"/>
        <v>43867.360000000001</v>
      </c>
      <c r="G13" s="25">
        <f t="shared" si="22"/>
        <v>0.46164763294794431</v>
      </c>
      <c r="H13" s="24">
        <v>72292.47</v>
      </c>
      <c r="I13" s="24">
        <v>46401.16</v>
      </c>
      <c r="J13" s="23">
        <f t="shared" si="23"/>
        <v>56719.740000000005</v>
      </c>
      <c r="K13" s="23">
        <f t="shared" si="23"/>
        <v>43806.210000000006</v>
      </c>
      <c r="L13" s="24">
        <f t="shared" ref="L13:L16" si="25">J13-K13</f>
        <v>12913.529999999999</v>
      </c>
      <c r="M13" s="25">
        <f>L13/J13</f>
        <v>0.22767258806193394</v>
      </c>
      <c r="N13" s="26"/>
      <c r="O13" s="23">
        <v>15572.73</v>
      </c>
      <c r="P13" s="23">
        <v>2594.9499999999998</v>
      </c>
      <c r="Q13" s="24">
        <f>O13-P13</f>
        <v>12977.779999999999</v>
      </c>
      <c r="R13" s="25">
        <f>Q13/O13</f>
        <v>0.83336576181568678</v>
      </c>
      <c r="S13" s="27">
        <v>311.89</v>
      </c>
      <c r="T13" s="27">
        <v>52.5</v>
      </c>
      <c r="U13" s="28">
        <f t="shared" si="17"/>
        <v>259.39</v>
      </c>
      <c r="V13" s="25">
        <f>U13/S13</f>
        <v>0.83167142261694826</v>
      </c>
      <c r="W13" s="26"/>
      <c r="X13" s="29">
        <f>(E13-K13-P13)/T13</f>
        <v>90.570476190476086</v>
      </c>
      <c r="Y13" s="29">
        <f>(D13-J13-O13)/S13</f>
        <v>72.88146461893615</v>
      </c>
      <c r="Z13" s="25">
        <f>(E13-K13-P13)/E13</f>
        <v>9.2949796221800177E-2</v>
      </c>
      <c r="AA13" s="30">
        <f t="shared" si="24"/>
        <v>0.23921458561763742</v>
      </c>
      <c r="AB13" s="31"/>
      <c r="AH13" s="20">
        <f>SUM(T14-T13)</f>
        <v>0</v>
      </c>
      <c r="AI13" s="32">
        <f>SUM(K14-K13)</f>
        <v>0</v>
      </c>
    </row>
    <row r="14" spans="1:35" x14ac:dyDescent="0.2">
      <c r="A14" s="20"/>
      <c r="B14" s="21"/>
      <c r="C14" s="40" t="s">
        <v>35</v>
      </c>
      <c r="D14" s="23">
        <v>95023.47</v>
      </c>
      <c r="E14" s="39">
        <v>51156.11</v>
      </c>
      <c r="F14" s="24">
        <f t="shared" si="21"/>
        <v>43867.360000000001</v>
      </c>
      <c r="G14" s="25">
        <f t="shared" si="22"/>
        <v>0.46164763294794431</v>
      </c>
      <c r="H14" s="24">
        <v>72292.47</v>
      </c>
      <c r="I14" s="24">
        <v>46401.16</v>
      </c>
      <c r="J14" s="23">
        <f>SUM(H14-O14)</f>
        <v>56719.740000000005</v>
      </c>
      <c r="K14" s="23">
        <f t="shared" si="23"/>
        <v>43806.210000000006</v>
      </c>
      <c r="L14" s="24">
        <f t="shared" si="25"/>
        <v>12913.529999999999</v>
      </c>
      <c r="M14" s="25">
        <f t="shared" si="14"/>
        <v>0.22767258806193394</v>
      </c>
      <c r="N14" s="26"/>
      <c r="O14" s="23">
        <v>15572.73</v>
      </c>
      <c r="P14" s="23">
        <v>2594.9499999999998</v>
      </c>
      <c r="Q14" s="24">
        <f t="shared" si="15"/>
        <v>12977.779999999999</v>
      </c>
      <c r="R14" s="25">
        <f t="shared" si="16"/>
        <v>0.83336576181568678</v>
      </c>
      <c r="S14" s="27">
        <v>311.89</v>
      </c>
      <c r="T14" s="27">
        <v>52.5</v>
      </c>
      <c r="U14" s="28">
        <f>S14-T14</f>
        <v>259.39</v>
      </c>
      <c r="V14" s="25">
        <f>U14/S14</f>
        <v>0.83167142261694826</v>
      </c>
      <c r="W14" s="26"/>
      <c r="X14" s="29">
        <f t="shared" si="19"/>
        <v>90.570476190476086</v>
      </c>
      <c r="Y14" s="29">
        <f>(D16-J14-O14)/S14</f>
        <v>72.88146461893615</v>
      </c>
      <c r="Z14" s="25">
        <f t="shared" si="20"/>
        <v>9.2949796221800177E-2</v>
      </c>
      <c r="AA14" s="30">
        <f>SUM(D16-H14)/D16</f>
        <v>0.23921458561763742</v>
      </c>
      <c r="AB14" s="31"/>
      <c r="AD14" t="s">
        <v>36</v>
      </c>
      <c r="AE14" s="33">
        <v>0</v>
      </c>
      <c r="AH14" s="20">
        <f>SUM(T15-T14)</f>
        <v>0</v>
      </c>
      <c r="AI14" s="32">
        <f>SUM(K15-K14)</f>
        <v>1880.9499999999971</v>
      </c>
    </row>
    <row r="15" spans="1:35" x14ac:dyDescent="0.2">
      <c r="A15" s="20"/>
      <c r="B15" s="21"/>
      <c r="C15" s="40" t="s">
        <v>37</v>
      </c>
      <c r="D15" s="23">
        <v>95023.47</v>
      </c>
      <c r="E15" s="39">
        <v>51156.11</v>
      </c>
      <c r="F15" s="24">
        <f t="shared" si="21"/>
        <v>43867.360000000001</v>
      </c>
      <c r="G15" s="25">
        <f t="shared" si="22"/>
        <v>0.46164763294794431</v>
      </c>
      <c r="H15" s="24">
        <v>72292.47</v>
      </c>
      <c r="I15" s="24">
        <v>48282.11</v>
      </c>
      <c r="J15" s="23">
        <f t="shared" si="23"/>
        <v>56719.740000000005</v>
      </c>
      <c r="K15" s="23">
        <f t="shared" si="23"/>
        <v>45687.16</v>
      </c>
      <c r="L15" s="24">
        <f t="shared" si="25"/>
        <v>11032.580000000002</v>
      </c>
      <c r="M15" s="25">
        <f t="shared" si="14"/>
        <v>0.19451041207170555</v>
      </c>
      <c r="N15" s="26"/>
      <c r="O15" s="23">
        <v>15572.73</v>
      </c>
      <c r="P15" s="23">
        <v>2594.9499999999998</v>
      </c>
      <c r="Q15" s="24">
        <f t="shared" si="15"/>
        <v>12977.779999999999</v>
      </c>
      <c r="R15" s="25">
        <f t="shared" si="16"/>
        <v>0.83336576181568678</v>
      </c>
      <c r="S15" s="27">
        <v>311.89</v>
      </c>
      <c r="T15" s="27">
        <v>52.5</v>
      </c>
      <c r="U15" s="28">
        <f>S15-T15</f>
        <v>259.39</v>
      </c>
      <c r="V15" s="25">
        <f>U15/S15</f>
        <v>0.83167142261694826</v>
      </c>
      <c r="W15" s="26"/>
      <c r="X15" s="29">
        <f t="shared" si="19"/>
        <v>54.74285714285709</v>
      </c>
      <c r="Y15" s="29">
        <f>(D15-J15-O15)/S15</f>
        <v>72.88146461893615</v>
      </c>
      <c r="Z15" s="25">
        <f t="shared" si="20"/>
        <v>5.6180972321781257E-2</v>
      </c>
      <c r="AA15" s="30">
        <f t="shared" si="24"/>
        <v>0.23921458561763742</v>
      </c>
      <c r="AB15" s="31"/>
      <c r="AH15" s="20">
        <f>SUM(T16-T15)</f>
        <v>0</v>
      </c>
      <c r="AI15" s="32">
        <f>SUM(K16-K15)</f>
        <v>14.69999999999709</v>
      </c>
    </row>
    <row r="16" spans="1:35" ht="17" thickBot="1" x14ac:dyDescent="0.25">
      <c r="A16" s="20"/>
      <c r="B16" s="21"/>
      <c r="C16" s="40" t="s">
        <v>38</v>
      </c>
      <c r="D16" s="23">
        <v>95023.47</v>
      </c>
      <c r="E16" s="39">
        <v>51156.11</v>
      </c>
      <c r="F16" s="24">
        <f t="shared" si="21"/>
        <v>43867.360000000001</v>
      </c>
      <c r="G16" s="25">
        <f t="shared" si="22"/>
        <v>0.46164763294794431</v>
      </c>
      <c r="H16" s="24">
        <v>72292.47</v>
      </c>
      <c r="I16" s="24">
        <v>48296.81</v>
      </c>
      <c r="J16" s="23">
        <f t="shared" si="23"/>
        <v>56719.740000000005</v>
      </c>
      <c r="K16" s="23">
        <f>SUM(I16-P16)</f>
        <v>45701.86</v>
      </c>
      <c r="L16" s="24">
        <f t="shared" si="25"/>
        <v>11017.880000000005</v>
      </c>
      <c r="M16" s="25">
        <f t="shared" si="14"/>
        <v>0.19425124304166422</v>
      </c>
      <c r="N16" s="26"/>
      <c r="O16" s="23">
        <v>15572.73</v>
      </c>
      <c r="P16" s="23">
        <v>2594.9499999999998</v>
      </c>
      <c r="Q16" s="24">
        <f t="shared" si="15"/>
        <v>12977.779999999999</v>
      </c>
      <c r="R16" s="25">
        <f t="shared" si="16"/>
        <v>0.83336576181568678</v>
      </c>
      <c r="S16" s="27">
        <v>311.89</v>
      </c>
      <c r="T16" s="27">
        <v>52.5</v>
      </c>
      <c r="U16" s="28">
        <f t="shared" si="17"/>
        <v>259.39</v>
      </c>
      <c r="V16" s="25">
        <f t="shared" si="18"/>
        <v>0.83167142261694826</v>
      </c>
      <c r="W16" s="26">
        <v>0.3</v>
      </c>
      <c r="X16" s="29">
        <f t="shared" si="19"/>
        <v>54.462857142857146</v>
      </c>
      <c r="Y16" s="29">
        <f>(D16-J16-O16)/S16</f>
        <v>72.88146461893615</v>
      </c>
      <c r="Z16" s="25">
        <f t="shared" si="20"/>
        <v>5.5893616617839009E-2</v>
      </c>
      <c r="AA16" s="30">
        <f t="shared" si="24"/>
        <v>0.23921458561763742</v>
      </c>
      <c r="AB16" s="31"/>
      <c r="AH16" s="34">
        <f>SUM(AH11,AH12,AH13,AH14,AH15)</f>
        <v>7</v>
      </c>
      <c r="AI16" s="35">
        <f>SUM(AI11,AI12,AI13,AI14,AI15)</f>
        <v>1716.6900000000023</v>
      </c>
    </row>
    <row r="17" spans="1:35" ht="9" customHeight="1" x14ac:dyDescent="0.2">
      <c r="A17" s="36"/>
      <c r="B17" s="37"/>
      <c r="C17" s="37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8"/>
    </row>
    <row r="18" spans="1:35" x14ac:dyDescent="0.2">
      <c r="A18" s="20">
        <v>8824</v>
      </c>
      <c r="B18" s="21" t="s">
        <v>39</v>
      </c>
      <c r="C18" s="22" t="s">
        <v>30</v>
      </c>
      <c r="D18" s="23">
        <v>27500.32</v>
      </c>
      <c r="E18" s="23">
        <v>0</v>
      </c>
      <c r="F18" s="24">
        <f>D18-E18</f>
        <v>27500.32</v>
      </c>
      <c r="G18" s="25">
        <f>F18/D18</f>
        <v>1</v>
      </c>
      <c r="H18" s="24">
        <v>19565.830000000002</v>
      </c>
      <c r="I18" s="24">
        <v>4619.18</v>
      </c>
      <c r="J18" s="23">
        <f>SUM(H18-O18)</f>
        <v>13767.340000000002</v>
      </c>
      <c r="K18" s="23">
        <f>SUM(I18-P18)</f>
        <v>3061.2400000000002</v>
      </c>
      <c r="L18" s="24">
        <f t="shared" ref="L18:L23" si="26">J18-K18</f>
        <v>10706.100000000002</v>
      </c>
      <c r="M18" s="25">
        <f>L18/J18</f>
        <v>0.77764477379072505</v>
      </c>
      <c r="N18" s="26"/>
      <c r="O18" s="23">
        <v>5798.49</v>
      </c>
      <c r="P18" s="23">
        <v>1557.94</v>
      </c>
      <c r="Q18" s="24">
        <f>O18-P18</f>
        <v>4240.5499999999993</v>
      </c>
      <c r="R18" s="25">
        <f t="shared" ref="R18:R23" si="27">Q18/O18</f>
        <v>0.7313197056475047</v>
      </c>
      <c r="S18" s="27">
        <v>125.39</v>
      </c>
      <c r="T18" s="27">
        <v>31.75</v>
      </c>
      <c r="U18" s="28">
        <f t="shared" ref="U18:U23" si="28">S18-T18</f>
        <v>93.64</v>
      </c>
      <c r="V18" s="25">
        <f t="shared" ref="V18:V23" si="29">U18/S18</f>
        <v>0.74679001515272347</v>
      </c>
      <c r="W18" s="26">
        <v>0.25</v>
      </c>
      <c r="X18" s="29">
        <f t="shared" ref="X18:X23" si="30">(E18-K18-P18)/T18</f>
        <v>-145.48598425196852</v>
      </c>
      <c r="Y18" s="29">
        <f t="shared" ref="Y18:Y23" si="31">(D18-J18-O18)/S18</f>
        <v>63.278491107743825</v>
      </c>
      <c r="Z18" s="25" t="e">
        <f t="shared" ref="Z18:Z23" si="32">(E18-K18-P18)/E18</f>
        <v>#DIV/0!</v>
      </c>
      <c r="AA18" s="30">
        <f>SUM(D18-H18)/D18</f>
        <v>0.28852355172594346</v>
      </c>
      <c r="AB18" s="31"/>
      <c r="AD18" t="s">
        <v>31</v>
      </c>
      <c r="AE18">
        <f>AH23</f>
        <v>3</v>
      </c>
      <c r="AH18" s="20">
        <f>SUM(T19-T18)</f>
        <v>0</v>
      </c>
      <c r="AI18" s="32">
        <f>SUM(K19-K18)</f>
        <v>0</v>
      </c>
    </row>
    <row r="19" spans="1:35" x14ac:dyDescent="0.2">
      <c r="A19" s="20"/>
      <c r="B19" s="21"/>
      <c r="C19" s="22" t="s">
        <v>32</v>
      </c>
      <c r="D19" s="23">
        <v>27500.32</v>
      </c>
      <c r="E19" s="23"/>
      <c r="F19" s="24">
        <f t="shared" ref="F19:F23" si="33">D19-E19</f>
        <v>27500.32</v>
      </c>
      <c r="G19" s="25">
        <f t="shared" ref="G19:G23" si="34">F19/D19</f>
        <v>1</v>
      </c>
      <c r="H19" s="24">
        <v>19565.830000000002</v>
      </c>
      <c r="I19" s="24">
        <v>4619.18</v>
      </c>
      <c r="J19" s="23">
        <f t="shared" ref="J19:K23" si="35">SUM(H19-O19)</f>
        <v>13767.340000000002</v>
      </c>
      <c r="K19" s="23">
        <f t="shared" si="35"/>
        <v>3061.2400000000002</v>
      </c>
      <c r="L19" s="24">
        <f t="shared" si="26"/>
        <v>10706.100000000002</v>
      </c>
      <c r="M19" s="25">
        <f t="shared" ref="M19:M23" si="36">L19/J19</f>
        <v>0.77764477379072505</v>
      </c>
      <c r="N19" s="26"/>
      <c r="O19" s="23">
        <v>5798.49</v>
      </c>
      <c r="P19" s="23">
        <v>1557.94</v>
      </c>
      <c r="Q19" s="24">
        <f t="shared" ref="Q19:Q23" si="37">O19-P19</f>
        <v>4240.5499999999993</v>
      </c>
      <c r="R19" s="25">
        <f t="shared" si="27"/>
        <v>0.7313197056475047</v>
      </c>
      <c r="S19" s="27">
        <v>125.39</v>
      </c>
      <c r="T19" s="27">
        <v>31.75</v>
      </c>
      <c r="U19" s="28">
        <f t="shared" si="28"/>
        <v>93.64</v>
      </c>
      <c r="V19" s="25">
        <f t="shared" si="29"/>
        <v>0.74679001515272347</v>
      </c>
      <c r="W19" s="26">
        <v>0.25</v>
      </c>
      <c r="X19" s="29">
        <f t="shared" si="30"/>
        <v>-145.48598425196852</v>
      </c>
      <c r="Y19" s="29">
        <f t="shared" si="31"/>
        <v>63.278491107743825</v>
      </c>
      <c r="Z19" s="25" t="e">
        <f t="shared" si="32"/>
        <v>#DIV/0!</v>
      </c>
      <c r="AA19" s="30">
        <f t="shared" ref="AA19:AA23" si="38">SUM(D19-H19)/D19</f>
        <v>0.28852355172594346</v>
      </c>
      <c r="AB19" s="31"/>
      <c r="AD19" t="s">
        <v>33</v>
      </c>
      <c r="AE19" s="33">
        <f>AI23</f>
        <v>2849.9999999999995</v>
      </c>
      <c r="AH19" s="20">
        <f>SUM(T20-T19)</f>
        <v>3</v>
      </c>
      <c r="AI19" s="32">
        <f>SUM(K20-K19)</f>
        <v>-4.5474735088646412E-13</v>
      </c>
    </row>
    <row r="20" spans="1:35" x14ac:dyDescent="0.2">
      <c r="A20" s="20"/>
      <c r="B20" s="21"/>
      <c r="C20" s="22" t="s">
        <v>34</v>
      </c>
      <c r="D20" s="23">
        <v>27500.32</v>
      </c>
      <c r="E20" s="23"/>
      <c r="F20" s="24">
        <f t="shared" si="33"/>
        <v>27500.32</v>
      </c>
      <c r="G20" s="25">
        <f t="shared" si="34"/>
        <v>1</v>
      </c>
      <c r="H20" s="24">
        <v>19565.830000000002</v>
      </c>
      <c r="I20" s="24">
        <v>4771.92</v>
      </c>
      <c r="J20" s="23">
        <f t="shared" si="35"/>
        <v>13767.340000000002</v>
      </c>
      <c r="K20" s="23">
        <f t="shared" ref="K20" si="39">SUM(I20-P20)</f>
        <v>3061.24</v>
      </c>
      <c r="L20" s="24">
        <f>J20-K20</f>
        <v>10706.100000000002</v>
      </c>
      <c r="M20" s="25">
        <f t="shared" si="36"/>
        <v>0.77764477379072505</v>
      </c>
      <c r="N20" s="26"/>
      <c r="O20" s="23">
        <v>5798.49</v>
      </c>
      <c r="P20" s="23">
        <v>1710.68</v>
      </c>
      <c r="Q20" s="24">
        <f t="shared" si="37"/>
        <v>4087.8099999999995</v>
      </c>
      <c r="R20" s="25">
        <f>Q20/O20</f>
        <v>0.70497836505710965</v>
      </c>
      <c r="S20" s="27">
        <v>125.39</v>
      </c>
      <c r="T20" s="27">
        <v>34.75</v>
      </c>
      <c r="U20" s="28">
        <f t="shared" si="28"/>
        <v>90.64</v>
      </c>
      <c r="V20" s="25">
        <f>U20/S20</f>
        <v>0.72286466225376822</v>
      </c>
      <c r="W20" s="26"/>
      <c r="X20" s="29">
        <f>(E20-K20-P20)/T20</f>
        <v>-137.32143884892088</v>
      </c>
      <c r="Y20" s="29">
        <f>(D20-J20-O20)/S20</f>
        <v>63.278491107743825</v>
      </c>
      <c r="Z20" s="25" t="e">
        <f>(E20-K20-P20)/E20</f>
        <v>#DIV/0!</v>
      </c>
      <c r="AA20" s="30">
        <f t="shared" si="38"/>
        <v>0.28852355172594346</v>
      </c>
      <c r="AB20" s="31"/>
      <c r="AH20" s="20">
        <f>SUM(T21-T20)</f>
        <v>0</v>
      </c>
      <c r="AI20" s="32">
        <f>SUM(K21-K20)</f>
        <v>0</v>
      </c>
    </row>
    <row r="21" spans="1:35" x14ac:dyDescent="0.2">
      <c r="A21" s="20"/>
      <c r="B21" s="21"/>
      <c r="C21" s="22" t="s">
        <v>35</v>
      </c>
      <c r="D21" s="23">
        <v>27500.32</v>
      </c>
      <c r="E21" s="23"/>
      <c r="F21" s="24">
        <f t="shared" si="33"/>
        <v>27500.32</v>
      </c>
      <c r="G21" s="25">
        <f t="shared" si="34"/>
        <v>1</v>
      </c>
      <c r="H21" s="24">
        <v>19565.830000000002</v>
      </c>
      <c r="I21" s="24">
        <v>4771.92</v>
      </c>
      <c r="J21" s="23">
        <f t="shared" si="35"/>
        <v>13767.340000000002</v>
      </c>
      <c r="K21" s="23">
        <f t="shared" si="35"/>
        <v>3061.24</v>
      </c>
      <c r="L21" s="24">
        <f t="shared" si="26"/>
        <v>10706.100000000002</v>
      </c>
      <c r="M21" s="25">
        <f t="shared" si="36"/>
        <v>0.77764477379072505</v>
      </c>
      <c r="N21" s="26"/>
      <c r="O21" s="23">
        <v>5798.49</v>
      </c>
      <c r="P21" s="23">
        <v>1710.68</v>
      </c>
      <c r="Q21" s="24">
        <f t="shared" si="37"/>
        <v>4087.8099999999995</v>
      </c>
      <c r="R21" s="25">
        <f t="shared" si="27"/>
        <v>0.70497836505710965</v>
      </c>
      <c r="S21" s="27">
        <v>125.39</v>
      </c>
      <c r="T21" s="27">
        <v>34.75</v>
      </c>
      <c r="U21" s="28">
        <f t="shared" si="28"/>
        <v>90.64</v>
      </c>
      <c r="V21" s="25">
        <f t="shared" si="29"/>
        <v>0.72286466225376822</v>
      </c>
      <c r="W21" s="26"/>
      <c r="X21" s="29">
        <f t="shared" si="30"/>
        <v>-137.32143884892088</v>
      </c>
      <c r="Y21" s="29">
        <f t="shared" si="31"/>
        <v>63.278491107743825</v>
      </c>
      <c r="Z21" s="25" t="e">
        <f t="shared" si="32"/>
        <v>#DIV/0!</v>
      </c>
      <c r="AA21" s="30">
        <f t="shared" si="38"/>
        <v>0.28852355172594346</v>
      </c>
      <c r="AB21" s="31"/>
      <c r="AD21" t="s">
        <v>36</v>
      </c>
      <c r="AE21" s="33">
        <v>0</v>
      </c>
      <c r="AH21" s="20">
        <f>SUM(T22-T21)</f>
        <v>0</v>
      </c>
      <c r="AI21" s="32">
        <f>SUM(K22-K21)</f>
        <v>0</v>
      </c>
    </row>
    <row r="22" spans="1:35" x14ac:dyDescent="0.2">
      <c r="A22" s="20"/>
      <c r="B22" s="21"/>
      <c r="C22" s="22" t="s">
        <v>37</v>
      </c>
      <c r="D22" s="23">
        <v>27500.32</v>
      </c>
      <c r="E22" s="23"/>
      <c r="F22" s="24">
        <f t="shared" si="33"/>
        <v>27500.32</v>
      </c>
      <c r="G22" s="25">
        <f t="shared" si="34"/>
        <v>1</v>
      </c>
      <c r="H22" s="24">
        <v>19565.830000000002</v>
      </c>
      <c r="I22" s="24">
        <v>4771.92</v>
      </c>
      <c r="J22" s="23">
        <f t="shared" si="35"/>
        <v>13767.340000000002</v>
      </c>
      <c r="K22" s="23">
        <f t="shared" si="35"/>
        <v>3061.24</v>
      </c>
      <c r="L22" s="24">
        <f t="shared" si="26"/>
        <v>10706.100000000002</v>
      </c>
      <c r="M22" s="25">
        <f t="shared" si="36"/>
        <v>0.77764477379072505</v>
      </c>
      <c r="N22" s="26"/>
      <c r="O22" s="23">
        <v>5798.49</v>
      </c>
      <c r="P22" s="23">
        <v>1710.68</v>
      </c>
      <c r="Q22" s="24">
        <f t="shared" si="37"/>
        <v>4087.8099999999995</v>
      </c>
      <c r="R22" s="25">
        <f t="shared" si="27"/>
        <v>0.70497836505710965</v>
      </c>
      <c r="S22" s="27">
        <v>125.39</v>
      </c>
      <c r="T22" s="27">
        <v>34.75</v>
      </c>
      <c r="U22" s="28">
        <f t="shared" si="28"/>
        <v>90.64</v>
      </c>
      <c r="V22" s="25">
        <f t="shared" si="29"/>
        <v>0.72286466225376822</v>
      </c>
      <c r="W22" s="26"/>
      <c r="X22" s="29">
        <f t="shared" si="30"/>
        <v>-137.32143884892088</v>
      </c>
      <c r="Y22" s="29">
        <f t="shared" si="31"/>
        <v>63.278491107743825</v>
      </c>
      <c r="Z22" s="25" t="e">
        <f t="shared" si="32"/>
        <v>#DIV/0!</v>
      </c>
      <c r="AA22" s="30">
        <f t="shared" si="38"/>
        <v>0.28852355172594346</v>
      </c>
      <c r="AB22" s="31"/>
      <c r="AH22" s="20">
        <f>SUM(T23-T22)</f>
        <v>0</v>
      </c>
      <c r="AI22" s="32">
        <f>SUM(K23-K22)</f>
        <v>2850</v>
      </c>
    </row>
    <row r="23" spans="1:35" ht="17" thickBot="1" x14ac:dyDescent="0.25">
      <c r="A23" s="20"/>
      <c r="B23" s="21"/>
      <c r="C23" s="22" t="s">
        <v>38</v>
      </c>
      <c r="D23" s="23">
        <v>27500.32</v>
      </c>
      <c r="E23" s="23">
        <v>6999.08</v>
      </c>
      <c r="F23" s="24">
        <f t="shared" si="33"/>
        <v>20501.239999999998</v>
      </c>
      <c r="G23" s="25">
        <f t="shared" si="34"/>
        <v>0.74549096155971994</v>
      </c>
      <c r="H23" s="24">
        <v>19565.830000000002</v>
      </c>
      <c r="I23" s="24">
        <v>7621.92</v>
      </c>
      <c r="J23" s="23">
        <f t="shared" si="35"/>
        <v>13767.340000000002</v>
      </c>
      <c r="K23" s="23">
        <f t="shared" si="35"/>
        <v>5911.24</v>
      </c>
      <c r="L23" s="24">
        <f t="shared" si="26"/>
        <v>7856.1000000000022</v>
      </c>
      <c r="M23" s="25">
        <f t="shared" si="36"/>
        <v>0.57063310704900161</v>
      </c>
      <c r="N23" s="26"/>
      <c r="O23" s="23">
        <v>5798.49</v>
      </c>
      <c r="P23" s="23">
        <v>1710.68</v>
      </c>
      <c r="Q23" s="24">
        <f t="shared" si="37"/>
        <v>4087.8099999999995</v>
      </c>
      <c r="R23" s="25">
        <f t="shared" si="27"/>
        <v>0.70497836505710965</v>
      </c>
      <c r="S23" s="27">
        <v>125.39</v>
      </c>
      <c r="T23" s="27">
        <v>34.75</v>
      </c>
      <c r="U23" s="28">
        <f t="shared" si="28"/>
        <v>90.64</v>
      </c>
      <c r="V23" s="25">
        <f t="shared" si="29"/>
        <v>0.72286466225376822</v>
      </c>
      <c r="W23" s="26">
        <v>0.25</v>
      </c>
      <c r="X23" s="29">
        <f t="shared" si="30"/>
        <v>-17.923453237410069</v>
      </c>
      <c r="Y23" s="29">
        <f t="shared" si="31"/>
        <v>63.278491107743825</v>
      </c>
      <c r="Z23" s="25">
        <f t="shared" si="32"/>
        <v>-8.8988838533064329E-2</v>
      </c>
      <c r="AA23" s="30">
        <f t="shared" si="38"/>
        <v>0.28852355172594346</v>
      </c>
      <c r="AB23" s="31"/>
      <c r="AH23" s="34">
        <f>SUM(AH18,AH19,AH20,AH21,AH22)</f>
        <v>3</v>
      </c>
      <c r="AI23" s="35">
        <f>SUM(AI18,AI19,AI20,AI21,AI22)</f>
        <v>2849.9999999999995</v>
      </c>
    </row>
    <row r="24" spans="1:35" ht="9" customHeight="1" x14ac:dyDescent="0.2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</row>
    <row r="25" spans="1:35" x14ac:dyDescent="0.2">
      <c r="A25" s="20">
        <f>'[1]Main Sheet'!A10</f>
        <v>8127</v>
      </c>
      <c r="B25" s="21" t="str">
        <f>'[1]Main Sheet'!B10</f>
        <v>Rolly Autowash</v>
      </c>
      <c r="C25" s="22" t="s">
        <v>30</v>
      </c>
      <c r="D25" s="42">
        <v>150850.82</v>
      </c>
      <c r="E25" s="42">
        <v>58752.41</v>
      </c>
      <c r="F25" s="24">
        <f>D25-E25</f>
        <v>92098.41</v>
      </c>
      <c r="G25" s="25">
        <f>F25/D25</f>
        <v>0.6105264127831721</v>
      </c>
      <c r="H25" s="24">
        <v>102178.42</v>
      </c>
      <c r="I25" s="24">
        <v>53395.44</v>
      </c>
      <c r="J25" s="23">
        <f>SUM(H25-O25)</f>
        <v>63160.67</v>
      </c>
      <c r="K25" s="23">
        <f>SUM(I25-P25)</f>
        <v>46046.12</v>
      </c>
      <c r="L25" s="24">
        <f t="shared" ref="L25:L30" si="40">J25-K25</f>
        <v>17114.549999999996</v>
      </c>
      <c r="M25" s="25">
        <f t="shared" ref="M25:M30" si="41">L25/J25</f>
        <v>0.27096846819389336</v>
      </c>
      <c r="N25" s="26">
        <v>0</v>
      </c>
      <c r="O25" s="23">
        <v>39017.75</v>
      </c>
      <c r="P25" s="23">
        <v>7349.32</v>
      </c>
      <c r="Q25" s="24">
        <f t="shared" ref="Q25:Q30" si="42">O25-P25</f>
        <v>31668.43</v>
      </c>
      <c r="R25" s="25">
        <f>Q25/O25</f>
        <v>0.81164162464519352</v>
      </c>
      <c r="S25" s="27">
        <v>795.22</v>
      </c>
      <c r="T25" s="27">
        <v>160.75</v>
      </c>
      <c r="U25" s="28">
        <f t="shared" ref="U25:U30" si="43">S25-T25</f>
        <v>634.47</v>
      </c>
      <c r="V25" s="25">
        <f t="shared" ref="V25:V30" si="44">U25/S25</f>
        <v>0.79785468172329665</v>
      </c>
      <c r="W25" s="26">
        <v>0.05</v>
      </c>
      <c r="X25" s="29">
        <f t="shared" ref="X25:X30" si="45">(E25-K25-P25)/T25</f>
        <v>33.324852255054438</v>
      </c>
      <c r="Y25" s="29">
        <f t="shared" ref="Y25:Y30" si="46">(D25-J25-O25)/S25</f>
        <v>61.206207087346904</v>
      </c>
      <c r="Z25" s="25">
        <f t="shared" ref="Z25:Z30" si="47">(E25-K25-P25)/E25</f>
        <v>9.1178727817292957E-2</v>
      </c>
      <c r="AA25" s="30">
        <f>SUM(D25-H25)/D25</f>
        <v>0.32265253844824976</v>
      </c>
      <c r="AB25" s="31"/>
      <c r="AD25" t="s">
        <v>31</v>
      </c>
      <c r="AE25">
        <f>AH30</f>
        <v>227.5</v>
      </c>
      <c r="AH25" s="20">
        <f>SUM(T26-T25)</f>
        <v>0</v>
      </c>
      <c r="AI25" s="32">
        <f>SUM(K26-K25)</f>
        <v>15900.86</v>
      </c>
    </row>
    <row r="26" spans="1:35" x14ac:dyDescent="0.2">
      <c r="A26" s="20"/>
      <c r="B26" s="21"/>
      <c r="C26" s="22" t="s">
        <v>32</v>
      </c>
      <c r="D26" s="42">
        <v>150850.82</v>
      </c>
      <c r="E26" s="42">
        <v>58752.41</v>
      </c>
      <c r="F26" s="24">
        <f t="shared" ref="F26:F30" si="48">D26-E26</f>
        <v>92098.41</v>
      </c>
      <c r="G26" s="25">
        <f t="shared" ref="G26:G30" si="49">F26/D26</f>
        <v>0.6105264127831721</v>
      </c>
      <c r="H26" s="24">
        <v>102178.42</v>
      </c>
      <c r="I26" s="24">
        <v>75741.83</v>
      </c>
      <c r="J26" s="23">
        <f t="shared" ref="J26:K30" si="50">SUM(H26-O26)</f>
        <v>62464.86</v>
      </c>
      <c r="K26" s="23">
        <f t="shared" si="50"/>
        <v>61946.98</v>
      </c>
      <c r="L26" s="24">
        <f t="shared" si="40"/>
        <v>517.87999999999738</v>
      </c>
      <c r="M26" s="25">
        <f t="shared" si="41"/>
        <v>8.2907413864370689E-3</v>
      </c>
      <c r="N26" s="26">
        <v>0</v>
      </c>
      <c r="O26" s="23">
        <v>39713.56</v>
      </c>
      <c r="P26" s="23">
        <v>13794.85</v>
      </c>
      <c r="Q26" s="24">
        <f t="shared" si="42"/>
        <v>25918.71</v>
      </c>
      <c r="R26" s="25">
        <f t="shared" ref="R26:R30" si="51">Q26/O26</f>
        <v>0.65264131445279649</v>
      </c>
      <c r="S26" s="27">
        <v>795.22</v>
      </c>
      <c r="T26" s="27">
        <v>160.75</v>
      </c>
      <c r="U26" s="28">
        <f t="shared" si="43"/>
        <v>634.47</v>
      </c>
      <c r="V26" s="25">
        <f t="shared" si="44"/>
        <v>0.79785468172329665</v>
      </c>
      <c r="W26" s="26"/>
      <c r="X26" s="29">
        <f t="shared" si="45"/>
        <v>-105.68846034214617</v>
      </c>
      <c r="Y26" s="29">
        <f t="shared" si="46"/>
        <v>61.206207087346904</v>
      </c>
      <c r="Z26" s="25">
        <f t="shared" si="47"/>
        <v>-0.28916975490877733</v>
      </c>
      <c r="AA26" s="30">
        <f t="shared" ref="AA26:AA29" si="52">SUM(D26-H26)/D26</f>
        <v>0.32265253844824976</v>
      </c>
      <c r="AB26" s="31"/>
      <c r="AD26" t="s">
        <v>33</v>
      </c>
      <c r="AE26" s="33">
        <f>AI30</f>
        <v>10918.690000000002</v>
      </c>
      <c r="AH26" s="20">
        <f>SUM(T27-T26)</f>
        <v>0</v>
      </c>
      <c r="AI26" s="32">
        <f>SUM(K27-K26)</f>
        <v>0</v>
      </c>
    </row>
    <row r="27" spans="1:35" x14ac:dyDescent="0.2">
      <c r="A27" s="20"/>
      <c r="B27" s="21"/>
      <c r="C27" s="22" t="s">
        <v>34</v>
      </c>
      <c r="D27" s="42">
        <v>150850.82</v>
      </c>
      <c r="E27" s="42">
        <v>58752.41</v>
      </c>
      <c r="F27" s="24">
        <f t="shared" si="48"/>
        <v>92098.41</v>
      </c>
      <c r="G27" s="25">
        <f t="shared" si="49"/>
        <v>0.6105264127831721</v>
      </c>
      <c r="H27" s="24">
        <v>102178.42</v>
      </c>
      <c r="I27" s="24">
        <v>75741.83</v>
      </c>
      <c r="J27" s="23">
        <f t="shared" si="50"/>
        <v>62464.86</v>
      </c>
      <c r="K27" s="23">
        <f t="shared" si="50"/>
        <v>61946.98</v>
      </c>
      <c r="L27" s="24">
        <f>J27-K27</f>
        <v>517.87999999999738</v>
      </c>
      <c r="M27" s="25">
        <f>L27/J27</f>
        <v>8.2907413864370689E-3</v>
      </c>
      <c r="N27" s="26">
        <v>0</v>
      </c>
      <c r="O27" s="23">
        <v>39713.56</v>
      </c>
      <c r="P27" s="23">
        <v>13794.85</v>
      </c>
      <c r="Q27" s="24">
        <f>O27-P27</f>
        <v>25918.71</v>
      </c>
      <c r="R27" s="25">
        <f t="shared" si="51"/>
        <v>0.65264131445279649</v>
      </c>
      <c r="S27" s="27">
        <v>795.22</v>
      </c>
      <c r="T27" s="27">
        <v>160.75</v>
      </c>
      <c r="U27" s="28">
        <f>S27-T27</f>
        <v>634.47</v>
      </c>
      <c r="V27" s="25">
        <f>U27/S27</f>
        <v>0.79785468172329665</v>
      </c>
      <c r="W27" s="26"/>
      <c r="X27" s="29">
        <f>(E27-K27-P27)/T27</f>
        <v>-105.68846034214617</v>
      </c>
      <c r="Y27" s="29">
        <f>(D27-J27-O27)/S27</f>
        <v>61.206207087346904</v>
      </c>
      <c r="Z27" s="25">
        <f>(E27-K27-P27)/E27</f>
        <v>-0.28916975490877733</v>
      </c>
      <c r="AA27" s="30">
        <f t="shared" si="52"/>
        <v>0.32265253844824976</v>
      </c>
      <c r="AB27" s="31"/>
      <c r="AH27" s="20">
        <f>SUM(T28-T27)</f>
        <v>0</v>
      </c>
      <c r="AI27" s="32">
        <f>SUM(K28-K27)</f>
        <v>0</v>
      </c>
    </row>
    <row r="28" spans="1:35" x14ac:dyDescent="0.2">
      <c r="A28" s="20"/>
      <c r="B28" s="21"/>
      <c r="C28" s="22" t="s">
        <v>35</v>
      </c>
      <c r="D28" s="42">
        <v>150850.82</v>
      </c>
      <c r="E28" s="42">
        <v>58752.41</v>
      </c>
      <c r="F28" s="24">
        <f t="shared" si="48"/>
        <v>92098.41</v>
      </c>
      <c r="G28" s="25">
        <f t="shared" si="49"/>
        <v>0.6105264127831721</v>
      </c>
      <c r="H28" s="24">
        <v>102178.42</v>
      </c>
      <c r="I28" s="24">
        <v>75741.83</v>
      </c>
      <c r="J28" s="23">
        <f t="shared" si="50"/>
        <v>62464.86</v>
      </c>
      <c r="K28" s="23">
        <f t="shared" si="50"/>
        <v>61946.98</v>
      </c>
      <c r="L28" s="24">
        <f t="shared" si="40"/>
        <v>517.87999999999738</v>
      </c>
      <c r="M28" s="25">
        <f t="shared" si="41"/>
        <v>8.2907413864370689E-3</v>
      </c>
      <c r="N28" s="26">
        <v>0</v>
      </c>
      <c r="O28" s="23">
        <v>39713.56</v>
      </c>
      <c r="P28" s="23">
        <v>13794.85</v>
      </c>
      <c r="Q28" s="24">
        <f t="shared" si="42"/>
        <v>25918.71</v>
      </c>
      <c r="R28" s="25">
        <f t="shared" si="51"/>
        <v>0.65264131445279649</v>
      </c>
      <c r="S28" s="27">
        <v>795.22</v>
      </c>
      <c r="T28" s="27">
        <v>160.75</v>
      </c>
      <c r="U28" s="28">
        <f t="shared" si="43"/>
        <v>634.47</v>
      </c>
      <c r="V28" s="25">
        <f t="shared" si="44"/>
        <v>0.79785468172329665</v>
      </c>
      <c r="W28" s="26"/>
      <c r="X28" s="29">
        <f t="shared" si="45"/>
        <v>-105.68846034214617</v>
      </c>
      <c r="Y28" s="29">
        <f t="shared" si="46"/>
        <v>61.206207087346904</v>
      </c>
      <c r="Z28" s="25">
        <f t="shared" si="47"/>
        <v>-0.28916975490877733</v>
      </c>
      <c r="AA28" s="30">
        <f t="shared" si="52"/>
        <v>0.32265253844824976</v>
      </c>
      <c r="AB28" s="31"/>
      <c r="AD28" t="s">
        <v>36</v>
      </c>
      <c r="AE28" s="33">
        <v>0</v>
      </c>
      <c r="AH28" s="20">
        <f>SUM(T29-T28)</f>
        <v>182.25</v>
      </c>
      <c r="AI28" s="32">
        <f>SUM(K29-K28)</f>
        <v>957.45000000000437</v>
      </c>
    </row>
    <row r="29" spans="1:35" x14ac:dyDescent="0.2">
      <c r="A29" s="20"/>
      <c r="B29" s="21"/>
      <c r="C29" s="22" t="s">
        <v>37</v>
      </c>
      <c r="D29" s="42">
        <v>150850.82</v>
      </c>
      <c r="E29" s="42">
        <v>58752.41</v>
      </c>
      <c r="F29" s="24">
        <f t="shared" si="48"/>
        <v>92098.41</v>
      </c>
      <c r="G29" s="25">
        <f t="shared" si="49"/>
        <v>0.6105264127831721</v>
      </c>
      <c r="H29" s="24">
        <v>102178.42</v>
      </c>
      <c r="I29" s="24">
        <v>79494.070000000007</v>
      </c>
      <c r="J29" s="23">
        <f t="shared" si="50"/>
        <v>62464.86</v>
      </c>
      <c r="K29" s="23">
        <f t="shared" si="50"/>
        <v>62904.430000000008</v>
      </c>
      <c r="L29" s="24">
        <f t="shared" si="40"/>
        <v>-439.57000000000698</v>
      </c>
      <c r="M29" s="25">
        <f t="shared" si="41"/>
        <v>-7.0370765259060372E-3</v>
      </c>
      <c r="N29" s="26">
        <v>0</v>
      </c>
      <c r="O29" s="23">
        <v>39713.56</v>
      </c>
      <c r="P29" s="23">
        <v>16589.64</v>
      </c>
      <c r="Q29" s="24">
        <f t="shared" si="42"/>
        <v>23123.919999999998</v>
      </c>
      <c r="R29" s="25">
        <f t="shared" si="51"/>
        <v>0.58226761841547314</v>
      </c>
      <c r="S29" s="27">
        <v>795.22</v>
      </c>
      <c r="T29" s="27">
        <v>343</v>
      </c>
      <c r="U29" s="28">
        <f t="shared" si="43"/>
        <v>452.22</v>
      </c>
      <c r="V29" s="25">
        <f t="shared" si="44"/>
        <v>0.56867282010009812</v>
      </c>
      <c r="W29" s="26"/>
      <c r="X29" s="29">
        <f t="shared" si="45"/>
        <v>-60.471311953352782</v>
      </c>
      <c r="Y29" s="29">
        <f t="shared" si="46"/>
        <v>61.206207087346904</v>
      </c>
      <c r="Z29" s="25">
        <f t="shared" si="47"/>
        <v>-0.35303504996646101</v>
      </c>
      <c r="AA29" s="30">
        <f t="shared" si="52"/>
        <v>0.32265253844824976</v>
      </c>
      <c r="AB29" s="31"/>
      <c r="AH29" s="20">
        <f>SUM(T30-T29)</f>
        <v>45.25</v>
      </c>
      <c r="AI29" s="32">
        <f>SUM(K30-K29)</f>
        <v>-5939.6200000000026</v>
      </c>
    </row>
    <row r="30" spans="1:35" ht="17" thickBot="1" x14ac:dyDescent="0.25">
      <c r="A30" s="20"/>
      <c r="B30" s="21"/>
      <c r="C30" s="22" t="s">
        <v>38</v>
      </c>
      <c r="D30" s="42">
        <v>150850.82</v>
      </c>
      <c r="E30" s="42">
        <v>111983.72</v>
      </c>
      <c r="F30" s="24">
        <f t="shared" si="48"/>
        <v>38867.100000000006</v>
      </c>
      <c r="G30" s="25">
        <f t="shared" si="49"/>
        <v>0.25765256032416667</v>
      </c>
      <c r="H30" s="24">
        <v>102178.42</v>
      </c>
      <c r="I30" s="24">
        <v>75718.13</v>
      </c>
      <c r="J30" s="23">
        <f t="shared" si="50"/>
        <v>62464.86</v>
      </c>
      <c r="K30" s="23">
        <f t="shared" si="50"/>
        <v>56964.810000000005</v>
      </c>
      <c r="L30" s="24">
        <f t="shared" si="40"/>
        <v>5500.0499999999956</v>
      </c>
      <c r="M30" s="25">
        <f t="shared" si="41"/>
        <v>8.8050305403710116E-2</v>
      </c>
      <c r="N30" s="26">
        <v>0.9</v>
      </c>
      <c r="O30" s="23">
        <v>39713.56</v>
      </c>
      <c r="P30" s="23">
        <v>18753.32</v>
      </c>
      <c r="Q30" s="24">
        <f t="shared" si="42"/>
        <v>20960.239999999998</v>
      </c>
      <c r="R30" s="25">
        <f t="shared" si="51"/>
        <v>0.52778547176329693</v>
      </c>
      <c r="S30" s="27">
        <v>795.22</v>
      </c>
      <c r="T30" s="27">
        <v>388.25</v>
      </c>
      <c r="U30" s="28">
        <f t="shared" si="43"/>
        <v>406.97</v>
      </c>
      <c r="V30" s="25">
        <f t="shared" si="44"/>
        <v>0.51177032770805564</v>
      </c>
      <c r="W30" s="26">
        <v>0.6</v>
      </c>
      <c r="X30" s="29">
        <f t="shared" si="45"/>
        <v>93.407830006439141</v>
      </c>
      <c r="Y30" s="29">
        <f t="shared" si="46"/>
        <v>61.206207087346904</v>
      </c>
      <c r="Z30" s="25">
        <f t="shared" si="47"/>
        <v>0.32384698418662994</v>
      </c>
      <c r="AA30" s="30">
        <f>SUM(D30-H30)/D30</f>
        <v>0.32265253844824976</v>
      </c>
      <c r="AB30" s="31"/>
      <c r="AH30" s="34">
        <f>SUM(AH25,AH26,AH27,AH28,AH29)</f>
        <v>227.5</v>
      </c>
      <c r="AI30" s="35">
        <f>SUM(AI25,AI26,AI27,AI28,AI29)</f>
        <v>10918.690000000002</v>
      </c>
    </row>
    <row r="31" spans="1:35" ht="9" customHeight="1" x14ac:dyDescent="0.2">
      <c r="A31" s="36"/>
      <c r="B31" s="37"/>
      <c r="C31" s="37"/>
      <c r="D31" s="43"/>
      <c r="E31" s="37"/>
      <c r="F31" s="37"/>
      <c r="G31" s="37"/>
      <c r="H31" s="37"/>
      <c r="I31" s="43"/>
      <c r="J31" s="37"/>
      <c r="K31" s="37"/>
      <c r="L31" s="37"/>
      <c r="M31" s="37"/>
      <c r="N31" s="37"/>
      <c r="O31" s="43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</row>
    <row r="32" spans="1:35" x14ac:dyDescent="0.2">
      <c r="A32" s="20">
        <f>'[1]Main Sheet'!A12</f>
        <v>8183</v>
      </c>
      <c r="B32" s="21" t="str">
        <f>'[1]Main Sheet'!B12</f>
        <v>Murney - 1 Freight Drive + 109 Iport</v>
      </c>
      <c r="C32" s="40" t="s">
        <v>30</v>
      </c>
      <c r="D32" s="23">
        <v>387361.22</v>
      </c>
      <c r="E32" s="23">
        <v>129848.32000000001</v>
      </c>
      <c r="F32" s="24">
        <f>D32-E32</f>
        <v>257512.89999999997</v>
      </c>
      <c r="G32" s="25">
        <f>F32/D32</f>
        <v>0.66478750763951022</v>
      </c>
      <c r="H32" s="24">
        <v>319185.51</v>
      </c>
      <c r="I32" s="24">
        <v>115165.8</v>
      </c>
      <c r="J32" s="39">
        <f>SUM(H32-O32)</f>
        <v>263544.78000000003</v>
      </c>
      <c r="K32" s="23">
        <f>SUM(I32-P32)</f>
        <v>106200.69</v>
      </c>
      <c r="L32" s="24">
        <f t="shared" ref="L32:L37" si="53">J32-K32</f>
        <v>157344.09000000003</v>
      </c>
      <c r="M32" s="25">
        <f t="shared" ref="M32:M37" si="54">L32/J32</f>
        <v>0.59702981026602009</v>
      </c>
      <c r="N32" s="44">
        <v>0.25</v>
      </c>
      <c r="O32" s="23">
        <v>55640.73</v>
      </c>
      <c r="P32" s="23">
        <v>8965.11</v>
      </c>
      <c r="Q32" s="24">
        <f t="shared" ref="Q32:Q37" si="55">O32-P32</f>
        <v>46675.62</v>
      </c>
      <c r="R32" s="25">
        <f t="shared" ref="R32:R37" si="56">Q32/O32</f>
        <v>0.83887504711027339</v>
      </c>
      <c r="S32" s="27">
        <v>1114.27</v>
      </c>
      <c r="T32" s="27">
        <v>223.25</v>
      </c>
      <c r="U32" s="28">
        <f t="shared" ref="U32:U37" si="57">S32-T32</f>
        <v>891.02</v>
      </c>
      <c r="V32" s="25">
        <f t="shared" ref="V32:V37" si="58">U32/S32</f>
        <v>0.7996446103727104</v>
      </c>
      <c r="W32" s="26">
        <v>0.15</v>
      </c>
      <c r="X32" s="29">
        <f t="shared" ref="X32:X37" si="59">(E32-K32-P32)/T32</f>
        <v>65.767166853303493</v>
      </c>
      <c r="Y32" s="29">
        <f t="shared" ref="Y32:Y37" si="60">(D32-J32-O32)/S32</f>
        <v>61.184192341173983</v>
      </c>
      <c r="Z32" s="25">
        <f t="shared" ref="Z32:Z37" si="61">(E32-K32-P32)/E32</f>
        <v>0.11307439326130675</v>
      </c>
      <c r="AA32" s="30">
        <f>SUM(D32-H32)/D32</f>
        <v>0.17600034923475294</v>
      </c>
      <c r="AB32" s="31"/>
      <c r="AD32" t="s">
        <v>31</v>
      </c>
      <c r="AE32">
        <f>AH37</f>
        <v>164.25</v>
      </c>
      <c r="AH32" s="20">
        <f>SUM(T33-T32)</f>
        <v>117.5</v>
      </c>
      <c r="AI32" s="32">
        <f>SUM(K33-K32)</f>
        <v>6796.8000000000029</v>
      </c>
    </row>
    <row r="33" spans="1:35" x14ac:dyDescent="0.2">
      <c r="A33" s="20"/>
      <c r="B33" s="21"/>
      <c r="C33" s="22" t="s">
        <v>32</v>
      </c>
      <c r="D33" s="23">
        <v>387361.22</v>
      </c>
      <c r="E33" s="23">
        <v>129848.32000000001</v>
      </c>
      <c r="F33" s="24">
        <f t="shared" ref="F33:F37" si="62">D33-E33</f>
        <v>257512.89999999997</v>
      </c>
      <c r="G33" s="25">
        <f t="shared" ref="G33:G37" si="63">F33/D33</f>
        <v>0.66478750763951022</v>
      </c>
      <c r="H33" s="24">
        <v>319185.51</v>
      </c>
      <c r="I33" s="45">
        <v>127651.08</v>
      </c>
      <c r="J33" s="23">
        <f t="shared" ref="J33:K37" si="64">SUM(H33-O33)</f>
        <v>263544.78000000003</v>
      </c>
      <c r="K33" s="23">
        <f t="shared" si="64"/>
        <v>112997.49</v>
      </c>
      <c r="L33" s="24">
        <f t="shared" si="53"/>
        <v>150547.29000000004</v>
      </c>
      <c r="M33" s="25">
        <f t="shared" si="54"/>
        <v>0.5712398856847023</v>
      </c>
      <c r="N33" s="26">
        <v>0.25</v>
      </c>
      <c r="O33" s="23">
        <v>55640.73</v>
      </c>
      <c r="P33" s="23">
        <v>14653.59</v>
      </c>
      <c r="Q33" s="24">
        <f t="shared" si="55"/>
        <v>40987.14</v>
      </c>
      <c r="R33" s="25">
        <f t="shared" si="56"/>
        <v>0.73663914905501771</v>
      </c>
      <c r="S33" s="27">
        <v>1114.27</v>
      </c>
      <c r="T33" s="27">
        <v>340.75</v>
      </c>
      <c r="U33" s="28">
        <f t="shared" si="57"/>
        <v>773.52</v>
      </c>
      <c r="V33" s="25">
        <f t="shared" si="58"/>
        <v>0.69419440530571586</v>
      </c>
      <c r="W33" s="26"/>
      <c r="X33" s="29">
        <f t="shared" si="59"/>
        <v>6.4482465150403572</v>
      </c>
      <c r="Y33" s="29">
        <f t="shared" si="60"/>
        <v>61.184192341173983</v>
      </c>
      <c r="Z33" s="25">
        <f t="shared" si="61"/>
        <v>1.6921589744095276E-2</v>
      </c>
      <c r="AA33" s="30">
        <f t="shared" ref="AA33:AA36" si="65">SUM(D33-H33)/D33</f>
        <v>0.17600034923475294</v>
      </c>
      <c r="AB33" s="31"/>
      <c r="AD33" t="s">
        <v>33</v>
      </c>
      <c r="AE33" s="33">
        <f>AI37</f>
        <v>26116.020000000019</v>
      </c>
      <c r="AH33" s="20">
        <f>SUM(T34-T33)</f>
        <v>0</v>
      </c>
      <c r="AI33" s="32">
        <f>SUM(K34-K33)</f>
        <v>0</v>
      </c>
    </row>
    <row r="34" spans="1:35" x14ac:dyDescent="0.2">
      <c r="A34" s="20"/>
      <c r="B34" s="21"/>
      <c r="C34" s="22" t="s">
        <v>34</v>
      </c>
      <c r="D34" s="23">
        <v>387361.22</v>
      </c>
      <c r="E34" s="23">
        <v>129848.32000000001</v>
      </c>
      <c r="F34" s="24">
        <f t="shared" si="62"/>
        <v>257512.89999999997</v>
      </c>
      <c r="G34" s="25">
        <f t="shared" si="63"/>
        <v>0.66478750763951022</v>
      </c>
      <c r="H34" s="24">
        <v>319185.51</v>
      </c>
      <c r="I34" s="45">
        <v>127651.08</v>
      </c>
      <c r="J34" s="23">
        <f t="shared" si="64"/>
        <v>263544.78000000003</v>
      </c>
      <c r="K34" s="23">
        <f t="shared" si="64"/>
        <v>112997.49</v>
      </c>
      <c r="L34" s="24">
        <f t="shared" si="53"/>
        <v>150547.29000000004</v>
      </c>
      <c r="M34" s="25">
        <f t="shared" si="54"/>
        <v>0.5712398856847023</v>
      </c>
      <c r="N34" s="26"/>
      <c r="O34" s="23">
        <v>55640.73</v>
      </c>
      <c r="P34" s="23">
        <v>14653.59</v>
      </c>
      <c r="Q34" s="24">
        <f t="shared" si="55"/>
        <v>40987.14</v>
      </c>
      <c r="R34" s="25">
        <f t="shared" si="56"/>
        <v>0.73663914905501771</v>
      </c>
      <c r="S34" s="27">
        <v>1114.27</v>
      </c>
      <c r="T34" s="27">
        <v>340.75</v>
      </c>
      <c r="U34" s="28">
        <f t="shared" si="57"/>
        <v>773.52</v>
      </c>
      <c r="V34" s="25">
        <f t="shared" si="58"/>
        <v>0.69419440530571586</v>
      </c>
      <c r="W34" s="26"/>
      <c r="X34" s="29">
        <f t="shared" si="59"/>
        <v>6.4482465150403572</v>
      </c>
      <c r="Y34" s="29">
        <f t="shared" si="60"/>
        <v>61.184192341173983</v>
      </c>
      <c r="Z34" s="25">
        <f t="shared" si="61"/>
        <v>1.6921589744095276E-2</v>
      </c>
      <c r="AA34" s="30">
        <f t="shared" si="65"/>
        <v>0.17600034923475294</v>
      </c>
      <c r="AB34" s="31"/>
      <c r="AH34" s="20">
        <f>SUM(T35-T34)</f>
        <v>0</v>
      </c>
      <c r="AI34" s="32">
        <f>SUM(K35-K34)</f>
        <v>0</v>
      </c>
    </row>
    <row r="35" spans="1:35" x14ac:dyDescent="0.2">
      <c r="A35" s="20"/>
      <c r="B35" s="21"/>
      <c r="C35" s="22" t="s">
        <v>35</v>
      </c>
      <c r="D35" s="23">
        <v>387361.22</v>
      </c>
      <c r="E35" s="23">
        <v>129848.32000000001</v>
      </c>
      <c r="F35" s="24">
        <f t="shared" si="62"/>
        <v>257512.89999999997</v>
      </c>
      <c r="G35" s="25">
        <f t="shared" si="63"/>
        <v>0.66478750763951022</v>
      </c>
      <c r="H35" s="24">
        <v>319185.51</v>
      </c>
      <c r="I35" s="45">
        <v>127651.08</v>
      </c>
      <c r="J35" s="23">
        <f t="shared" si="64"/>
        <v>263544.78000000003</v>
      </c>
      <c r="K35" s="23">
        <f t="shared" si="64"/>
        <v>112997.49</v>
      </c>
      <c r="L35" s="24">
        <f t="shared" si="53"/>
        <v>150547.29000000004</v>
      </c>
      <c r="M35" s="25">
        <f t="shared" si="54"/>
        <v>0.5712398856847023</v>
      </c>
      <c r="N35" s="26"/>
      <c r="O35" s="23">
        <v>55640.73</v>
      </c>
      <c r="P35" s="23">
        <v>14653.59</v>
      </c>
      <c r="Q35" s="24">
        <f t="shared" si="55"/>
        <v>40987.14</v>
      </c>
      <c r="R35" s="25">
        <f t="shared" si="56"/>
        <v>0.73663914905501771</v>
      </c>
      <c r="S35" s="27">
        <v>1114.27</v>
      </c>
      <c r="T35" s="27">
        <v>340.75</v>
      </c>
      <c r="U35" s="28">
        <f t="shared" si="57"/>
        <v>773.52</v>
      </c>
      <c r="V35" s="25">
        <f t="shared" si="58"/>
        <v>0.69419440530571586</v>
      </c>
      <c r="W35" s="26"/>
      <c r="X35" s="29">
        <f t="shared" si="59"/>
        <v>6.4482465150403572</v>
      </c>
      <c r="Y35" s="29">
        <f t="shared" si="60"/>
        <v>61.184192341173983</v>
      </c>
      <c r="Z35" s="25">
        <f t="shared" si="61"/>
        <v>1.6921589744095276E-2</v>
      </c>
      <c r="AA35" s="30">
        <f t="shared" si="65"/>
        <v>0.17600034923475294</v>
      </c>
      <c r="AB35" s="31"/>
      <c r="AD35" t="s">
        <v>36</v>
      </c>
      <c r="AE35" s="33">
        <v>0</v>
      </c>
      <c r="AH35" s="20">
        <f>SUM(T36-T35)</f>
        <v>34.75</v>
      </c>
      <c r="AI35" s="32">
        <f>SUM(K36-K35)</f>
        <v>-1881.6699999999983</v>
      </c>
    </row>
    <row r="36" spans="1:35" x14ac:dyDescent="0.2">
      <c r="A36" s="20"/>
      <c r="B36" s="21"/>
      <c r="C36" s="22" t="s">
        <v>37</v>
      </c>
      <c r="D36" s="23">
        <v>389022.03</v>
      </c>
      <c r="E36" s="23">
        <v>129848.32000000001</v>
      </c>
      <c r="F36" s="24">
        <f t="shared" si="62"/>
        <v>259173.71000000002</v>
      </c>
      <c r="G36" s="25">
        <f t="shared" si="63"/>
        <v>0.66621859435569752</v>
      </c>
      <c r="H36" s="24">
        <v>320431.12</v>
      </c>
      <c r="I36" s="24">
        <v>127233.96</v>
      </c>
      <c r="J36" s="23">
        <f t="shared" si="64"/>
        <v>264519.78000000003</v>
      </c>
      <c r="K36" s="23">
        <f t="shared" si="64"/>
        <v>111115.82</v>
      </c>
      <c r="L36" s="24">
        <f t="shared" si="53"/>
        <v>153403.96000000002</v>
      </c>
      <c r="M36" s="25">
        <f t="shared" si="54"/>
        <v>0.57993379549914947</v>
      </c>
      <c r="N36" s="26"/>
      <c r="O36" s="23">
        <v>55911.34</v>
      </c>
      <c r="P36" s="23">
        <v>16118.14</v>
      </c>
      <c r="Q36" s="24">
        <f t="shared" si="55"/>
        <v>39793.199999999997</v>
      </c>
      <c r="R36" s="25">
        <f t="shared" si="56"/>
        <v>0.71171966187896762</v>
      </c>
      <c r="S36" s="27">
        <v>1120.27</v>
      </c>
      <c r="T36" s="27">
        <v>375.5</v>
      </c>
      <c r="U36" s="28">
        <f t="shared" si="57"/>
        <v>744.77</v>
      </c>
      <c r="V36" s="25">
        <f t="shared" si="58"/>
        <v>0.66481294687887738</v>
      </c>
      <c r="W36" s="26"/>
      <c r="X36" s="29">
        <f t="shared" si="59"/>
        <v>6.962343541944076</v>
      </c>
      <c r="Y36" s="29">
        <f t="shared" si="60"/>
        <v>61.227123818365222</v>
      </c>
      <c r="Z36" s="25">
        <f t="shared" si="61"/>
        <v>2.0133953215567213E-2</v>
      </c>
      <c r="AA36" s="30">
        <f t="shared" si="65"/>
        <v>0.17631626157521216</v>
      </c>
      <c r="AB36" s="31"/>
      <c r="AH36" s="20">
        <f>SUM(T37-T36)</f>
        <v>12</v>
      </c>
      <c r="AI36" s="32">
        <f>SUM(K37-K36)</f>
        <v>21200.890000000014</v>
      </c>
    </row>
    <row r="37" spans="1:35" ht="17" thickBot="1" x14ac:dyDescent="0.25">
      <c r="A37" s="20"/>
      <c r="B37" s="21"/>
      <c r="C37" s="22" t="s">
        <v>38</v>
      </c>
      <c r="D37" s="23">
        <v>389022.03</v>
      </c>
      <c r="E37" s="23">
        <v>176161.65</v>
      </c>
      <c r="F37" s="24">
        <f t="shared" si="62"/>
        <v>212860.38000000003</v>
      </c>
      <c r="G37" s="25">
        <f t="shared" si="63"/>
        <v>0.54716793288030507</v>
      </c>
      <c r="H37" s="24">
        <v>320431.12</v>
      </c>
      <c r="I37" s="24">
        <v>148939.51</v>
      </c>
      <c r="J37" s="23">
        <f t="shared" si="64"/>
        <v>264519.78000000003</v>
      </c>
      <c r="K37" s="23">
        <f t="shared" si="64"/>
        <v>132316.71000000002</v>
      </c>
      <c r="L37" s="24">
        <f t="shared" si="53"/>
        <v>132203.07</v>
      </c>
      <c r="M37" s="25">
        <f t="shared" si="54"/>
        <v>0.49978519564775076</v>
      </c>
      <c r="N37" s="26"/>
      <c r="O37" s="23">
        <v>55911.34</v>
      </c>
      <c r="P37" s="23">
        <v>16622.8</v>
      </c>
      <c r="Q37" s="24">
        <f t="shared" si="55"/>
        <v>39288.539999999994</v>
      </c>
      <c r="R37" s="25">
        <f t="shared" si="56"/>
        <v>0.70269358595233089</v>
      </c>
      <c r="S37" s="27">
        <v>1120.27</v>
      </c>
      <c r="T37" s="27">
        <v>387.5</v>
      </c>
      <c r="U37" s="28">
        <f t="shared" si="57"/>
        <v>732.77</v>
      </c>
      <c r="V37" s="25">
        <f t="shared" si="58"/>
        <v>0.65410124345023968</v>
      </c>
      <c r="W37" s="26">
        <v>0.4</v>
      </c>
      <c r="X37" s="29">
        <f t="shared" si="59"/>
        <v>70.250683870967677</v>
      </c>
      <c r="Y37" s="29">
        <f t="shared" si="60"/>
        <v>61.227123818365222</v>
      </c>
      <c r="Z37" s="25">
        <f t="shared" si="61"/>
        <v>0.15452932008754444</v>
      </c>
      <c r="AA37" s="30">
        <f>SUM(D37-H37)/D37</f>
        <v>0.17631626157521216</v>
      </c>
      <c r="AB37" s="31"/>
      <c r="AH37" s="34">
        <f>SUM(AH32,AH33,AH34,AH35,AH36)</f>
        <v>164.25</v>
      </c>
      <c r="AI37" s="35">
        <f>SUM(AI32,AI33,AI34,AI35,AI36)</f>
        <v>26116.020000000019</v>
      </c>
    </row>
    <row r="38" spans="1:35" ht="9" customHeight="1" x14ac:dyDescent="0.2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8"/>
    </row>
    <row r="39" spans="1:35" x14ac:dyDescent="0.2">
      <c r="A39" s="20">
        <f>'[1]Main Sheet'!A14</f>
        <v>8886</v>
      </c>
      <c r="B39" s="21" t="str">
        <f>'[1]Main Sheet'!B14</f>
        <v>Monkey Toe - Fisher fit out</v>
      </c>
      <c r="C39" s="22" t="s">
        <v>30</v>
      </c>
      <c r="D39" s="23">
        <v>128258.5</v>
      </c>
      <c r="E39" s="23">
        <v>25608.7</v>
      </c>
      <c r="F39" s="24">
        <f>D39-E39</f>
        <v>102649.8</v>
      </c>
      <c r="G39" s="25">
        <f>F39/D39</f>
        <v>0.80033526043108261</v>
      </c>
      <c r="H39" s="24">
        <v>94098.32</v>
      </c>
      <c r="I39" s="24">
        <v>21372.82</v>
      </c>
      <c r="J39" s="23">
        <f>SUM(H39-O39)</f>
        <v>69042.090000000011</v>
      </c>
      <c r="K39" s="23">
        <f>SUM(I39-P39)</f>
        <v>20997.98</v>
      </c>
      <c r="L39" s="24">
        <f t="shared" ref="L39:L44" si="66">J39-K39</f>
        <v>48044.110000000015</v>
      </c>
      <c r="M39" s="25">
        <f t="shared" ref="M39:M44" si="67">L39/J39</f>
        <v>0.69586697042340417</v>
      </c>
      <c r="N39" s="26">
        <v>0</v>
      </c>
      <c r="O39" s="23">
        <v>25056.23</v>
      </c>
      <c r="P39" s="23">
        <v>374.84</v>
      </c>
      <c r="Q39" s="24">
        <f t="shared" ref="Q39:Q44" si="68">O39-P39</f>
        <v>24681.39</v>
      </c>
      <c r="R39" s="25">
        <f t="shared" ref="R39:R44" si="69">Q39/O39</f>
        <v>0.98504004792420885</v>
      </c>
      <c r="S39" s="27">
        <v>501.83</v>
      </c>
      <c r="T39" s="27">
        <v>8</v>
      </c>
      <c r="U39" s="28">
        <f t="shared" ref="U39:U44" si="70">S39-T39</f>
        <v>493.83</v>
      </c>
      <c r="V39" s="25">
        <f>U39/S39</f>
        <v>0.98405834645198575</v>
      </c>
      <c r="W39" s="26">
        <v>0.01</v>
      </c>
      <c r="X39" s="29">
        <f t="shared" ref="X39:X44" si="71">(E39-K39-P39)/T39</f>
        <v>529.48500000000013</v>
      </c>
      <c r="Y39" s="29">
        <f>(D39-J39-O39)/S39</f>
        <v>68.071219337225742</v>
      </c>
      <c r="Z39" s="25">
        <f t="shared" ref="Z39:Z44" si="72">(E39-K39-P39)/E39</f>
        <v>0.16540784967608668</v>
      </c>
      <c r="AA39" s="30">
        <f>SUM(D39-H39)/D39</f>
        <v>0.26633852727109697</v>
      </c>
      <c r="AB39" s="31"/>
      <c r="AD39" t="s">
        <v>31</v>
      </c>
      <c r="AE39">
        <f>AH44</f>
        <v>104</v>
      </c>
      <c r="AH39" s="20">
        <f>SUM(T40-T39)</f>
        <v>60.75</v>
      </c>
      <c r="AI39" s="32">
        <f>SUM(K40-K39)</f>
        <v>537.26000000000204</v>
      </c>
    </row>
    <row r="40" spans="1:35" x14ac:dyDescent="0.2">
      <c r="A40" s="20"/>
      <c r="B40" s="21"/>
      <c r="C40" s="22" t="s">
        <v>32</v>
      </c>
      <c r="D40" s="23">
        <v>128258.5</v>
      </c>
      <c r="E40" s="23">
        <v>25608.7</v>
      </c>
      <c r="F40" s="24">
        <f>D40-E40</f>
        <v>102649.8</v>
      </c>
      <c r="G40" s="25">
        <f t="shared" ref="G40:G44" si="73">F40/D40</f>
        <v>0.80033526043108261</v>
      </c>
      <c r="H40" s="24">
        <v>94098.32</v>
      </c>
      <c r="I40" s="24">
        <v>24859.040000000001</v>
      </c>
      <c r="J40" s="23">
        <f>SUM(H40-O40)</f>
        <v>69042.090000000011</v>
      </c>
      <c r="K40" s="23">
        <f t="shared" ref="K40:K44" si="74">SUM(I40-P40)</f>
        <v>21535.24</v>
      </c>
      <c r="L40" s="24">
        <f t="shared" si="66"/>
        <v>47506.850000000006</v>
      </c>
      <c r="M40" s="25">
        <f t="shared" si="67"/>
        <v>0.68808534040612035</v>
      </c>
      <c r="N40" s="26"/>
      <c r="O40" s="23">
        <v>25056.23</v>
      </c>
      <c r="P40" s="23">
        <v>3323.8</v>
      </c>
      <c r="Q40" s="24">
        <f t="shared" si="68"/>
        <v>21732.43</v>
      </c>
      <c r="R40" s="25">
        <f t="shared" si="69"/>
        <v>0.86734636455683878</v>
      </c>
      <c r="S40" s="27">
        <v>501.83</v>
      </c>
      <c r="T40" s="27">
        <v>68.75</v>
      </c>
      <c r="U40" s="28">
        <f t="shared" si="70"/>
        <v>433.08</v>
      </c>
      <c r="V40" s="25">
        <f>U40/S40</f>
        <v>0.86300141482175241</v>
      </c>
      <c r="W40" s="26">
        <v>0.3</v>
      </c>
      <c r="X40" s="29">
        <f t="shared" si="71"/>
        <v>10.904145454545439</v>
      </c>
      <c r="Y40" s="29">
        <f>(D40-J40-O40)/S40</f>
        <v>68.071219337225742</v>
      </c>
      <c r="Z40" s="25">
        <f t="shared" si="72"/>
        <v>2.9273645284610267E-2</v>
      </c>
      <c r="AA40" s="30">
        <f t="shared" ref="AA40:AA44" si="75">SUM(D40-H40)/D40</f>
        <v>0.26633852727109697</v>
      </c>
      <c r="AB40" s="31"/>
      <c r="AD40" t="s">
        <v>33</v>
      </c>
      <c r="AE40" s="33">
        <f>AI44</f>
        <v>5849.48</v>
      </c>
      <c r="AH40" s="20">
        <f>SUM(T41-T40)</f>
        <v>0</v>
      </c>
      <c r="AI40" s="32">
        <f>SUM(K41-K40)</f>
        <v>0</v>
      </c>
    </row>
    <row r="41" spans="1:35" x14ac:dyDescent="0.2">
      <c r="A41" s="20"/>
      <c r="B41" s="21"/>
      <c r="C41" s="22" t="s">
        <v>34</v>
      </c>
      <c r="D41" s="23">
        <v>128258.5</v>
      </c>
      <c r="E41" s="23">
        <v>25608.7</v>
      </c>
      <c r="F41" s="24">
        <f t="shared" ref="F41:F44" si="76">D41-E41</f>
        <v>102649.8</v>
      </c>
      <c r="G41" s="25">
        <f t="shared" si="73"/>
        <v>0.80033526043108261</v>
      </c>
      <c r="H41" s="24">
        <v>94098.32</v>
      </c>
      <c r="I41" s="24">
        <v>24859.040000000001</v>
      </c>
      <c r="J41" s="23">
        <f>SUM(H41-O41)</f>
        <v>69042.090000000011</v>
      </c>
      <c r="K41" s="23">
        <f t="shared" si="74"/>
        <v>21535.24</v>
      </c>
      <c r="L41" s="24">
        <f t="shared" si="66"/>
        <v>47506.850000000006</v>
      </c>
      <c r="M41" s="25">
        <f t="shared" si="67"/>
        <v>0.68808534040612035</v>
      </c>
      <c r="N41" s="26"/>
      <c r="O41" s="23">
        <v>25056.23</v>
      </c>
      <c r="P41" s="23">
        <v>3323.8</v>
      </c>
      <c r="Q41" s="24">
        <f t="shared" si="68"/>
        <v>21732.43</v>
      </c>
      <c r="R41" s="25">
        <f t="shared" si="69"/>
        <v>0.86734636455683878</v>
      </c>
      <c r="S41" s="27">
        <v>501.83</v>
      </c>
      <c r="T41" s="27">
        <v>68.75</v>
      </c>
      <c r="U41" s="28">
        <f t="shared" si="70"/>
        <v>433.08</v>
      </c>
      <c r="V41" s="25">
        <f>U41/S41</f>
        <v>0.86300141482175241</v>
      </c>
      <c r="W41" s="26"/>
      <c r="X41" s="29">
        <f t="shared" si="71"/>
        <v>10.904145454545439</v>
      </c>
      <c r="Y41" s="29">
        <f>(D41-J41-O41)/S41</f>
        <v>68.071219337225742</v>
      </c>
      <c r="Z41" s="25">
        <f t="shared" si="72"/>
        <v>2.9273645284610267E-2</v>
      </c>
      <c r="AA41" s="30">
        <f t="shared" si="75"/>
        <v>0.26633852727109697</v>
      </c>
      <c r="AB41" s="31"/>
      <c r="AH41" s="20">
        <f>SUM(T42-T41)</f>
        <v>0</v>
      </c>
      <c r="AI41" s="32">
        <f>SUM(K42-K41)</f>
        <v>0</v>
      </c>
    </row>
    <row r="42" spans="1:35" x14ac:dyDescent="0.2">
      <c r="A42" s="20"/>
      <c r="B42" s="21"/>
      <c r="C42" s="22" t="s">
        <v>35</v>
      </c>
      <c r="D42" s="23">
        <v>128258.5</v>
      </c>
      <c r="E42" s="23">
        <v>25608.7</v>
      </c>
      <c r="F42" s="24">
        <f t="shared" si="76"/>
        <v>102649.8</v>
      </c>
      <c r="G42" s="25">
        <f t="shared" si="73"/>
        <v>0.80033526043108261</v>
      </c>
      <c r="H42" s="24">
        <v>94098.32</v>
      </c>
      <c r="I42" s="24">
        <v>24859.040000000001</v>
      </c>
      <c r="J42" s="23">
        <f t="shared" ref="J42:J44" si="77">SUM(H42-O42)</f>
        <v>69042.090000000011</v>
      </c>
      <c r="K42" s="23">
        <f t="shared" si="74"/>
        <v>21535.24</v>
      </c>
      <c r="L42" s="24">
        <f t="shared" si="66"/>
        <v>47506.850000000006</v>
      </c>
      <c r="M42" s="25">
        <f t="shared" si="67"/>
        <v>0.68808534040612035</v>
      </c>
      <c r="N42" s="26"/>
      <c r="O42" s="23">
        <v>25056.23</v>
      </c>
      <c r="P42" s="23">
        <v>3323.8</v>
      </c>
      <c r="Q42" s="24">
        <f t="shared" si="68"/>
        <v>21732.43</v>
      </c>
      <c r="R42" s="25">
        <f t="shared" si="69"/>
        <v>0.86734636455683878</v>
      </c>
      <c r="S42" s="27">
        <v>501.83</v>
      </c>
      <c r="T42" s="27">
        <v>68.75</v>
      </c>
      <c r="U42" s="28">
        <f t="shared" si="70"/>
        <v>433.08</v>
      </c>
      <c r="V42" s="25">
        <f>U42/S41</f>
        <v>0.86300141482175241</v>
      </c>
      <c r="W42" s="26"/>
      <c r="X42" s="29">
        <f t="shared" si="71"/>
        <v>10.904145454545439</v>
      </c>
      <c r="Y42" s="29">
        <f>(D42-J42-O42)/S41</f>
        <v>68.071219337225742</v>
      </c>
      <c r="Z42" s="25">
        <f t="shared" si="72"/>
        <v>2.9273645284610267E-2</v>
      </c>
      <c r="AA42" s="30">
        <f t="shared" si="75"/>
        <v>0.26633852727109697</v>
      </c>
      <c r="AB42" s="31"/>
      <c r="AD42" t="s">
        <v>36</v>
      </c>
      <c r="AE42" s="33">
        <v>0</v>
      </c>
      <c r="AH42" s="20">
        <f>SUM(T43-T42)</f>
        <v>19.5</v>
      </c>
      <c r="AI42" s="32">
        <f>SUM(K43-K42)</f>
        <v>-3.637978807091713E-12</v>
      </c>
    </row>
    <row r="43" spans="1:35" x14ac:dyDescent="0.2">
      <c r="A43" s="20"/>
      <c r="B43" s="21"/>
      <c r="C43" s="22" t="s">
        <v>37</v>
      </c>
      <c r="D43" s="23">
        <v>128258.5</v>
      </c>
      <c r="E43" s="23">
        <v>25608.7</v>
      </c>
      <c r="F43" s="24">
        <f t="shared" si="76"/>
        <v>102649.8</v>
      </c>
      <c r="G43" s="25">
        <f t="shared" si="73"/>
        <v>0.80033526043108261</v>
      </c>
      <c r="H43" s="24">
        <v>94098.32</v>
      </c>
      <c r="I43" s="24">
        <v>25952.6</v>
      </c>
      <c r="J43" s="23">
        <f t="shared" si="77"/>
        <v>69042.090000000011</v>
      </c>
      <c r="K43" s="23">
        <f t="shared" si="74"/>
        <v>21535.239999999998</v>
      </c>
      <c r="L43" s="24">
        <f t="shared" si="66"/>
        <v>47506.850000000013</v>
      </c>
      <c r="M43" s="25">
        <f t="shared" si="67"/>
        <v>0.68808534040612046</v>
      </c>
      <c r="N43" s="26"/>
      <c r="O43" s="23">
        <v>25056.23</v>
      </c>
      <c r="P43" s="23">
        <v>4417.3599999999997</v>
      </c>
      <c r="Q43" s="24">
        <f t="shared" si="68"/>
        <v>20638.87</v>
      </c>
      <c r="R43" s="25">
        <f t="shared" si="69"/>
        <v>0.82370212917106844</v>
      </c>
      <c r="S43" s="27">
        <v>501.83</v>
      </c>
      <c r="T43" s="27">
        <v>88.25</v>
      </c>
      <c r="U43" s="28">
        <f t="shared" si="70"/>
        <v>413.58</v>
      </c>
      <c r="V43" s="25">
        <f>U43/S43</f>
        <v>0.8241436342984676</v>
      </c>
      <c r="W43" s="26"/>
      <c r="X43" s="29">
        <f t="shared" si="71"/>
        <v>-3.8968838526911829</v>
      </c>
      <c r="Y43" s="29">
        <f>(D43-J43-O43)/S43</f>
        <v>68.071219337225742</v>
      </c>
      <c r="Z43" s="25">
        <f t="shared" si="72"/>
        <v>-1.3429029978093261E-2</v>
      </c>
      <c r="AA43" s="30">
        <f t="shared" si="75"/>
        <v>0.26633852727109697</v>
      </c>
      <c r="AB43" s="31"/>
      <c r="AH43" s="20">
        <f>SUM(T44-T43)</f>
        <v>23.75</v>
      </c>
      <c r="AI43" s="32">
        <f>SUM(K44-K43)</f>
        <v>5312.2200000000012</v>
      </c>
    </row>
    <row r="44" spans="1:35" ht="17" thickBot="1" x14ac:dyDescent="0.25">
      <c r="A44" s="20"/>
      <c r="B44" s="21"/>
      <c r="C44" s="22" t="s">
        <v>38</v>
      </c>
      <c r="D44" s="23">
        <v>128258.5</v>
      </c>
      <c r="E44" s="23">
        <v>36398.39</v>
      </c>
      <c r="F44" s="24">
        <f t="shared" si="76"/>
        <v>91860.11</v>
      </c>
      <c r="G44" s="25">
        <f t="shared" si="73"/>
        <v>0.71621069948580407</v>
      </c>
      <c r="H44" s="24">
        <v>94098.32</v>
      </c>
      <c r="I44" s="24">
        <v>32521.46</v>
      </c>
      <c r="J44" s="23">
        <f t="shared" si="77"/>
        <v>69042.090000000011</v>
      </c>
      <c r="K44" s="23">
        <f t="shared" si="74"/>
        <v>26847.46</v>
      </c>
      <c r="L44" s="24">
        <f t="shared" si="66"/>
        <v>42194.630000000012</v>
      </c>
      <c r="M44" s="25">
        <f t="shared" si="67"/>
        <v>0.61114357922826501</v>
      </c>
      <c r="N44" s="26"/>
      <c r="O44" s="23">
        <v>25056.23</v>
      </c>
      <c r="P44" s="23">
        <v>5674</v>
      </c>
      <c r="Q44" s="24">
        <f t="shared" si="68"/>
        <v>19382.23</v>
      </c>
      <c r="R44" s="25">
        <f t="shared" si="69"/>
        <v>0.77354933284057492</v>
      </c>
      <c r="S44" s="27">
        <v>501</v>
      </c>
      <c r="T44" s="27">
        <v>112</v>
      </c>
      <c r="U44" s="28">
        <f t="shared" si="70"/>
        <v>389</v>
      </c>
      <c r="V44" s="25">
        <f>U44/S44</f>
        <v>0.77644710578842313</v>
      </c>
      <c r="W44" s="26">
        <v>0.4</v>
      </c>
      <c r="X44" s="29">
        <f t="shared" si="71"/>
        <v>34.615446428571431</v>
      </c>
      <c r="Y44" s="29">
        <f>(D44-J44-O44)/S44</f>
        <v>68.183992015968045</v>
      </c>
      <c r="Z44" s="25">
        <f t="shared" si="72"/>
        <v>0.10651377712036166</v>
      </c>
      <c r="AA44" s="30">
        <f t="shared" si="75"/>
        <v>0.26633852727109697</v>
      </c>
      <c r="AB44" s="31"/>
      <c r="AH44" s="34">
        <f>SUM(AH39,AH40,AH41,AH42,AH43)</f>
        <v>104</v>
      </c>
      <c r="AI44" s="35">
        <f>SUM(AI39,AI40,AI41,AI42,AI43)</f>
        <v>5849.48</v>
      </c>
    </row>
    <row r="45" spans="1:35" ht="9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8"/>
    </row>
    <row r="46" spans="1:35" x14ac:dyDescent="0.2">
      <c r="A46" s="20">
        <f>'[1]Main Sheet'!A16</f>
        <v>8887</v>
      </c>
      <c r="B46" s="21" t="str">
        <f>'[1]Main Sheet'!B16</f>
        <v>Tenancy 2 - Fisher Fit out</v>
      </c>
      <c r="C46" s="22" t="s">
        <v>30</v>
      </c>
      <c r="D46" s="23">
        <v>64305.21</v>
      </c>
      <c r="E46" s="23">
        <v>14477.41</v>
      </c>
      <c r="F46" s="24">
        <f>D46-E46</f>
        <v>49827.8</v>
      </c>
      <c r="G46" s="25">
        <f>F46/D46</f>
        <v>0.7748641206521214</v>
      </c>
      <c r="H46" s="24">
        <v>49749.48</v>
      </c>
      <c r="I46" s="24">
        <v>13531.4</v>
      </c>
      <c r="J46" s="23">
        <f>SUM(H46-O46)</f>
        <v>39151.4</v>
      </c>
      <c r="K46" s="23">
        <f>SUM(I46-P46)</f>
        <v>13232.43</v>
      </c>
      <c r="L46" s="24">
        <f t="shared" ref="L46:L51" si="78">J46-K46</f>
        <v>25918.97</v>
      </c>
      <c r="M46" s="25">
        <f t="shared" ref="M46:M51" si="79">L46/J46</f>
        <v>0.66201898271837023</v>
      </c>
      <c r="N46" s="26">
        <v>0</v>
      </c>
      <c r="O46" s="23">
        <v>10598.08</v>
      </c>
      <c r="P46" s="23">
        <v>298.97000000000003</v>
      </c>
      <c r="Q46" s="24">
        <f>O46-P46</f>
        <v>10299.11</v>
      </c>
      <c r="R46" s="25">
        <f>Q46/O46</f>
        <v>0.97179017331441175</v>
      </c>
      <c r="S46" s="27">
        <v>212.3</v>
      </c>
      <c r="T46" s="27">
        <v>6.5</v>
      </c>
      <c r="U46" s="28">
        <f>S46-T46</f>
        <v>205.8</v>
      </c>
      <c r="V46" s="25">
        <f>U46/S46</f>
        <v>0.96938294865756003</v>
      </c>
      <c r="W46" s="26">
        <v>0.01</v>
      </c>
      <c r="X46" s="29">
        <f>(E46-K46-P46)/T46</f>
        <v>145.53999999999994</v>
      </c>
      <c r="Y46" s="29">
        <f>(D46-J46-O46)/S46</f>
        <v>68.562081959491266</v>
      </c>
      <c r="Z46" s="25">
        <f>(E46-K46-P46)/E46</f>
        <v>6.5343870208828758E-2</v>
      </c>
      <c r="AA46" s="30">
        <f>SUM(D46-H46)/D46</f>
        <v>0.22635382109785498</v>
      </c>
      <c r="AB46" s="31"/>
      <c r="AD46" t="s">
        <v>31</v>
      </c>
      <c r="AE46">
        <f>AH51</f>
        <v>80.25</v>
      </c>
      <c r="AH46" s="20">
        <f>SUM(T47-T46)</f>
        <v>15.75</v>
      </c>
      <c r="AI46" s="32">
        <f>SUM(K47-K46)</f>
        <v>1065.1899999999987</v>
      </c>
    </row>
    <row r="47" spans="1:35" x14ac:dyDescent="0.2">
      <c r="A47" s="20"/>
      <c r="B47" s="21"/>
      <c r="C47" s="22" t="s">
        <v>32</v>
      </c>
      <c r="D47" s="23">
        <v>64305.21</v>
      </c>
      <c r="E47" s="23">
        <v>14477.41</v>
      </c>
      <c r="F47" s="24">
        <f t="shared" ref="F47:F51" si="80">D47-E47</f>
        <v>49827.8</v>
      </c>
      <c r="G47" s="25">
        <f t="shared" ref="G47:G51" si="81">F47/D47</f>
        <v>0.7748641206521214</v>
      </c>
      <c r="H47" s="24">
        <v>49749.48</v>
      </c>
      <c r="I47" s="24">
        <v>15402</v>
      </c>
      <c r="J47" s="23">
        <f t="shared" ref="J47:K51" si="82">SUM(H47-O47)</f>
        <v>39151.4</v>
      </c>
      <c r="K47" s="23">
        <f t="shared" si="82"/>
        <v>14297.619999999999</v>
      </c>
      <c r="L47" s="24">
        <f t="shared" si="78"/>
        <v>24853.780000000002</v>
      </c>
      <c r="M47" s="25">
        <f t="shared" si="79"/>
        <v>0.6348120373728654</v>
      </c>
      <c r="N47" s="26">
        <v>0</v>
      </c>
      <c r="O47" s="23">
        <v>10598.08</v>
      </c>
      <c r="P47" s="23">
        <v>1104.3800000000001</v>
      </c>
      <c r="Q47" s="24">
        <f t="shared" ref="Q47:Q51" si="83">O47-P47</f>
        <v>9493.7000000000007</v>
      </c>
      <c r="R47" s="25">
        <f t="shared" ref="R47:R51" si="84">Q47/O47</f>
        <v>0.89579433255835028</v>
      </c>
      <c r="S47" s="27">
        <v>212.3</v>
      </c>
      <c r="T47" s="27">
        <v>22.25</v>
      </c>
      <c r="U47" s="28">
        <f t="shared" ref="U47:U51" si="85">S47-T47</f>
        <v>190.05</v>
      </c>
      <c r="V47" s="25">
        <f t="shared" ref="V47:V51" si="86">U47/S47</f>
        <v>0.89519547809703248</v>
      </c>
      <c r="W47" s="26">
        <v>0.2</v>
      </c>
      <c r="X47" s="29">
        <f t="shared" ref="X47:X51" si="87">(E47-K47-P47)/T47</f>
        <v>-41.554606741572996</v>
      </c>
      <c r="Y47" s="29">
        <f t="shared" ref="Y47:Y51" si="88">(D47-J47-O47)/S47</f>
        <v>68.562081959491266</v>
      </c>
      <c r="Z47" s="25">
        <f t="shared" ref="Z47:Z51" si="89">(E47-K47-P47)/E47</f>
        <v>-6.3864323798248385E-2</v>
      </c>
      <c r="AA47" s="30">
        <f t="shared" ref="AA47:AA50" si="90">SUM(D47-H47)/D47</f>
        <v>0.22635382109785498</v>
      </c>
      <c r="AB47" s="31"/>
      <c r="AD47" t="s">
        <v>33</v>
      </c>
      <c r="AE47" s="33">
        <f>AI51</f>
        <v>2406.619999999999</v>
      </c>
      <c r="AH47" s="20">
        <f>SUM(T48-T47)</f>
        <v>0</v>
      </c>
      <c r="AI47" s="32">
        <f>SUM(K48-K47)</f>
        <v>0</v>
      </c>
    </row>
    <row r="48" spans="1:35" x14ac:dyDescent="0.2">
      <c r="A48" s="20"/>
      <c r="B48" s="21"/>
      <c r="C48" s="22" t="s">
        <v>34</v>
      </c>
      <c r="D48" s="23">
        <v>64305.21</v>
      </c>
      <c r="E48" s="23">
        <v>14477.41</v>
      </c>
      <c r="F48" s="24">
        <f t="shared" si="80"/>
        <v>49827.8</v>
      </c>
      <c r="G48" s="25">
        <f t="shared" si="81"/>
        <v>0.7748641206521214</v>
      </c>
      <c r="H48" s="24">
        <v>49749.48</v>
      </c>
      <c r="I48" s="24">
        <v>15402</v>
      </c>
      <c r="J48" s="23">
        <f t="shared" si="82"/>
        <v>39151.4</v>
      </c>
      <c r="K48" s="23">
        <f t="shared" si="82"/>
        <v>14297.619999999999</v>
      </c>
      <c r="L48" s="24">
        <f>J48-K48</f>
        <v>24853.780000000002</v>
      </c>
      <c r="M48" s="25">
        <f>L48/J48</f>
        <v>0.6348120373728654</v>
      </c>
      <c r="N48" s="26">
        <v>0</v>
      </c>
      <c r="O48" s="23">
        <v>10598.08</v>
      </c>
      <c r="P48" s="23">
        <v>1104.3800000000001</v>
      </c>
      <c r="Q48" s="24">
        <f t="shared" si="83"/>
        <v>9493.7000000000007</v>
      </c>
      <c r="R48" s="25">
        <f t="shared" si="84"/>
        <v>0.89579433255835028</v>
      </c>
      <c r="S48" s="27">
        <v>212.3</v>
      </c>
      <c r="T48" s="27">
        <v>22.25</v>
      </c>
      <c r="U48" s="28">
        <f t="shared" si="85"/>
        <v>190.05</v>
      </c>
      <c r="V48" s="25">
        <f t="shared" si="86"/>
        <v>0.89519547809703248</v>
      </c>
      <c r="W48" s="26"/>
      <c r="X48" s="29">
        <f t="shared" si="87"/>
        <v>-41.554606741572996</v>
      </c>
      <c r="Y48" s="29">
        <f t="shared" si="88"/>
        <v>68.562081959491266</v>
      </c>
      <c r="Z48" s="25">
        <f t="shared" si="89"/>
        <v>-6.3864323798248385E-2</v>
      </c>
      <c r="AA48" s="30">
        <f t="shared" si="90"/>
        <v>0.22635382109785498</v>
      </c>
      <c r="AB48" s="31"/>
      <c r="AH48" s="20">
        <f>SUM(T49-T48)</f>
        <v>0</v>
      </c>
      <c r="AI48" s="32">
        <f>SUM(K49-K48)</f>
        <v>0</v>
      </c>
    </row>
    <row r="49" spans="1:35" x14ac:dyDescent="0.2">
      <c r="A49" s="20"/>
      <c r="B49" s="21"/>
      <c r="C49" s="22" t="s">
        <v>35</v>
      </c>
      <c r="D49" s="23">
        <v>64305.21</v>
      </c>
      <c r="E49" s="23">
        <v>14477.41</v>
      </c>
      <c r="F49" s="24">
        <f t="shared" si="80"/>
        <v>49827.8</v>
      </c>
      <c r="G49" s="25">
        <f t="shared" si="81"/>
        <v>0.7748641206521214</v>
      </c>
      <c r="H49" s="24">
        <v>49749.48</v>
      </c>
      <c r="I49" s="24">
        <v>15402</v>
      </c>
      <c r="J49" s="23">
        <f t="shared" si="82"/>
        <v>39151.4</v>
      </c>
      <c r="K49" s="23">
        <f t="shared" si="82"/>
        <v>14297.619999999999</v>
      </c>
      <c r="L49" s="24">
        <f t="shared" si="78"/>
        <v>24853.780000000002</v>
      </c>
      <c r="M49" s="25">
        <f t="shared" si="79"/>
        <v>0.6348120373728654</v>
      </c>
      <c r="N49" s="26">
        <v>0</v>
      </c>
      <c r="O49" s="23">
        <v>10598.08</v>
      </c>
      <c r="P49" s="23">
        <v>1104.3800000000001</v>
      </c>
      <c r="Q49" s="24">
        <f t="shared" si="83"/>
        <v>9493.7000000000007</v>
      </c>
      <c r="R49" s="25">
        <f t="shared" si="84"/>
        <v>0.89579433255835028</v>
      </c>
      <c r="S49" s="27">
        <v>212.3</v>
      </c>
      <c r="T49" s="27">
        <v>22.25</v>
      </c>
      <c r="U49" s="28">
        <f t="shared" si="85"/>
        <v>190.05</v>
      </c>
      <c r="V49" s="25">
        <f t="shared" si="86"/>
        <v>0.89519547809703248</v>
      </c>
      <c r="W49" s="26"/>
      <c r="X49" s="29">
        <f t="shared" si="87"/>
        <v>-41.554606741572996</v>
      </c>
      <c r="Y49" s="29">
        <f t="shared" si="88"/>
        <v>68.562081959491266</v>
      </c>
      <c r="Z49" s="25">
        <f t="shared" si="89"/>
        <v>-6.3864323798248385E-2</v>
      </c>
      <c r="AA49" s="30">
        <f t="shared" si="90"/>
        <v>0.22635382109785498</v>
      </c>
      <c r="AB49" s="31"/>
      <c r="AD49" t="s">
        <v>36</v>
      </c>
      <c r="AE49" s="33">
        <v>0</v>
      </c>
      <c r="AH49" s="20">
        <f>SUM(T50-T49)</f>
        <v>64.75</v>
      </c>
      <c r="AI49" s="32">
        <f>SUM(K50-K49)</f>
        <v>159.67000000000007</v>
      </c>
    </row>
    <row r="50" spans="1:35" x14ac:dyDescent="0.2">
      <c r="A50" s="20"/>
      <c r="B50" s="21"/>
      <c r="C50" s="22" t="s">
        <v>37</v>
      </c>
      <c r="D50" s="23">
        <v>64305.21</v>
      </c>
      <c r="E50" s="23">
        <v>14477.41</v>
      </c>
      <c r="F50" s="24">
        <f t="shared" si="80"/>
        <v>49827.8</v>
      </c>
      <c r="G50" s="25">
        <f t="shared" si="81"/>
        <v>0.7748641206521214</v>
      </c>
      <c r="H50" s="24">
        <v>49749.48</v>
      </c>
      <c r="I50" s="24">
        <v>16010.31</v>
      </c>
      <c r="J50" s="23">
        <f t="shared" si="82"/>
        <v>39151.4</v>
      </c>
      <c r="K50" s="23">
        <f t="shared" si="82"/>
        <v>14457.289999999999</v>
      </c>
      <c r="L50" s="24">
        <f t="shared" si="78"/>
        <v>24694.11</v>
      </c>
      <c r="M50" s="25">
        <f t="shared" si="79"/>
        <v>0.63073376686402016</v>
      </c>
      <c r="N50" s="26">
        <v>0</v>
      </c>
      <c r="O50" s="23">
        <v>10598.08</v>
      </c>
      <c r="P50" s="23">
        <v>1553.02</v>
      </c>
      <c r="Q50" s="24">
        <f t="shared" si="83"/>
        <v>9045.06</v>
      </c>
      <c r="R50" s="25">
        <f t="shared" si="84"/>
        <v>0.8534621365379389</v>
      </c>
      <c r="S50" s="27">
        <v>212.3</v>
      </c>
      <c r="T50" s="27">
        <v>87</v>
      </c>
      <c r="U50" s="28">
        <f t="shared" si="85"/>
        <v>125.30000000000001</v>
      </c>
      <c r="V50" s="25">
        <f t="shared" si="86"/>
        <v>0.59020254357041924</v>
      </c>
      <c r="W50" s="26"/>
      <c r="X50" s="29">
        <f t="shared" si="87"/>
        <v>-17.619540229885047</v>
      </c>
      <c r="Y50" s="29">
        <f t="shared" si="88"/>
        <v>68.562081959491266</v>
      </c>
      <c r="Z50" s="25">
        <f t="shared" si="89"/>
        <v>-0.10588219854241879</v>
      </c>
      <c r="AA50" s="30">
        <f t="shared" si="90"/>
        <v>0.22635382109785498</v>
      </c>
      <c r="AB50" s="31"/>
      <c r="AH50" s="20">
        <f>SUM(T51-T50)</f>
        <v>-0.25</v>
      </c>
      <c r="AI50" s="32">
        <f>SUM(K51-K50)</f>
        <v>1181.7600000000002</v>
      </c>
    </row>
    <row r="51" spans="1:35" ht="17" thickBot="1" x14ac:dyDescent="0.25">
      <c r="A51" s="20"/>
      <c r="B51" s="21"/>
      <c r="C51" s="22" t="s">
        <v>38</v>
      </c>
      <c r="D51" s="23">
        <v>64305.21</v>
      </c>
      <c r="E51" s="23">
        <v>25322.07</v>
      </c>
      <c r="F51" s="24">
        <f t="shared" si="80"/>
        <v>38983.14</v>
      </c>
      <c r="G51" s="25">
        <f t="shared" si="81"/>
        <v>0.60622055351347115</v>
      </c>
      <c r="H51" s="24">
        <v>49749.48</v>
      </c>
      <c r="I51" s="24">
        <v>19566.87</v>
      </c>
      <c r="J51" s="23">
        <f t="shared" si="82"/>
        <v>39151.4</v>
      </c>
      <c r="K51" s="23">
        <f t="shared" si="82"/>
        <v>15639.05</v>
      </c>
      <c r="L51" s="24">
        <f t="shared" si="78"/>
        <v>23512.350000000002</v>
      </c>
      <c r="M51" s="25">
        <f t="shared" si="79"/>
        <v>0.60054940564066683</v>
      </c>
      <c r="N51" s="26">
        <v>0</v>
      </c>
      <c r="O51" s="23">
        <v>10598.08</v>
      </c>
      <c r="P51" s="23">
        <v>3927.82</v>
      </c>
      <c r="Q51" s="24">
        <f t="shared" si="83"/>
        <v>6670.26</v>
      </c>
      <c r="R51" s="25">
        <f t="shared" si="84"/>
        <v>0.6293838129170567</v>
      </c>
      <c r="S51" s="27">
        <v>212.3</v>
      </c>
      <c r="T51" s="27">
        <v>86.75</v>
      </c>
      <c r="U51" s="28">
        <f t="shared" si="85"/>
        <v>125.55000000000001</v>
      </c>
      <c r="V51" s="25">
        <f t="shared" si="86"/>
        <v>0.59138012246820537</v>
      </c>
      <c r="W51" s="26">
        <v>0.4</v>
      </c>
      <c r="X51" s="29">
        <f t="shared" si="87"/>
        <v>66.342363112391936</v>
      </c>
      <c r="Y51" s="29">
        <f t="shared" si="88"/>
        <v>68.562081959491266</v>
      </c>
      <c r="Z51" s="25">
        <f t="shared" si="89"/>
        <v>0.22727999725140957</v>
      </c>
      <c r="AA51" s="30">
        <f>SUM(D51-H51)/D51</f>
        <v>0.22635382109785498</v>
      </c>
      <c r="AB51" s="31"/>
      <c r="AH51" s="34">
        <f>SUM(AH46,AH47,AH48,AH49,AH50)</f>
        <v>80.25</v>
      </c>
      <c r="AI51" s="35">
        <f>SUM(AI46,AI47,AI48,AI49,AI50)</f>
        <v>2406.619999999999</v>
      </c>
    </row>
    <row r="52" spans="1:35" ht="9" customHeight="1" x14ac:dyDescent="0.2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8"/>
    </row>
    <row r="53" spans="1:35" x14ac:dyDescent="0.2">
      <c r="A53" s="20">
        <f>'[1]Main Sheet'!A18</f>
        <v>8670</v>
      </c>
      <c r="B53" s="21" t="str">
        <f>'[1]Main Sheet'!B18</f>
        <v>Studio DB - tautara fit out</v>
      </c>
      <c r="C53" s="22" t="s">
        <v>30</v>
      </c>
      <c r="D53" s="23">
        <v>146005.54999999999</v>
      </c>
      <c r="E53" s="23">
        <v>61401.4</v>
      </c>
      <c r="F53" s="24">
        <f>D53-E53</f>
        <v>84604.15</v>
      </c>
      <c r="G53" s="25">
        <f>F53/D53</f>
        <v>0.57945845209308822</v>
      </c>
      <c r="H53" s="24">
        <v>103345.75</v>
      </c>
      <c r="I53" s="24">
        <v>52398.84</v>
      </c>
      <c r="J53" s="23">
        <f>SUM(H53-O53)</f>
        <v>71390.14</v>
      </c>
      <c r="K53" s="23">
        <f>SUM(I53-P53)</f>
        <v>50454.38</v>
      </c>
      <c r="L53" s="24">
        <f t="shared" ref="L53:L58" si="91">J53-K53</f>
        <v>20935.760000000002</v>
      </c>
      <c r="M53" s="25">
        <f t="shared" ref="M53:M58" si="92">L53/J53</f>
        <v>0.29325842476285946</v>
      </c>
      <c r="N53" s="26"/>
      <c r="O53" s="23">
        <v>31955.61</v>
      </c>
      <c r="P53" s="23">
        <v>1944.46</v>
      </c>
      <c r="Q53" s="24">
        <f t="shared" ref="Q53:Q58" si="93">O53-P53</f>
        <v>30011.15</v>
      </c>
      <c r="R53" s="25">
        <f t="shared" ref="R53:R58" si="94">Q53/O53</f>
        <v>0.93915121632789988</v>
      </c>
      <c r="S53" s="27">
        <v>639.95000000000005</v>
      </c>
      <c r="T53" s="27">
        <v>38</v>
      </c>
      <c r="U53" s="28">
        <f t="shared" ref="U53:U58" si="95">S53-T53</f>
        <v>601.95000000000005</v>
      </c>
      <c r="V53" s="25">
        <f t="shared" ref="V53:V58" si="96">U53/S53</f>
        <v>0.94062036096570045</v>
      </c>
      <c r="W53" s="26">
        <v>0</v>
      </c>
      <c r="X53" s="29">
        <f t="shared" ref="X53:X58" si="97">(E53-K53-P53)/T53</f>
        <v>236.90947368421067</v>
      </c>
      <c r="Y53" s="29">
        <f>(D53-J53-O53)/S53</f>
        <v>66.661145401984513</v>
      </c>
      <c r="Z53" s="25">
        <f t="shared" ref="Z53:Z58" si="98">(E53-K53-P53)/E53</f>
        <v>0.14661815528636163</v>
      </c>
      <c r="AA53" s="30">
        <f>SUM(D53-H53)/D53</f>
        <v>0.29217930414289039</v>
      </c>
      <c r="AB53" s="31"/>
      <c r="AD53" t="s">
        <v>31</v>
      </c>
      <c r="AE53">
        <f>AH58</f>
        <v>231</v>
      </c>
      <c r="AH53" s="20">
        <f>SUM(T54-T53)</f>
        <v>132.5</v>
      </c>
      <c r="AI53" s="32">
        <f>SUM(K54-K53)</f>
        <v>8559.0799999999945</v>
      </c>
    </row>
    <row r="54" spans="1:35" x14ac:dyDescent="0.2">
      <c r="A54" s="20"/>
      <c r="B54" s="21"/>
      <c r="C54" s="22" t="s">
        <v>32</v>
      </c>
      <c r="D54" s="23">
        <v>146005.54999999999</v>
      </c>
      <c r="E54" s="23">
        <v>61401.4</v>
      </c>
      <c r="F54" s="24">
        <f>D54-E54</f>
        <v>84604.15</v>
      </c>
      <c r="G54" s="25">
        <f>F54/D54</f>
        <v>0.57945845209308822</v>
      </c>
      <c r="H54" s="24">
        <v>103345.75</v>
      </c>
      <c r="I54" s="24">
        <v>67982.009999999995</v>
      </c>
      <c r="J54" s="23">
        <f t="shared" ref="J54:K58" si="99">SUM(H54-O54)</f>
        <v>71390.14</v>
      </c>
      <c r="K54" s="23">
        <f t="shared" si="99"/>
        <v>59013.459999999992</v>
      </c>
      <c r="L54" s="24">
        <f t="shared" si="91"/>
        <v>12376.680000000008</v>
      </c>
      <c r="M54" s="25">
        <f t="shared" si="92"/>
        <v>0.17336679827214246</v>
      </c>
      <c r="N54" s="26"/>
      <c r="O54" s="23">
        <v>31955.61</v>
      </c>
      <c r="P54" s="23">
        <v>8968.5499999999993</v>
      </c>
      <c r="Q54" s="24">
        <f t="shared" si="93"/>
        <v>22987.06</v>
      </c>
      <c r="R54" s="25">
        <f t="shared" si="94"/>
        <v>0.71934348929655856</v>
      </c>
      <c r="S54" s="27">
        <v>639.95000000000005</v>
      </c>
      <c r="T54" s="27">
        <v>170.5</v>
      </c>
      <c r="U54" s="28">
        <f t="shared" si="95"/>
        <v>469.45000000000005</v>
      </c>
      <c r="V54" s="25">
        <f t="shared" si="96"/>
        <v>0.733572935385577</v>
      </c>
      <c r="W54" s="26">
        <v>0.25</v>
      </c>
      <c r="X54" s="29">
        <f t="shared" si="97"/>
        <v>-38.595953079178827</v>
      </c>
      <c r="Y54" s="29">
        <f>(D54-J54-O54)/S54</f>
        <v>66.661145401984513</v>
      </c>
      <c r="Z54" s="25">
        <f t="shared" si="98"/>
        <v>-0.10717361493386127</v>
      </c>
      <c r="AA54" s="30">
        <f>SUM(D54-H54)/D54</f>
        <v>0.29217930414289039</v>
      </c>
      <c r="AB54" s="31"/>
      <c r="AD54" t="s">
        <v>33</v>
      </c>
      <c r="AE54" s="33">
        <f>AI58</f>
        <v>15945.500000000007</v>
      </c>
      <c r="AH54" s="20">
        <f>SUM(T55-T54)</f>
        <v>0</v>
      </c>
      <c r="AI54" s="32">
        <f>SUM(K55-K54)</f>
        <v>0</v>
      </c>
    </row>
    <row r="55" spans="1:35" x14ac:dyDescent="0.2">
      <c r="A55" s="20"/>
      <c r="B55" s="21"/>
      <c r="C55" s="22" t="s">
        <v>34</v>
      </c>
      <c r="D55" s="23">
        <v>146005.54999999999</v>
      </c>
      <c r="E55" s="23">
        <v>61401.4</v>
      </c>
      <c r="F55" s="24">
        <f t="shared" ref="F55:F58" si="100">D55-E55</f>
        <v>84604.15</v>
      </c>
      <c r="G55" s="25">
        <f t="shared" ref="G55:G58" si="101">F55/D55</f>
        <v>0.57945845209308822</v>
      </c>
      <c r="H55" s="24">
        <v>103345.75</v>
      </c>
      <c r="I55" s="24">
        <v>67982.009999999995</v>
      </c>
      <c r="J55" s="23">
        <f t="shared" si="99"/>
        <v>71390.14</v>
      </c>
      <c r="K55" s="23">
        <f t="shared" si="99"/>
        <v>59013.459999999992</v>
      </c>
      <c r="L55" s="24">
        <f>J55-K55</f>
        <v>12376.680000000008</v>
      </c>
      <c r="M55" s="25">
        <f>L55/J55</f>
        <v>0.17336679827214246</v>
      </c>
      <c r="N55" s="26"/>
      <c r="O55" s="23">
        <v>31955.61</v>
      </c>
      <c r="P55" s="23">
        <v>8968.5499999999993</v>
      </c>
      <c r="Q55" s="24">
        <f>O55-P55</f>
        <v>22987.06</v>
      </c>
      <c r="R55" s="25">
        <f>Q55/O55</f>
        <v>0.71934348929655856</v>
      </c>
      <c r="S55" s="27">
        <v>639.95000000000005</v>
      </c>
      <c r="T55" s="27">
        <v>170.5</v>
      </c>
      <c r="U55" s="28">
        <f>S55-T55</f>
        <v>469.45000000000005</v>
      </c>
      <c r="V55" s="25">
        <f>U55/S55</f>
        <v>0.733572935385577</v>
      </c>
      <c r="W55" s="26"/>
      <c r="X55" s="29">
        <f>(E55-K55-P55)/T55</f>
        <v>-38.595953079178827</v>
      </c>
      <c r="Y55" s="29">
        <f>(D55-J55-O55)/S55</f>
        <v>66.661145401984513</v>
      </c>
      <c r="Z55" s="25">
        <f>(E55-K55-P55)/E55</f>
        <v>-0.10717361493386127</v>
      </c>
      <c r="AA55" s="30">
        <f t="shared" ref="AA55:AA57" si="102">SUM(D55-H55)/D55</f>
        <v>0.29217930414289039</v>
      </c>
      <c r="AB55" s="31"/>
      <c r="AH55" s="20">
        <f>SUM(T56-T55)</f>
        <v>0</v>
      </c>
      <c r="AI55" s="32">
        <f>SUM(K56-K55)</f>
        <v>0</v>
      </c>
    </row>
    <row r="56" spans="1:35" x14ac:dyDescent="0.2">
      <c r="A56" s="20"/>
      <c r="B56" s="21"/>
      <c r="C56" s="22" t="s">
        <v>35</v>
      </c>
      <c r="D56" s="23">
        <v>146005.54999999999</v>
      </c>
      <c r="E56" s="23">
        <v>61401.4</v>
      </c>
      <c r="F56" s="24">
        <f t="shared" si="100"/>
        <v>84604.15</v>
      </c>
      <c r="G56" s="25">
        <f t="shared" si="101"/>
        <v>0.57945845209308822</v>
      </c>
      <c r="H56" s="24">
        <v>103345.75</v>
      </c>
      <c r="I56" s="24">
        <v>67982.009999999995</v>
      </c>
      <c r="J56" s="23">
        <f t="shared" si="99"/>
        <v>71390.14</v>
      </c>
      <c r="K56" s="23">
        <f t="shared" si="99"/>
        <v>59013.459999999992</v>
      </c>
      <c r="L56" s="24">
        <f t="shared" si="91"/>
        <v>12376.680000000008</v>
      </c>
      <c r="M56" s="25">
        <f t="shared" si="92"/>
        <v>0.17336679827214246</v>
      </c>
      <c r="N56" s="26"/>
      <c r="O56" s="23">
        <v>31955.61</v>
      </c>
      <c r="P56" s="23">
        <v>8968.5499999999993</v>
      </c>
      <c r="Q56" s="24">
        <f t="shared" si="93"/>
        <v>22987.06</v>
      </c>
      <c r="R56" s="25">
        <f t="shared" si="94"/>
        <v>0.71934348929655856</v>
      </c>
      <c r="S56" s="27">
        <v>639.95000000000005</v>
      </c>
      <c r="T56" s="27">
        <v>170.5</v>
      </c>
      <c r="U56" s="28">
        <f t="shared" si="95"/>
        <v>469.45000000000005</v>
      </c>
      <c r="V56" s="25">
        <f t="shared" si="96"/>
        <v>0.733572935385577</v>
      </c>
      <c r="W56" s="26"/>
      <c r="X56" s="29">
        <f t="shared" si="97"/>
        <v>-38.595953079178827</v>
      </c>
      <c r="Y56" s="29">
        <f t="shared" ref="Y56:Y58" si="103">(D56-J56-O56)/S56</f>
        <v>66.661145401984513</v>
      </c>
      <c r="Z56" s="25">
        <f t="shared" si="98"/>
        <v>-0.10717361493386127</v>
      </c>
      <c r="AA56" s="30">
        <f t="shared" si="102"/>
        <v>0.29217930414289039</v>
      </c>
      <c r="AB56" s="31"/>
      <c r="AD56" t="s">
        <v>36</v>
      </c>
      <c r="AE56" s="33">
        <v>0</v>
      </c>
      <c r="AH56" s="20">
        <f>SUM(T57-T56)</f>
        <v>72.25</v>
      </c>
      <c r="AI56" s="32">
        <f>SUM(K57-K56)</f>
        <v>4493.6200000000099</v>
      </c>
    </row>
    <row r="57" spans="1:35" x14ac:dyDescent="0.2">
      <c r="A57" s="20"/>
      <c r="B57" s="21"/>
      <c r="C57" s="22" t="s">
        <v>37</v>
      </c>
      <c r="D57" s="23">
        <v>150152.16</v>
      </c>
      <c r="E57" s="23">
        <v>61401.4</v>
      </c>
      <c r="F57" s="24">
        <f t="shared" si="100"/>
        <v>88750.760000000009</v>
      </c>
      <c r="G57" s="25">
        <f t="shared" si="101"/>
        <v>0.5910721497446324</v>
      </c>
      <c r="H57" s="24">
        <v>105626.39</v>
      </c>
      <c r="I57" s="24">
        <v>75607.83</v>
      </c>
      <c r="J57" s="23">
        <f t="shared" si="99"/>
        <v>72224.17</v>
      </c>
      <c r="K57" s="23">
        <f t="shared" si="99"/>
        <v>63507.08</v>
      </c>
      <c r="L57" s="24">
        <f t="shared" si="91"/>
        <v>8717.0899999999965</v>
      </c>
      <c r="M57" s="25">
        <f t="shared" si="92"/>
        <v>0.12069491418177594</v>
      </c>
      <c r="N57" s="26"/>
      <c r="O57" s="23">
        <v>33402.22</v>
      </c>
      <c r="P57" s="23">
        <v>12100.75</v>
      </c>
      <c r="Q57" s="24">
        <f t="shared" si="93"/>
        <v>21301.47</v>
      </c>
      <c r="R57" s="25">
        <f t="shared" si="94"/>
        <v>0.63772617508656615</v>
      </c>
      <c r="S57" s="27">
        <v>668.92</v>
      </c>
      <c r="T57" s="27">
        <v>242.75</v>
      </c>
      <c r="U57" s="28">
        <f t="shared" si="95"/>
        <v>426.16999999999996</v>
      </c>
      <c r="V57" s="25">
        <f t="shared" si="96"/>
        <v>0.6371015966034802</v>
      </c>
      <c r="W57" s="26"/>
      <c r="X57" s="29">
        <f t="shared" si="97"/>
        <v>-58.522883625128735</v>
      </c>
      <c r="Y57" s="29">
        <f t="shared" si="103"/>
        <v>66.563669796089229</v>
      </c>
      <c r="Z57" s="25">
        <f t="shared" si="98"/>
        <v>-0.23136980590019121</v>
      </c>
      <c r="AA57" s="30">
        <f t="shared" si="102"/>
        <v>0.29653765886551353</v>
      </c>
      <c r="AB57" s="31"/>
      <c r="AH57" s="20">
        <f>SUM(T58-T57)</f>
        <v>26.25</v>
      </c>
      <c r="AI57" s="32">
        <f>SUM(K58-K57)</f>
        <v>2892.8000000000029</v>
      </c>
    </row>
    <row r="58" spans="1:35" ht="17" thickBot="1" x14ac:dyDescent="0.25">
      <c r="A58" s="20"/>
      <c r="B58" s="21"/>
      <c r="C58" s="22" t="s">
        <v>38</v>
      </c>
      <c r="D58" s="23">
        <v>150152.16</v>
      </c>
      <c r="E58" s="23">
        <v>98562.5</v>
      </c>
      <c r="F58" s="24">
        <f t="shared" si="100"/>
        <v>51589.66</v>
      </c>
      <c r="G58" s="25">
        <f t="shared" si="101"/>
        <v>0.34358253654159887</v>
      </c>
      <c r="H58" s="24">
        <v>105626.39</v>
      </c>
      <c r="I58" s="24">
        <v>79936.19</v>
      </c>
      <c r="J58" s="23">
        <f t="shared" si="99"/>
        <v>72224.17</v>
      </c>
      <c r="K58" s="23">
        <f t="shared" si="99"/>
        <v>66399.88</v>
      </c>
      <c r="L58" s="24">
        <f t="shared" si="91"/>
        <v>5824.2899999999936</v>
      </c>
      <c r="M58" s="25">
        <f t="shared" si="92"/>
        <v>8.0641840536208223E-2</v>
      </c>
      <c r="N58" s="26"/>
      <c r="O58" s="23">
        <v>33402.22</v>
      </c>
      <c r="P58" s="23">
        <v>13536.31</v>
      </c>
      <c r="Q58" s="24">
        <f t="shared" si="93"/>
        <v>19865.910000000003</v>
      </c>
      <c r="R58" s="25">
        <f t="shared" si="94"/>
        <v>0.59474819338355367</v>
      </c>
      <c r="S58" s="27">
        <v>668.92</v>
      </c>
      <c r="T58" s="27">
        <v>269</v>
      </c>
      <c r="U58" s="28">
        <f t="shared" si="95"/>
        <v>399.91999999999996</v>
      </c>
      <c r="V58" s="25">
        <f t="shared" si="96"/>
        <v>0.59785923578305322</v>
      </c>
      <c r="W58" s="26">
        <v>0.3</v>
      </c>
      <c r="X58" s="29">
        <f t="shared" si="97"/>
        <v>69.242788104089215</v>
      </c>
      <c r="Y58" s="29">
        <f t="shared" si="103"/>
        <v>66.563669796089229</v>
      </c>
      <c r="Z58" s="25">
        <f t="shared" si="98"/>
        <v>0.18897968294229547</v>
      </c>
      <c r="AA58" s="30">
        <f>SUM(D58-H58)/D58</f>
        <v>0.29653765886551353</v>
      </c>
      <c r="AB58" s="31"/>
      <c r="AH58" s="34">
        <f>SUM(AH53,AH54,AH55,AH56,AH57)</f>
        <v>231</v>
      </c>
      <c r="AI58" s="35">
        <f>SUM(AI53,AI54,AI55,AI56,AI57)</f>
        <v>15945.500000000007</v>
      </c>
    </row>
    <row r="59" spans="1:35" ht="9" customHeight="1" x14ac:dyDescent="0.2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8"/>
    </row>
    <row r="60" spans="1:35" x14ac:dyDescent="0.2">
      <c r="A60" s="20">
        <f>'[1]Main Sheet'!A20</f>
        <v>8907</v>
      </c>
      <c r="B60" s="21" t="str">
        <f>'[1]Main Sheet'!B20</f>
        <v>35 Mania</v>
      </c>
      <c r="C60" s="22" t="s">
        <v>30</v>
      </c>
      <c r="D60" s="23">
        <v>20420.560000000001</v>
      </c>
      <c r="E60" s="23"/>
      <c r="F60" s="24">
        <f>D60-E60</f>
        <v>20420.560000000001</v>
      </c>
      <c r="G60" s="25">
        <f>F60/D60</f>
        <v>1</v>
      </c>
      <c r="H60" s="24">
        <v>15859.68</v>
      </c>
      <c r="I60" s="24">
        <v>0</v>
      </c>
      <c r="J60" s="23">
        <f>SUM(H60-O60)</f>
        <v>12689.1</v>
      </c>
      <c r="K60" s="23">
        <f>SUM(I60-P60)</f>
        <v>0</v>
      </c>
      <c r="L60" s="24">
        <f t="shared" ref="L60:L65" si="104">J60-K60</f>
        <v>12689.1</v>
      </c>
      <c r="M60" s="25">
        <f t="shared" ref="M60:M65" si="105">L60/J60</f>
        <v>1</v>
      </c>
      <c r="N60" s="26"/>
      <c r="O60" s="23">
        <v>3170.58</v>
      </c>
      <c r="P60" s="23">
        <v>0</v>
      </c>
      <c r="Q60" s="24">
        <f t="shared" ref="Q60:Q65" si="106">O60-P60</f>
        <v>3170.58</v>
      </c>
      <c r="R60" s="25">
        <f t="shared" ref="R60:R65" si="107">Q60/O60</f>
        <v>1</v>
      </c>
      <c r="S60" s="27">
        <v>63.5</v>
      </c>
      <c r="T60" s="27">
        <v>0</v>
      </c>
      <c r="U60" s="28">
        <f t="shared" ref="U60:U65" si="108">S60-T60</f>
        <v>63.5</v>
      </c>
      <c r="V60" s="25">
        <f t="shared" ref="V60:V65" si="109">U60/S60</f>
        <v>1</v>
      </c>
      <c r="W60" s="26"/>
      <c r="X60" s="29" t="e">
        <f t="shared" ref="X60:X65" si="110">(E60-K60-P60)/T60</f>
        <v>#DIV/0!</v>
      </c>
      <c r="Y60" s="29">
        <f t="shared" ref="Y60:Y65" si="111">(D60-J60-O60)/S60</f>
        <v>71.824881889763802</v>
      </c>
      <c r="Z60" s="25" t="e">
        <f t="shared" ref="Z60:Z65" si="112">(E60-K60-P60)/E60</f>
        <v>#DIV/0!</v>
      </c>
      <c r="AA60" s="30">
        <f>SUM(D60-H60)/D60</f>
        <v>0.22334744982507829</v>
      </c>
      <c r="AB60" s="31"/>
      <c r="AD60" t="s">
        <v>31</v>
      </c>
      <c r="AE60">
        <f>AH65</f>
        <v>26.75</v>
      </c>
      <c r="AH60" s="20">
        <f>SUM(T61-T60)</f>
        <v>26.75</v>
      </c>
      <c r="AI60" s="32">
        <f>SUM(K61-K60)</f>
        <v>1454.9800000000002</v>
      </c>
    </row>
    <row r="61" spans="1:35" x14ac:dyDescent="0.2">
      <c r="A61" s="20"/>
      <c r="B61" s="21"/>
      <c r="C61" s="22" t="s">
        <v>32</v>
      </c>
      <c r="D61" s="23">
        <v>20420.560000000001</v>
      </c>
      <c r="E61" s="23"/>
      <c r="F61" s="24">
        <f t="shared" ref="F61:F65" si="113">D61-E61</f>
        <v>20420.560000000001</v>
      </c>
      <c r="G61" s="25">
        <f t="shared" ref="G61:G65" si="114">F61/D61</f>
        <v>1</v>
      </c>
      <c r="H61" s="24">
        <v>15859.68</v>
      </c>
      <c r="I61" s="24">
        <v>2489.0100000000002</v>
      </c>
      <c r="J61" s="23">
        <f>SUM(H61-O61)</f>
        <v>12689.1</v>
      </c>
      <c r="K61" s="23">
        <f t="shared" ref="K61:K65" si="115">SUM(I61-P61)</f>
        <v>1454.9800000000002</v>
      </c>
      <c r="L61" s="24">
        <f t="shared" si="104"/>
        <v>11234.12</v>
      </c>
      <c r="M61" s="25">
        <f t="shared" si="105"/>
        <v>0.88533623346021395</v>
      </c>
      <c r="N61" s="26"/>
      <c r="O61" s="23">
        <v>3170.58</v>
      </c>
      <c r="P61" s="23">
        <v>1034.03</v>
      </c>
      <c r="Q61" s="24">
        <f t="shared" si="106"/>
        <v>2136.5500000000002</v>
      </c>
      <c r="R61" s="25">
        <f t="shared" si="107"/>
        <v>0.67386724195573056</v>
      </c>
      <c r="S61" s="27">
        <v>63.5</v>
      </c>
      <c r="T61" s="27">
        <v>26.75</v>
      </c>
      <c r="U61" s="28">
        <f t="shared" si="108"/>
        <v>36.75</v>
      </c>
      <c r="V61" s="25">
        <f t="shared" si="109"/>
        <v>0.57874015748031493</v>
      </c>
      <c r="W61" s="26">
        <v>0.38</v>
      </c>
      <c r="X61" s="29">
        <f t="shared" si="110"/>
        <v>-93.047102803738326</v>
      </c>
      <c r="Y61" s="29">
        <f t="shared" si="111"/>
        <v>71.824881889763802</v>
      </c>
      <c r="Z61" s="25" t="e">
        <f t="shared" si="112"/>
        <v>#DIV/0!</v>
      </c>
      <c r="AA61" s="30">
        <f t="shared" ref="AA61:AA65" si="116">SUM(D61-H61)/D61</f>
        <v>0.22334744982507829</v>
      </c>
      <c r="AB61" s="31"/>
      <c r="AD61" t="s">
        <v>33</v>
      </c>
      <c r="AE61" s="33">
        <f>AI65</f>
        <v>11159.14</v>
      </c>
      <c r="AH61" s="20">
        <f>SUM(T62-T61)</f>
        <v>0</v>
      </c>
      <c r="AI61" s="32">
        <f>SUM(K62-K61)</f>
        <v>0</v>
      </c>
    </row>
    <row r="62" spans="1:35" x14ac:dyDescent="0.2">
      <c r="A62" s="20"/>
      <c r="B62" s="21"/>
      <c r="C62" s="22" t="s">
        <v>34</v>
      </c>
      <c r="D62" s="23">
        <v>20420.560000000001</v>
      </c>
      <c r="E62" s="23"/>
      <c r="F62" s="24">
        <f t="shared" si="113"/>
        <v>20420.560000000001</v>
      </c>
      <c r="G62" s="25">
        <f t="shared" si="114"/>
        <v>1</v>
      </c>
      <c r="H62" s="24">
        <v>15859.68</v>
      </c>
      <c r="I62" s="24">
        <v>2489.0100000000002</v>
      </c>
      <c r="J62" s="23">
        <f t="shared" ref="J62:K62" si="117">SUM(H62-O62)</f>
        <v>12689.1</v>
      </c>
      <c r="K62" s="23">
        <f t="shared" si="117"/>
        <v>1454.9800000000002</v>
      </c>
      <c r="L62" s="24">
        <f>J62-K62</f>
        <v>11234.12</v>
      </c>
      <c r="M62" s="25">
        <f>L62/J62</f>
        <v>0.88533623346021395</v>
      </c>
      <c r="N62" s="26"/>
      <c r="O62" s="23">
        <v>3170.58</v>
      </c>
      <c r="P62" s="23">
        <v>1034.03</v>
      </c>
      <c r="Q62" s="24">
        <f>O62-P62</f>
        <v>2136.5500000000002</v>
      </c>
      <c r="R62" s="25">
        <f>Q62/O62</f>
        <v>0.67386724195573056</v>
      </c>
      <c r="S62" s="27">
        <v>63.5</v>
      </c>
      <c r="T62" s="27">
        <v>26.75</v>
      </c>
      <c r="U62" s="28">
        <f>S62-T62</f>
        <v>36.75</v>
      </c>
      <c r="V62" s="25">
        <f>U62/S62</f>
        <v>0.57874015748031493</v>
      </c>
      <c r="W62" s="26"/>
      <c r="X62" s="29">
        <f>(E62-K62-P62)/T62</f>
        <v>-93.047102803738326</v>
      </c>
      <c r="Y62" s="29">
        <f>(D62-J62-O62)/S62</f>
        <v>71.824881889763802</v>
      </c>
      <c r="Z62" s="25" t="e">
        <f>(E62-K62-P62)/E62</f>
        <v>#DIV/0!</v>
      </c>
      <c r="AA62" s="30">
        <f t="shared" si="116"/>
        <v>0.22334744982507829</v>
      </c>
      <c r="AB62" s="31"/>
      <c r="AH62" s="20">
        <f>SUM(T63-T62)</f>
        <v>0</v>
      </c>
      <c r="AI62" s="32">
        <f>SUM(K63-K62)</f>
        <v>0</v>
      </c>
    </row>
    <row r="63" spans="1:35" x14ac:dyDescent="0.2">
      <c r="A63" s="20"/>
      <c r="B63" s="21"/>
      <c r="C63" s="22" t="s">
        <v>35</v>
      </c>
      <c r="D63" s="23">
        <v>20420.560000000001</v>
      </c>
      <c r="E63" s="23"/>
      <c r="F63" s="24">
        <f t="shared" si="113"/>
        <v>20420.560000000001</v>
      </c>
      <c r="G63" s="25">
        <f t="shared" si="114"/>
        <v>1</v>
      </c>
      <c r="H63" s="24">
        <v>15859.68</v>
      </c>
      <c r="I63" s="24">
        <v>2489.0100000000002</v>
      </c>
      <c r="J63" s="23">
        <f t="shared" ref="J63:J65" si="118">SUM(H63-O63)</f>
        <v>12689.1</v>
      </c>
      <c r="K63" s="23">
        <f t="shared" si="115"/>
        <v>1454.9800000000002</v>
      </c>
      <c r="L63" s="24">
        <f t="shared" si="104"/>
        <v>11234.12</v>
      </c>
      <c r="M63" s="25">
        <f t="shared" si="105"/>
        <v>0.88533623346021395</v>
      </c>
      <c r="N63" s="26"/>
      <c r="O63" s="23">
        <v>3170.58</v>
      </c>
      <c r="P63" s="23">
        <v>1034.03</v>
      </c>
      <c r="Q63" s="24">
        <f t="shared" si="106"/>
        <v>2136.5500000000002</v>
      </c>
      <c r="R63" s="25">
        <f t="shared" si="107"/>
        <v>0.67386724195573056</v>
      </c>
      <c r="S63" s="27">
        <v>63.5</v>
      </c>
      <c r="T63" s="27">
        <v>26.75</v>
      </c>
      <c r="U63" s="28">
        <f t="shared" si="108"/>
        <v>36.75</v>
      </c>
      <c r="V63" s="25">
        <f t="shared" si="109"/>
        <v>0.57874015748031493</v>
      </c>
      <c r="W63" s="26"/>
      <c r="X63" s="29">
        <f t="shared" si="110"/>
        <v>-93.047102803738326</v>
      </c>
      <c r="Y63" s="29">
        <f t="shared" si="111"/>
        <v>71.824881889763802</v>
      </c>
      <c r="Z63" s="25" t="e">
        <f t="shared" si="112"/>
        <v>#DIV/0!</v>
      </c>
      <c r="AA63" s="30">
        <f t="shared" si="116"/>
        <v>0.22334744982507829</v>
      </c>
      <c r="AB63" s="31"/>
      <c r="AD63" t="s">
        <v>36</v>
      </c>
      <c r="AE63" s="33">
        <v>0</v>
      </c>
      <c r="AH63" s="20">
        <f>SUM(T64-T63)</f>
        <v>0</v>
      </c>
      <c r="AI63" s="32">
        <f>SUM(K64-K63)</f>
        <v>0</v>
      </c>
    </row>
    <row r="64" spans="1:35" x14ac:dyDescent="0.2">
      <c r="A64" s="20"/>
      <c r="B64" s="21"/>
      <c r="C64" s="22" t="s">
        <v>37</v>
      </c>
      <c r="D64" s="23">
        <v>20420.560000000001</v>
      </c>
      <c r="E64" s="23"/>
      <c r="F64" s="24">
        <f t="shared" si="113"/>
        <v>20420.560000000001</v>
      </c>
      <c r="G64" s="25">
        <f t="shared" si="114"/>
        <v>1</v>
      </c>
      <c r="H64" s="24">
        <v>15859.68</v>
      </c>
      <c r="I64" s="24">
        <v>2489.0100000000002</v>
      </c>
      <c r="J64" s="23">
        <f t="shared" si="118"/>
        <v>12689.1</v>
      </c>
      <c r="K64" s="23">
        <f t="shared" si="115"/>
        <v>1454.9800000000002</v>
      </c>
      <c r="L64" s="24">
        <f t="shared" si="104"/>
        <v>11234.12</v>
      </c>
      <c r="M64" s="25">
        <f t="shared" si="105"/>
        <v>0.88533623346021395</v>
      </c>
      <c r="N64" s="26"/>
      <c r="O64" s="23">
        <v>3170.58</v>
      </c>
      <c r="P64" s="23">
        <v>1034.03</v>
      </c>
      <c r="Q64" s="24">
        <f t="shared" si="106"/>
        <v>2136.5500000000002</v>
      </c>
      <c r="R64" s="25">
        <f t="shared" si="107"/>
        <v>0.67386724195573056</v>
      </c>
      <c r="S64" s="27">
        <v>63.5</v>
      </c>
      <c r="T64" s="27">
        <v>26.75</v>
      </c>
      <c r="U64" s="28">
        <f t="shared" si="108"/>
        <v>36.75</v>
      </c>
      <c r="V64" s="25">
        <f t="shared" si="109"/>
        <v>0.57874015748031493</v>
      </c>
      <c r="W64" s="26"/>
      <c r="X64" s="29">
        <f t="shared" si="110"/>
        <v>-93.047102803738326</v>
      </c>
      <c r="Y64" s="29">
        <f t="shared" si="111"/>
        <v>71.824881889763802</v>
      </c>
      <c r="Z64" s="25" t="e">
        <f t="shared" si="112"/>
        <v>#DIV/0!</v>
      </c>
      <c r="AA64" s="30">
        <f t="shared" si="116"/>
        <v>0.22334744982507829</v>
      </c>
      <c r="AB64" s="31"/>
      <c r="AH64" s="20">
        <f>SUM(T65-T64)</f>
        <v>0</v>
      </c>
      <c r="AI64" s="32">
        <f>SUM(K65-K64)</f>
        <v>9704.16</v>
      </c>
    </row>
    <row r="65" spans="1:35" ht="17" thickBot="1" x14ac:dyDescent="0.25">
      <c r="A65" s="20"/>
      <c r="B65" s="21"/>
      <c r="C65" s="22" t="s">
        <v>38</v>
      </c>
      <c r="D65" s="23">
        <v>20420.560000000001</v>
      </c>
      <c r="E65" s="23">
        <v>16358.37</v>
      </c>
      <c r="F65" s="24">
        <f t="shared" si="113"/>
        <v>4062.1900000000005</v>
      </c>
      <c r="G65" s="25">
        <f t="shared" si="114"/>
        <v>0.19892647410257114</v>
      </c>
      <c r="H65" s="24">
        <v>15859.68</v>
      </c>
      <c r="I65" s="24">
        <v>12193.17</v>
      </c>
      <c r="J65" s="23">
        <f t="shared" si="118"/>
        <v>12689.1</v>
      </c>
      <c r="K65" s="23">
        <f t="shared" si="115"/>
        <v>11159.14</v>
      </c>
      <c r="L65" s="24">
        <f t="shared" si="104"/>
        <v>1529.9600000000009</v>
      </c>
      <c r="M65" s="25">
        <f t="shared" si="105"/>
        <v>0.1205727750589089</v>
      </c>
      <c r="N65" s="26"/>
      <c r="O65" s="23">
        <v>3170.58</v>
      </c>
      <c r="P65" s="23">
        <v>1034.03</v>
      </c>
      <c r="Q65" s="24">
        <f t="shared" si="106"/>
        <v>2136.5500000000002</v>
      </c>
      <c r="R65" s="25">
        <f t="shared" si="107"/>
        <v>0.67386724195573056</v>
      </c>
      <c r="S65" s="27">
        <v>63.5</v>
      </c>
      <c r="T65" s="27">
        <v>26.75</v>
      </c>
      <c r="U65" s="28">
        <f t="shared" si="108"/>
        <v>36.75</v>
      </c>
      <c r="V65" s="25">
        <f t="shared" si="109"/>
        <v>0.57874015748031493</v>
      </c>
      <c r="W65" s="26">
        <v>0.4</v>
      </c>
      <c r="X65" s="29">
        <f t="shared" si="110"/>
        <v>155.70841121495334</v>
      </c>
      <c r="Y65" s="29">
        <f t="shared" si="111"/>
        <v>71.824881889763802</v>
      </c>
      <c r="Z65" s="25">
        <f t="shared" si="112"/>
        <v>0.25462194582956621</v>
      </c>
      <c r="AA65" s="30">
        <f t="shared" si="116"/>
        <v>0.22334744982507829</v>
      </c>
      <c r="AB65" s="31"/>
      <c r="AH65" s="34">
        <f>SUM(AH60,AH61,AH62,AH63,AH64)</f>
        <v>26.75</v>
      </c>
      <c r="AI65" s="35">
        <f>SUM(AI60,AI61,AI62,AI63,AI64)</f>
        <v>11159.14</v>
      </c>
    </row>
    <row r="66" spans="1:35" ht="9" customHeight="1" x14ac:dyDescent="0.2">
      <c r="A66" s="36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8"/>
    </row>
    <row r="67" spans="1:35" x14ac:dyDescent="0.2">
      <c r="A67" s="20">
        <f>'[1]Main Sheet'!A22</f>
        <v>9065</v>
      </c>
      <c r="B67" s="21" t="str">
        <f>'[1]Main Sheet'!B22</f>
        <v>Cooltranz stage 4</v>
      </c>
      <c r="C67" s="22" t="s">
        <v>30</v>
      </c>
      <c r="D67" s="23">
        <v>46303.5</v>
      </c>
      <c r="E67" s="23">
        <v>6131.46</v>
      </c>
      <c r="F67" s="24">
        <f>D67-E67</f>
        <v>40172.04</v>
      </c>
      <c r="G67" s="25">
        <f>F67/D67</f>
        <v>0.86758106838575921</v>
      </c>
      <c r="H67" s="24">
        <v>34612.410000000003</v>
      </c>
      <c r="I67" s="24">
        <v>5397.27</v>
      </c>
      <c r="J67" s="23">
        <f>SUM(H67-O67)</f>
        <v>26584.530000000002</v>
      </c>
      <c r="K67" s="23">
        <f>SUM(I67-P67)</f>
        <v>5397.27</v>
      </c>
      <c r="L67" s="24">
        <f t="shared" ref="L67:L72" si="119">J67-K67</f>
        <v>21187.260000000002</v>
      </c>
      <c r="M67" s="25">
        <f t="shared" ref="M67:M72" si="120">L67/J67</f>
        <v>0.79697703890194782</v>
      </c>
      <c r="N67" s="26"/>
      <c r="O67" s="23">
        <v>8027.88</v>
      </c>
      <c r="P67" s="23">
        <v>0</v>
      </c>
      <c r="Q67" s="24">
        <f t="shared" ref="Q67:Q72" si="121">O67-P67</f>
        <v>8027.88</v>
      </c>
      <c r="R67" s="25">
        <f t="shared" ref="R67:R72" si="122">Q67/O67</f>
        <v>1</v>
      </c>
      <c r="S67" s="27">
        <v>160.82</v>
      </c>
      <c r="T67" s="27">
        <v>0</v>
      </c>
      <c r="U67" s="28">
        <f t="shared" ref="U67:U72" si="123">S67-T67</f>
        <v>160.82</v>
      </c>
      <c r="V67" s="25">
        <f t="shared" ref="V67:V72" si="124">U67/S67</f>
        <v>1</v>
      </c>
      <c r="W67" s="26"/>
      <c r="X67" s="29" t="e">
        <f t="shared" ref="X67:X72" si="125">(E67-K67-P67)/T67</f>
        <v>#DIV/0!</v>
      </c>
      <c r="Y67" s="29">
        <f t="shared" ref="Y67:Y72" si="126">(D67-J67-O67)/S67</f>
        <v>72.696741698793659</v>
      </c>
      <c r="Z67" s="25">
        <f t="shared" ref="Z67:Z72" si="127">(E67-K67-P67)/E67</f>
        <v>0.11974146451253039</v>
      </c>
      <c r="AA67" s="30">
        <f>SUM(D67-H67)/D67</f>
        <v>0.25248825682723763</v>
      </c>
      <c r="AB67" s="31"/>
      <c r="AD67" t="s">
        <v>31</v>
      </c>
      <c r="AE67">
        <f>AH72</f>
        <v>0</v>
      </c>
      <c r="AH67" s="20">
        <f>SUM(T68-T67)</f>
        <v>0</v>
      </c>
      <c r="AI67" s="32">
        <f>SUM(K68-K67)</f>
        <v>0</v>
      </c>
    </row>
    <row r="68" spans="1:35" x14ac:dyDescent="0.2">
      <c r="A68" s="20"/>
      <c r="B68" s="21"/>
      <c r="C68" s="22" t="s">
        <v>32</v>
      </c>
      <c r="D68" s="23">
        <v>46303.5</v>
      </c>
      <c r="E68" s="23">
        <v>6131.46</v>
      </c>
      <c r="F68" s="24">
        <f t="shared" ref="F68:F71" si="128">D68-E68</f>
        <v>40172.04</v>
      </c>
      <c r="G68" s="25">
        <f t="shared" ref="G68:G72" si="129">F68/D68</f>
        <v>0.86758106838575921</v>
      </c>
      <c r="H68" s="24">
        <v>34612.410000000003</v>
      </c>
      <c r="I68" s="24">
        <v>5397.27</v>
      </c>
      <c r="J68" s="23">
        <f>SUM(H68-O68)</f>
        <v>26584.530000000002</v>
      </c>
      <c r="K68" s="23">
        <f t="shared" ref="K68:K79" si="130">SUM(I68-P68)</f>
        <v>5397.27</v>
      </c>
      <c r="L68" s="24">
        <f t="shared" si="119"/>
        <v>21187.260000000002</v>
      </c>
      <c r="M68" s="25">
        <f t="shared" si="120"/>
        <v>0.79697703890194782</v>
      </c>
      <c r="N68" s="26"/>
      <c r="O68" s="23">
        <v>8027.88</v>
      </c>
      <c r="P68" s="23">
        <v>0</v>
      </c>
      <c r="Q68" s="24">
        <f t="shared" si="121"/>
        <v>8027.88</v>
      </c>
      <c r="R68" s="25">
        <f t="shared" si="122"/>
        <v>1</v>
      </c>
      <c r="S68" s="27">
        <v>160.82</v>
      </c>
      <c r="T68" s="27">
        <v>0</v>
      </c>
      <c r="U68" s="28">
        <f t="shared" si="123"/>
        <v>160.82</v>
      </c>
      <c r="V68" s="25">
        <f t="shared" si="124"/>
        <v>1</v>
      </c>
      <c r="W68" s="26"/>
      <c r="X68" s="29" t="e">
        <f t="shared" si="125"/>
        <v>#DIV/0!</v>
      </c>
      <c r="Y68" s="29">
        <f t="shared" si="126"/>
        <v>72.696741698793659</v>
      </c>
      <c r="Z68" s="25">
        <f t="shared" si="127"/>
        <v>0.11974146451253039</v>
      </c>
      <c r="AA68" s="30">
        <f t="shared" ref="AA68:AA72" si="131">SUM(D68-H68)/D68</f>
        <v>0.25248825682723763</v>
      </c>
      <c r="AB68" s="31"/>
      <c r="AD68" t="s">
        <v>33</v>
      </c>
      <c r="AE68" s="33">
        <f>AI72</f>
        <v>0</v>
      </c>
      <c r="AH68" s="20">
        <f>SUM(T69-T68)</f>
        <v>0</v>
      </c>
      <c r="AI68" s="32">
        <f>SUM(K69-K68)</f>
        <v>0</v>
      </c>
    </row>
    <row r="69" spans="1:35" x14ac:dyDescent="0.2">
      <c r="A69" s="20"/>
      <c r="B69" s="21"/>
      <c r="C69" s="22" t="s">
        <v>34</v>
      </c>
      <c r="D69" s="23">
        <v>46303.5</v>
      </c>
      <c r="E69" s="23">
        <v>6131.46</v>
      </c>
      <c r="F69" s="24">
        <f t="shared" si="128"/>
        <v>40172.04</v>
      </c>
      <c r="G69" s="25">
        <f t="shared" si="129"/>
        <v>0.86758106838575921</v>
      </c>
      <c r="H69" s="24">
        <v>34612.410000000003</v>
      </c>
      <c r="I69" s="24">
        <v>5397.27</v>
      </c>
      <c r="J69" s="23">
        <f>SUM(H69-O69)</f>
        <v>26584.530000000002</v>
      </c>
      <c r="K69" s="23">
        <f t="shared" si="130"/>
        <v>5397.27</v>
      </c>
      <c r="L69" s="24">
        <f>J69-K69</f>
        <v>21187.260000000002</v>
      </c>
      <c r="M69" s="25">
        <f>L69/J69</f>
        <v>0.79697703890194782</v>
      </c>
      <c r="N69" s="26"/>
      <c r="O69" s="23">
        <v>8027.88</v>
      </c>
      <c r="P69" s="23">
        <v>0</v>
      </c>
      <c r="Q69" s="24">
        <f>O69-P69</f>
        <v>8027.88</v>
      </c>
      <c r="R69" s="25">
        <f>Q69/O69</f>
        <v>1</v>
      </c>
      <c r="S69" s="27">
        <v>160.82</v>
      </c>
      <c r="T69" s="27">
        <v>0</v>
      </c>
      <c r="U69" s="28">
        <f>S69-T69</f>
        <v>160.82</v>
      </c>
      <c r="V69" s="25">
        <f>U69/S69</f>
        <v>1</v>
      </c>
      <c r="W69" s="26"/>
      <c r="X69" s="29" t="e">
        <f>(E69-K69-P69)/T69</f>
        <v>#DIV/0!</v>
      </c>
      <c r="Y69" s="29">
        <f>(D69-J69-O69)/S69</f>
        <v>72.696741698793659</v>
      </c>
      <c r="Z69" s="25">
        <f>(E69-K69-P69)/E69</f>
        <v>0.11974146451253039</v>
      </c>
      <c r="AA69" s="30">
        <f>SUM(D69-H69)/D69</f>
        <v>0.25248825682723763</v>
      </c>
      <c r="AB69" s="31"/>
      <c r="AH69" s="20">
        <f>SUM(T70-T69)</f>
        <v>0</v>
      </c>
      <c r="AI69" s="32">
        <f>SUM(K70-K69)</f>
        <v>0</v>
      </c>
    </row>
    <row r="70" spans="1:35" x14ac:dyDescent="0.2">
      <c r="A70" s="20"/>
      <c r="B70" s="21"/>
      <c r="C70" s="22" t="s">
        <v>35</v>
      </c>
      <c r="D70" s="23">
        <v>46303.5</v>
      </c>
      <c r="E70" s="23">
        <v>6131.46</v>
      </c>
      <c r="F70" s="24">
        <f t="shared" si="128"/>
        <v>40172.04</v>
      </c>
      <c r="G70" s="25">
        <f t="shared" si="129"/>
        <v>0.86758106838575921</v>
      </c>
      <c r="H70" s="24">
        <v>34612.410000000003</v>
      </c>
      <c r="I70" s="24">
        <v>5397.27</v>
      </c>
      <c r="J70" s="23">
        <f>SUM(H70-O70)</f>
        <v>26584.530000000002</v>
      </c>
      <c r="K70" s="23">
        <f t="shared" si="130"/>
        <v>5397.27</v>
      </c>
      <c r="L70" s="24">
        <f t="shared" si="119"/>
        <v>21187.260000000002</v>
      </c>
      <c r="M70" s="25">
        <f t="shared" si="120"/>
        <v>0.79697703890194782</v>
      </c>
      <c r="N70" s="26"/>
      <c r="O70" s="23">
        <v>8027.88</v>
      </c>
      <c r="P70" s="23">
        <v>0</v>
      </c>
      <c r="Q70" s="24">
        <f t="shared" si="121"/>
        <v>8027.88</v>
      </c>
      <c r="R70" s="25">
        <f t="shared" si="122"/>
        <v>1</v>
      </c>
      <c r="S70" s="27">
        <v>160.82</v>
      </c>
      <c r="T70" s="27">
        <v>0</v>
      </c>
      <c r="U70" s="28">
        <f t="shared" si="123"/>
        <v>160.82</v>
      </c>
      <c r="V70" s="25">
        <f t="shared" si="124"/>
        <v>1</v>
      </c>
      <c r="W70" s="26"/>
      <c r="X70" s="29" t="e">
        <f t="shared" si="125"/>
        <v>#DIV/0!</v>
      </c>
      <c r="Y70" s="29">
        <f t="shared" si="126"/>
        <v>72.696741698793659</v>
      </c>
      <c r="Z70" s="25">
        <f t="shared" si="127"/>
        <v>0.11974146451253039</v>
      </c>
      <c r="AA70" s="30">
        <f>SUM(D70-H70)/D70</f>
        <v>0.25248825682723763</v>
      </c>
      <c r="AB70" s="31"/>
      <c r="AD70" t="s">
        <v>36</v>
      </c>
      <c r="AE70" s="33">
        <v>0</v>
      </c>
      <c r="AH70" s="20">
        <f>SUM(T71-T70)</f>
        <v>0</v>
      </c>
      <c r="AI70" s="32">
        <f>SUM(K71-K70)</f>
        <v>0</v>
      </c>
    </row>
    <row r="71" spans="1:35" x14ac:dyDescent="0.2">
      <c r="A71" s="20"/>
      <c r="B71" s="21"/>
      <c r="C71" s="22" t="s">
        <v>37</v>
      </c>
      <c r="D71" s="23">
        <v>46303.5</v>
      </c>
      <c r="E71" s="23">
        <v>6131.46</v>
      </c>
      <c r="F71" s="24">
        <f t="shared" si="128"/>
        <v>40172.04</v>
      </c>
      <c r="G71" s="25">
        <f t="shared" si="129"/>
        <v>0.86758106838575921</v>
      </c>
      <c r="H71" s="24">
        <v>34612.410000000003</v>
      </c>
      <c r="I71" s="24">
        <v>5397.27</v>
      </c>
      <c r="J71" s="23">
        <f>SUM(H71-O71)</f>
        <v>26584.530000000002</v>
      </c>
      <c r="K71" s="23">
        <f t="shared" si="130"/>
        <v>5397.27</v>
      </c>
      <c r="L71" s="24">
        <f t="shared" si="119"/>
        <v>21187.260000000002</v>
      </c>
      <c r="M71" s="25">
        <f t="shared" si="120"/>
        <v>0.79697703890194782</v>
      </c>
      <c r="N71" s="26"/>
      <c r="O71" s="23">
        <v>8027.88</v>
      </c>
      <c r="P71" s="23">
        <v>0</v>
      </c>
      <c r="Q71" s="24">
        <f t="shared" si="121"/>
        <v>8027.88</v>
      </c>
      <c r="R71" s="25">
        <f t="shared" si="122"/>
        <v>1</v>
      </c>
      <c r="S71" s="27">
        <v>160.82</v>
      </c>
      <c r="T71" s="27">
        <v>0</v>
      </c>
      <c r="U71" s="28">
        <f t="shared" si="123"/>
        <v>160.82</v>
      </c>
      <c r="V71" s="25">
        <f t="shared" si="124"/>
        <v>1</v>
      </c>
      <c r="W71" s="26"/>
      <c r="X71" s="29" t="e">
        <f t="shared" si="125"/>
        <v>#DIV/0!</v>
      </c>
      <c r="Y71" s="29">
        <f t="shared" si="126"/>
        <v>72.696741698793659</v>
      </c>
      <c r="Z71" s="25">
        <f t="shared" si="127"/>
        <v>0.11974146451253039</v>
      </c>
      <c r="AA71" s="30">
        <f t="shared" si="131"/>
        <v>0.25248825682723763</v>
      </c>
      <c r="AB71" s="31"/>
      <c r="AH71" s="20">
        <f>SUM(T72-T71)</f>
        <v>0</v>
      </c>
      <c r="AI71" s="32">
        <f>SUM(K72-K71)</f>
        <v>0</v>
      </c>
    </row>
    <row r="72" spans="1:35" ht="17" thickBot="1" x14ac:dyDescent="0.25">
      <c r="A72" s="20"/>
      <c r="B72" s="21"/>
      <c r="C72" s="22" t="s">
        <v>38</v>
      </c>
      <c r="D72" s="23">
        <v>46303.5</v>
      </c>
      <c r="E72" s="23">
        <v>6131.46</v>
      </c>
      <c r="F72" s="24">
        <f>D72-E72</f>
        <v>40172.04</v>
      </c>
      <c r="G72" s="25">
        <f t="shared" si="129"/>
        <v>0.86758106838575921</v>
      </c>
      <c r="H72" s="24">
        <v>34612.410000000003</v>
      </c>
      <c r="I72" s="24">
        <v>5397.27</v>
      </c>
      <c r="J72" s="23">
        <f>SUM(H72-O72)</f>
        <v>26584.530000000002</v>
      </c>
      <c r="K72" s="23">
        <f t="shared" si="130"/>
        <v>5397.27</v>
      </c>
      <c r="L72" s="24">
        <f t="shared" si="119"/>
        <v>21187.260000000002</v>
      </c>
      <c r="M72" s="25">
        <f t="shared" si="120"/>
        <v>0.79697703890194782</v>
      </c>
      <c r="N72" s="26"/>
      <c r="O72" s="23">
        <v>8027.88</v>
      </c>
      <c r="P72" s="23">
        <v>0</v>
      </c>
      <c r="Q72" s="24">
        <f t="shared" si="121"/>
        <v>8027.88</v>
      </c>
      <c r="R72" s="25">
        <f t="shared" si="122"/>
        <v>1</v>
      </c>
      <c r="S72" s="27">
        <v>160.82</v>
      </c>
      <c r="T72" s="27">
        <v>0</v>
      </c>
      <c r="U72" s="28">
        <f t="shared" si="123"/>
        <v>160.82</v>
      </c>
      <c r="V72" s="25">
        <f t="shared" si="124"/>
        <v>1</v>
      </c>
      <c r="W72" s="26"/>
      <c r="X72" s="29" t="e">
        <f t="shared" si="125"/>
        <v>#DIV/0!</v>
      </c>
      <c r="Y72" s="29">
        <f t="shared" si="126"/>
        <v>72.696741698793659</v>
      </c>
      <c r="Z72" s="25">
        <f t="shared" si="127"/>
        <v>0.11974146451253039</v>
      </c>
      <c r="AA72" s="30">
        <f t="shared" si="131"/>
        <v>0.25248825682723763</v>
      </c>
      <c r="AB72" s="31"/>
      <c r="AH72" s="34">
        <f>SUM(AH67,AH68,AH69,AH70,AH71)</f>
        <v>0</v>
      </c>
      <c r="AI72" s="35">
        <f>SUM(AI67,AI68,AI69,AI70,AI71)</f>
        <v>0</v>
      </c>
    </row>
    <row r="73" spans="1:35" ht="9" customHeight="1" x14ac:dyDescent="0.2">
      <c r="A73" s="36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8"/>
    </row>
    <row r="74" spans="1:35" x14ac:dyDescent="0.2">
      <c r="A74" s="20">
        <f>'[1]Main Sheet'!A24</f>
        <v>9259</v>
      </c>
      <c r="B74" s="21" t="str">
        <f>'[1]Main Sheet'!B24</f>
        <v>Andrew Reeve Stage 2</v>
      </c>
      <c r="C74" s="22" t="s">
        <v>30</v>
      </c>
      <c r="D74" s="23"/>
      <c r="E74" s="23"/>
      <c r="F74" s="24">
        <f>D74-E74</f>
        <v>0</v>
      </c>
      <c r="G74" s="25" t="e">
        <f>F74/D74</f>
        <v>#DIV/0!</v>
      </c>
      <c r="H74" s="24"/>
      <c r="I74" s="24"/>
      <c r="J74" s="23">
        <f t="shared" ref="J74:K79" si="132">SUM(H74-O74)</f>
        <v>0</v>
      </c>
      <c r="K74" s="23">
        <f t="shared" si="130"/>
        <v>0</v>
      </c>
      <c r="L74" s="24">
        <f>J74-K74</f>
        <v>0</v>
      </c>
      <c r="M74" s="25" t="e">
        <f>L74/J74</f>
        <v>#DIV/0!</v>
      </c>
      <c r="N74" s="26"/>
      <c r="O74" s="23"/>
      <c r="P74" s="23"/>
      <c r="Q74" s="24">
        <f>O74-P74</f>
        <v>0</v>
      </c>
      <c r="R74" s="25" t="e">
        <f>Q74/O74</f>
        <v>#DIV/0!</v>
      </c>
      <c r="S74" s="27">
        <v>470.3</v>
      </c>
      <c r="T74" s="27"/>
      <c r="U74" s="28">
        <f>S74-T74</f>
        <v>470.3</v>
      </c>
      <c r="V74" s="25">
        <f>U74/S74</f>
        <v>1</v>
      </c>
      <c r="W74" s="26">
        <v>0</v>
      </c>
      <c r="X74" s="29" t="e">
        <f>(E74-K74-P74)/T74</f>
        <v>#DIV/0!</v>
      </c>
      <c r="Y74" s="29">
        <f>(D74-J74-O74)/S74</f>
        <v>0</v>
      </c>
      <c r="Z74" s="25" t="e">
        <f>(E74-K74-P74)/E74</f>
        <v>#DIV/0!</v>
      </c>
      <c r="AA74" s="30" t="e">
        <f>SUM(D74-H74)/D74</f>
        <v>#DIV/0!</v>
      </c>
      <c r="AB74" s="31"/>
      <c r="AD74" t="s">
        <v>31</v>
      </c>
      <c r="AE74">
        <f>AH79</f>
        <v>0</v>
      </c>
      <c r="AH74" s="20">
        <f>SUM(T75-T74)</f>
        <v>0</v>
      </c>
      <c r="AI74" s="32">
        <f>SUM(K75-K74)</f>
        <v>0</v>
      </c>
    </row>
    <row r="75" spans="1:35" x14ac:dyDescent="0.2">
      <c r="A75" s="20"/>
      <c r="B75" s="21"/>
      <c r="C75" s="22" t="s">
        <v>32</v>
      </c>
      <c r="D75" s="23"/>
      <c r="E75" s="23"/>
      <c r="F75" s="24">
        <f t="shared" ref="F75:F79" si="133">D75-E75</f>
        <v>0</v>
      </c>
      <c r="G75" s="25" t="e">
        <f t="shared" ref="G75:G79" si="134">F75/D75</f>
        <v>#DIV/0!</v>
      </c>
      <c r="H75" s="24"/>
      <c r="I75" s="24"/>
      <c r="J75" s="23">
        <f t="shared" si="132"/>
        <v>0</v>
      </c>
      <c r="K75" s="23">
        <f t="shared" si="130"/>
        <v>0</v>
      </c>
      <c r="L75" s="24">
        <f t="shared" ref="L75:L79" si="135">J75-K75</f>
        <v>0</v>
      </c>
      <c r="M75" s="25" t="e">
        <f t="shared" ref="M75:M79" si="136">L75/J75</f>
        <v>#DIV/0!</v>
      </c>
      <c r="N75" s="26"/>
      <c r="O75" s="23"/>
      <c r="P75" s="23"/>
      <c r="Q75" s="24">
        <f t="shared" ref="Q75:Q79" si="137">O75-P75</f>
        <v>0</v>
      </c>
      <c r="R75" s="25" t="e">
        <f t="shared" ref="R75:R79" si="138">Q75/O75</f>
        <v>#DIV/0!</v>
      </c>
      <c r="S75" s="27"/>
      <c r="T75" s="27"/>
      <c r="U75" s="28">
        <f>S75-T75</f>
        <v>0</v>
      </c>
      <c r="V75" s="25" t="e">
        <f>U75/S75</f>
        <v>#DIV/0!</v>
      </c>
      <c r="W75" s="26">
        <v>0</v>
      </c>
      <c r="X75" s="29" t="e">
        <f t="shared" ref="X75:X79" si="139">(E75-K75-P75)/T75</f>
        <v>#DIV/0!</v>
      </c>
      <c r="Y75" s="29" t="e">
        <f>(D75-J75-O75)/S75</f>
        <v>#DIV/0!</v>
      </c>
      <c r="Z75" s="25" t="e">
        <f t="shared" ref="Z75:Z79" si="140">(E75-K75-P75)/E75</f>
        <v>#DIV/0!</v>
      </c>
      <c r="AA75" s="30" t="e">
        <f t="shared" ref="AA75:AA78" si="141">SUM(D75-H75)/D75</f>
        <v>#DIV/0!</v>
      </c>
      <c r="AB75" s="31"/>
      <c r="AD75" t="s">
        <v>33</v>
      </c>
      <c r="AE75" s="33">
        <f>AI79</f>
        <v>0</v>
      </c>
      <c r="AH75" s="20">
        <f>SUM(T76-T75)</f>
        <v>0</v>
      </c>
      <c r="AI75" s="32">
        <f>SUM(K76-K75)</f>
        <v>0</v>
      </c>
    </row>
    <row r="76" spans="1:35" x14ac:dyDescent="0.2">
      <c r="A76" s="20"/>
      <c r="B76" s="21"/>
      <c r="C76" s="22" t="s">
        <v>34</v>
      </c>
      <c r="D76" s="23"/>
      <c r="E76" s="23"/>
      <c r="F76" s="24">
        <f t="shared" si="133"/>
        <v>0</v>
      </c>
      <c r="G76" s="25" t="e">
        <f t="shared" si="134"/>
        <v>#DIV/0!</v>
      </c>
      <c r="H76" s="24"/>
      <c r="I76" s="24"/>
      <c r="J76" s="23">
        <f t="shared" si="132"/>
        <v>0</v>
      </c>
      <c r="K76" s="23">
        <f t="shared" si="132"/>
        <v>0</v>
      </c>
      <c r="L76" s="24">
        <f t="shared" si="135"/>
        <v>0</v>
      </c>
      <c r="M76" s="25" t="e">
        <f t="shared" si="136"/>
        <v>#DIV/0!</v>
      </c>
      <c r="N76" s="26"/>
      <c r="O76" s="23"/>
      <c r="P76" s="23"/>
      <c r="Q76" s="24">
        <f t="shared" si="137"/>
        <v>0</v>
      </c>
      <c r="R76" s="25" t="e">
        <f t="shared" si="138"/>
        <v>#DIV/0!</v>
      </c>
      <c r="S76" s="27"/>
      <c r="T76" s="27"/>
      <c r="U76" s="28">
        <f t="shared" ref="U76:U79" si="142">S76-T76</f>
        <v>0</v>
      </c>
      <c r="V76" s="25" t="e">
        <f t="shared" ref="V76:V79" si="143">U76/S76</f>
        <v>#DIV/0!</v>
      </c>
      <c r="W76" s="26">
        <v>0</v>
      </c>
      <c r="X76" s="29" t="e">
        <f t="shared" si="139"/>
        <v>#DIV/0!</v>
      </c>
      <c r="Y76" s="29" t="e">
        <f t="shared" ref="Y76:Y79" si="144">(D76-J76-O76)/S76</f>
        <v>#DIV/0!</v>
      </c>
      <c r="Z76" s="25" t="e">
        <f t="shared" si="140"/>
        <v>#DIV/0!</v>
      </c>
      <c r="AA76" s="30" t="e">
        <f t="shared" si="141"/>
        <v>#DIV/0!</v>
      </c>
      <c r="AB76" s="31"/>
      <c r="AH76" s="20">
        <f>SUM(T77-T76)</f>
        <v>0</v>
      </c>
      <c r="AI76" s="32">
        <f>SUM(K77-K76)</f>
        <v>0</v>
      </c>
    </row>
    <row r="77" spans="1:35" x14ac:dyDescent="0.2">
      <c r="A77" s="20"/>
      <c r="B77" s="21"/>
      <c r="C77" s="22" t="s">
        <v>35</v>
      </c>
      <c r="D77" s="23"/>
      <c r="E77" s="23"/>
      <c r="F77" s="24">
        <f t="shared" si="133"/>
        <v>0</v>
      </c>
      <c r="G77" s="25" t="e">
        <f t="shared" si="134"/>
        <v>#DIV/0!</v>
      </c>
      <c r="H77" s="24"/>
      <c r="I77" s="24"/>
      <c r="J77" s="23">
        <f t="shared" si="132"/>
        <v>0</v>
      </c>
      <c r="K77" s="23">
        <f t="shared" si="130"/>
        <v>0</v>
      </c>
      <c r="L77" s="24">
        <f t="shared" si="135"/>
        <v>0</v>
      </c>
      <c r="M77" s="25" t="e">
        <f t="shared" si="136"/>
        <v>#DIV/0!</v>
      </c>
      <c r="N77" s="26"/>
      <c r="O77" s="23"/>
      <c r="P77" s="23"/>
      <c r="Q77" s="24">
        <f t="shared" si="137"/>
        <v>0</v>
      </c>
      <c r="R77" s="25" t="e">
        <f t="shared" si="138"/>
        <v>#DIV/0!</v>
      </c>
      <c r="S77" s="27"/>
      <c r="T77" s="27"/>
      <c r="U77" s="28">
        <f t="shared" si="142"/>
        <v>0</v>
      </c>
      <c r="V77" s="25" t="e">
        <f t="shared" si="143"/>
        <v>#DIV/0!</v>
      </c>
      <c r="W77" s="26">
        <v>0</v>
      </c>
      <c r="X77" s="29" t="e">
        <f t="shared" si="139"/>
        <v>#DIV/0!</v>
      </c>
      <c r="Y77" s="29" t="e">
        <f t="shared" si="144"/>
        <v>#DIV/0!</v>
      </c>
      <c r="Z77" s="25" t="e">
        <f t="shared" si="140"/>
        <v>#DIV/0!</v>
      </c>
      <c r="AA77" s="30" t="e">
        <f t="shared" si="141"/>
        <v>#DIV/0!</v>
      </c>
      <c r="AB77" s="31"/>
      <c r="AD77" t="s">
        <v>36</v>
      </c>
      <c r="AE77" s="33">
        <v>0</v>
      </c>
      <c r="AH77" s="20">
        <f>SUM(T78-T77)</f>
        <v>0</v>
      </c>
      <c r="AI77" s="32">
        <f>SUM(K78-K77)</f>
        <v>0</v>
      </c>
    </row>
    <row r="78" spans="1:35" x14ac:dyDescent="0.2">
      <c r="A78" s="20"/>
      <c r="B78" s="21"/>
      <c r="C78" s="22" t="s">
        <v>37</v>
      </c>
      <c r="D78" s="23"/>
      <c r="E78" s="23"/>
      <c r="F78" s="24">
        <f t="shared" si="133"/>
        <v>0</v>
      </c>
      <c r="G78" s="25" t="e">
        <f t="shared" si="134"/>
        <v>#DIV/0!</v>
      </c>
      <c r="H78" s="24"/>
      <c r="I78" s="24"/>
      <c r="J78" s="23">
        <f t="shared" si="132"/>
        <v>0</v>
      </c>
      <c r="K78" s="23">
        <f t="shared" si="130"/>
        <v>0</v>
      </c>
      <c r="L78" s="24">
        <f t="shared" si="135"/>
        <v>0</v>
      </c>
      <c r="M78" s="25" t="e">
        <f t="shared" si="136"/>
        <v>#DIV/0!</v>
      </c>
      <c r="N78" s="26"/>
      <c r="O78" s="23"/>
      <c r="P78" s="23"/>
      <c r="Q78" s="24">
        <f t="shared" si="137"/>
        <v>0</v>
      </c>
      <c r="R78" s="25" t="e">
        <f t="shared" si="138"/>
        <v>#DIV/0!</v>
      </c>
      <c r="S78" s="27"/>
      <c r="T78" s="27"/>
      <c r="U78" s="28">
        <f t="shared" si="142"/>
        <v>0</v>
      </c>
      <c r="V78" s="25" t="e">
        <f t="shared" si="143"/>
        <v>#DIV/0!</v>
      </c>
      <c r="W78" s="26">
        <v>0</v>
      </c>
      <c r="X78" s="29" t="e">
        <f t="shared" si="139"/>
        <v>#DIV/0!</v>
      </c>
      <c r="Y78" s="29" t="e">
        <f t="shared" si="144"/>
        <v>#DIV/0!</v>
      </c>
      <c r="Z78" s="25" t="e">
        <f t="shared" si="140"/>
        <v>#DIV/0!</v>
      </c>
      <c r="AA78" s="30" t="e">
        <f t="shared" si="141"/>
        <v>#DIV/0!</v>
      </c>
      <c r="AB78" s="31"/>
      <c r="AH78" s="20">
        <f>SUM(T79-T78)</f>
        <v>0</v>
      </c>
      <c r="AI78" s="32">
        <f>SUM(K79-K78)</f>
        <v>0</v>
      </c>
    </row>
    <row r="79" spans="1:35" ht="17" thickBot="1" x14ac:dyDescent="0.25">
      <c r="A79" s="20"/>
      <c r="B79" s="21"/>
      <c r="C79" s="22" t="s">
        <v>38</v>
      </c>
      <c r="D79" s="23"/>
      <c r="E79" s="23"/>
      <c r="F79" s="24">
        <f t="shared" si="133"/>
        <v>0</v>
      </c>
      <c r="G79" s="25" t="e">
        <f t="shared" si="134"/>
        <v>#DIV/0!</v>
      </c>
      <c r="H79" s="24"/>
      <c r="I79" s="24"/>
      <c r="J79" s="23">
        <f t="shared" si="132"/>
        <v>0</v>
      </c>
      <c r="K79" s="23">
        <f t="shared" si="130"/>
        <v>0</v>
      </c>
      <c r="L79" s="24">
        <f t="shared" si="135"/>
        <v>0</v>
      </c>
      <c r="M79" s="25" t="e">
        <f t="shared" si="136"/>
        <v>#DIV/0!</v>
      </c>
      <c r="N79" s="26"/>
      <c r="O79" s="23"/>
      <c r="P79" s="23"/>
      <c r="Q79" s="24">
        <f t="shared" si="137"/>
        <v>0</v>
      </c>
      <c r="R79" s="25" t="e">
        <f t="shared" si="138"/>
        <v>#DIV/0!</v>
      </c>
      <c r="S79" s="27"/>
      <c r="T79" s="27"/>
      <c r="U79" s="28">
        <f t="shared" si="142"/>
        <v>0</v>
      </c>
      <c r="V79" s="25" t="e">
        <f t="shared" si="143"/>
        <v>#DIV/0!</v>
      </c>
      <c r="W79" s="26">
        <v>0</v>
      </c>
      <c r="X79" s="29" t="e">
        <f t="shared" si="139"/>
        <v>#DIV/0!</v>
      </c>
      <c r="Y79" s="29" t="e">
        <f t="shared" si="144"/>
        <v>#DIV/0!</v>
      </c>
      <c r="Z79" s="25" t="e">
        <f t="shared" si="140"/>
        <v>#DIV/0!</v>
      </c>
      <c r="AA79" s="30" t="e">
        <f>SUM(D79-H79)/D79</f>
        <v>#DIV/0!</v>
      </c>
      <c r="AB79" s="31"/>
      <c r="AH79" s="34">
        <f>SUM(AH74,AH75,AH76,AH77,AH78)</f>
        <v>0</v>
      </c>
      <c r="AI79" s="35">
        <f>SUM(AI74,AI75,AI76,AI77,AI78)</f>
        <v>0</v>
      </c>
    </row>
    <row r="80" spans="1:35" ht="9" customHeight="1" x14ac:dyDescent="0.2">
      <c r="A80" s="46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8"/>
    </row>
    <row r="81" spans="1:35" x14ac:dyDescent="0.2">
      <c r="A81" s="20">
        <f>'[1]Main Sheet'!A26</f>
        <v>8352</v>
      </c>
      <c r="B81" s="21" t="str">
        <f>'[1]Main Sheet'!B26</f>
        <v>5 Sanscrit Place</v>
      </c>
      <c r="C81" s="22" t="s">
        <v>30</v>
      </c>
      <c r="D81" s="23">
        <v>25467.84</v>
      </c>
      <c r="E81" s="23">
        <v>13740.86</v>
      </c>
      <c r="F81" s="24">
        <f>D81-E81</f>
        <v>11726.98</v>
      </c>
      <c r="G81" s="25">
        <f>F81/D81</f>
        <v>0.46046229283676982</v>
      </c>
      <c r="H81" s="24">
        <v>16606.830000000002</v>
      </c>
      <c r="I81" s="24">
        <v>11056.14</v>
      </c>
      <c r="J81" s="23">
        <f>SUM(H81-O81)</f>
        <v>9659.9900000000016</v>
      </c>
      <c r="K81" s="23">
        <f>SUM(I81-P81)</f>
        <v>6525.8899999999994</v>
      </c>
      <c r="L81" s="24">
        <f>J81-K81</f>
        <v>3134.1000000000022</v>
      </c>
      <c r="M81" s="25">
        <f>L81/J81</f>
        <v>0.32444132964940975</v>
      </c>
      <c r="N81" s="26">
        <v>0</v>
      </c>
      <c r="O81" s="23">
        <v>6946.84</v>
      </c>
      <c r="P81" s="23">
        <v>4530.25</v>
      </c>
      <c r="Q81" s="24">
        <f>O81-P81</f>
        <v>2416.59</v>
      </c>
      <c r="R81" s="25">
        <f>Q81/O81</f>
        <v>0.34786895912386062</v>
      </c>
      <c r="S81" s="27">
        <v>139.07</v>
      </c>
      <c r="T81" s="27">
        <v>89</v>
      </c>
      <c r="U81" s="28">
        <f>S81-T81</f>
        <v>50.069999999999993</v>
      </c>
      <c r="V81" s="25">
        <f>U81/S81</f>
        <v>0.36003451499244982</v>
      </c>
      <c r="W81" s="26">
        <v>0</v>
      </c>
      <c r="X81" s="29">
        <f>(E81-K81-P81)/T81</f>
        <v>30.165393258426981</v>
      </c>
      <c r="Y81" s="29">
        <f>(D81-J81-O81)/S81</f>
        <v>63.716186093334287</v>
      </c>
      <c r="Z81" s="25">
        <f>(E81-K81-P81)/E81</f>
        <v>0.19538223953959222</v>
      </c>
      <c r="AA81" s="30">
        <f>SUM(D81-H81)/D81</f>
        <v>0.3479293885936145</v>
      </c>
      <c r="AB81" s="31"/>
      <c r="AD81" t="s">
        <v>31</v>
      </c>
      <c r="AE81">
        <f>AH86</f>
        <v>54.25</v>
      </c>
      <c r="AH81" s="20">
        <f>SUM(T82-T81)</f>
        <v>22.5</v>
      </c>
      <c r="AI81" s="32">
        <f>SUM(K82-K81)</f>
        <v>113.97000000000116</v>
      </c>
    </row>
    <row r="82" spans="1:35" x14ac:dyDescent="0.2">
      <c r="A82" s="20"/>
      <c r="B82" s="21"/>
      <c r="C82" s="22" t="s">
        <v>32</v>
      </c>
      <c r="D82" s="23">
        <v>25467.84</v>
      </c>
      <c r="E82" s="23">
        <v>19598.41</v>
      </c>
      <c r="F82" s="24">
        <f t="shared" ref="F82:F86" si="145">D82-E82</f>
        <v>5869.43</v>
      </c>
      <c r="G82" s="25">
        <f t="shared" ref="G82:G86" si="146">F82/D82</f>
        <v>0.2304643817457625</v>
      </c>
      <c r="H82" s="24">
        <v>16606.830000000002</v>
      </c>
      <c r="I82" s="24">
        <v>12315.59</v>
      </c>
      <c r="J82" s="23">
        <f t="shared" ref="J82:K86" si="147">SUM(H82-O82)</f>
        <v>9659.9900000000016</v>
      </c>
      <c r="K82" s="23">
        <f t="shared" si="147"/>
        <v>6639.8600000000006</v>
      </c>
      <c r="L82" s="24">
        <f t="shared" ref="L82:L86" si="148">J82-K82</f>
        <v>3020.130000000001</v>
      </c>
      <c r="M82" s="25">
        <f t="shared" ref="M82:M86" si="149">L82/J82</f>
        <v>0.31264318079004227</v>
      </c>
      <c r="N82" s="26">
        <v>0</v>
      </c>
      <c r="O82" s="23">
        <v>6946.84</v>
      </c>
      <c r="P82" s="23">
        <v>5675.73</v>
      </c>
      <c r="Q82" s="24">
        <f t="shared" ref="Q82:Q86" si="150">O82-P82</f>
        <v>1271.1100000000006</v>
      </c>
      <c r="R82" s="25">
        <f t="shared" ref="R82:R86" si="151">Q82/O82</f>
        <v>0.18297672035054796</v>
      </c>
      <c r="S82" s="27">
        <v>139.07</v>
      </c>
      <c r="T82" s="27">
        <v>111.5</v>
      </c>
      <c r="U82" s="28">
        <f t="shared" ref="U82:U86" si="152">S82-T82</f>
        <v>27.569999999999993</v>
      </c>
      <c r="V82" s="25">
        <f t="shared" ref="V82:V86" si="153">U82/S82</f>
        <v>0.19824548788379948</v>
      </c>
      <c r="W82" s="26">
        <v>0</v>
      </c>
      <c r="X82" s="29">
        <f t="shared" ref="X82:X86" si="154">(E82-K82-P82)/T82</f>
        <v>65.316771300448423</v>
      </c>
      <c r="Y82" s="29">
        <f t="shared" ref="Y82:Y86" si="155">(D82-J82-O82)/S82</f>
        <v>63.716186093334287</v>
      </c>
      <c r="Z82" s="25">
        <f t="shared" ref="Z82:Z86" si="156">(E82-K82-P82)/E82</f>
        <v>0.37160259429208797</v>
      </c>
      <c r="AA82" s="30">
        <f t="shared" ref="AA82:AA85" si="157">SUM(D82-H82)/D82</f>
        <v>0.3479293885936145</v>
      </c>
      <c r="AB82" s="31"/>
      <c r="AD82" t="s">
        <v>33</v>
      </c>
      <c r="AE82" s="33">
        <f>AI86</f>
        <v>-956.40999999999985</v>
      </c>
      <c r="AH82" s="20">
        <f>SUM(T83-T82)</f>
        <v>23.5</v>
      </c>
      <c r="AI82" s="32">
        <f>SUM(K83-K82)</f>
        <v>-1113.1300000000001</v>
      </c>
    </row>
    <row r="83" spans="1:35" x14ac:dyDescent="0.2">
      <c r="A83" s="20"/>
      <c r="B83" s="21"/>
      <c r="C83" s="22" t="s">
        <v>34</v>
      </c>
      <c r="D83" s="23">
        <v>25467.84</v>
      </c>
      <c r="E83" s="23">
        <v>19598.41</v>
      </c>
      <c r="F83" s="24">
        <f t="shared" si="145"/>
        <v>5869.43</v>
      </c>
      <c r="G83" s="25">
        <f t="shared" si="146"/>
        <v>0.2304643817457625</v>
      </c>
      <c r="H83" s="24">
        <v>16606.830000000002</v>
      </c>
      <c r="I83" s="24">
        <v>12459.77</v>
      </c>
      <c r="J83" s="23">
        <f t="shared" si="147"/>
        <v>9659.9900000000016</v>
      </c>
      <c r="K83" s="23">
        <f t="shared" si="147"/>
        <v>5526.7300000000005</v>
      </c>
      <c r="L83" s="24">
        <f t="shared" si="148"/>
        <v>4133.2600000000011</v>
      </c>
      <c r="M83" s="25">
        <f t="shared" si="149"/>
        <v>0.42787414893804243</v>
      </c>
      <c r="N83" s="26">
        <v>0</v>
      </c>
      <c r="O83" s="23">
        <v>6946.84</v>
      </c>
      <c r="P83" s="23">
        <v>6933.04</v>
      </c>
      <c r="Q83" s="24">
        <f t="shared" si="150"/>
        <v>13.800000000000182</v>
      </c>
      <c r="R83" s="25">
        <f t="shared" si="151"/>
        <v>1.9865147318781176E-3</v>
      </c>
      <c r="S83" s="27">
        <v>139.07</v>
      </c>
      <c r="T83" s="27">
        <v>135</v>
      </c>
      <c r="U83" s="28">
        <f t="shared" si="152"/>
        <v>4.0699999999999932</v>
      </c>
      <c r="V83" s="25">
        <f t="shared" si="153"/>
        <v>2.9265837348098032E-2</v>
      </c>
      <c r="W83" s="26">
        <v>0</v>
      </c>
      <c r="X83" s="29">
        <f t="shared" si="154"/>
        <v>52.878814814814817</v>
      </c>
      <c r="Y83" s="29">
        <f t="shared" si="155"/>
        <v>63.716186093334287</v>
      </c>
      <c r="Z83" s="25">
        <f t="shared" si="156"/>
        <v>0.36424587504802686</v>
      </c>
      <c r="AA83" s="30">
        <f t="shared" si="157"/>
        <v>0.3479293885936145</v>
      </c>
      <c r="AB83" s="31"/>
      <c r="AH83" s="20">
        <f>SUM(T84-T83)</f>
        <v>0</v>
      </c>
      <c r="AI83" s="32">
        <f>SUM(K84-K83)</f>
        <v>0</v>
      </c>
    </row>
    <row r="84" spans="1:35" x14ac:dyDescent="0.2">
      <c r="A84" s="20"/>
      <c r="B84" s="21"/>
      <c r="C84" s="22" t="s">
        <v>35</v>
      </c>
      <c r="D84" s="23">
        <v>25467.84</v>
      </c>
      <c r="E84" s="23">
        <v>19598.41</v>
      </c>
      <c r="F84" s="24">
        <f t="shared" si="145"/>
        <v>5869.43</v>
      </c>
      <c r="G84" s="25">
        <f t="shared" si="146"/>
        <v>0.2304643817457625</v>
      </c>
      <c r="H84" s="24">
        <v>16606.830000000002</v>
      </c>
      <c r="I84" s="24">
        <v>12459.77</v>
      </c>
      <c r="J84" s="23">
        <f t="shared" si="147"/>
        <v>9659.9900000000016</v>
      </c>
      <c r="K84" s="23">
        <f t="shared" si="147"/>
        <v>5526.7300000000005</v>
      </c>
      <c r="L84" s="24">
        <f t="shared" si="148"/>
        <v>4133.2600000000011</v>
      </c>
      <c r="M84" s="25">
        <f t="shared" si="149"/>
        <v>0.42787414893804243</v>
      </c>
      <c r="N84" s="26">
        <v>0</v>
      </c>
      <c r="O84" s="23">
        <v>6946.84</v>
      </c>
      <c r="P84" s="23">
        <v>6933.04</v>
      </c>
      <c r="Q84" s="24">
        <f t="shared" si="150"/>
        <v>13.800000000000182</v>
      </c>
      <c r="R84" s="25">
        <f t="shared" si="151"/>
        <v>1.9865147318781176E-3</v>
      </c>
      <c r="S84" s="27">
        <v>139.07</v>
      </c>
      <c r="T84" s="27">
        <v>135</v>
      </c>
      <c r="U84" s="28">
        <f t="shared" si="152"/>
        <v>4.0699999999999932</v>
      </c>
      <c r="V84" s="25">
        <f t="shared" si="153"/>
        <v>2.9265837348098032E-2</v>
      </c>
      <c r="W84" s="26">
        <v>0</v>
      </c>
      <c r="X84" s="29">
        <f t="shared" si="154"/>
        <v>52.878814814814817</v>
      </c>
      <c r="Y84" s="29">
        <f t="shared" si="155"/>
        <v>63.716186093334287</v>
      </c>
      <c r="Z84" s="25">
        <f t="shared" si="156"/>
        <v>0.36424587504802686</v>
      </c>
      <c r="AA84" s="30">
        <f t="shared" si="157"/>
        <v>0.3479293885936145</v>
      </c>
      <c r="AB84" s="31"/>
      <c r="AD84" t="s">
        <v>36</v>
      </c>
      <c r="AE84" s="33">
        <v>0</v>
      </c>
      <c r="AH84" s="20">
        <f>SUM(T85-T84)</f>
        <v>0</v>
      </c>
      <c r="AI84" s="32">
        <f>SUM(K85-K84)</f>
        <v>0</v>
      </c>
    </row>
    <row r="85" spans="1:35" x14ac:dyDescent="0.2">
      <c r="A85" s="20"/>
      <c r="B85" s="21"/>
      <c r="C85" s="22" t="s">
        <v>37</v>
      </c>
      <c r="D85" s="23">
        <v>25467.84</v>
      </c>
      <c r="E85" s="23">
        <v>19598.41</v>
      </c>
      <c r="F85" s="24">
        <f t="shared" si="145"/>
        <v>5869.43</v>
      </c>
      <c r="G85" s="25">
        <f t="shared" si="146"/>
        <v>0.2304643817457625</v>
      </c>
      <c r="H85" s="24">
        <v>16606.830000000002</v>
      </c>
      <c r="I85" s="24">
        <v>12459.77</v>
      </c>
      <c r="J85" s="23">
        <f t="shared" si="147"/>
        <v>9659.9900000000016</v>
      </c>
      <c r="K85" s="23">
        <f t="shared" si="147"/>
        <v>5526.7300000000005</v>
      </c>
      <c r="L85" s="24">
        <f t="shared" si="148"/>
        <v>4133.2600000000011</v>
      </c>
      <c r="M85" s="25">
        <f t="shared" si="149"/>
        <v>0.42787414893804243</v>
      </c>
      <c r="N85" s="26">
        <v>0</v>
      </c>
      <c r="O85" s="23">
        <v>6946.84</v>
      </c>
      <c r="P85" s="23">
        <v>6933.04</v>
      </c>
      <c r="Q85" s="24">
        <f t="shared" si="150"/>
        <v>13.800000000000182</v>
      </c>
      <c r="R85" s="25">
        <f t="shared" si="151"/>
        <v>1.9865147318781176E-3</v>
      </c>
      <c r="S85" s="27">
        <v>139.07</v>
      </c>
      <c r="T85" s="27">
        <v>135</v>
      </c>
      <c r="U85" s="28">
        <f t="shared" si="152"/>
        <v>4.0699999999999932</v>
      </c>
      <c r="V85" s="25">
        <f t="shared" si="153"/>
        <v>2.9265837348098032E-2</v>
      </c>
      <c r="W85" s="26"/>
      <c r="X85" s="29">
        <f t="shared" si="154"/>
        <v>52.878814814814817</v>
      </c>
      <c r="Y85" s="29">
        <f t="shared" si="155"/>
        <v>63.716186093334287</v>
      </c>
      <c r="Z85" s="25">
        <f t="shared" si="156"/>
        <v>0.36424587504802686</v>
      </c>
      <c r="AA85" s="30">
        <f t="shared" si="157"/>
        <v>0.3479293885936145</v>
      </c>
      <c r="AB85" s="31"/>
      <c r="AH85" s="20">
        <f>SUM(T86-T85)</f>
        <v>8.25</v>
      </c>
      <c r="AI85" s="32">
        <f>SUM(K86-K85)</f>
        <v>42.749999999999091</v>
      </c>
    </row>
    <row r="86" spans="1:35" ht="17" thickBot="1" x14ac:dyDescent="0.25">
      <c r="A86" s="20"/>
      <c r="B86" s="21"/>
      <c r="C86" s="22" t="s">
        <v>38</v>
      </c>
      <c r="D86" s="23">
        <v>25467.84</v>
      </c>
      <c r="E86" s="23">
        <v>19598.41</v>
      </c>
      <c r="F86" s="24">
        <f t="shared" si="145"/>
        <v>5869.43</v>
      </c>
      <c r="G86" s="25">
        <f t="shared" si="146"/>
        <v>0.2304643817457625</v>
      </c>
      <c r="H86" s="24">
        <v>16606.830000000002</v>
      </c>
      <c r="I86" s="24">
        <v>12921.64</v>
      </c>
      <c r="J86" s="23">
        <f t="shared" si="147"/>
        <v>9659.9900000000016</v>
      </c>
      <c r="K86" s="23">
        <f t="shared" si="147"/>
        <v>5569.48</v>
      </c>
      <c r="L86" s="24">
        <f t="shared" si="148"/>
        <v>4090.510000000002</v>
      </c>
      <c r="M86" s="25">
        <f t="shared" si="149"/>
        <v>0.42344867851830087</v>
      </c>
      <c r="N86" s="26">
        <v>0</v>
      </c>
      <c r="O86" s="23">
        <v>6946.84</v>
      </c>
      <c r="P86" s="23">
        <v>7352.16</v>
      </c>
      <c r="Q86" s="24">
        <f t="shared" si="150"/>
        <v>-405.31999999999971</v>
      </c>
      <c r="R86" s="25">
        <f t="shared" si="151"/>
        <v>-5.8345952980059956E-2</v>
      </c>
      <c r="S86" s="27">
        <v>139.07</v>
      </c>
      <c r="T86" s="27">
        <v>143.25</v>
      </c>
      <c r="U86" s="28">
        <f t="shared" si="152"/>
        <v>-4.1800000000000068</v>
      </c>
      <c r="V86" s="25">
        <f t="shared" si="153"/>
        <v>-3.0056805925073756E-2</v>
      </c>
      <c r="W86" s="26"/>
      <c r="X86" s="29">
        <f t="shared" si="154"/>
        <v>46.609214659685868</v>
      </c>
      <c r="Y86" s="29">
        <f t="shared" si="155"/>
        <v>63.716186093334287</v>
      </c>
      <c r="Z86" s="25">
        <f t="shared" si="156"/>
        <v>0.34067916734061593</v>
      </c>
      <c r="AA86" s="30">
        <f>SUM(D86-H86)/D86</f>
        <v>0.3479293885936145</v>
      </c>
      <c r="AB86" s="31"/>
      <c r="AH86" s="34">
        <f>SUM(AH81,AH82,AH83,AH84,AH85)</f>
        <v>54.25</v>
      </c>
      <c r="AI86" s="35">
        <f>SUM(AI81,AI82,AI83,AI84,AI85)</f>
        <v>-956.40999999999985</v>
      </c>
    </row>
    <row r="87" spans="1:35" ht="9" customHeight="1" x14ac:dyDescent="0.2">
      <c r="A87" s="36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8"/>
    </row>
    <row r="88" spans="1:35" x14ac:dyDescent="0.2">
      <c r="A88" s="20">
        <f>'[1]Main Sheet'!A28</f>
        <v>8234</v>
      </c>
      <c r="B88" s="21" t="str">
        <f>'[1]Main Sheet'!B28</f>
        <v>Melhuish House</v>
      </c>
      <c r="C88" s="22" t="s">
        <v>30</v>
      </c>
      <c r="D88" s="49">
        <v>37083.03</v>
      </c>
      <c r="E88" s="49">
        <v>19660.400000000001</v>
      </c>
      <c r="F88" s="24">
        <f>D88-E88</f>
        <v>17422.629999999997</v>
      </c>
      <c r="G88" s="25">
        <f>F88/D88</f>
        <v>0.46982757342104997</v>
      </c>
      <c r="H88" s="24">
        <v>27002.93</v>
      </c>
      <c r="I88" s="24">
        <v>14076.05</v>
      </c>
      <c r="J88" s="23">
        <f>SUM(H88-O88)</f>
        <v>15440.32</v>
      </c>
      <c r="K88" s="23">
        <f>SUM(I88-P88)</f>
        <v>10218.129999999999</v>
      </c>
      <c r="L88" s="24">
        <f>J88-K88</f>
        <v>5222.1900000000005</v>
      </c>
      <c r="M88" s="25">
        <f>L88/J88</f>
        <v>0.33821773123873083</v>
      </c>
      <c r="N88" s="26">
        <v>0</v>
      </c>
      <c r="O88" s="23">
        <v>11562.61</v>
      </c>
      <c r="P88" s="23">
        <v>3857.92</v>
      </c>
      <c r="Q88" s="24">
        <f>O88-P88</f>
        <v>7704.6900000000005</v>
      </c>
      <c r="R88" s="25">
        <f>Q88/O88</f>
        <v>0.66634522828323361</v>
      </c>
      <c r="S88" s="50">
        <v>231.75</v>
      </c>
      <c r="T88" s="50">
        <v>78.5</v>
      </c>
      <c r="U88" s="28">
        <f>S88-T88</f>
        <v>153.25</v>
      </c>
      <c r="V88" s="25">
        <f>U88/S88</f>
        <v>0.66127292340884569</v>
      </c>
      <c r="W88" s="26">
        <v>0</v>
      </c>
      <c r="X88" s="29">
        <f>(E88-K88-P88)/T88</f>
        <v>71.138216560509576</v>
      </c>
      <c r="Y88" s="29">
        <f>(D88-J88-O88)/S88</f>
        <v>43.495577130528581</v>
      </c>
      <c r="Z88" s="25">
        <f>(E88-K88-P88)/E88</f>
        <v>0.28404050782283174</v>
      </c>
      <c r="AA88" s="30">
        <f>SUM(D88-H88)/D88</f>
        <v>0.27182514481691489</v>
      </c>
      <c r="AB88" s="31"/>
      <c r="AD88" t="s">
        <v>31</v>
      </c>
      <c r="AE88">
        <f>AH93</f>
        <v>70</v>
      </c>
      <c r="AH88" s="20">
        <f>SUM(T89-T88)</f>
        <v>32.25</v>
      </c>
      <c r="AI88" s="32">
        <f>SUM(K89-K88)</f>
        <v>1005.7500000000018</v>
      </c>
    </row>
    <row r="89" spans="1:35" x14ac:dyDescent="0.2">
      <c r="A89" s="20"/>
      <c r="B89" s="21"/>
      <c r="C89" s="22" t="s">
        <v>32</v>
      </c>
      <c r="D89" s="49">
        <v>37083.03</v>
      </c>
      <c r="E89" s="49">
        <v>26341.73</v>
      </c>
      <c r="F89" s="24">
        <f t="shared" ref="F89:F93" si="158">D89-E89</f>
        <v>10741.3</v>
      </c>
      <c r="G89" s="25">
        <f t="shared" ref="G89:G93" si="159">F89/D89</f>
        <v>0.2896554030239708</v>
      </c>
      <c r="H89" s="24">
        <v>27002.93</v>
      </c>
      <c r="I89" s="24">
        <v>16757.060000000001</v>
      </c>
      <c r="J89" s="23">
        <f>SUM(H89-O89)</f>
        <v>15440.32</v>
      </c>
      <c r="K89" s="23">
        <f>SUM(I89-P89)</f>
        <v>11223.880000000001</v>
      </c>
      <c r="L89" s="24">
        <f t="shared" ref="L89:L93" si="160">J89-K89</f>
        <v>4216.4399999999987</v>
      </c>
      <c r="M89" s="25">
        <f t="shared" ref="M89:M93" si="161">L89/J89</f>
        <v>0.27307983254233065</v>
      </c>
      <c r="N89" s="26">
        <v>0</v>
      </c>
      <c r="O89" s="23">
        <v>11562.61</v>
      </c>
      <c r="P89" s="23">
        <v>5533.18</v>
      </c>
      <c r="Q89" s="24">
        <f t="shared" ref="Q89:Q93" si="162">O89-P89</f>
        <v>6029.43</v>
      </c>
      <c r="R89" s="25">
        <f t="shared" ref="R89:R93" si="163">Q89/O89</f>
        <v>0.52145925530654413</v>
      </c>
      <c r="S89" s="50">
        <v>231.75</v>
      </c>
      <c r="T89" s="50">
        <v>110.75</v>
      </c>
      <c r="U89" s="28">
        <f t="shared" ref="U89:U92" si="164">S89-T89</f>
        <v>121</v>
      </c>
      <c r="V89" s="25">
        <f t="shared" ref="V89:V93" si="165">U89/S89</f>
        <v>0.52211434735706586</v>
      </c>
      <c r="W89" s="26"/>
      <c r="X89" s="29">
        <f t="shared" ref="X89:X93" si="166">(E89-K89-P89)/T89</f>
        <v>86.543295711060935</v>
      </c>
      <c r="Y89" s="29">
        <f t="shared" ref="Y89:Y93" si="167">(D89-J89-O89)/S89</f>
        <v>43.495577130528581</v>
      </c>
      <c r="Z89" s="25">
        <f t="shared" ref="Z89:Z93" si="168">(E89-K89-P89)/E89</f>
        <v>0.36385878983650649</v>
      </c>
      <c r="AA89" s="30">
        <f t="shared" ref="AA89:AA92" si="169">SUM(D89-H89)/D89</f>
        <v>0.27182514481691489</v>
      </c>
      <c r="AB89" s="31"/>
      <c r="AD89" t="s">
        <v>33</v>
      </c>
      <c r="AE89" s="33">
        <f>AI93</f>
        <v>3925.0599999999995</v>
      </c>
      <c r="AH89" s="20">
        <f>SUM(T90-T89)</f>
        <v>29.75</v>
      </c>
      <c r="AI89" s="32">
        <f>SUM(K90-K89)</f>
        <v>2919.3099999999977</v>
      </c>
    </row>
    <row r="90" spans="1:35" x14ac:dyDescent="0.2">
      <c r="A90" s="20"/>
      <c r="B90" s="21"/>
      <c r="C90" s="22" t="s">
        <v>34</v>
      </c>
      <c r="D90" s="49">
        <v>37083.03</v>
      </c>
      <c r="E90" s="49">
        <v>26341.73</v>
      </c>
      <c r="F90" s="24">
        <f t="shared" si="158"/>
        <v>10741.3</v>
      </c>
      <c r="G90" s="25">
        <f t="shared" si="159"/>
        <v>0.2896554030239708</v>
      </c>
      <c r="H90" s="24">
        <v>27002.93</v>
      </c>
      <c r="I90" s="24">
        <v>21120.62</v>
      </c>
      <c r="J90" s="23">
        <f t="shared" ref="J90:K93" si="170">SUM(H90-O90)</f>
        <v>15440.32</v>
      </c>
      <c r="K90" s="23">
        <f>SUM(I90-P90)</f>
        <v>14143.189999999999</v>
      </c>
      <c r="L90" s="24">
        <f t="shared" si="160"/>
        <v>1297.130000000001</v>
      </c>
      <c r="M90" s="25">
        <f t="shared" si="161"/>
        <v>8.4009269237943329E-2</v>
      </c>
      <c r="N90" s="26">
        <v>0</v>
      </c>
      <c r="O90" s="23">
        <v>11562.61</v>
      </c>
      <c r="P90" s="23">
        <v>6977.43</v>
      </c>
      <c r="Q90" s="24">
        <f t="shared" si="162"/>
        <v>4585.18</v>
      </c>
      <c r="R90" s="25">
        <f t="shared" si="163"/>
        <v>0.3965523355021055</v>
      </c>
      <c r="S90" s="50">
        <v>231.75</v>
      </c>
      <c r="T90" s="50">
        <v>140.5</v>
      </c>
      <c r="U90" s="28">
        <f t="shared" si="164"/>
        <v>91.25</v>
      </c>
      <c r="V90" s="25">
        <f t="shared" si="165"/>
        <v>0.39374325782092773</v>
      </c>
      <c r="W90" s="26"/>
      <c r="X90" s="29">
        <f t="shared" si="166"/>
        <v>37.160925266903917</v>
      </c>
      <c r="Y90" s="29">
        <f t="shared" si="167"/>
        <v>43.495577130528581</v>
      </c>
      <c r="Z90" s="25">
        <f t="shared" si="168"/>
        <v>0.19820679962933341</v>
      </c>
      <c r="AA90" s="30">
        <f t="shared" si="169"/>
        <v>0.27182514481691489</v>
      </c>
      <c r="AB90" s="31"/>
      <c r="AH90" s="20">
        <f>SUM(T91-T90)</f>
        <v>0</v>
      </c>
      <c r="AI90" s="32">
        <f>SUM(K91-K90)</f>
        <v>0</v>
      </c>
    </row>
    <row r="91" spans="1:35" x14ac:dyDescent="0.2">
      <c r="A91" s="20"/>
      <c r="B91" s="21"/>
      <c r="C91" s="22" t="s">
        <v>35</v>
      </c>
      <c r="D91" s="49">
        <v>37083.03</v>
      </c>
      <c r="E91" s="49">
        <v>26341.73</v>
      </c>
      <c r="F91" s="24">
        <f t="shared" si="158"/>
        <v>10741.3</v>
      </c>
      <c r="G91" s="25">
        <f t="shared" si="159"/>
        <v>0.2896554030239708</v>
      </c>
      <c r="H91" s="24">
        <v>27002.93</v>
      </c>
      <c r="I91" s="24">
        <v>21120.62</v>
      </c>
      <c r="J91" s="23">
        <f t="shared" si="170"/>
        <v>15440.32</v>
      </c>
      <c r="K91" s="23">
        <f t="shared" si="170"/>
        <v>14143.189999999999</v>
      </c>
      <c r="L91" s="24">
        <f t="shared" si="160"/>
        <v>1297.130000000001</v>
      </c>
      <c r="M91" s="25">
        <f t="shared" si="161"/>
        <v>8.4009269237943329E-2</v>
      </c>
      <c r="N91" s="26">
        <v>0</v>
      </c>
      <c r="O91" s="23">
        <v>11562.61</v>
      </c>
      <c r="P91" s="23">
        <v>6977.43</v>
      </c>
      <c r="Q91" s="24">
        <f t="shared" si="162"/>
        <v>4585.18</v>
      </c>
      <c r="R91" s="25">
        <f t="shared" si="163"/>
        <v>0.3965523355021055</v>
      </c>
      <c r="S91" s="50">
        <v>231.75</v>
      </c>
      <c r="T91" s="50">
        <v>140.5</v>
      </c>
      <c r="U91" s="28">
        <f t="shared" si="164"/>
        <v>91.25</v>
      </c>
      <c r="V91" s="25">
        <f t="shared" si="165"/>
        <v>0.39374325782092773</v>
      </c>
      <c r="W91" s="26"/>
      <c r="X91" s="29">
        <f t="shared" si="166"/>
        <v>37.160925266903917</v>
      </c>
      <c r="Y91" s="29">
        <f t="shared" si="167"/>
        <v>43.495577130528581</v>
      </c>
      <c r="Z91" s="25">
        <f t="shared" si="168"/>
        <v>0.19820679962933341</v>
      </c>
      <c r="AA91" s="30">
        <f t="shared" si="169"/>
        <v>0.27182514481691489</v>
      </c>
      <c r="AB91" s="31"/>
      <c r="AD91" t="s">
        <v>36</v>
      </c>
      <c r="AE91" s="33">
        <v>0</v>
      </c>
      <c r="AH91" s="20">
        <f>SUM(T92-T91)</f>
        <v>0</v>
      </c>
      <c r="AI91" s="32">
        <f>SUM(K92-K91)</f>
        <v>0</v>
      </c>
    </row>
    <row r="92" spans="1:35" x14ac:dyDescent="0.2">
      <c r="A92" s="20"/>
      <c r="B92" s="21"/>
      <c r="C92" s="22" t="s">
        <v>37</v>
      </c>
      <c r="D92" s="49">
        <v>37083.03</v>
      </c>
      <c r="E92" s="49">
        <v>26341.73</v>
      </c>
      <c r="F92" s="24">
        <f t="shared" si="158"/>
        <v>10741.3</v>
      </c>
      <c r="G92" s="25">
        <f t="shared" si="159"/>
        <v>0.2896554030239708</v>
      </c>
      <c r="H92" s="24">
        <v>27002.93</v>
      </c>
      <c r="I92" s="24">
        <v>21120.62</v>
      </c>
      <c r="J92" s="23">
        <f t="shared" si="170"/>
        <v>15440.32</v>
      </c>
      <c r="K92" s="23">
        <f t="shared" si="170"/>
        <v>14143.189999999999</v>
      </c>
      <c r="L92" s="24">
        <f t="shared" si="160"/>
        <v>1297.130000000001</v>
      </c>
      <c r="M92" s="25">
        <f t="shared" si="161"/>
        <v>8.4009269237943329E-2</v>
      </c>
      <c r="N92" s="26">
        <v>0</v>
      </c>
      <c r="O92" s="23">
        <v>11562.61</v>
      </c>
      <c r="P92" s="23">
        <v>6977.43</v>
      </c>
      <c r="Q92" s="24">
        <f t="shared" si="162"/>
        <v>4585.18</v>
      </c>
      <c r="R92" s="25">
        <f t="shared" si="163"/>
        <v>0.3965523355021055</v>
      </c>
      <c r="S92" s="50">
        <v>231.75</v>
      </c>
      <c r="T92" s="50">
        <v>140.5</v>
      </c>
      <c r="U92" s="28">
        <f t="shared" si="164"/>
        <v>91.25</v>
      </c>
      <c r="V92" s="25">
        <f t="shared" si="165"/>
        <v>0.39374325782092773</v>
      </c>
      <c r="W92" s="26"/>
      <c r="X92" s="29">
        <f t="shared" si="166"/>
        <v>37.160925266903917</v>
      </c>
      <c r="Y92" s="29">
        <f t="shared" si="167"/>
        <v>43.495577130528581</v>
      </c>
      <c r="Z92" s="25">
        <f t="shared" si="168"/>
        <v>0.19820679962933341</v>
      </c>
      <c r="AA92" s="30">
        <f t="shared" si="169"/>
        <v>0.27182514481691489</v>
      </c>
      <c r="AB92" s="31"/>
      <c r="AH92" s="20">
        <f>SUM(T93-T92)</f>
        <v>8</v>
      </c>
      <c r="AI92" s="32">
        <f>SUM(K93-K92)</f>
        <v>0</v>
      </c>
    </row>
    <row r="93" spans="1:35" ht="17" thickBot="1" x14ac:dyDescent="0.25">
      <c r="A93" s="20"/>
      <c r="B93" s="21"/>
      <c r="C93" s="22" t="s">
        <v>38</v>
      </c>
      <c r="D93" s="49">
        <v>37083.03</v>
      </c>
      <c r="E93" s="49">
        <v>33023.07</v>
      </c>
      <c r="F93" s="24">
        <f t="shared" si="158"/>
        <v>4059.9599999999991</v>
      </c>
      <c r="G93" s="25">
        <f t="shared" si="159"/>
        <v>0.10948296296176444</v>
      </c>
      <c r="H93" s="24">
        <v>27002.93</v>
      </c>
      <c r="I93" s="24">
        <v>21520.62</v>
      </c>
      <c r="J93" s="23">
        <f t="shared" si="170"/>
        <v>15440.32</v>
      </c>
      <c r="K93" s="23">
        <f t="shared" si="170"/>
        <v>14143.189999999999</v>
      </c>
      <c r="L93" s="24">
        <f t="shared" si="160"/>
        <v>1297.130000000001</v>
      </c>
      <c r="M93" s="25">
        <f t="shared" si="161"/>
        <v>8.4009269237943329E-2</v>
      </c>
      <c r="N93" s="26">
        <v>0</v>
      </c>
      <c r="O93" s="23">
        <v>11562.61</v>
      </c>
      <c r="P93" s="23">
        <v>7377.43</v>
      </c>
      <c r="Q93" s="24">
        <f t="shared" si="162"/>
        <v>4185.18</v>
      </c>
      <c r="R93" s="25">
        <f t="shared" si="163"/>
        <v>0.36195807002052305</v>
      </c>
      <c r="S93" s="50">
        <v>231.75</v>
      </c>
      <c r="T93" s="50">
        <v>148.5</v>
      </c>
      <c r="U93" s="28">
        <f>S93-T93</f>
        <v>83.25</v>
      </c>
      <c r="V93" s="25">
        <f t="shared" si="165"/>
        <v>0.35922330097087379</v>
      </c>
      <c r="W93" s="26"/>
      <c r="X93" s="29">
        <f t="shared" si="166"/>
        <v>77.457575757575768</v>
      </c>
      <c r="Y93" s="29">
        <f t="shared" si="167"/>
        <v>43.495577130528581</v>
      </c>
      <c r="Z93" s="25">
        <f t="shared" si="168"/>
        <v>0.34831558664897</v>
      </c>
      <c r="AA93" s="30">
        <f>SUM(D93-H93)/D93</f>
        <v>0.27182514481691489</v>
      </c>
      <c r="AB93" s="31"/>
      <c r="AH93" s="34">
        <f>SUM(AH88,AH89,AH90,AH91,AH92)</f>
        <v>70</v>
      </c>
      <c r="AI93" s="35">
        <f>SUM(AI88,AI89,AI90,AI91,AI92)</f>
        <v>3925.0599999999995</v>
      </c>
    </row>
    <row r="94" spans="1:35" ht="9" customHeight="1" x14ac:dyDescent="0.2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8"/>
    </row>
    <row r="95" spans="1:35" x14ac:dyDescent="0.2">
      <c r="A95" s="20">
        <f>'[1]Main Sheet'!A30</f>
        <v>8214</v>
      </c>
      <c r="B95" s="21" t="str">
        <f>'[1]Main Sheet'!B30</f>
        <v>6 Tiroroa Lane</v>
      </c>
      <c r="C95" s="22" t="s">
        <v>30</v>
      </c>
      <c r="D95" s="23">
        <v>26186.14</v>
      </c>
      <c r="E95" s="23">
        <v>5762.27</v>
      </c>
      <c r="F95" s="24">
        <f>D95-E95</f>
        <v>20423.87</v>
      </c>
      <c r="G95" s="25">
        <f>F95/D95</f>
        <v>0.77994962220472352</v>
      </c>
      <c r="H95" s="24">
        <v>19428.98</v>
      </c>
      <c r="I95" s="24">
        <v>7925.81</v>
      </c>
      <c r="J95" s="23">
        <f>SUM(H95-O95)</f>
        <v>12051.349999999999</v>
      </c>
      <c r="K95" s="23">
        <f>SUM(I95-P95)</f>
        <v>7679.9100000000008</v>
      </c>
      <c r="L95" s="24">
        <f>J95-K95</f>
        <v>4371.4399999999978</v>
      </c>
      <c r="M95" s="25">
        <f>L95/J95</f>
        <v>0.36273446543333304</v>
      </c>
      <c r="N95" s="26">
        <v>0</v>
      </c>
      <c r="O95" s="23">
        <v>7377.63</v>
      </c>
      <c r="P95" s="23">
        <v>245.9</v>
      </c>
      <c r="Q95" s="24">
        <f>O95-P95</f>
        <v>7131.7300000000005</v>
      </c>
      <c r="R95" s="25">
        <f>Q95/O95</f>
        <v>0.96666951310922344</v>
      </c>
      <c r="S95" s="27">
        <v>147.9</v>
      </c>
      <c r="T95" s="27">
        <v>5</v>
      </c>
      <c r="U95" s="28">
        <f>S95-T95</f>
        <v>142.9</v>
      </c>
      <c r="V95" s="25">
        <f>U95/S95</f>
        <v>0.96619337390128468</v>
      </c>
      <c r="W95" s="26">
        <v>0</v>
      </c>
      <c r="X95" s="29">
        <f>(E95-K95-P95)/T95</f>
        <v>-432.70800000000008</v>
      </c>
      <c r="Y95" s="29">
        <f>(D95-J95-O95)/S95</f>
        <v>45.687356321839083</v>
      </c>
      <c r="Z95" s="25">
        <f>(E95-K95-P95)/E95</f>
        <v>-0.37546661298411915</v>
      </c>
      <c r="AA95" s="30">
        <f>SUM(D95-H95)/D95</f>
        <v>0.25804337714531428</v>
      </c>
      <c r="AB95" s="31"/>
      <c r="AD95" t="s">
        <v>31</v>
      </c>
      <c r="AE95">
        <f>AH100</f>
        <v>0</v>
      </c>
      <c r="AH95" s="20">
        <f>SUM(T96-T95)</f>
        <v>0</v>
      </c>
      <c r="AI95" s="32">
        <f>SUM(K96-K95)</f>
        <v>0</v>
      </c>
    </row>
    <row r="96" spans="1:35" x14ac:dyDescent="0.2">
      <c r="A96" s="20"/>
      <c r="B96" s="21"/>
      <c r="C96" s="22" t="s">
        <v>32</v>
      </c>
      <c r="D96" s="23">
        <v>26186.14</v>
      </c>
      <c r="E96" s="23">
        <v>5762.27</v>
      </c>
      <c r="F96" s="24">
        <f t="shared" ref="F96:F100" si="171">D96-E96</f>
        <v>20423.87</v>
      </c>
      <c r="G96" s="25">
        <f t="shared" ref="G96:G100" si="172">F96/D96</f>
        <v>0.77994962220472352</v>
      </c>
      <c r="H96" s="24">
        <v>19428.98</v>
      </c>
      <c r="I96" s="24">
        <v>7925.81</v>
      </c>
      <c r="J96" s="23">
        <f t="shared" ref="J96:K100" si="173">SUM(H96-O96)</f>
        <v>12051.349999999999</v>
      </c>
      <c r="K96" s="23">
        <f t="shared" si="173"/>
        <v>7679.9100000000008</v>
      </c>
      <c r="L96" s="24">
        <f t="shared" ref="L96:L100" si="174">J96-K96</f>
        <v>4371.4399999999978</v>
      </c>
      <c r="M96" s="25">
        <f t="shared" ref="M96:M100" si="175">L96/J96</f>
        <v>0.36273446543333304</v>
      </c>
      <c r="N96" s="26">
        <v>0</v>
      </c>
      <c r="O96" s="23">
        <v>7377.63</v>
      </c>
      <c r="P96" s="23">
        <v>245.9</v>
      </c>
      <c r="Q96" s="24">
        <f t="shared" ref="Q96:Q100" si="176">O96-P96</f>
        <v>7131.7300000000005</v>
      </c>
      <c r="R96" s="25">
        <f t="shared" ref="R96:R100" si="177">Q96/O96</f>
        <v>0.96666951310922344</v>
      </c>
      <c r="S96" s="27">
        <v>147.9</v>
      </c>
      <c r="T96" s="27">
        <v>5</v>
      </c>
      <c r="U96" s="28">
        <f t="shared" ref="U96:U100" si="178">S96-T96</f>
        <v>142.9</v>
      </c>
      <c r="V96" s="25">
        <f t="shared" ref="V96:V100" si="179">U96/S96</f>
        <v>0.96619337390128468</v>
      </c>
      <c r="W96" s="26">
        <v>0</v>
      </c>
      <c r="X96" s="29">
        <f t="shared" ref="X96:X100" si="180">(E96-K96-P96)/T96</f>
        <v>-432.70800000000008</v>
      </c>
      <c r="Y96" s="29">
        <f t="shared" ref="Y96:Y100" si="181">(D96-J96-O96)/S96</f>
        <v>45.687356321839083</v>
      </c>
      <c r="Z96" s="25">
        <f t="shared" ref="Z96:Z100" si="182">(E96-K96-P96)/E96</f>
        <v>-0.37546661298411915</v>
      </c>
      <c r="AA96" s="30">
        <f t="shared" ref="AA96:AA99" si="183">SUM(D96-H96)/D96</f>
        <v>0.25804337714531428</v>
      </c>
      <c r="AB96" s="31"/>
      <c r="AD96" t="s">
        <v>33</v>
      </c>
      <c r="AE96" s="33">
        <f>AI100</f>
        <v>0</v>
      </c>
      <c r="AH96" s="20">
        <f>SUM(T97-T96)</f>
        <v>0</v>
      </c>
      <c r="AI96" s="32">
        <f>SUM(K97-K96)</f>
        <v>0</v>
      </c>
    </row>
    <row r="97" spans="1:35" x14ac:dyDescent="0.2">
      <c r="A97" s="20"/>
      <c r="B97" s="21"/>
      <c r="C97" s="22" t="s">
        <v>34</v>
      </c>
      <c r="D97" s="23">
        <v>26186.14</v>
      </c>
      <c r="E97" s="23">
        <v>5762.27</v>
      </c>
      <c r="F97" s="24">
        <f t="shared" si="171"/>
        <v>20423.87</v>
      </c>
      <c r="G97" s="25">
        <f t="shared" si="172"/>
        <v>0.77994962220472352</v>
      </c>
      <c r="H97" s="24">
        <v>19428.98</v>
      </c>
      <c r="I97" s="24">
        <v>7925.81</v>
      </c>
      <c r="J97" s="23">
        <f t="shared" si="173"/>
        <v>12051.349999999999</v>
      </c>
      <c r="K97" s="23">
        <f t="shared" si="173"/>
        <v>7679.9100000000008</v>
      </c>
      <c r="L97" s="24">
        <f t="shared" si="174"/>
        <v>4371.4399999999978</v>
      </c>
      <c r="M97" s="25">
        <f t="shared" si="175"/>
        <v>0.36273446543333304</v>
      </c>
      <c r="N97" s="26">
        <v>0</v>
      </c>
      <c r="O97" s="23">
        <v>7377.63</v>
      </c>
      <c r="P97" s="23">
        <v>245.9</v>
      </c>
      <c r="Q97" s="24">
        <f t="shared" si="176"/>
        <v>7131.7300000000005</v>
      </c>
      <c r="R97" s="25">
        <f t="shared" si="177"/>
        <v>0.96666951310922344</v>
      </c>
      <c r="S97" s="27">
        <v>147.9</v>
      </c>
      <c r="T97" s="27">
        <v>5</v>
      </c>
      <c r="U97" s="28">
        <f t="shared" si="178"/>
        <v>142.9</v>
      </c>
      <c r="V97" s="25">
        <f t="shared" si="179"/>
        <v>0.96619337390128468</v>
      </c>
      <c r="W97" s="26">
        <v>0.2</v>
      </c>
      <c r="X97" s="29">
        <f t="shared" si="180"/>
        <v>-432.70800000000008</v>
      </c>
      <c r="Y97" s="29">
        <f t="shared" si="181"/>
        <v>45.687356321839083</v>
      </c>
      <c r="Z97" s="25">
        <f t="shared" si="182"/>
        <v>-0.37546661298411915</v>
      </c>
      <c r="AA97" s="30">
        <f t="shared" si="183"/>
        <v>0.25804337714531428</v>
      </c>
      <c r="AB97" s="31"/>
      <c r="AH97" s="20">
        <f>SUM(T98-T97)</f>
        <v>0</v>
      </c>
      <c r="AI97" s="32">
        <f>SUM(K98-K97)</f>
        <v>0</v>
      </c>
    </row>
    <row r="98" spans="1:35" x14ac:dyDescent="0.2">
      <c r="A98" s="20"/>
      <c r="B98" s="21"/>
      <c r="C98" s="22" t="s">
        <v>35</v>
      </c>
      <c r="D98" s="23">
        <v>26186.14</v>
      </c>
      <c r="E98" s="23">
        <v>5762.27</v>
      </c>
      <c r="F98" s="24">
        <f t="shared" si="171"/>
        <v>20423.87</v>
      </c>
      <c r="G98" s="25">
        <f t="shared" si="172"/>
        <v>0.77994962220472352</v>
      </c>
      <c r="H98" s="24">
        <v>19428.98</v>
      </c>
      <c r="I98" s="24">
        <v>7925.81</v>
      </c>
      <c r="J98" s="23">
        <f t="shared" si="173"/>
        <v>12051.349999999999</v>
      </c>
      <c r="K98" s="23">
        <f t="shared" si="173"/>
        <v>7679.9100000000008</v>
      </c>
      <c r="L98" s="24">
        <f t="shared" si="174"/>
        <v>4371.4399999999978</v>
      </c>
      <c r="M98" s="25">
        <f t="shared" si="175"/>
        <v>0.36273446543333304</v>
      </c>
      <c r="N98" s="26">
        <v>0</v>
      </c>
      <c r="O98" s="23">
        <v>7377.63</v>
      </c>
      <c r="P98" s="23">
        <v>245.9</v>
      </c>
      <c r="Q98" s="24">
        <f t="shared" si="176"/>
        <v>7131.7300000000005</v>
      </c>
      <c r="R98" s="25">
        <f t="shared" si="177"/>
        <v>0.96666951310922344</v>
      </c>
      <c r="S98" s="27">
        <v>147.9</v>
      </c>
      <c r="T98" s="27">
        <v>5</v>
      </c>
      <c r="U98" s="28">
        <f t="shared" si="178"/>
        <v>142.9</v>
      </c>
      <c r="V98" s="25">
        <f t="shared" si="179"/>
        <v>0.96619337390128468</v>
      </c>
      <c r="W98" s="26">
        <v>0.25</v>
      </c>
      <c r="X98" s="29">
        <f t="shared" si="180"/>
        <v>-432.70800000000008</v>
      </c>
      <c r="Y98" s="29">
        <f t="shared" si="181"/>
        <v>45.687356321839083</v>
      </c>
      <c r="Z98" s="25">
        <f t="shared" si="182"/>
        <v>-0.37546661298411915</v>
      </c>
      <c r="AA98" s="30">
        <f t="shared" si="183"/>
        <v>0.25804337714531428</v>
      </c>
      <c r="AB98" s="31"/>
      <c r="AD98" t="s">
        <v>36</v>
      </c>
      <c r="AE98" s="33">
        <v>0</v>
      </c>
      <c r="AH98" s="20">
        <f>SUM(T99-T98)</f>
        <v>0</v>
      </c>
      <c r="AI98" s="32">
        <f>SUM(K99-K98)</f>
        <v>0</v>
      </c>
    </row>
    <row r="99" spans="1:35" x14ac:dyDescent="0.2">
      <c r="A99" s="20"/>
      <c r="B99" s="21"/>
      <c r="C99" s="22" t="s">
        <v>37</v>
      </c>
      <c r="D99" s="23">
        <v>26186.14</v>
      </c>
      <c r="E99" s="23">
        <v>5762.27</v>
      </c>
      <c r="F99" s="24">
        <f t="shared" si="171"/>
        <v>20423.87</v>
      </c>
      <c r="G99" s="25">
        <f t="shared" si="172"/>
        <v>0.77994962220472352</v>
      </c>
      <c r="H99" s="24">
        <v>19428.98</v>
      </c>
      <c r="I99" s="24">
        <v>7925.81</v>
      </c>
      <c r="J99" s="23">
        <f t="shared" si="173"/>
        <v>12051.349999999999</v>
      </c>
      <c r="K99" s="23">
        <f t="shared" si="173"/>
        <v>7679.9100000000008</v>
      </c>
      <c r="L99" s="24">
        <f t="shared" si="174"/>
        <v>4371.4399999999978</v>
      </c>
      <c r="M99" s="25">
        <f t="shared" si="175"/>
        <v>0.36273446543333304</v>
      </c>
      <c r="N99" s="26">
        <v>0</v>
      </c>
      <c r="O99" s="23">
        <v>7377.63</v>
      </c>
      <c r="P99" s="23">
        <v>245.9</v>
      </c>
      <c r="Q99" s="24">
        <f t="shared" si="176"/>
        <v>7131.7300000000005</v>
      </c>
      <c r="R99" s="25">
        <f t="shared" si="177"/>
        <v>0.96666951310922344</v>
      </c>
      <c r="S99" s="27">
        <v>147.9</v>
      </c>
      <c r="T99" s="27">
        <v>5</v>
      </c>
      <c r="U99" s="28">
        <f t="shared" si="178"/>
        <v>142.9</v>
      </c>
      <c r="V99" s="25">
        <f t="shared" si="179"/>
        <v>0.96619337390128468</v>
      </c>
      <c r="W99" s="26"/>
      <c r="X99" s="29">
        <f t="shared" si="180"/>
        <v>-432.70800000000008</v>
      </c>
      <c r="Y99" s="29">
        <f t="shared" si="181"/>
        <v>45.687356321839083</v>
      </c>
      <c r="Z99" s="25">
        <f t="shared" si="182"/>
        <v>-0.37546661298411915</v>
      </c>
      <c r="AA99" s="30">
        <f t="shared" si="183"/>
        <v>0.25804337714531428</v>
      </c>
      <c r="AB99" s="31"/>
      <c r="AH99" s="20">
        <f>SUM(T100-T99)</f>
        <v>0</v>
      </c>
      <c r="AI99" s="32">
        <f>SUM(K100-K99)</f>
        <v>0</v>
      </c>
    </row>
    <row r="100" spans="1:35" ht="17" thickBot="1" x14ac:dyDescent="0.25">
      <c r="A100" s="20"/>
      <c r="B100" s="21"/>
      <c r="C100" s="22" t="s">
        <v>38</v>
      </c>
      <c r="D100" s="23">
        <v>26186.14</v>
      </c>
      <c r="E100" s="23">
        <v>5762.27</v>
      </c>
      <c r="F100" s="24">
        <f t="shared" si="171"/>
        <v>20423.87</v>
      </c>
      <c r="G100" s="25">
        <f t="shared" si="172"/>
        <v>0.77994962220472352</v>
      </c>
      <c r="H100" s="24">
        <v>19428.98</v>
      </c>
      <c r="I100" s="24">
        <v>7925.81</v>
      </c>
      <c r="J100" s="23">
        <f t="shared" si="173"/>
        <v>12051.32</v>
      </c>
      <c r="K100" s="23">
        <f t="shared" si="173"/>
        <v>7679.9100000000008</v>
      </c>
      <c r="L100" s="24">
        <f t="shared" si="174"/>
        <v>4371.4099999999989</v>
      </c>
      <c r="M100" s="25">
        <f t="shared" si="175"/>
        <v>0.36273287905391266</v>
      </c>
      <c r="N100" s="26">
        <v>0</v>
      </c>
      <c r="O100" s="23">
        <v>7377.66</v>
      </c>
      <c r="P100" s="23">
        <v>245.9</v>
      </c>
      <c r="Q100" s="24">
        <f t="shared" si="176"/>
        <v>7131.76</v>
      </c>
      <c r="R100" s="25">
        <f t="shared" si="177"/>
        <v>0.96666964864198135</v>
      </c>
      <c r="S100" s="27">
        <v>147.9</v>
      </c>
      <c r="T100" s="27">
        <v>5</v>
      </c>
      <c r="U100" s="28">
        <f t="shared" si="178"/>
        <v>142.9</v>
      </c>
      <c r="V100" s="25">
        <f t="shared" si="179"/>
        <v>0.96619337390128468</v>
      </c>
      <c r="W100" s="26"/>
      <c r="X100" s="29">
        <f t="shared" si="180"/>
        <v>-432.70800000000008</v>
      </c>
      <c r="Y100" s="29">
        <f t="shared" si="181"/>
        <v>45.687356321839076</v>
      </c>
      <c r="Z100" s="25">
        <f t="shared" si="182"/>
        <v>-0.37546661298411915</v>
      </c>
      <c r="AA100" s="30">
        <f>SUM(D100-H100)/D100</f>
        <v>0.25804337714531428</v>
      </c>
      <c r="AB100" s="31"/>
      <c r="AH100" s="34">
        <f>SUM(AH95,AH96,AH97,AH98,AH99)</f>
        <v>0</v>
      </c>
      <c r="AI100" s="35">
        <f>SUM(AI95,AI96,AI97,AI98,AI99)</f>
        <v>0</v>
      </c>
    </row>
    <row r="101" spans="1:35" ht="9" customHeight="1" x14ac:dyDescent="0.2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8"/>
    </row>
    <row r="102" spans="1:35" x14ac:dyDescent="0.2">
      <c r="A102" s="20">
        <f>'[1]Main Sheet'!A32</f>
        <v>6792</v>
      </c>
      <c r="B102" s="21" t="str">
        <f>'[1]Main Sheet'!B32</f>
        <v xml:space="preserve">Major Hornbrook </v>
      </c>
      <c r="C102" s="22" t="s">
        <v>30</v>
      </c>
      <c r="D102" s="23">
        <v>33188.019999999997</v>
      </c>
      <c r="E102" s="23">
        <v>32192.38</v>
      </c>
      <c r="F102" s="24">
        <f>D102-E102</f>
        <v>995.63999999999578</v>
      </c>
      <c r="G102" s="25">
        <f>F102/D102</f>
        <v>2.9999981921187101E-2</v>
      </c>
      <c r="H102" s="24">
        <v>23790.07</v>
      </c>
      <c r="I102" s="24">
        <v>28358.52</v>
      </c>
      <c r="J102" s="23">
        <f>SUM(H102-O102)</f>
        <v>13406.21</v>
      </c>
      <c r="K102" s="23">
        <f>SUM(I102-P102)</f>
        <v>15975.390000000001</v>
      </c>
      <c r="L102" s="24">
        <f>J102-K102</f>
        <v>-2569.1800000000021</v>
      </c>
      <c r="M102" s="25">
        <f>L102/J102</f>
        <v>-0.19164103799657042</v>
      </c>
      <c r="N102" s="26">
        <v>0</v>
      </c>
      <c r="O102" s="23">
        <v>10383.86</v>
      </c>
      <c r="P102" s="23">
        <v>12383.13</v>
      </c>
      <c r="Q102" s="24">
        <f>O102-P102</f>
        <v>-1999.2699999999986</v>
      </c>
      <c r="R102" s="25">
        <f>Q102/O102</f>
        <v>-0.19253630152948889</v>
      </c>
      <c r="S102" s="27">
        <v>208.2</v>
      </c>
      <c r="T102" s="27">
        <v>248.75</v>
      </c>
      <c r="U102" s="28">
        <f>S102-T102</f>
        <v>-40.550000000000011</v>
      </c>
      <c r="V102" s="25">
        <f>U102/S102</f>
        <v>-0.19476464937560045</v>
      </c>
      <c r="W102" s="26"/>
      <c r="X102" s="29">
        <f>(E102-K102-P102)/T102</f>
        <v>15.412502512562817</v>
      </c>
      <c r="Y102" s="29">
        <f>(D102-J102-O102)/S102</f>
        <v>45.139048991354457</v>
      </c>
      <c r="Z102" s="25">
        <f>(E102-K102-P102)/E102</f>
        <v>0.11909215783362399</v>
      </c>
      <c r="AA102" s="30">
        <f>SUM(D102-H102)/D102</f>
        <v>0.28317296422022159</v>
      </c>
      <c r="AB102" s="31"/>
      <c r="AD102" t="s">
        <v>31</v>
      </c>
      <c r="AE102">
        <f>AH107</f>
        <v>68.5</v>
      </c>
      <c r="AH102" s="20">
        <f>SUM(T103-T102)</f>
        <v>0</v>
      </c>
      <c r="AI102" s="32">
        <f>SUM(K103-K102)</f>
        <v>0</v>
      </c>
    </row>
    <row r="103" spans="1:35" x14ac:dyDescent="0.2">
      <c r="A103" s="20"/>
      <c r="B103" s="21"/>
      <c r="C103" s="22" t="s">
        <v>32</v>
      </c>
      <c r="D103" s="23">
        <v>33188.019999999997</v>
      </c>
      <c r="E103" s="51">
        <v>32192.38</v>
      </c>
      <c r="F103" s="24">
        <f>D103-E103</f>
        <v>995.63999999999578</v>
      </c>
      <c r="G103" s="25">
        <f t="shared" ref="G103:G107" si="184">F103/D103</f>
        <v>2.9999981921187101E-2</v>
      </c>
      <c r="H103" s="24">
        <v>23790.07</v>
      </c>
      <c r="I103" s="24">
        <v>28358.52</v>
      </c>
      <c r="J103" s="23">
        <f t="shared" ref="J103:K107" si="185">SUM(H103-O103)</f>
        <v>13406.21</v>
      </c>
      <c r="K103" s="23">
        <f t="shared" si="185"/>
        <v>15975.390000000001</v>
      </c>
      <c r="L103" s="24">
        <f t="shared" ref="L103:L107" si="186">J103-K103</f>
        <v>-2569.1800000000021</v>
      </c>
      <c r="M103" s="25">
        <f t="shared" ref="M103:M107" si="187">L103/J103</f>
        <v>-0.19164103799657042</v>
      </c>
      <c r="N103" s="26">
        <v>0</v>
      </c>
      <c r="O103" s="23">
        <v>10383.86</v>
      </c>
      <c r="P103" s="23">
        <v>12383.13</v>
      </c>
      <c r="Q103" s="24">
        <f t="shared" ref="Q103:Q107" si="188">O103-P103</f>
        <v>-1999.2699999999986</v>
      </c>
      <c r="R103" s="25">
        <f t="shared" ref="R103:R107" si="189">Q103/O103</f>
        <v>-0.19253630152948889</v>
      </c>
      <c r="S103" s="27">
        <v>208.2</v>
      </c>
      <c r="T103" s="27">
        <v>248.75</v>
      </c>
      <c r="U103" s="28">
        <f t="shared" ref="U103:U107" si="190">S103-T103</f>
        <v>-40.550000000000011</v>
      </c>
      <c r="V103" s="25">
        <f t="shared" ref="V103:V107" si="191">U103/S103</f>
        <v>-0.19476464937560045</v>
      </c>
      <c r="W103" s="26"/>
      <c r="X103" s="29">
        <f t="shared" ref="X103:X107" si="192">(E103-K103-P103)/T103</f>
        <v>15.412502512562817</v>
      </c>
      <c r="Y103" s="29">
        <f t="shared" ref="Y103:Y107" si="193">(D103-J103-O103)/S103</f>
        <v>45.139048991354457</v>
      </c>
      <c r="Z103" s="25">
        <f t="shared" ref="Z103:Z107" si="194">(E103-K103-P103)/E103</f>
        <v>0.11909215783362399</v>
      </c>
      <c r="AA103" s="30">
        <f t="shared" ref="AA103:AA106" si="195">SUM(D103-H103)/D103</f>
        <v>0.28317296422022159</v>
      </c>
      <c r="AB103" s="31"/>
      <c r="AD103" t="s">
        <v>33</v>
      </c>
      <c r="AE103" s="33">
        <f>AI107</f>
        <v>587.12999999999556</v>
      </c>
      <c r="AH103" s="20">
        <f>SUM(T104-T103)</f>
        <v>40.5</v>
      </c>
      <c r="AI103" s="32">
        <f>SUM(K104-K103)</f>
        <v>587.1299999999992</v>
      </c>
    </row>
    <row r="104" spans="1:35" x14ac:dyDescent="0.2">
      <c r="A104" s="20"/>
      <c r="B104" s="21"/>
      <c r="C104" s="22" t="s">
        <v>34</v>
      </c>
      <c r="D104" s="23">
        <v>33188.019999999997</v>
      </c>
      <c r="E104" s="51">
        <v>32192.38</v>
      </c>
      <c r="F104" s="24">
        <f t="shared" ref="F104:F107" si="196">D104-E104</f>
        <v>995.63999999999578</v>
      </c>
      <c r="G104" s="25">
        <f t="shared" si="184"/>
        <v>2.9999981921187101E-2</v>
      </c>
      <c r="H104" s="24">
        <v>23790.07</v>
      </c>
      <c r="I104" s="24">
        <v>30917.81</v>
      </c>
      <c r="J104" s="23">
        <f t="shared" si="185"/>
        <v>13406.21</v>
      </c>
      <c r="K104" s="23">
        <f t="shared" si="185"/>
        <v>16562.52</v>
      </c>
      <c r="L104" s="24">
        <f t="shared" si="186"/>
        <v>-3156.3100000000013</v>
      </c>
      <c r="M104" s="25">
        <f t="shared" si="187"/>
        <v>-0.23543641342333155</v>
      </c>
      <c r="N104" s="26">
        <v>0</v>
      </c>
      <c r="O104" s="23">
        <v>10383.86</v>
      </c>
      <c r="P104" s="23">
        <v>14355.29</v>
      </c>
      <c r="Q104" s="24">
        <f t="shared" si="188"/>
        <v>-3971.4300000000003</v>
      </c>
      <c r="R104" s="25">
        <f t="shared" si="189"/>
        <v>-0.38246182055613231</v>
      </c>
      <c r="S104" s="27">
        <v>208.2</v>
      </c>
      <c r="T104" s="27">
        <v>289.25</v>
      </c>
      <c r="U104" s="28">
        <f t="shared" si="190"/>
        <v>-81.050000000000011</v>
      </c>
      <c r="V104" s="25">
        <f t="shared" si="191"/>
        <v>-0.38928914505283391</v>
      </c>
      <c r="W104" s="26"/>
      <c r="X104" s="29">
        <f t="shared" si="192"/>
        <v>4.406464995678478</v>
      </c>
      <c r="Y104" s="29">
        <f t="shared" si="193"/>
        <v>45.139048991354457</v>
      </c>
      <c r="Z104" s="25">
        <f t="shared" si="194"/>
        <v>3.9592288609913269E-2</v>
      </c>
      <c r="AA104" s="30">
        <f t="shared" si="195"/>
        <v>0.28317296422022159</v>
      </c>
      <c r="AB104" s="31"/>
      <c r="AH104" s="20">
        <f>SUM(T105-T104)</f>
        <v>0</v>
      </c>
      <c r="AI104" s="32">
        <f>SUM(K105-K104)</f>
        <v>0</v>
      </c>
    </row>
    <row r="105" spans="1:35" x14ac:dyDescent="0.2">
      <c r="A105" s="20"/>
      <c r="B105" s="21"/>
      <c r="C105" s="22" t="s">
        <v>35</v>
      </c>
      <c r="D105" s="23">
        <v>33188.019999999997</v>
      </c>
      <c r="E105" s="51">
        <v>32192.38</v>
      </c>
      <c r="F105" s="24">
        <f t="shared" si="196"/>
        <v>995.63999999999578</v>
      </c>
      <c r="G105" s="25">
        <f t="shared" si="184"/>
        <v>2.9999981921187101E-2</v>
      </c>
      <c r="H105" s="24">
        <v>23790.07</v>
      </c>
      <c r="I105" s="24">
        <v>30917.81</v>
      </c>
      <c r="J105" s="23">
        <f t="shared" si="185"/>
        <v>13406.21</v>
      </c>
      <c r="K105" s="23">
        <f t="shared" si="185"/>
        <v>16562.52</v>
      </c>
      <c r="L105" s="24">
        <f t="shared" si="186"/>
        <v>-3156.3100000000013</v>
      </c>
      <c r="M105" s="25">
        <f t="shared" si="187"/>
        <v>-0.23543641342333155</v>
      </c>
      <c r="N105" s="26">
        <v>0</v>
      </c>
      <c r="O105" s="23">
        <v>10383.86</v>
      </c>
      <c r="P105" s="23">
        <v>14355.29</v>
      </c>
      <c r="Q105" s="24">
        <f t="shared" si="188"/>
        <v>-3971.4300000000003</v>
      </c>
      <c r="R105" s="25">
        <f t="shared" si="189"/>
        <v>-0.38246182055613231</v>
      </c>
      <c r="S105" s="27">
        <v>208.2</v>
      </c>
      <c r="T105" s="27">
        <v>289.25</v>
      </c>
      <c r="U105" s="28">
        <f t="shared" si="190"/>
        <v>-81.050000000000011</v>
      </c>
      <c r="V105" s="25">
        <f t="shared" si="191"/>
        <v>-0.38928914505283391</v>
      </c>
      <c r="W105" s="26"/>
      <c r="X105" s="29">
        <f t="shared" si="192"/>
        <v>4.406464995678478</v>
      </c>
      <c r="Y105" s="29">
        <f t="shared" si="193"/>
        <v>45.139048991354457</v>
      </c>
      <c r="Z105" s="25">
        <f t="shared" si="194"/>
        <v>3.9592288609913269E-2</v>
      </c>
      <c r="AA105" s="30">
        <f t="shared" si="195"/>
        <v>0.28317296422022159</v>
      </c>
      <c r="AB105" s="31"/>
      <c r="AD105" t="s">
        <v>36</v>
      </c>
      <c r="AE105" s="33">
        <v>0</v>
      </c>
      <c r="AH105" s="20">
        <f>SUM(T106-T105)</f>
        <v>0</v>
      </c>
      <c r="AI105" s="32">
        <f>SUM(K106-K105)</f>
        <v>0</v>
      </c>
    </row>
    <row r="106" spans="1:35" x14ac:dyDescent="0.2">
      <c r="A106" s="20"/>
      <c r="B106" s="21"/>
      <c r="C106" s="22" t="s">
        <v>37</v>
      </c>
      <c r="D106" s="23">
        <v>33188.019999999997</v>
      </c>
      <c r="E106" s="51">
        <v>32192.38</v>
      </c>
      <c r="F106" s="24">
        <f t="shared" si="196"/>
        <v>995.63999999999578</v>
      </c>
      <c r="G106" s="25">
        <f t="shared" si="184"/>
        <v>2.9999981921187101E-2</v>
      </c>
      <c r="H106" s="24">
        <v>23790.07</v>
      </c>
      <c r="I106" s="24">
        <v>30917.81</v>
      </c>
      <c r="J106" s="23">
        <f t="shared" si="185"/>
        <v>13406.21</v>
      </c>
      <c r="K106" s="23">
        <f t="shared" si="185"/>
        <v>16562.52</v>
      </c>
      <c r="L106" s="24">
        <f t="shared" si="186"/>
        <v>-3156.3100000000013</v>
      </c>
      <c r="M106" s="25">
        <f t="shared" si="187"/>
        <v>-0.23543641342333155</v>
      </c>
      <c r="N106" s="26">
        <v>0</v>
      </c>
      <c r="O106" s="23">
        <v>10383.86</v>
      </c>
      <c r="P106" s="23">
        <v>14355.29</v>
      </c>
      <c r="Q106" s="24">
        <f t="shared" si="188"/>
        <v>-3971.4300000000003</v>
      </c>
      <c r="R106" s="25">
        <f t="shared" si="189"/>
        <v>-0.38246182055613231</v>
      </c>
      <c r="S106" s="27">
        <v>208.2</v>
      </c>
      <c r="T106" s="27">
        <v>289.25</v>
      </c>
      <c r="U106" s="28">
        <f t="shared" si="190"/>
        <v>-81.050000000000011</v>
      </c>
      <c r="V106" s="25">
        <f t="shared" si="191"/>
        <v>-0.38928914505283391</v>
      </c>
      <c r="W106" s="26"/>
      <c r="X106" s="29">
        <f t="shared" si="192"/>
        <v>4.406464995678478</v>
      </c>
      <c r="Y106" s="29">
        <f t="shared" si="193"/>
        <v>45.139048991354457</v>
      </c>
      <c r="Z106" s="25">
        <f t="shared" si="194"/>
        <v>3.9592288609913269E-2</v>
      </c>
      <c r="AA106" s="30">
        <f t="shared" si="195"/>
        <v>0.28317296422022159</v>
      </c>
      <c r="AB106" s="31"/>
      <c r="AH106" s="20">
        <f>SUM(T107-T106)</f>
        <v>28</v>
      </c>
      <c r="AI106" s="32">
        <f>SUM(K107-K106)</f>
        <v>-3.637978807091713E-12</v>
      </c>
    </row>
    <row r="107" spans="1:35" ht="17" thickBot="1" x14ac:dyDescent="0.25">
      <c r="A107" s="20"/>
      <c r="B107" s="21"/>
      <c r="C107" s="22" t="s">
        <v>38</v>
      </c>
      <c r="D107" s="23">
        <v>33188.019999999997</v>
      </c>
      <c r="E107" s="49">
        <v>33188.03</v>
      </c>
      <c r="F107" s="24">
        <f t="shared" si="196"/>
        <v>-1.0000000002037268E-2</v>
      </c>
      <c r="G107" s="25">
        <f t="shared" si="184"/>
        <v>-3.0131354633501094E-7</v>
      </c>
      <c r="H107" s="24">
        <v>23790.07</v>
      </c>
      <c r="I107" s="24">
        <v>32303.46</v>
      </c>
      <c r="J107" s="23">
        <f t="shared" si="185"/>
        <v>13406.21</v>
      </c>
      <c r="K107" s="23">
        <f t="shared" si="185"/>
        <v>16562.519999999997</v>
      </c>
      <c r="L107" s="24">
        <f t="shared" si="186"/>
        <v>-3156.3099999999977</v>
      </c>
      <c r="M107" s="25">
        <f t="shared" si="187"/>
        <v>-0.23543641342333127</v>
      </c>
      <c r="N107" s="26">
        <v>0</v>
      </c>
      <c r="O107" s="23">
        <v>10383.86</v>
      </c>
      <c r="P107" s="23">
        <v>15740.94</v>
      </c>
      <c r="Q107" s="24">
        <f t="shared" si="188"/>
        <v>-5357.08</v>
      </c>
      <c r="R107" s="25">
        <f t="shared" si="189"/>
        <v>-0.51590449023773433</v>
      </c>
      <c r="S107" s="27">
        <v>208.2</v>
      </c>
      <c r="T107" s="27">
        <v>317.25</v>
      </c>
      <c r="U107" s="28">
        <f t="shared" si="190"/>
        <v>-109.05000000000001</v>
      </c>
      <c r="V107" s="25">
        <f t="shared" si="191"/>
        <v>-0.52377521613832856</v>
      </c>
      <c r="W107" s="26"/>
      <c r="X107" s="29">
        <f t="shared" si="192"/>
        <v>2.7882427107959069</v>
      </c>
      <c r="Y107" s="29">
        <f t="shared" si="193"/>
        <v>45.139048991354457</v>
      </c>
      <c r="Z107" s="25">
        <f t="shared" si="194"/>
        <v>2.6653284331730493E-2</v>
      </c>
      <c r="AA107" s="30">
        <f>SUM(D107-H107)/D107</f>
        <v>0.28317296422022159</v>
      </c>
      <c r="AB107" s="31"/>
      <c r="AH107" s="34">
        <f>SUM(AH102,AH103,AH104,AH105,AH106)</f>
        <v>68.5</v>
      </c>
      <c r="AI107" s="35">
        <f>SUM(AI102,AI103,AI104,AI105,AI106)</f>
        <v>587.12999999999556</v>
      </c>
    </row>
    <row r="108" spans="1:35" ht="9" customHeight="1" x14ac:dyDescent="0.2">
      <c r="A108" s="52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4"/>
    </row>
    <row r="109" spans="1:35" x14ac:dyDescent="0.2">
      <c r="A109" s="20">
        <f>'[1]Main Sheet'!A34</f>
        <v>8840</v>
      </c>
      <c r="B109" s="21" t="str">
        <f>'[1]Main Sheet'!B34</f>
        <v>Inline Architecture</v>
      </c>
      <c r="C109" s="22" t="s">
        <v>30</v>
      </c>
      <c r="D109" s="23">
        <v>54687.94</v>
      </c>
      <c r="E109" s="23">
        <v>6042.41</v>
      </c>
      <c r="F109" s="24">
        <f>D109-E109</f>
        <v>48645.53</v>
      </c>
      <c r="G109" s="25">
        <f>F109/D109</f>
        <v>0.88951110610492912</v>
      </c>
      <c r="H109" s="24">
        <v>34464.78</v>
      </c>
      <c r="I109" s="24">
        <v>9939.86</v>
      </c>
      <c r="J109" s="23">
        <f>SUM(H109-O109)</f>
        <v>18667.449999999997</v>
      </c>
      <c r="K109" s="23">
        <f>SUM(I109-P109)</f>
        <v>4193.3100000000004</v>
      </c>
      <c r="L109" s="24">
        <f>J109-K109</f>
        <v>14474.139999999996</v>
      </c>
      <c r="M109" s="25">
        <f>L109/J109</f>
        <v>0.77536781938615063</v>
      </c>
      <c r="N109" s="26">
        <v>1</v>
      </c>
      <c r="O109" s="23">
        <v>15797.33</v>
      </c>
      <c r="P109" s="23">
        <v>5746.55</v>
      </c>
      <c r="Q109" s="24">
        <f>O109-P109</f>
        <v>10050.779999999999</v>
      </c>
      <c r="R109" s="25">
        <f>Q109/O109</f>
        <v>0.63623283175068179</v>
      </c>
      <c r="S109" s="27">
        <v>316.33999999999997</v>
      </c>
      <c r="T109" s="27">
        <v>127.25</v>
      </c>
      <c r="U109" s="28">
        <f>S109-T109</f>
        <v>189.08999999999997</v>
      </c>
      <c r="V109" s="25">
        <f>U109/S109</f>
        <v>0.59774293481696905</v>
      </c>
      <c r="W109" s="26">
        <v>1</v>
      </c>
      <c r="X109" s="29">
        <f>(E109-K109-P109)/T109</f>
        <v>-30.628290766208256</v>
      </c>
      <c r="Y109" s="29">
        <f>(D109-J109-O109)/S109</f>
        <v>63.928557880761225</v>
      </c>
      <c r="Z109" s="25">
        <f>(E109-K109-P109)/E109</f>
        <v>-0.64501581322684176</v>
      </c>
      <c r="AA109" s="30">
        <f>SUM(D109-H109)/D109</f>
        <v>0.36979195047390712</v>
      </c>
      <c r="AB109" s="31"/>
      <c r="AD109" t="s">
        <v>31</v>
      </c>
      <c r="AE109">
        <f>AH114</f>
        <v>77.5</v>
      </c>
      <c r="AH109" s="20">
        <f>SUM(T110-T109)</f>
        <v>45</v>
      </c>
      <c r="AI109" s="32">
        <f>SUM(K110-K109)</f>
        <v>4993.3599999999979</v>
      </c>
    </row>
    <row r="110" spans="1:35" x14ac:dyDescent="0.2">
      <c r="A110" s="20"/>
      <c r="B110" s="21"/>
      <c r="C110" s="22" t="s">
        <v>32</v>
      </c>
      <c r="D110" s="23">
        <v>54687.94</v>
      </c>
      <c r="E110" s="23">
        <v>25591.11</v>
      </c>
      <c r="F110" s="24">
        <f t="shared" ref="F110:F114" si="197">D110-E110</f>
        <v>29096.83</v>
      </c>
      <c r="G110" s="25">
        <f t="shared" ref="G110:G114" si="198">F110/D110</f>
        <v>0.53205203926130695</v>
      </c>
      <c r="H110" s="24">
        <v>34464.78</v>
      </c>
      <c r="I110" s="24">
        <v>17182.919999999998</v>
      </c>
      <c r="J110" s="23">
        <f t="shared" ref="J110:K114" si="199">SUM(H110-O110)</f>
        <v>18667.449999999997</v>
      </c>
      <c r="K110" s="23">
        <f t="shared" si="199"/>
        <v>9186.6699999999983</v>
      </c>
      <c r="L110" s="24">
        <f t="shared" ref="L110:L114" si="200">J110-K110</f>
        <v>9480.7799999999988</v>
      </c>
      <c r="M110" s="25">
        <f t="shared" ref="M110:M114" si="201">L110/J110</f>
        <v>0.5078776158500492</v>
      </c>
      <c r="N110" s="26">
        <v>1</v>
      </c>
      <c r="O110" s="23">
        <v>15797.33</v>
      </c>
      <c r="P110" s="23">
        <v>7996.25</v>
      </c>
      <c r="Q110" s="24">
        <f t="shared" ref="Q110:Q114" si="202">O110-P110</f>
        <v>7801.08</v>
      </c>
      <c r="R110" s="25">
        <f t="shared" ref="R110:R114" si="203">Q110/O110</f>
        <v>0.49382269029006798</v>
      </c>
      <c r="S110" s="27">
        <v>316.33999999999997</v>
      </c>
      <c r="T110" s="27">
        <v>172.25</v>
      </c>
      <c r="U110" s="28">
        <f t="shared" ref="U110:U114" si="204">S110-T110</f>
        <v>144.08999999999997</v>
      </c>
      <c r="V110" s="25">
        <f t="shared" ref="V110:V114" si="205">U110/S110</f>
        <v>0.45549092748308778</v>
      </c>
      <c r="W110" s="26">
        <v>1</v>
      </c>
      <c r="X110" s="29">
        <f t="shared" ref="X110:X114" si="206">(E110-K110-P110)/T110</f>
        <v>48.813875181422368</v>
      </c>
      <c r="Y110" s="29">
        <f t="shared" ref="Y110:Y114" si="207">(D110-J110-O110)/S110</f>
        <v>63.928557880761225</v>
      </c>
      <c r="Z110" s="25">
        <f t="shared" ref="Z110:Z114" si="208">(E110-K110-P110)/E110</f>
        <v>0.32855901912812702</v>
      </c>
      <c r="AA110" s="30">
        <f t="shared" ref="AA110:AA113" si="209">SUM(D110-H110)/D110</f>
        <v>0.36979195047390712</v>
      </c>
      <c r="AB110" s="31"/>
      <c r="AD110" t="s">
        <v>33</v>
      </c>
      <c r="AE110" s="33">
        <f>AI114</f>
        <v>7961.96</v>
      </c>
      <c r="AH110" s="20">
        <f>SUM(T111-T110)</f>
        <v>13.25</v>
      </c>
      <c r="AI110" s="32">
        <f>SUM(K111-K110)</f>
        <v>2633.1100000000024</v>
      </c>
    </row>
    <row r="111" spans="1:35" x14ac:dyDescent="0.2">
      <c r="A111" s="20"/>
      <c r="B111" s="21"/>
      <c r="C111" s="22" t="s">
        <v>34</v>
      </c>
      <c r="D111" s="23">
        <v>56556.55</v>
      </c>
      <c r="E111" s="23">
        <v>25591.11</v>
      </c>
      <c r="F111" s="24">
        <f t="shared" si="197"/>
        <v>30965.440000000002</v>
      </c>
      <c r="G111" s="25">
        <f t="shared" si="198"/>
        <v>0.54751288754352945</v>
      </c>
      <c r="H111" s="24">
        <v>35959.67</v>
      </c>
      <c r="I111" s="24">
        <v>20682.54</v>
      </c>
      <c r="J111" s="23">
        <f t="shared" si="199"/>
        <v>20162.339999999997</v>
      </c>
      <c r="K111" s="23">
        <f t="shared" si="199"/>
        <v>11819.78</v>
      </c>
      <c r="L111" s="24">
        <f t="shared" si="200"/>
        <v>8342.5599999999959</v>
      </c>
      <c r="M111" s="25">
        <f t="shared" si="201"/>
        <v>0.41376943350821371</v>
      </c>
      <c r="N111" s="26">
        <v>1</v>
      </c>
      <c r="O111" s="23">
        <v>15797.33</v>
      </c>
      <c r="P111" s="23">
        <v>8862.76</v>
      </c>
      <c r="Q111" s="24">
        <f t="shared" si="202"/>
        <v>6934.57</v>
      </c>
      <c r="R111" s="25">
        <f t="shared" si="203"/>
        <v>0.43897101598814481</v>
      </c>
      <c r="S111" s="27">
        <v>316.33999999999997</v>
      </c>
      <c r="T111" s="27">
        <v>185.5</v>
      </c>
      <c r="U111" s="28">
        <f t="shared" si="204"/>
        <v>130.83999999999997</v>
      </c>
      <c r="V111" s="25">
        <f t="shared" si="205"/>
        <v>0.41360561421255604</v>
      </c>
      <c r="W111" s="26">
        <v>1</v>
      </c>
      <c r="X111" s="29">
        <f t="shared" si="206"/>
        <v>26.461293800539082</v>
      </c>
      <c r="Y111" s="29">
        <f t="shared" si="207"/>
        <v>65.109944995890515</v>
      </c>
      <c r="Z111" s="25">
        <f t="shared" si="208"/>
        <v>0.19180762381936539</v>
      </c>
      <c r="AA111" s="30">
        <f t="shared" si="209"/>
        <v>0.36418204434322821</v>
      </c>
      <c r="AB111" s="31"/>
      <c r="AH111" s="20">
        <f>SUM(T112-T111)</f>
        <v>0</v>
      </c>
      <c r="AI111" s="32">
        <f>SUM(K112-K111)</f>
        <v>0</v>
      </c>
    </row>
    <row r="112" spans="1:35" x14ac:dyDescent="0.2">
      <c r="A112" s="20"/>
      <c r="B112" s="21"/>
      <c r="C112" s="22" t="s">
        <v>35</v>
      </c>
      <c r="D112" s="23">
        <v>56556.55</v>
      </c>
      <c r="E112" s="23">
        <v>25591.11</v>
      </c>
      <c r="F112" s="24">
        <f t="shared" si="197"/>
        <v>30965.440000000002</v>
      </c>
      <c r="G112" s="25">
        <f t="shared" si="198"/>
        <v>0.54751288754352945</v>
      </c>
      <c r="H112" s="24">
        <v>35959.67</v>
      </c>
      <c r="I112" s="24">
        <v>20682.54</v>
      </c>
      <c r="J112" s="23">
        <f t="shared" si="199"/>
        <v>20162.339999999997</v>
      </c>
      <c r="K112" s="23">
        <f t="shared" si="199"/>
        <v>11819.78</v>
      </c>
      <c r="L112" s="24">
        <f t="shared" si="200"/>
        <v>8342.5599999999959</v>
      </c>
      <c r="M112" s="25">
        <f t="shared" si="201"/>
        <v>0.41376943350821371</v>
      </c>
      <c r="N112" s="26">
        <v>0</v>
      </c>
      <c r="O112" s="23">
        <v>15797.33</v>
      </c>
      <c r="P112" s="23">
        <v>8862.76</v>
      </c>
      <c r="Q112" s="24">
        <f t="shared" si="202"/>
        <v>6934.57</v>
      </c>
      <c r="R112" s="25">
        <f t="shared" si="203"/>
        <v>0.43897101598814481</v>
      </c>
      <c r="S112" s="27">
        <v>316.33999999999997</v>
      </c>
      <c r="T112" s="27">
        <v>185.5</v>
      </c>
      <c r="U112" s="28">
        <f t="shared" si="204"/>
        <v>130.83999999999997</v>
      </c>
      <c r="V112" s="25">
        <f t="shared" si="205"/>
        <v>0.41360561421255604</v>
      </c>
      <c r="W112" s="26">
        <v>0</v>
      </c>
      <c r="X112" s="29">
        <f t="shared" si="206"/>
        <v>26.461293800539082</v>
      </c>
      <c r="Y112" s="29">
        <f t="shared" si="207"/>
        <v>65.109944995890515</v>
      </c>
      <c r="Z112" s="25">
        <f t="shared" si="208"/>
        <v>0.19180762381936539</v>
      </c>
      <c r="AA112" s="30">
        <f t="shared" si="209"/>
        <v>0.36418204434322821</v>
      </c>
      <c r="AB112" s="31"/>
      <c r="AD112" t="s">
        <v>36</v>
      </c>
      <c r="AE112" s="33">
        <v>0</v>
      </c>
      <c r="AH112" s="20">
        <f>SUM(T113-T112)</f>
        <v>0</v>
      </c>
      <c r="AI112" s="32">
        <f>SUM(K113-K112)</f>
        <v>0</v>
      </c>
    </row>
    <row r="113" spans="1:35" x14ac:dyDescent="0.2">
      <c r="A113" s="20"/>
      <c r="B113" s="21"/>
      <c r="C113" s="22" t="s">
        <v>37</v>
      </c>
      <c r="D113" s="23">
        <v>56556.55</v>
      </c>
      <c r="E113" s="23">
        <v>25591.11</v>
      </c>
      <c r="F113" s="24">
        <f t="shared" si="197"/>
        <v>30965.440000000002</v>
      </c>
      <c r="G113" s="25">
        <f t="shared" si="198"/>
        <v>0.54751288754352945</v>
      </c>
      <c r="H113" s="24">
        <v>35959.67</v>
      </c>
      <c r="I113" s="24">
        <v>20682.54</v>
      </c>
      <c r="J113" s="23">
        <f t="shared" si="199"/>
        <v>20162.339999999997</v>
      </c>
      <c r="K113" s="23">
        <f t="shared" si="199"/>
        <v>11819.78</v>
      </c>
      <c r="L113" s="24">
        <f t="shared" si="200"/>
        <v>8342.5599999999959</v>
      </c>
      <c r="M113" s="25">
        <f t="shared" si="201"/>
        <v>0.41376943350821371</v>
      </c>
      <c r="N113" s="26">
        <v>0</v>
      </c>
      <c r="O113" s="23">
        <v>15797.33</v>
      </c>
      <c r="P113" s="23">
        <v>8862.76</v>
      </c>
      <c r="Q113" s="24">
        <f t="shared" si="202"/>
        <v>6934.57</v>
      </c>
      <c r="R113" s="25">
        <f t="shared" si="203"/>
        <v>0.43897101598814481</v>
      </c>
      <c r="S113" s="27">
        <v>316.33999999999997</v>
      </c>
      <c r="T113" s="27">
        <v>185.5</v>
      </c>
      <c r="U113" s="28">
        <f t="shared" si="204"/>
        <v>130.83999999999997</v>
      </c>
      <c r="V113" s="25">
        <f t="shared" si="205"/>
        <v>0.41360561421255604</v>
      </c>
      <c r="W113" s="26">
        <v>0</v>
      </c>
      <c r="X113" s="29">
        <f t="shared" si="206"/>
        <v>26.461293800539082</v>
      </c>
      <c r="Y113" s="29">
        <f t="shared" si="207"/>
        <v>65.109944995890515</v>
      </c>
      <c r="Z113" s="25">
        <f t="shared" si="208"/>
        <v>0.19180762381936539</v>
      </c>
      <c r="AA113" s="30">
        <f t="shared" si="209"/>
        <v>0.36418204434322821</v>
      </c>
      <c r="AB113" s="31"/>
      <c r="AH113" s="20">
        <f>SUM(T114-T113)</f>
        <v>19.25</v>
      </c>
      <c r="AI113" s="32">
        <f>SUM(K114-K113)</f>
        <v>335.48999999999978</v>
      </c>
    </row>
    <row r="114" spans="1:35" ht="17" thickBot="1" x14ac:dyDescent="0.25">
      <c r="A114" s="20"/>
      <c r="B114" s="21"/>
      <c r="C114" s="22" t="s">
        <v>38</v>
      </c>
      <c r="D114" s="23">
        <v>56556.55</v>
      </c>
      <c r="E114" s="23">
        <v>35454.43</v>
      </c>
      <c r="F114" s="24">
        <f t="shared" si="197"/>
        <v>21102.120000000003</v>
      </c>
      <c r="G114" s="25">
        <f t="shared" si="198"/>
        <v>0.37311540396293624</v>
      </c>
      <c r="H114" s="24">
        <v>35959.67</v>
      </c>
      <c r="I114" s="24">
        <v>21861.72</v>
      </c>
      <c r="J114" s="23">
        <f t="shared" si="199"/>
        <v>20162.339999999997</v>
      </c>
      <c r="K114" s="23">
        <f t="shared" si="199"/>
        <v>12155.27</v>
      </c>
      <c r="L114" s="24">
        <f t="shared" si="200"/>
        <v>8007.0699999999961</v>
      </c>
      <c r="M114" s="25">
        <f t="shared" si="201"/>
        <v>0.3971299958238973</v>
      </c>
      <c r="N114" s="26">
        <v>0</v>
      </c>
      <c r="O114" s="23">
        <v>15797.33</v>
      </c>
      <c r="P114" s="23">
        <v>9706.4500000000007</v>
      </c>
      <c r="Q114" s="24">
        <f t="shared" si="202"/>
        <v>6090.8799999999992</v>
      </c>
      <c r="R114" s="25">
        <f t="shared" si="203"/>
        <v>0.38556388959400095</v>
      </c>
      <c r="S114" s="27">
        <v>316.33999999999997</v>
      </c>
      <c r="T114" s="27">
        <v>204.75</v>
      </c>
      <c r="U114" s="28">
        <f t="shared" si="204"/>
        <v>111.58999999999997</v>
      </c>
      <c r="V114" s="25">
        <f t="shared" si="205"/>
        <v>0.35275336663084017</v>
      </c>
      <c r="W114" s="26">
        <v>0</v>
      </c>
      <c r="X114" s="29">
        <f t="shared" si="206"/>
        <v>66.386862026862019</v>
      </c>
      <c r="Y114" s="29">
        <f t="shared" si="207"/>
        <v>65.109944995890515</v>
      </c>
      <c r="Z114" s="25">
        <f t="shared" si="208"/>
        <v>0.38338537666520089</v>
      </c>
      <c r="AA114" s="30">
        <f>SUM(D114-H114)/D114</f>
        <v>0.36418204434322821</v>
      </c>
      <c r="AB114" s="31"/>
      <c r="AH114" s="34">
        <f>SUM(AH109,AH110,AH111,AH112,AH113)</f>
        <v>77.5</v>
      </c>
      <c r="AI114" s="35">
        <f>SUM(AI109,AI110,AI111,AI112,AI113)</f>
        <v>7961.96</v>
      </c>
    </row>
    <row r="115" spans="1:35" ht="9" customHeight="1" x14ac:dyDescent="0.2">
      <c r="A115" s="55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7"/>
    </row>
    <row r="116" spans="1:35" x14ac:dyDescent="0.2">
      <c r="A116" s="20">
        <f>'[1]Main Sheet'!A36</f>
        <v>8769</v>
      </c>
      <c r="B116" s="21" t="str">
        <f>'[1]Main Sheet'!B36</f>
        <v>Percival Bach</v>
      </c>
      <c r="C116" s="22" t="s">
        <v>30</v>
      </c>
      <c r="D116" s="23">
        <v>21404.82</v>
      </c>
      <c r="E116" s="23">
        <v>0</v>
      </c>
      <c r="F116" s="24">
        <v>0</v>
      </c>
      <c r="G116" s="25">
        <f>F116/D116</f>
        <v>0</v>
      </c>
      <c r="H116" s="24">
        <v>17424.66</v>
      </c>
      <c r="I116" s="24">
        <v>0</v>
      </c>
      <c r="J116" s="23">
        <f>SUM(H116-O116)</f>
        <v>13229.5</v>
      </c>
      <c r="K116" s="23">
        <f>SUM(I116-P116)</f>
        <v>0</v>
      </c>
      <c r="L116" s="24">
        <f>J116-K116</f>
        <v>13229.5</v>
      </c>
      <c r="M116" s="25">
        <f>L116/J116</f>
        <v>1</v>
      </c>
      <c r="N116" s="26">
        <v>0</v>
      </c>
      <c r="O116" s="23">
        <v>4195.16</v>
      </c>
      <c r="P116" s="23">
        <v>0</v>
      </c>
      <c r="Q116" s="24">
        <f>O116-P116</f>
        <v>4195.16</v>
      </c>
      <c r="R116" s="25">
        <f>Q116/O116</f>
        <v>1</v>
      </c>
      <c r="S116" s="27">
        <v>84.03</v>
      </c>
      <c r="T116" s="27">
        <v>0</v>
      </c>
      <c r="U116" s="28">
        <f>S116-T116</f>
        <v>84.03</v>
      </c>
      <c r="V116" s="25">
        <f>U116/S116</f>
        <v>1</v>
      </c>
      <c r="W116" s="26">
        <v>0</v>
      </c>
      <c r="X116" s="29" t="e">
        <f>(E116-K116-P116)/T116</f>
        <v>#DIV/0!</v>
      </c>
      <c r="Y116" s="29">
        <f>(D116-J116-O116)/S116</f>
        <v>47.365940735451623</v>
      </c>
      <c r="Z116" s="25" t="e">
        <f>(E116-K116-P116)/E116</f>
        <v>#DIV/0!</v>
      </c>
      <c r="AA116" s="30">
        <f>SUM(D116-H116)/D116</f>
        <v>0.18594690354789248</v>
      </c>
      <c r="AB116" s="31"/>
      <c r="AD116" t="s">
        <v>31</v>
      </c>
      <c r="AE116">
        <f>AH121</f>
        <v>0</v>
      </c>
      <c r="AH116" s="20">
        <f>SUM(T117-T116)</f>
        <v>0</v>
      </c>
      <c r="AI116" s="32">
        <f>SUM(K117-K116)</f>
        <v>0</v>
      </c>
    </row>
    <row r="117" spans="1:35" x14ac:dyDescent="0.2">
      <c r="A117" s="20"/>
      <c r="B117" s="21"/>
      <c r="C117" s="22" t="s">
        <v>32</v>
      </c>
      <c r="D117" s="23">
        <v>21404.82</v>
      </c>
      <c r="E117" s="23">
        <v>0</v>
      </c>
      <c r="F117" s="24">
        <f t="shared" ref="F117:F121" si="210">D117-E117</f>
        <v>21404.82</v>
      </c>
      <c r="G117" s="25">
        <f t="shared" ref="G117:G121" si="211">F117/D117</f>
        <v>1</v>
      </c>
      <c r="H117" s="24">
        <v>17424.66</v>
      </c>
      <c r="I117" s="24">
        <v>0</v>
      </c>
      <c r="J117" s="23">
        <f t="shared" ref="J117:K121" si="212">SUM(H117-O117)</f>
        <v>13229.5</v>
      </c>
      <c r="K117" s="23">
        <f t="shared" si="212"/>
        <v>0</v>
      </c>
      <c r="L117" s="24">
        <f t="shared" ref="L117:L121" si="213">J117-K117</f>
        <v>13229.5</v>
      </c>
      <c r="M117" s="25">
        <f t="shared" ref="M117:M121" si="214">L117/J117</f>
        <v>1</v>
      </c>
      <c r="N117" s="26">
        <v>0</v>
      </c>
      <c r="O117" s="23">
        <v>4195.16</v>
      </c>
      <c r="P117" s="23">
        <v>0</v>
      </c>
      <c r="Q117" s="24">
        <f t="shared" ref="Q117:Q121" si="215">O117-P117</f>
        <v>4195.16</v>
      </c>
      <c r="R117" s="25">
        <f t="shared" ref="R117:R121" si="216">Q117/O117</f>
        <v>1</v>
      </c>
      <c r="S117" s="27">
        <v>84.03</v>
      </c>
      <c r="T117" s="27">
        <v>0</v>
      </c>
      <c r="U117" s="28">
        <f t="shared" ref="U117:U121" si="217">S117-T117</f>
        <v>84.03</v>
      </c>
      <c r="V117" s="25">
        <f t="shared" ref="V117:V121" si="218">U117/S117</f>
        <v>1</v>
      </c>
      <c r="W117" s="26">
        <v>0</v>
      </c>
      <c r="X117" s="29" t="e">
        <f t="shared" ref="X117:X121" si="219">(E117-K117-P117)/T117</f>
        <v>#DIV/0!</v>
      </c>
      <c r="Y117" s="29">
        <f t="shared" ref="Y117:Y121" si="220">(D117-J117-O117)/S117</f>
        <v>47.365940735451623</v>
      </c>
      <c r="Z117" s="25" t="e">
        <f t="shared" ref="Z117:Z121" si="221">(E117-K117-P117)/E117</f>
        <v>#DIV/0!</v>
      </c>
      <c r="AA117" s="30">
        <f t="shared" ref="AA117:AA120" si="222">SUM(D117-H117)/D117</f>
        <v>0.18594690354789248</v>
      </c>
      <c r="AB117" s="31"/>
      <c r="AD117" t="s">
        <v>33</v>
      </c>
      <c r="AE117" s="33">
        <f>AI121</f>
        <v>0</v>
      </c>
      <c r="AH117" s="20">
        <f>SUM(T118-T117)</f>
        <v>0</v>
      </c>
      <c r="AI117" s="32">
        <f>SUM(K118-K117)</f>
        <v>0</v>
      </c>
    </row>
    <row r="118" spans="1:35" x14ac:dyDescent="0.2">
      <c r="A118" s="20"/>
      <c r="B118" s="21"/>
      <c r="C118" s="22" t="s">
        <v>34</v>
      </c>
      <c r="D118" s="23">
        <v>0</v>
      </c>
      <c r="E118" s="23">
        <v>0</v>
      </c>
      <c r="F118" s="24">
        <f t="shared" si="210"/>
        <v>0</v>
      </c>
      <c r="G118" s="25" t="e">
        <f t="shared" si="211"/>
        <v>#DIV/0!</v>
      </c>
      <c r="H118" s="24">
        <v>0</v>
      </c>
      <c r="I118" s="24">
        <v>0</v>
      </c>
      <c r="J118" s="23">
        <f>SUM(H118-O118)</f>
        <v>0</v>
      </c>
      <c r="K118" s="23">
        <f t="shared" si="212"/>
        <v>0</v>
      </c>
      <c r="L118" s="24">
        <f t="shared" si="213"/>
        <v>0</v>
      </c>
      <c r="M118" s="25" t="e">
        <f t="shared" si="214"/>
        <v>#DIV/0!</v>
      </c>
      <c r="N118" s="26">
        <v>0</v>
      </c>
      <c r="O118" s="23">
        <v>0</v>
      </c>
      <c r="P118" s="23">
        <v>0</v>
      </c>
      <c r="Q118" s="24">
        <f t="shared" si="215"/>
        <v>0</v>
      </c>
      <c r="R118" s="25" t="e">
        <f t="shared" si="216"/>
        <v>#DIV/0!</v>
      </c>
      <c r="S118" s="27">
        <v>0</v>
      </c>
      <c r="T118" s="27">
        <v>0</v>
      </c>
      <c r="U118" s="28">
        <f t="shared" si="217"/>
        <v>0</v>
      </c>
      <c r="V118" s="25" t="e">
        <f t="shared" si="218"/>
        <v>#DIV/0!</v>
      </c>
      <c r="W118" s="26">
        <v>0</v>
      </c>
      <c r="X118" s="29" t="e">
        <f t="shared" si="219"/>
        <v>#DIV/0!</v>
      </c>
      <c r="Y118" s="29" t="e">
        <f t="shared" si="220"/>
        <v>#DIV/0!</v>
      </c>
      <c r="Z118" s="25" t="e">
        <f t="shared" si="221"/>
        <v>#DIV/0!</v>
      </c>
      <c r="AA118" s="30" t="e">
        <f>SUM(D118-H118)/D118</f>
        <v>#DIV/0!</v>
      </c>
      <c r="AB118" s="31"/>
      <c r="AH118" s="20">
        <f>SUM(T119-T118)</f>
        <v>0</v>
      </c>
      <c r="AI118" s="32">
        <f>SUM(K119-K118)</f>
        <v>0</v>
      </c>
    </row>
    <row r="119" spans="1:35" x14ac:dyDescent="0.2">
      <c r="A119" s="20"/>
      <c r="B119" s="21"/>
      <c r="C119" s="22" t="s">
        <v>35</v>
      </c>
      <c r="D119" s="23">
        <v>0</v>
      </c>
      <c r="E119" s="23">
        <v>0</v>
      </c>
      <c r="F119" s="24">
        <f t="shared" si="210"/>
        <v>0</v>
      </c>
      <c r="G119" s="25" t="e">
        <f t="shared" si="211"/>
        <v>#DIV/0!</v>
      </c>
      <c r="H119" s="24">
        <v>0</v>
      </c>
      <c r="I119" s="24">
        <v>0</v>
      </c>
      <c r="J119" s="23">
        <f>SUM(H119-O119)</f>
        <v>0</v>
      </c>
      <c r="K119" s="23">
        <f t="shared" si="212"/>
        <v>0</v>
      </c>
      <c r="L119" s="24">
        <f t="shared" si="213"/>
        <v>0</v>
      </c>
      <c r="M119" s="25" t="e">
        <f t="shared" si="214"/>
        <v>#DIV/0!</v>
      </c>
      <c r="N119" s="26">
        <v>0</v>
      </c>
      <c r="O119" s="23">
        <v>0</v>
      </c>
      <c r="P119" s="23">
        <v>0</v>
      </c>
      <c r="Q119" s="24">
        <f t="shared" si="215"/>
        <v>0</v>
      </c>
      <c r="R119" s="25" t="e">
        <f t="shared" si="216"/>
        <v>#DIV/0!</v>
      </c>
      <c r="S119" s="27">
        <v>0</v>
      </c>
      <c r="T119" s="27">
        <v>0</v>
      </c>
      <c r="U119" s="28">
        <f t="shared" si="217"/>
        <v>0</v>
      </c>
      <c r="V119" s="25" t="e">
        <f t="shared" si="218"/>
        <v>#DIV/0!</v>
      </c>
      <c r="W119" s="26">
        <v>0</v>
      </c>
      <c r="X119" s="29" t="e">
        <f t="shared" si="219"/>
        <v>#DIV/0!</v>
      </c>
      <c r="Y119" s="29" t="e">
        <f t="shared" si="220"/>
        <v>#DIV/0!</v>
      </c>
      <c r="Z119" s="25" t="e">
        <f t="shared" si="221"/>
        <v>#DIV/0!</v>
      </c>
      <c r="AA119" s="30" t="e">
        <f>SUM(D119-H119)/D119</f>
        <v>#DIV/0!</v>
      </c>
      <c r="AB119" s="31"/>
      <c r="AD119" t="s">
        <v>36</v>
      </c>
      <c r="AE119" s="33">
        <v>0</v>
      </c>
      <c r="AH119" s="20">
        <f>SUM(T120-T119)</f>
        <v>0</v>
      </c>
      <c r="AI119" s="32">
        <f>SUM(K120-K119)</f>
        <v>0</v>
      </c>
    </row>
    <row r="120" spans="1:35" x14ac:dyDescent="0.2">
      <c r="A120" s="20"/>
      <c r="B120" s="21"/>
      <c r="C120" s="22" t="s">
        <v>37</v>
      </c>
      <c r="D120" s="23">
        <v>0</v>
      </c>
      <c r="E120" s="23">
        <v>0</v>
      </c>
      <c r="F120" s="24">
        <f t="shared" si="210"/>
        <v>0</v>
      </c>
      <c r="G120" s="25" t="e">
        <f t="shared" si="211"/>
        <v>#DIV/0!</v>
      </c>
      <c r="H120" s="24">
        <v>0</v>
      </c>
      <c r="I120" s="24">
        <v>0</v>
      </c>
      <c r="J120" s="23">
        <f t="shared" si="212"/>
        <v>0</v>
      </c>
      <c r="K120" s="23">
        <f t="shared" si="212"/>
        <v>0</v>
      </c>
      <c r="L120" s="24">
        <f t="shared" si="213"/>
        <v>0</v>
      </c>
      <c r="M120" s="25" t="e">
        <f t="shared" si="214"/>
        <v>#DIV/0!</v>
      </c>
      <c r="N120" s="26">
        <v>0</v>
      </c>
      <c r="O120" s="23">
        <v>0</v>
      </c>
      <c r="P120" s="23">
        <v>0</v>
      </c>
      <c r="Q120" s="24">
        <f t="shared" si="215"/>
        <v>0</v>
      </c>
      <c r="R120" s="25" t="e">
        <f t="shared" si="216"/>
        <v>#DIV/0!</v>
      </c>
      <c r="S120" s="27">
        <v>0</v>
      </c>
      <c r="T120" s="27">
        <v>0</v>
      </c>
      <c r="U120" s="28">
        <f t="shared" si="217"/>
        <v>0</v>
      </c>
      <c r="V120" s="25" t="e">
        <f t="shared" si="218"/>
        <v>#DIV/0!</v>
      </c>
      <c r="W120" s="26">
        <v>0</v>
      </c>
      <c r="X120" s="29" t="e">
        <f t="shared" si="219"/>
        <v>#DIV/0!</v>
      </c>
      <c r="Y120" s="29" t="e">
        <f t="shared" si="220"/>
        <v>#DIV/0!</v>
      </c>
      <c r="Z120" s="25" t="e">
        <f t="shared" si="221"/>
        <v>#DIV/0!</v>
      </c>
      <c r="AA120" s="30" t="e">
        <f t="shared" si="222"/>
        <v>#DIV/0!</v>
      </c>
      <c r="AB120" s="31"/>
      <c r="AH120" s="20">
        <f>SUM(T121-T120)</f>
        <v>0</v>
      </c>
      <c r="AI120" s="32">
        <f>SUM(K121-K120)</f>
        <v>0</v>
      </c>
    </row>
    <row r="121" spans="1:35" ht="17" thickBot="1" x14ac:dyDescent="0.25">
      <c r="A121" s="20"/>
      <c r="B121" s="21"/>
      <c r="C121" s="22" t="s">
        <v>38</v>
      </c>
      <c r="D121" s="23">
        <v>0</v>
      </c>
      <c r="E121" s="23">
        <v>0</v>
      </c>
      <c r="F121" s="24">
        <f t="shared" si="210"/>
        <v>0</v>
      </c>
      <c r="G121" s="25" t="e">
        <f t="shared" si="211"/>
        <v>#DIV/0!</v>
      </c>
      <c r="H121" s="24">
        <v>0</v>
      </c>
      <c r="I121" s="24">
        <v>0</v>
      </c>
      <c r="J121" s="23">
        <f t="shared" si="212"/>
        <v>0</v>
      </c>
      <c r="K121" s="23">
        <f t="shared" si="212"/>
        <v>0</v>
      </c>
      <c r="L121" s="24">
        <f t="shared" si="213"/>
        <v>0</v>
      </c>
      <c r="M121" s="25" t="e">
        <f t="shared" si="214"/>
        <v>#DIV/0!</v>
      </c>
      <c r="N121" s="26">
        <v>0</v>
      </c>
      <c r="O121" s="23">
        <v>0</v>
      </c>
      <c r="P121" s="23">
        <v>0</v>
      </c>
      <c r="Q121" s="24">
        <f t="shared" si="215"/>
        <v>0</v>
      </c>
      <c r="R121" s="25" t="e">
        <f t="shared" si="216"/>
        <v>#DIV/0!</v>
      </c>
      <c r="S121" s="27">
        <v>0</v>
      </c>
      <c r="T121" s="27">
        <v>0</v>
      </c>
      <c r="U121" s="28">
        <f t="shared" si="217"/>
        <v>0</v>
      </c>
      <c r="V121" s="25" t="e">
        <f t="shared" si="218"/>
        <v>#DIV/0!</v>
      </c>
      <c r="W121" s="26">
        <v>0</v>
      </c>
      <c r="X121" s="29" t="e">
        <f t="shared" si="219"/>
        <v>#DIV/0!</v>
      </c>
      <c r="Y121" s="29" t="e">
        <f t="shared" si="220"/>
        <v>#DIV/0!</v>
      </c>
      <c r="Z121" s="25" t="e">
        <f t="shared" si="221"/>
        <v>#DIV/0!</v>
      </c>
      <c r="AA121" s="30" t="e">
        <f>SUM(D121-H121)/D121</f>
        <v>#DIV/0!</v>
      </c>
      <c r="AB121" s="31"/>
      <c r="AH121" s="34">
        <f>SUM(AH116,AH117,AH118,AH119,AH120)</f>
        <v>0</v>
      </c>
      <c r="AI121" s="35">
        <f>SUM(AI116,AI117,AI118,AI119,AI120)</f>
        <v>0</v>
      </c>
    </row>
    <row r="122" spans="1:35" ht="9" customHeight="1" x14ac:dyDescent="0.2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8"/>
    </row>
    <row r="123" spans="1:35" x14ac:dyDescent="0.2">
      <c r="A123" s="20">
        <f>'[1]Main Sheet'!A38</f>
        <v>7901</v>
      </c>
      <c r="B123" s="21" t="str">
        <f>'[1]Main Sheet'!B38</f>
        <v>St Albans Street</v>
      </c>
      <c r="C123" s="22" t="s">
        <v>30</v>
      </c>
      <c r="D123" s="23">
        <v>96573.02</v>
      </c>
      <c r="E123" s="23">
        <v>11044.85</v>
      </c>
      <c r="F123" s="24">
        <v>0</v>
      </c>
      <c r="G123" s="25">
        <f>F123/D123</f>
        <v>0</v>
      </c>
      <c r="H123" s="24">
        <v>79663.86</v>
      </c>
      <c r="I123" s="24">
        <v>9198.1200000000008</v>
      </c>
      <c r="J123" s="23">
        <f>SUM(H123-O123)</f>
        <v>66022</v>
      </c>
      <c r="K123" s="23">
        <f>SUM(I123-P123)</f>
        <v>9198.1200000000008</v>
      </c>
      <c r="L123" s="24">
        <f t="shared" ref="L123:L128" si="223">J123-K123</f>
        <v>56823.88</v>
      </c>
      <c r="M123" s="25">
        <f t="shared" ref="M123:M128" si="224">L123/J123</f>
        <v>0.86068098512616997</v>
      </c>
      <c r="N123" s="26">
        <v>0</v>
      </c>
      <c r="O123" s="23">
        <v>13641.86</v>
      </c>
      <c r="P123" s="23">
        <v>0</v>
      </c>
      <c r="Q123" s="24">
        <f>O123-P123</f>
        <v>13641.86</v>
      </c>
      <c r="R123" s="25">
        <f>Q123/O123</f>
        <v>1</v>
      </c>
      <c r="S123" s="27">
        <v>273.37</v>
      </c>
      <c r="T123" s="27">
        <v>0</v>
      </c>
      <c r="U123" s="28">
        <f>S123-T123</f>
        <v>273.37</v>
      </c>
      <c r="V123" s="25">
        <f>U123/S123</f>
        <v>1</v>
      </c>
      <c r="W123" s="26">
        <v>0</v>
      </c>
      <c r="X123" s="29" t="e">
        <f>(E123-K123-P123)/T123</f>
        <v>#DIV/0!</v>
      </c>
      <c r="Y123" s="29">
        <f>(D123-J123-O123)/S123</f>
        <v>61.854482935216019</v>
      </c>
      <c r="Z123" s="25">
        <f>(E123-K123-P123)/E123</f>
        <v>0.1672028139811767</v>
      </c>
      <c r="AA123" s="30">
        <f>SUM(D123-H123)/D123</f>
        <v>0.17509196667972071</v>
      </c>
      <c r="AB123" s="31"/>
      <c r="AD123" t="s">
        <v>31</v>
      </c>
      <c r="AE123">
        <f>AH128</f>
        <v>0</v>
      </c>
      <c r="AH123" s="20">
        <f>SUM(T124-T123)</f>
        <v>0</v>
      </c>
      <c r="AI123" s="32">
        <f>SUM(K124-K123)</f>
        <v>0</v>
      </c>
    </row>
    <row r="124" spans="1:35" x14ac:dyDescent="0.2">
      <c r="A124" s="20"/>
      <c r="B124" s="21"/>
      <c r="C124" s="22" t="s">
        <v>32</v>
      </c>
      <c r="D124" s="23">
        <v>96573.02</v>
      </c>
      <c r="E124" s="23">
        <v>11044.85</v>
      </c>
      <c r="F124" s="24">
        <f t="shared" ref="F124:F128" si="225">D124-E124</f>
        <v>85528.17</v>
      </c>
      <c r="G124" s="25">
        <f t="shared" ref="G124:G128" si="226">F124/D124</f>
        <v>0.88563213618047765</v>
      </c>
      <c r="H124" s="24">
        <v>79663.86</v>
      </c>
      <c r="I124" s="24">
        <v>9198.1200000000008</v>
      </c>
      <c r="J124" s="23">
        <f t="shared" ref="J124:K128" si="227">SUM(H124-O124)</f>
        <v>66022</v>
      </c>
      <c r="K124" s="23">
        <f t="shared" si="227"/>
        <v>9198.1200000000008</v>
      </c>
      <c r="L124" s="24">
        <f t="shared" si="223"/>
        <v>56823.88</v>
      </c>
      <c r="M124" s="25">
        <f t="shared" si="224"/>
        <v>0.86068098512616997</v>
      </c>
      <c r="N124" s="26">
        <v>0</v>
      </c>
      <c r="O124" s="23">
        <v>13641.86</v>
      </c>
      <c r="P124" s="23">
        <v>0</v>
      </c>
      <c r="Q124" s="24">
        <f t="shared" ref="Q124:Q128" si="228">O124-P124</f>
        <v>13641.86</v>
      </c>
      <c r="R124" s="25">
        <f t="shared" ref="R124:R128" si="229">Q124/O124</f>
        <v>1</v>
      </c>
      <c r="S124" s="27">
        <v>273.37</v>
      </c>
      <c r="T124" s="27">
        <v>0</v>
      </c>
      <c r="U124" s="28">
        <f t="shared" ref="U124:U128" si="230">S124-T124</f>
        <v>273.37</v>
      </c>
      <c r="V124" s="25">
        <f t="shared" ref="V124:V128" si="231">U124/S124</f>
        <v>1</v>
      </c>
      <c r="W124" s="26">
        <v>0</v>
      </c>
      <c r="X124" s="29" t="e">
        <f t="shared" ref="X124:X128" si="232">(E124-K124-P124)/T124</f>
        <v>#DIV/0!</v>
      </c>
      <c r="Y124" s="29">
        <f t="shared" ref="Y124:Y128" si="233">(D124-J124-O124)/S124</f>
        <v>61.854482935216019</v>
      </c>
      <c r="Z124" s="25">
        <f t="shared" ref="Z124:Z128" si="234">(E124-K124-P124)/E124</f>
        <v>0.1672028139811767</v>
      </c>
      <c r="AA124" s="30">
        <f t="shared" ref="AA124:AA127" si="235">SUM(D124-H124)/D124</f>
        <v>0.17509196667972071</v>
      </c>
      <c r="AB124" s="31"/>
      <c r="AD124" t="s">
        <v>33</v>
      </c>
      <c r="AE124" s="33">
        <f>AI128</f>
        <v>2987.9599999999991</v>
      </c>
      <c r="AH124" s="20">
        <f>SUM(T125-T124)</f>
        <v>0</v>
      </c>
      <c r="AI124" s="32">
        <f>SUM(K125-K124)</f>
        <v>2987.9599999999991</v>
      </c>
    </row>
    <row r="125" spans="1:35" x14ac:dyDescent="0.2">
      <c r="A125" s="20"/>
      <c r="B125" s="21"/>
      <c r="C125" s="22" t="s">
        <v>34</v>
      </c>
      <c r="D125" s="23">
        <v>96573.02</v>
      </c>
      <c r="E125" s="23">
        <v>11044.85</v>
      </c>
      <c r="F125" s="24">
        <f t="shared" si="225"/>
        <v>85528.17</v>
      </c>
      <c r="G125" s="25">
        <f t="shared" si="226"/>
        <v>0.88563213618047765</v>
      </c>
      <c r="H125" s="24">
        <v>79663.86</v>
      </c>
      <c r="I125" s="24">
        <v>12186.08</v>
      </c>
      <c r="J125" s="23">
        <f t="shared" si="227"/>
        <v>66022</v>
      </c>
      <c r="K125" s="23">
        <f t="shared" si="227"/>
        <v>12186.08</v>
      </c>
      <c r="L125" s="24">
        <f>J125-K125</f>
        <v>53835.92</v>
      </c>
      <c r="M125" s="25">
        <f>L125/J125</f>
        <v>0.81542394959256004</v>
      </c>
      <c r="N125" s="26">
        <v>0</v>
      </c>
      <c r="O125" s="23">
        <v>13641.86</v>
      </c>
      <c r="P125" s="23">
        <v>0</v>
      </c>
      <c r="Q125" s="24">
        <f t="shared" si="228"/>
        <v>13641.86</v>
      </c>
      <c r="R125" s="25">
        <f t="shared" si="229"/>
        <v>1</v>
      </c>
      <c r="S125" s="27">
        <v>273.37</v>
      </c>
      <c r="T125" s="27">
        <v>0</v>
      </c>
      <c r="U125" s="28">
        <f t="shared" si="230"/>
        <v>273.37</v>
      </c>
      <c r="V125" s="25">
        <f t="shared" si="231"/>
        <v>1</v>
      </c>
      <c r="W125" s="26"/>
      <c r="X125" s="29" t="e">
        <f t="shared" si="232"/>
        <v>#DIV/0!</v>
      </c>
      <c r="Y125" s="29">
        <f t="shared" si="233"/>
        <v>61.854482935216019</v>
      </c>
      <c r="Z125" s="25">
        <f t="shared" si="234"/>
        <v>-0.10332688990796611</v>
      </c>
      <c r="AA125" s="30">
        <f t="shared" si="235"/>
        <v>0.17509196667972071</v>
      </c>
      <c r="AB125" s="31"/>
      <c r="AH125" s="20">
        <f>SUM(T126-T125)</f>
        <v>0</v>
      </c>
      <c r="AI125" s="32">
        <f>SUM(K126-K125)</f>
        <v>0</v>
      </c>
    </row>
    <row r="126" spans="1:35" x14ac:dyDescent="0.2">
      <c r="A126" s="20"/>
      <c r="B126" s="21"/>
      <c r="C126" s="22" t="s">
        <v>35</v>
      </c>
      <c r="D126" s="23">
        <v>96573.02</v>
      </c>
      <c r="E126" s="23">
        <v>11044.85</v>
      </c>
      <c r="F126" s="24">
        <f t="shared" si="225"/>
        <v>85528.17</v>
      </c>
      <c r="G126" s="25">
        <f t="shared" si="226"/>
        <v>0.88563213618047765</v>
      </c>
      <c r="H126" s="24">
        <v>79663.86</v>
      </c>
      <c r="I126" s="24">
        <v>12186.08</v>
      </c>
      <c r="J126" s="23">
        <f t="shared" si="227"/>
        <v>66022</v>
      </c>
      <c r="K126" s="23">
        <f t="shared" si="227"/>
        <v>12186.08</v>
      </c>
      <c r="L126" s="24">
        <f t="shared" si="223"/>
        <v>53835.92</v>
      </c>
      <c r="M126" s="25">
        <f t="shared" si="224"/>
        <v>0.81542394959256004</v>
      </c>
      <c r="N126" s="26"/>
      <c r="O126" s="23">
        <v>13641.86</v>
      </c>
      <c r="P126" s="23">
        <v>0</v>
      </c>
      <c r="Q126" s="24">
        <f t="shared" si="228"/>
        <v>13641.86</v>
      </c>
      <c r="R126" s="25">
        <f t="shared" si="229"/>
        <v>1</v>
      </c>
      <c r="S126" s="27">
        <v>273.37</v>
      </c>
      <c r="T126" s="27">
        <v>0</v>
      </c>
      <c r="U126" s="28">
        <f t="shared" si="230"/>
        <v>273.37</v>
      </c>
      <c r="V126" s="25">
        <f t="shared" si="231"/>
        <v>1</v>
      </c>
      <c r="W126" s="26"/>
      <c r="X126" s="29" t="e">
        <f t="shared" si="232"/>
        <v>#DIV/0!</v>
      </c>
      <c r="Y126" s="29">
        <f t="shared" si="233"/>
        <v>61.854482935216019</v>
      </c>
      <c r="Z126" s="25">
        <f t="shared" si="234"/>
        <v>-0.10332688990796611</v>
      </c>
      <c r="AA126" s="30">
        <f t="shared" si="235"/>
        <v>0.17509196667972071</v>
      </c>
      <c r="AB126" s="31"/>
      <c r="AD126" t="s">
        <v>36</v>
      </c>
      <c r="AE126" s="33">
        <v>0</v>
      </c>
      <c r="AH126" s="20">
        <f>SUM(T127-T126)</f>
        <v>0</v>
      </c>
      <c r="AI126" s="32">
        <f>SUM(K127-K126)</f>
        <v>0</v>
      </c>
    </row>
    <row r="127" spans="1:35" x14ac:dyDescent="0.2">
      <c r="A127" s="20"/>
      <c r="B127" s="21"/>
      <c r="C127" s="22" t="s">
        <v>37</v>
      </c>
      <c r="D127" s="23">
        <v>96573.02</v>
      </c>
      <c r="E127" s="23">
        <v>11044.85</v>
      </c>
      <c r="F127" s="24">
        <f t="shared" si="225"/>
        <v>85528.17</v>
      </c>
      <c r="G127" s="25">
        <f t="shared" si="226"/>
        <v>0.88563213618047765</v>
      </c>
      <c r="H127" s="24">
        <v>79663.86</v>
      </c>
      <c r="I127" s="24">
        <v>12186.08</v>
      </c>
      <c r="J127" s="23">
        <f t="shared" si="227"/>
        <v>66022</v>
      </c>
      <c r="K127" s="23">
        <f t="shared" si="227"/>
        <v>12186.08</v>
      </c>
      <c r="L127" s="24">
        <f t="shared" si="223"/>
        <v>53835.92</v>
      </c>
      <c r="M127" s="25">
        <f t="shared" si="224"/>
        <v>0.81542394959256004</v>
      </c>
      <c r="N127" s="26"/>
      <c r="O127" s="23">
        <v>13641.86</v>
      </c>
      <c r="P127" s="23">
        <v>0</v>
      </c>
      <c r="Q127" s="24">
        <f t="shared" si="228"/>
        <v>13641.86</v>
      </c>
      <c r="R127" s="25">
        <f t="shared" si="229"/>
        <v>1</v>
      </c>
      <c r="S127" s="27">
        <v>273.37</v>
      </c>
      <c r="T127" s="27">
        <v>0</v>
      </c>
      <c r="U127" s="28">
        <f t="shared" si="230"/>
        <v>273.37</v>
      </c>
      <c r="V127" s="25">
        <f t="shared" si="231"/>
        <v>1</v>
      </c>
      <c r="W127" s="26"/>
      <c r="X127" s="29" t="e">
        <f t="shared" si="232"/>
        <v>#DIV/0!</v>
      </c>
      <c r="Y127" s="29">
        <f t="shared" si="233"/>
        <v>61.854482935216019</v>
      </c>
      <c r="Z127" s="25">
        <f t="shared" si="234"/>
        <v>-0.10332688990796611</v>
      </c>
      <c r="AA127" s="30">
        <f t="shared" si="235"/>
        <v>0.17509196667972071</v>
      </c>
      <c r="AB127" s="31"/>
      <c r="AH127" s="20">
        <f>SUM(T128-T127)</f>
        <v>0</v>
      </c>
      <c r="AI127" s="32">
        <f>SUM(K128-K127)</f>
        <v>0</v>
      </c>
    </row>
    <row r="128" spans="1:35" ht="17" thickBot="1" x14ac:dyDescent="0.25">
      <c r="A128" s="20"/>
      <c r="B128" s="21"/>
      <c r="C128" s="22" t="s">
        <v>38</v>
      </c>
      <c r="D128" s="23">
        <v>96573.02</v>
      </c>
      <c r="E128" s="23">
        <v>15366.74</v>
      </c>
      <c r="F128" s="24">
        <f t="shared" si="225"/>
        <v>81206.28</v>
      </c>
      <c r="G128" s="25">
        <f t="shared" si="226"/>
        <v>0.84087957485434328</v>
      </c>
      <c r="H128" s="24">
        <v>79663.839999999997</v>
      </c>
      <c r="I128" s="24">
        <v>12186.08</v>
      </c>
      <c r="J128" s="23">
        <f t="shared" si="227"/>
        <v>66021.95</v>
      </c>
      <c r="K128" s="23">
        <f t="shared" si="227"/>
        <v>12186.08</v>
      </c>
      <c r="L128" s="24">
        <f t="shared" si="223"/>
        <v>53835.869999999995</v>
      </c>
      <c r="M128" s="25">
        <f t="shared" si="224"/>
        <v>0.81542380980870754</v>
      </c>
      <c r="N128" s="26"/>
      <c r="O128" s="23">
        <v>13641.89</v>
      </c>
      <c r="P128" s="23">
        <v>0</v>
      </c>
      <c r="Q128" s="24">
        <f t="shared" si="228"/>
        <v>13641.89</v>
      </c>
      <c r="R128" s="25">
        <f t="shared" si="229"/>
        <v>1</v>
      </c>
      <c r="S128" s="27">
        <v>273.37</v>
      </c>
      <c r="T128" s="27">
        <v>0</v>
      </c>
      <c r="U128" s="28">
        <f t="shared" si="230"/>
        <v>273.37</v>
      </c>
      <c r="V128" s="25">
        <f t="shared" si="231"/>
        <v>1</v>
      </c>
      <c r="W128" s="26"/>
      <c r="X128" s="29" t="e">
        <f t="shared" si="232"/>
        <v>#DIV/0!</v>
      </c>
      <c r="Y128" s="29">
        <f t="shared" si="233"/>
        <v>61.854556096133471</v>
      </c>
      <c r="Z128" s="25">
        <f t="shared" si="234"/>
        <v>0.20698339400549498</v>
      </c>
      <c r="AA128" s="30">
        <f>SUM(D128-H128)/D128</f>
        <v>0.17509217377689967</v>
      </c>
      <c r="AB128" s="31"/>
      <c r="AH128" s="34">
        <f>SUM(AH123,AH124,AH125,AH126,AH127)</f>
        <v>0</v>
      </c>
      <c r="AI128" s="35">
        <f>SUM(AI123,AI124,AI125,AI126,AI127)</f>
        <v>2987.9599999999991</v>
      </c>
    </row>
    <row r="129" spans="1:35" ht="9" customHeight="1" x14ac:dyDescent="0.2">
      <c r="A129" s="36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8"/>
    </row>
    <row r="130" spans="1:35" x14ac:dyDescent="0.2">
      <c r="A130" s="20">
        <f>'[1]Main Sheet'!A40</f>
        <v>8923</v>
      </c>
      <c r="B130" s="21" t="str">
        <f>'[1]Main Sheet'!B40</f>
        <v>4 Perry St</v>
      </c>
      <c r="C130" s="22" t="s">
        <v>30</v>
      </c>
      <c r="D130" s="23">
        <v>31802.41</v>
      </c>
      <c r="E130" s="23">
        <v>14370.83</v>
      </c>
      <c r="F130" s="24">
        <f>D130-E130</f>
        <v>17431.580000000002</v>
      </c>
      <c r="G130" s="25">
        <f>F130/D130</f>
        <v>0.54812135306726761</v>
      </c>
      <c r="H130" s="24">
        <v>23448.14</v>
      </c>
      <c r="I130" s="24">
        <v>11232.72</v>
      </c>
      <c r="J130" s="23">
        <f>SUM(H130-O130)</f>
        <v>15632.029999999999</v>
      </c>
      <c r="K130" s="23">
        <f>SUM(I130-P130)</f>
        <v>11154.51</v>
      </c>
      <c r="L130" s="24">
        <f>J130-K130</f>
        <v>4477.5199999999986</v>
      </c>
      <c r="M130" s="25">
        <f>L130/J130</f>
        <v>0.28643240833084371</v>
      </c>
      <c r="N130" s="26">
        <v>0</v>
      </c>
      <c r="O130" s="23">
        <v>7816.11</v>
      </c>
      <c r="P130" s="23">
        <v>78.209999999999994</v>
      </c>
      <c r="Q130" s="24">
        <f>O130-P130</f>
        <v>7737.9</v>
      </c>
      <c r="R130" s="25">
        <f>Q130/O130</f>
        <v>0.98999374369091531</v>
      </c>
      <c r="S130" s="27">
        <v>157</v>
      </c>
      <c r="T130" s="27">
        <v>2</v>
      </c>
      <c r="U130" s="28">
        <f>S130-T130</f>
        <v>155</v>
      </c>
      <c r="V130" s="25">
        <f>U130/S130</f>
        <v>0.98726114649681529</v>
      </c>
      <c r="W130" s="26">
        <v>0</v>
      </c>
      <c r="X130" s="29">
        <f>(E130-K130-P130)/T130</f>
        <v>1569.0549999999998</v>
      </c>
      <c r="Y130" s="29">
        <f>(D130-J130-O130)/S130</f>
        <v>53.211910828025481</v>
      </c>
      <c r="Z130" s="25">
        <f>(E130-K130-P130)/E130</f>
        <v>0.21836664966463312</v>
      </c>
      <c r="AA130" s="30">
        <f>SUM(D130-H130)/D130</f>
        <v>0.26269298458827495</v>
      </c>
      <c r="AB130" s="31"/>
      <c r="AD130" t="s">
        <v>31</v>
      </c>
      <c r="AE130">
        <f>AH135</f>
        <v>0</v>
      </c>
      <c r="AH130" s="20">
        <f>SUM(T131-T130)</f>
        <v>0</v>
      </c>
      <c r="AI130" s="32">
        <f>SUM(K131-K130)</f>
        <v>0</v>
      </c>
    </row>
    <row r="131" spans="1:35" x14ac:dyDescent="0.2">
      <c r="A131" s="20"/>
      <c r="B131" s="21"/>
      <c r="C131" s="22" t="s">
        <v>32</v>
      </c>
      <c r="D131" s="23">
        <v>31802.41</v>
      </c>
      <c r="E131" s="23">
        <v>14370.83</v>
      </c>
      <c r="F131" s="24">
        <f t="shared" ref="F131:F135" si="236">D131-E131</f>
        <v>17431.580000000002</v>
      </c>
      <c r="G131" s="25">
        <f t="shared" ref="G131:G135" si="237">F131/D131</f>
        <v>0.54812135306726761</v>
      </c>
      <c r="H131" s="24">
        <v>23448.14</v>
      </c>
      <c r="I131" s="24">
        <v>11232.72</v>
      </c>
      <c r="J131" s="23">
        <f t="shared" ref="J131:K135" si="238">SUM(H131-O131)</f>
        <v>15632.029999999999</v>
      </c>
      <c r="K131" s="23">
        <f t="shared" si="238"/>
        <v>11154.51</v>
      </c>
      <c r="L131" s="24">
        <f>J131-K131</f>
        <v>4477.5199999999986</v>
      </c>
      <c r="M131" s="25">
        <f>L131/J131</f>
        <v>0.28643240833084371</v>
      </c>
      <c r="N131" s="26">
        <v>0</v>
      </c>
      <c r="O131" s="23">
        <v>7816.11</v>
      </c>
      <c r="P131" s="23">
        <v>78.209999999999994</v>
      </c>
      <c r="Q131" s="24">
        <f t="shared" ref="Q131:Q135" si="239">O131-P131</f>
        <v>7737.9</v>
      </c>
      <c r="R131" s="25">
        <f t="shared" ref="R131:R135" si="240">Q131/O131</f>
        <v>0.98999374369091531</v>
      </c>
      <c r="S131" s="27">
        <v>157</v>
      </c>
      <c r="T131" s="27">
        <v>2</v>
      </c>
      <c r="U131" s="28">
        <f t="shared" ref="U131:U135" si="241">S131-T131</f>
        <v>155</v>
      </c>
      <c r="V131" s="25">
        <f t="shared" ref="V131:V135" si="242">U131/S131</f>
        <v>0.98726114649681529</v>
      </c>
      <c r="W131" s="26">
        <v>0</v>
      </c>
      <c r="X131" s="29">
        <f t="shared" ref="X131:X135" si="243">(E131-K131-P131)/T131</f>
        <v>1569.0549999999998</v>
      </c>
      <c r="Y131" s="29">
        <f t="shared" ref="Y131:Y135" si="244">(D131-J131-O131)/S131</f>
        <v>53.211910828025481</v>
      </c>
      <c r="Z131" s="25">
        <f t="shared" ref="Z131:Z135" si="245">(E131-K131-P131)/E131</f>
        <v>0.21836664966463312</v>
      </c>
      <c r="AA131" s="30">
        <f t="shared" ref="AA131:AA134" si="246">SUM(D131-H131)/D131</f>
        <v>0.26269298458827495</v>
      </c>
      <c r="AB131" s="31"/>
      <c r="AD131" t="s">
        <v>33</v>
      </c>
      <c r="AE131" s="33">
        <f>AI135</f>
        <v>0</v>
      </c>
      <c r="AH131" s="20">
        <f>SUM(T132-T131)</f>
        <v>0</v>
      </c>
      <c r="AI131" s="32">
        <f>SUM(K132-K131)</f>
        <v>-5.9000000000014552</v>
      </c>
    </row>
    <row r="132" spans="1:35" x14ac:dyDescent="0.2">
      <c r="A132" s="20"/>
      <c r="B132" s="21"/>
      <c r="C132" s="22" t="s">
        <v>34</v>
      </c>
      <c r="D132" s="23">
        <v>31802.41</v>
      </c>
      <c r="E132" s="23">
        <v>14370.83</v>
      </c>
      <c r="F132" s="24">
        <f t="shared" si="236"/>
        <v>17431.580000000002</v>
      </c>
      <c r="G132" s="25">
        <f t="shared" si="237"/>
        <v>0.54812135306726761</v>
      </c>
      <c r="H132" s="24">
        <v>23448.14</v>
      </c>
      <c r="I132" s="24">
        <v>11232.72</v>
      </c>
      <c r="J132" s="23">
        <f t="shared" si="238"/>
        <v>15632.029999999999</v>
      </c>
      <c r="K132" s="23">
        <f t="shared" si="238"/>
        <v>11148.609999999999</v>
      </c>
      <c r="L132" s="24">
        <f t="shared" ref="L132:L135" si="247">J132-K132</f>
        <v>4483.42</v>
      </c>
      <c r="M132" s="25">
        <f t="shared" ref="M132:M135" si="248">L132/J132</f>
        <v>0.28680983851745423</v>
      </c>
      <c r="N132" s="26"/>
      <c r="O132" s="23">
        <v>7816.11</v>
      </c>
      <c r="P132" s="23">
        <v>84.11</v>
      </c>
      <c r="Q132" s="24">
        <f t="shared" si="239"/>
        <v>7732</v>
      </c>
      <c r="R132" s="25">
        <f t="shared" si="240"/>
        <v>0.98923889249255703</v>
      </c>
      <c r="S132" s="27">
        <v>157</v>
      </c>
      <c r="T132" s="27">
        <v>2</v>
      </c>
      <c r="U132" s="28">
        <f t="shared" si="241"/>
        <v>155</v>
      </c>
      <c r="V132" s="25">
        <f t="shared" si="242"/>
        <v>0.98726114649681529</v>
      </c>
      <c r="W132" s="26">
        <v>0</v>
      </c>
      <c r="X132" s="29">
        <f t="shared" si="243"/>
        <v>1569.0550000000005</v>
      </c>
      <c r="Y132" s="29">
        <f t="shared" si="244"/>
        <v>53.211910828025481</v>
      </c>
      <c r="Z132" s="25">
        <f t="shared" si="245"/>
        <v>0.21836664966463323</v>
      </c>
      <c r="AA132" s="30">
        <f t="shared" si="246"/>
        <v>0.26269298458827495</v>
      </c>
      <c r="AB132" s="31"/>
      <c r="AH132" s="20">
        <f>SUM(T133-T132)</f>
        <v>0</v>
      </c>
      <c r="AI132" s="32">
        <f>SUM(K133-K132)</f>
        <v>0</v>
      </c>
    </row>
    <row r="133" spans="1:35" x14ac:dyDescent="0.2">
      <c r="B133" s="21"/>
      <c r="C133" s="22" t="s">
        <v>35</v>
      </c>
      <c r="D133" s="23">
        <v>31802.41</v>
      </c>
      <c r="E133" s="23">
        <v>14370.83</v>
      </c>
      <c r="F133" s="24">
        <f t="shared" si="236"/>
        <v>17431.580000000002</v>
      </c>
      <c r="G133" s="25">
        <f t="shared" si="237"/>
        <v>0.54812135306726761</v>
      </c>
      <c r="H133" s="24">
        <v>23448.14</v>
      </c>
      <c r="I133" s="24">
        <v>11232.72</v>
      </c>
      <c r="J133" s="23">
        <f t="shared" si="238"/>
        <v>15632.029999999999</v>
      </c>
      <c r="K133" s="23">
        <f t="shared" si="238"/>
        <v>11148.609999999999</v>
      </c>
      <c r="L133" s="24">
        <f t="shared" si="247"/>
        <v>4483.42</v>
      </c>
      <c r="M133" s="25">
        <f t="shared" si="248"/>
        <v>0.28680983851745423</v>
      </c>
      <c r="N133" s="26"/>
      <c r="O133" s="23">
        <v>7816.11</v>
      </c>
      <c r="P133" s="23">
        <v>84.11</v>
      </c>
      <c r="Q133" s="24">
        <f t="shared" si="239"/>
        <v>7732</v>
      </c>
      <c r="R133" s="25">
        <f t="shared" si="240"/>
        <v>0.98923889249255703</v>
      </c>
      <c r="S133" s="27">
        <v>157</v>
      </c>
      <c r="T133" s="27">
        <v>2</v>
      </c>
      <c r="U133" s="28">
        <f t="shared" si="241"/>
        <v>155</v>
      </c>
      <c r="V133" s="25">
        <f t="shared" si="242"/>
        <v>0.98726114649681529</v>
      </c>
      <c r="W133" s="26">
        <v>0</v>
      </c>
      <c r="X133" s="29">
        <f t="shared" si="243"/>
        <v>1569.0550000000005</v>
      </c>
      <c r="Y133" s="29">
        <f t="shared" si="244"/>
        <v>53.211910828025481</v>
      </c>
      <c r="Z133" s="25">
        <f t="shared" si="245"/>
        <v>0.21836664966463323</v>
      </c>
      <c r="AA133" s="30">
        <f t="shared" si="246"/>
        <v>0.26269298458827495</v>
      </c>
      <c r="AB133" s="31"/>
      <c r="AD133" t="s">
        <v>36</v>
      </c>
      <c r="AE133" s="33">
        <v>0</v>
      </c>
      <c r="AH133" s="20">
        <f>SUM(T134-T133)</f>
        <v>0</v>
      </c>
      <c r="AI133" s="32">
        <f>SUM(K134-K133)</f>
        <v>0</v>
      </c>
    </row>
    <row r="134" spans="1:35" x14ac:dyDescent="0.2">
      <c r="A134" s="20"/>
      <c r="B134" s="21"/>
      <c r="C134" s="22" t="s">
        <v>37</v>
      </c>
      <c r="D134" s="23">
        <v>31802.41</v>
      </c>
      <c r="E134" s="23">
        <v>14370.83</v>
      </c>
      <c r="F134" s="24">
        <f t="shared" si="236"/>
        <v>17431.580000000002</v>
      </c>
      <c r="G134" s="25">
        <f t="shared" si="237"/>
        <v>0.54812135306726761</v>
      </c>
      <c r="H134" s="24">
        <v>23448.14</v>
      </c>
      <c r="I134" s="24">
        <v>11232.72</v>
      </c>
      <c r="J134" s="23">
        <f t="shared" si="238"/>
        <v>15632.029999999999</v>
      </c>
      <c r="K134" s="23">
        <f t="shared" si="238"/>
        <v>11148.609999999999</v>
      </c>
      <c r="L134" s="24">
        <f t="shared" si="247"/>
        <v>4483.42</v>
      </c>
      <c r="M134" s="25">
        <f t="shared" si="248"/>
        <v>0.28680983851745423</v>
      </c>
      <c r="N134" s="26"/>
      <c r="O134" s="23">
        <v>7816.11</v>
      </c>
      <c r="P134" s="23">
        <v>84.11</v>
      </c>
      <c r="Q134" s="24">
        <f t="shared" si="239"/>
        <v>7732</v>
      </c>
      <c r="R134" s="25">
        <f t="shared" si="240"/>
        <v>0.98923889249255703</v>
      </c>
      <c r="S134" s="27">
        <v>157</v>
      </c>
      <c r="T134" s="27">
        <v>2</v>
      </c>
      <c r="U134" s="28">
        <f t="shared" si="241"/>
        <v>155</v>
      </c>
      <c r="V134" s="25">
        <f t="shared" si="242"/>
        <v>0.98726114649681529</v>
      </c>
      <c r="W134" s="26">
        <v>0</v>
      </c>
      <c r="X134" s="29">
        <f t="shared" si="243"/>
        <v>1569.0550000000005</v>
      </c>
      <c r="Y134" s="29">
        <f t="shared" si="244"/>
        <v>53.211910828025481</v>
      </c>
      <c r="Z134" s="25">
        <f t="shared" si="245"/>
        <v>0.21836664966463323</v>
      </c>
      <c r="AA134" s="30">
        <f t="shared" si="246"/>
        <v>0.26269298458827495</v>
      </c>
      <c r="AB134" s="31"/>
      <c r="AH134" s="20">
        <f>SUM(T135-T134)</f>
        <v>0</v>
      </c>
      <c r="AI134" s="32">
        <f>SUM(K135-K134)</f>
        <v>5.9000000000014552</v>
      </c>
    </row>
    <row r="135" spans="1:35" ht="17" thickBot="1" x14ac:dyDescent="0.25">
      <c r="A135" s="20"/>
      <c r="B135" s="21"/>
      <c r="C135" s="22" t="s">
        <v>38</v>
      </c>
      <c r="D135" s="23">
        <v>31802.41</v>
      </c>
      <c r="E135" s="23">
        <v>14370.83</v>
      </c>
      <c r="F135" s="24">
        <f t="shared" si="236"/>
        <v>17431.580000000002</v>
      </c>
      <c r="G135" s="25">
        <f t="shared" si="237"/>
        <v>0.54812135306726761</v>
      </c>
      <c r="H135" s="24">
        <v>23448.14</v>
      </c>
      <c r="I135" s="24">
        <v>11238.62</v>
      </c>
      <c r="J135" s="23">
        <f t="shared" si="238"/>
        <v>15632.029999999999</v>
      </c>
      <c r="K135" s="23">
        <f t="shared" si="238"/>
        <v>11154.51</v>
      </c>
      <c r="L135" s="24">
        <f t="shared" si="247"/>
        <v>4477.5199999999986</v>
      </c>
      <c r="M135" s="25">
        <f t="shared" si="248"/>
        <v>0.28643240833084371</v>
      </c>
      <c r="N135" s="26"/>
      <c r="O135" s="23">
        <v>7816.11</v>
      </c>
      <c r="P135" s="23">
        <v>84.11</v>
      </c>
      <c r="Q135" s="24">
        <f t="shared" si="239"/>
        <v>7732</v>
      </c>
      <c r="R135" s="25">
        <f t="shared" si="240"/>
        <v>0.98923889249255703</v>
      </c>
      <c r="S135" s="27">
        <v>157</v>
      </c>
      <c r="T135" s="27">
        <v>2</v>
      </c>
      <c r="U135" s="28">
        <f t="shared" si="241"/>
        <v>155</v>
      </c>
      <c r="V135" s="25">
        <f t="shared" si="242"/>
        <v>0.98726114649681529</v>
      </c>
      <c r="W135" s="26">
        <v>0</v>
      </c>
      <c r="X135" s="29">
        <f t="shared" si="243"/>
        <v>1566.1049999999998</v>
      </c>
      <c r="Y135" s="29">
        <f t="shared" si="244"/>
        <v>53.211910828025481</v>
      </c>
      <c r="Z135" s="25">
        <f t="shared" si="245"/>
        <v>0.21795609578569919</v>
      </c>
      <c r="AA135" s="30">
        <f>SUM(D135-H135)/D135</f>
        <v>0.26269298458827495</v>
      </c>
      <c r="AB135" s="31"/>
      <c r="AH135" s="34">
        <f>SUM(AH130,AH131,AH132,AH133,AH134)</f>
        <v>0</v>
      </c>
      <c r="AI135" s="35">
        <f>SUM(AI130,AI131,AI132,AI133,AI134)</f>
        <v>0</v>
      </c>
    </row>
    <row r="136" spans="1:35" ht="9" customHeight="1" x14ac:dyDescent="0.2">
      <c r="A136" s="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8"/>
    </row>
    <row r="137" spans="1:35" x14ac:dyDescent="0.2">
      <c r="A137" s="20">
        <f>'[1]Main Sheet'!A42</f>
        <v>7864</v>
      </c>
      <c r="B137" s="21" t="str">
        <f>'[1]Main Sheet'!B42</f>
        <v>Ryans House</v>
      </c>
      <c r="C137" s="22" t="s">
        <v>30</v>
      </c>
      <c r="D137" s="23">
        <v>28626.25</v>
      </c>
      <c r="E137" s="23">
        <v>20486.240000000002</v>
      </c>
      <c r="F137" s="24">
        <f>D137-E137</f>
        <v>8140.0099999999984</v>
      </c>
      <c r="G137" s="25">
        <f>F137/D137</f>
        <v>0.28435474433430846</v>
      </c>
      <c r="H137" s="24">
        <v>21262.27</v>
      </c>
      <c r="I137" s="24">
        <v>21984.81</v>
      </c>
      <c r="J137" s="23">
        <f>SUM(H137-O137)</f>
        <v>11588.800000000001</v>
      </c>
      <c r="K137" s="23">
        <f>SUM(I137-P137)</f>
        <v>12933.62</v>
      </c>
      <c r="L137" s="24">
        <f>J137-K137</f>
        <v>-1344.8199999999997</v>
      </c>
      <c r="M137" s="25">
        <f>L137/J137</f>
        <v>-0.11604480187767496</v>
      </c>
      <c r="N137" s="26">
        <v>0</v>
      </c>
      <c r="O137" s="23">
        <v>9673.4699999999993</v>
      </c>
      <c r="P137" s="23">
        <v>9051.19</v>
      </c>
      <c r="Q137" s="24">
        <f>O137-P137</f>
        <v>622.27999999999884</v>
      </c>
      <c r="R137" s="25">
        <f>Q137/O137</f>
        <v>6.4328519135325682E-2</v>
      </c>
      <c r="S137" s="27">
        <v>193.82</v>
      </c>
      <c r="T137" s="27">
        <v>185</v>
      </c>
      <c r="U137" s="28">
        <f>S137-T137</f>
        <v>8.8199999999999932</v>
      </c>
      <c r="V137" s="25">
        <f>U137/S137</f>
        <v>4.5506139717263409E-2</v>
      </c>
      <c r="W137" s="26">
        <v>0</v>
      </c>
      <c r="X137" s="29">
        <f>(E137-K137-P137)/T137</f>
        <v>-8.1003783783783767</v>
      </c>
      <c r="Y137" s="29">
        <f>(D137-J137-O137)/S137</f>
        <v>37.99391187699927</v>
      </c>
      <c r="Z137" s="25">
        <f>(E137-K137-P137)/E137</f>
        <v>-7.3150075367661396E-2</v>
      </c>
      <c r="AA137" s="30">
        <f>SUM(D137-H137)/D137</f>
        <v>0.25724570979433209</v>
      </c>
      <c r="AB137" s="31"/>
      <c r="AD137" t="s">
        <v>31</v>
      </c>
      <c r="AE137">
        <f>AH142</f>
        <v>81.75</v>
      </c>
      <c r="AH137" s="20">
        <f>SUM(T138-T137)</f>
        <v>4</v>
      </c>
      <c r="AI137" s="32">
        <f>SUM(K138-K137)</f>
        <v>462.71999999999935</v>
      </c>
    </row>
    <row r="138" spans="1:35" x14ac:dyDescent="0.2">
      <c r="A138" s="20"/>
      <c r="B138" s="21"/>
      <c r="C138" s="22" t="s">
        <v>32</v>
      </c>
      <c r="D138" s="23">
        <v>28626.25</v>
      </c>
      <c r="E138" s="23">
        <v>27194.94</v>
      </c>
      <c r="F138" s="24">
        <f t="shared" ref="F138:F142" si="249">D138-E138</f>
        <v>1431.3100000000013</v>
      </c>
      <c r="G138" s="25">
        <f t="shared" ref="G138:G142" si="250">F138/D138</f>
        <v>4.9999912667569146E-2</v>
      </c>
      <c r="H138" s="24">
        <v>21262.27</v>
      </c>
      <c r="I138" s="24">
        <v>22665.93</v>
      </c>
      <c r="J138" s="23">
        <f t="shared" ref="J138:K142" si="251">SUM(H138-O138)</f>
        <v>11588.800000000001</v>
      </c>
      <c r="K138" s="23">
        <f t="shared" si="251"/>
        <v>13396.34</v>
      </c>
      <c r="L138" s="24">
        <f t="shared" ref="L138:L142" si="252">J138-K138</f>
        <v>-1807.5399999999991</v>
      </c>
      <c r="M138" s="25">
        <f t="shared" ref="M138:M142" si="253">L138/J138</f>
        <v>-0.15597300842192452</v>
      </c>
      <c r="N138" s="26">
        <v>0</v>
      </c>
      <c r="O138" s="23">
        <v>9673.4699999999993</v>
      </c>
      <c r="P138" s="23">
        <v>9269.59</v>
      </c>
      <c r="Q138" s="24">
        <f t="shared" ref="Q138:Q142" si="254">O138-P138</f>
        <v>403.8799999999992</v>
      </c>
      <c r="R138" s="25">
        <f t="shared" ref="R138:R142" si="255">Q138/O138</f>
        <v>4.1751305374389876E-2</v>
      </c>
      <c r="S138" s="27">
        <v>193.82</v>
      </c>
      <c r="T138" s="27">
        <v>189</v>
      </c>
      <c r="U138" s="28">
        <f t="shared" ref="U138:U142" si="256">S138-T138</f>
        <v>4.8199999999999932</v>
      </c>
      <c r="V138" s="25">
        <f t="shared" ref="V138:V142" si="257">U138/S138</f>
        <v>2.4868434630069103E-2</v>
      </c>
      <c r="W138" s="26"/>
      <c r="X138" s="29">
        <f t="shared" ref="X138:X142" si="258">(E138-K138-P138)/T138</f>
        <v>23.963015873015866</v>
      </c>
      <c r="Y138" s="29">
        <f t="shared" ref="Y138:Y142" si="259">(D138-J138-O138)/S138</f>
        <v>37.99391187699927</v>
      </c>
      <c r="Z138" s="25">
        <f t="shared" ref="Z138:Z142" si="260">(E138-K138-P138)/E138</f>
        <v>0.16653870168494575</v>
      </c>
      <c r="AA138" s="30">
        <f t="shared" ref="AA138:AA141" si="261">SUM(D138-H138)/D138</f>
        <v>0.25724570979433209</v>
      </c>
      <c r="AB138" s="31"/>
      <c r="AD138" t="s">
        <v>33</v>
      </c>
      <c r="AE138" s="33">
        <f>AI142</f>
        <v>-1231.3000000000029</v>
      </c>
      <c r="AH138" s="20">
        <f>SUM(T139-T138)</f>
        <v>77.75</v>
      </c>
      <c r="AI138" s="32">
        <f>SUM(K139-K138)</f>
        <v>-1694.0200000000023</v>
      </c>
    </row>
    <row r="139" spans="1:35" x14ac:dyDescent="0.2">
      <c r="A139" s="20"/>
      <c r="B139" s="21"/>
      <c r="C139" s="22" t="s">
        <v>34</v>
      </c>
      <c r="D139" s="23">
        <v>28626.25</v>
      </c>
      <c r="E139" s="23">
        <v>27194.94</v>
      </c>
      <c r="F139" s="24">
        <f t="shared" si="249"/>
        <v>1431.3100000000013</v>
      </c>
      <c r="G139" s="25">
        <f t="shared" si="250"/>
        <v>4.9999912667569146E-2</v>
      </c>
      <c r="H139" s="24">
        <v>21262.27</v>
      </c>
      <c r="I139" s="24">
        <v>24965.42</v>
      </c>
      <c r="J139" s="23">
        <f t="shared" si="251"/>
        <v>11588.800000000001</v>
      </c>
      <c r="K139" s="23">
        <f t="shared" si="251"/>
        <v>11702.319999999998</v>
      </c>
      <c r="L139" s="24">
        <f t="shared" si="252"/>
        <v>-113.5199999999968</v>
      </c>
      <c r="M139" s="25">
        <f t="shared" si="253"/>
        <v>-9.7956647797871037E-3</v>
      </c>
      <c r="N139" s="26">
        <v>0</v>
      </c>
      <c r="O139" s="23">
        <v>9673.4699999999993</v>
      </c>
      <c r="P139" s="23">
        <v>13263.1</v>
      </c>
      <c r="Q139" s="24">
        <f t="shared" si="254"/>
        <v>-3589.630000000001</v>
      </c>
      <c r="R139" s="25">
        <f t="shared" si="255"/>
        <v>-0.37107987102870027</v>
      </c>
      <c r="S139" s="27">
        <v>193.82</v>
      </c>
      <c r="T139" s="27">
        <v>266.75</v>
      </c>
      <c r="U139" s="28">
        <f t="shared" si="256"/>
        <v>-72.930000000000007</v>
      </c>
      <c r="V139" s="25">
        <f t="shared" si="257"/>
        <v>-0.37627695800227018</v>
      </c>
      <c r="W139" s="26"/>
      <c r="X139" s="29">
        <f t="shared" si="258"/>
        <v>8.3580880974695422</v>
      </c>
      <c r="Y139" s="29">
        <f t="shared" si="259"/>
        <v>37.99391187699927</v>
      </c>
      <c r="Z139" s="25">
        <f t="shared" si="260"/>
        <v>8.198289828916705E-2</v>
      </c>
      <c r="AA139" s="30">
        <f t="shared" si="261"/>
        <v>0.25724570979433209</v>
      </c>
      <c r="AB139" s="31"/>
      <c r="AH139" s="20">
        <f>SUM(T140-T139)</f>
        <v>0</v>
      </c>
      <c r="AI139" s="32">
        <f>SUM(K140-K139)</f>
        <v>0</v>
      </c>
    </row>
    <row r="140" spans="1:35" x14ac:dyDescent="0.2">
      <c r="A140" s="20"/>
      <c r="B140" s="21"/>
      <c r="C140" s="22" t="s">
        <v>35</v>
      </c>
      <c r="D140" s="23">
        <v>28626.25</v>
      </c>
      <c r="E140" s="23">
        <v>27194.94</v>
      </c>
      <c r="F140" s="24">
        <f t="shared" si="249"/>
        <v>1431.3100000000013</v>
      </c>
      <c r="G140" s="25">
        <f t="shared" si="250"/>
        <v>4.9999912667569146E-2</v>
      </c>
      <c r="H140" s="24">
        <v>21262.27</v>
      </c>
      <c r="I140" s="24">
        <v>24965.42</v>
      </c>
      <c r="J140" s="23">
        <f t="shared" si="251"/>
        <v>11588.800000000001</v>
      </c>
      <c r="K140" s="23">
        <f t="shared" si="251"/>
        <v>11702.319999999998</v>
      </c>
      <c r="L140" s="24">
        <f t="shared" si="252"/>
        <v>-113.5199999999968</v>
      </c>
      <c r="M140" s="25">
        <f t="shared" si="253"/>
        <v>-9.7956647797871037E-3</v>
      </c>
      <c r="N140" s="26">
        <v>0</v>
      </c>
      <c r="O140" s="23">
        <v>9673.4699999999993</v>
      </c>
      <c r="P140" s="23">
        <v>13263.1</v>
      </c>
      <c r="Q140" s="24">
        <f t="shared" si="254"/>
        <v>-3589.630000000001</v>
      </c>
      <c r="R140" s="25">
        <f t="shared" si="255"/>
        <v>-0.37107987102870027</v>
      </c>
      <c r="S140" s="27">
        <v>193.82</v>
      </c>
      <c r="T140" s="27">
        <v>266.75</v>
      </c>
      <c r="U140" s="28">
        <f t="shared" si="256"/>
        <v>-72.930000000000007</v>
      </c>
      <c r="V140" s="25">
        <f t="shared" si="257"/>
        <v>-0.37627695800227018</v>
      </c>
      <c r="W140" s="26"/>
      <c r="X140" s="29">
        <f t="shared" si="258"/>
        <v>8.3580880974695422</v>
      </c>
      <c r="Y140" s="29">
        <f t="shared" si="259"/>
        <v>37.99391187699927</v>
      </c>
      <c r="Z140" s="25">
        <f t="shared" si="260"/>
        <v>8.198289828916705E-2</v>
      </c>
      <c r="AA140" s="30">
        <f t="shared" si="261"/>
        <v>0.25724570979433209</v>
      </c>
      <c r="AB140" s="31"/>
      <c r="AD140" t="s">
        <v>36</v>
      </c>
      <c r="AE140" s="33">
        <v>0</v>
      </c>
      <c r="AH140" s="20">
        <f>SUM(T141-T140)</f>
        <v>0</v>
      </c>
      <c r="AI140" s="32">
        <f>SUM(K141-K140)</f>
        <v>0</v>
      </c>
    </row>
    <row r="141" spans="1:35" x14ac:dyDescent="0.2">
      <c r="A141" s="20"/>
      <c r="B141" s="21"/>
      <c r="C141" s="22" t="s">
        <v>37</v>
      </c>
      <c r="D141" s="23">
        <v>28626.25</v>
      </c>
      <c r="E141" s="23">
        <v>27194.94</v>
      </c>
      <c r="F141" s="24">
        <f t="shared" si="249"/>
        <v>1431.3100000000013</v>
      </c>
      <c r="G141" s="25">
        <f t="shared" si="250"/>
        <v>4.9999912667569146E-2</v>
      </c>
      <c r="H141" s="24">
        <v>21262.27</v>
      </c>
      <c r="I141" s="24">
        <v>24965.42</v>
      </c>
      <c r="J141" s="23">
        <f t="shared" si="251"/>
        <v>11588.800000000001</v>
      </c>
      <c r="K141" s="23">
        <f t="shared" si="251"/>
        <v>11702.319999999998</v>
      </c>
      <c r="L141" s="24">
        <f t="shared" si="252"/>
        <v>-113.5199999999968</v>
      </c>
      <c r="M141" s="25">
        <f t="shared" si="253"/>
        <v>-9.7956647797871037E-3</v>
      </c>
      <c r="N141" s="26">
        <v>0</v>
      </c>
      <c r="O141" s="23">
        <v>9673.4699999999993</v>
      </c>
      <c r="P141" s="23">
        <v>13263.1</v>
      </c>
      <c r="Q141" s="24">
        <f t="shared" si="254"/>
        <v>-3589.630000000001</v>
      </c>
      <c r="R141" s="25">
        <f t="shared" si="255"/>
        <v>-0.37107987102870027</v>
      </c>
      <c r="S141" s="27">
        <v>193.82</v>
      </c>
      <c r="T141" s="27">
        <v>266.75</v>
      </c>
      <c r="U141" s="28">
        <f t="shared" si="256"/>
        <v>-72.930000000000007</v>
      </c>
      <c r="V141" s="25">
        <f t="shared" si="257"/>
        <v>-0.37627695800227018</v>
      </c>
      <c r="W141" s="26"/>
      <c r="X141" s="29">
        <f t="shared" si="258"/>
        <v>8.3580880974695422</v>
      </c>
      <c r="Y141" s="29">
        <f t="shared" si="259"/>
        <v>37.99391187699927</v>
      </c>
      <c r="Z141" s="25">
        <f t="shared" si="260"/>
        <v>8.198289828916705E-2</v>
      </c>
      <c r="AA141" s="30">
        <f t="shared" si="261"/>
        <v>0.25724570979433209</v>
      </c>
      <c r="AB141" s="31"/>
      <c r="AH141" s="20">
        <f>SUM(T142-T141)</f>
        <v>0</v>
      </c>
      <c r="AI141" s="32">
        <f>SUM(K142-K141)</f>
        <v>0</v>
      </c>
    </row>
    <row r="142" spans="1:35" ht="17" thickBot="1" x14ac:dyDescent="0.25">
      <c r="A142" s="20"/>
      <c r="B142" s="21"/>
      <c r="C142" s="22" t="s">
        <v>38</v>
      </c>
      <c r="D142" s="23">
        <v>28626.25</v>
      </c>
      <c r="E142" s="23">
        <v>27194.94</v>
      </c>
      <c r="F142" s="24">
        <f t="shared" si="249"/>
        <v>1431.3100000000013</v>
      </c>
      <c r="G142" s="25">
        <f t="shared" si="250"/>
        <v>4.9999912667569146E-2</v>
      </c>
      <c r="H142" s="24">
        <v>21262.27</v>
      </c>
      <c r="I142" s="24">
        <v>24965.42</v>
      </c>
      <c r="J142" s="23">
        <f t="shared" si="251"/>
        <v>11588.800000000001</v>
      </c>
      <c r="K142" s="23">
        <f t="shared" si="251"/>
        <v>11702.319999999998</v>
      </c>
      <c r="L142" s="24">
        <f t="shared" si="252"/>
        <v>-113.5199999999968</v>
      </c>
      <c r="M142" s="25">
        <f t="shared" si="253"/>
        <v>-9.7956647797871037E-3</v>
      </c>
      <c r="N142" s="26">
        <v>0</v>
      </c>
      <c r="O142" s="23">
        <v>9673.4699999999993</v>
      </c>
      <c r="P142" s="23">
        <v>13263.1</v>
      </c>
      <c r="Q142" s="24">
        <f t="shared" si="254"/>
        <v>-3589.630000000001</v>
      </c>
      <c r="R142" s="25">
        <f t="shared" si="255"/>
        <v>-0.37107987102870027</v>
      </c>
      <c r="S142" s="27">
        <v>193.82</v>
      </c>
      <c r="T142" s="27">
        <v>266.75</v>
      </c>
      <c r="U142" s="28">
        <f t="shared" si="256"/>
        <v>-72.930000000000007</v>
      </c>
      <c r="V142" s="25">
        <f t="shared" si="257"/>
        <v>-0.37627695800227018</v>
      </c>
      <c r="W142" s="26"/>
      <c r="X142" s="29">
        <f t="shared" si="258"/>
        <v>8.3580880974695422</v>
      </c>
      <c r="Y142" s="29">
        <f t="shared" si="259"/>
        <v>37.99391187699927</v>
      </c>
      <c r="Z142" s="25">
        <f t="shared" si="260"/>
        <v>8.198289828916705E-2</v>
      </c>
      <c r="AA142" s="30">
        <f>SUM(D142-H142)/D142</f>
        <v>0.25724570979433209</v>
      </c>
      <c r="AB142" s="31"/>
      <c r="AH142" s="34">
        <f>SUM(AH137,AH138,AH139,AH140,AH141)</f>
        <v>81.75</v>
      </c>
      <c r="AI142" s="35">
        <f>SUM(AI137,AI138,AI139,AI140,AI141)</f>
        <v>-1231.3000000000029</v>
      </c>
    </row>
    <row r="143" spans="1:35" ht="9" customHeight="1" x14ac:dyDescent="0.2">
      <c r="A143" s="36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8"/>
    </row>
    <row r="144" spans="1:35" x14ac:dyDescent="0.2">
      <c r="A144" s="20">
        <f>'[1]Main Sheet'!A44</f>
        <v>7912</v>
      </c>
      <c r="B144" s="21" t="str">
        <f>'[1]Main Sheet'!B44</f>
        <v xml:space="preserve">71A Fendalton Road </v>
      </c>
      <c r="C144" s="22" t="s">
        <v>30</v>
      </c>
      <c r="D144" s="23">
        <v>268228.26</v>
      </c>
      <c r="E144" s="23">
        <v>9034.5300000000007</v>
      </c>
      <c r="F144" s="24">
        <f>D144-E144</f>
        <v>259193.73</v>
      </c>
      <c r="G144" s="25">
        <f>F144/D144</f>
        <v>0.96631775488533533</v>
      </c>
      <c r="H144" s="24">
        <v>238611.58</v>
      </c>
      <c r="I144" s="24">
        <v>6362.08</v>
      </c>
      <c r="J144" s="23">
        <f>SUM(H144-O144)</f>
        <v>214154.25999999998</v>
      </c>
      <c r="K144" s="23">
        <f>SUM(I144-P144)</f>
        <v>3465.35</v>
      </c>
      <c r="L144" s="24">
        <f>J144-K144</f>
        <v>210688.90999999997</v>
      </c>
      <c r="M144" s="25">
        <f>L144/J144</f>
        <v>0.98381844003476748</v>
      </c>
      <c r="N144" s="26"/>
      <c r="O144" s="23">
        <v>24457.32</v>
      </c>
      <c r="P144" s="23">
        <v>2896.73</v>
      </c>
      <c r="Q144" s="24">
        <f>O144-P144</f>
        <v>21560.59</v>
      </c>
      <c r="R144" s="25">
        <f>Q144/O144</f>
        <v>0.88155979477718738</v>
      </c>
      <c r="S144" s="27">
        <v>497.55</v>
      </c>
      <c r="T144" s="27">
        <v>49.25</v>
      </c>
      <c r="U144" s="28">
        <f>S144-T144</f>
        <v>448.3</v>
      </c>
      <c r="V144" s="25">
        <f>U144/S144</f>
        <v>0.90101497336951064</v>
      </c>
      <c r="W144" s="26"/>
      <c r="X144" s="29">
        <f>(E144-K144-P144)/T144</f>
        <v>54.262944162436554</v>
      </c>
      <c r="Y144" s="29">
        <f>(D144-J144-O144)/S144</f>
        <v>59.525032660034228</v>
      </c>
      <c r="Z144" s="25">
        <f>(E144-K144-P144)/E144</f>
        <v>0.29580398758983589</v>
      </c>
      <c r="AA144" s="30">
        <f>SUM(D144-H144)/D144</f>
        <v>0.11041595691669484</v>
      </c>
      <c r="AB144" s="31"/>
      <c r="AD144" t="s">
        <v>31</v>
      </c>
      <c r="AE144">
        <f>AH149</f>
        <v>-49.25</v>
      </c>
      <c r="AH144" s="20">
        <f>SUM(T145-T144)</f>
        <v>9</v>
      </c>
      <c r="AI144" s="32">
        <f>SUM(K145-K144)</f>
        <v>0</v>
      </c>
    </row>
    <row r="145" spans="1:35" x14ac:dyDescent="0.2">
      <c r="A145" s="20"/>
      <c r="B145" s="21"/>
      <c r="C145" s="22" t="s">
        <v>32</v>
      </c>
      <c r="D145" s="23">
        <v>268228.26</v>
      </c>
      <c r="E145" s="23">
        <v>9034.5300000000007</v>
      </c>
      <c r="F145" s="24">
        <f t="shared" ref="F145:F149" si="262">D145-E145</f>
        <v>259193.73</v>
      </c>
      <c r="G145" s="25">
        <f t="shared" ref="G145:G149" si="263">F145/D145</f>
        <v>0.96631775488533533</v>
      </c>
      <c r="H145" s="24">
        <v>238611.58</v>
      </c>
      <c r="I145" s="24">
        <v>6362.08</v>
      </c>
      <c r="J145" s="23">
        <f t="shared" ref="J145:K149" si="264">SUM(H145-O145)</f>
        <v>214154.25</v>
      </c>
      <c r="K145" s="23">
        <f t="shared" si="264"/>
        <v>3465.35</v>
      </c>
      <c r="L145" s="24">
        <f t="shared" ref="L145:L149" si="265">J145-K145</f>
        <v>210688.9</v>
      </c>
      <c r="M145" s="25">
        <f t="shared" ref="M145:M149" si="266">L145/J145</f>
        <v>0.98381843927916446</v>
      </c>
      <c r="N145" s="26"/>
      <c r="O145" s="23">
        <v>24457.33</v>
      </c>
      <c r="P145" s="23">
        <v>2896.73</v>
      </c>
      <c r="Q145" s="24">
        <f t="shared" ref="Q145:Q149" si="267">O145-P145</f>
        <v>21560.600000000002</v>
      </c>
      <c r="R145" s="25">
        <f t="shared" ref="R145:R149" si="268">Q145/O145</f>
        <v>0.88155984320447078</v>
      </c>
      <c r="S145" s="27">
        <v>497.55</v>
      </c>
      <c r="T145" s="27">
        <v>58.25</v>
      </c>
      <c r="U145" s="28">
        <f t="shared" ref="U145:U149" si="269">S145-T145</f>
        <v>439.3</v>
      </c>
      <c r="V145" s="25">
        <f t="shared" ref="V145:V149" si="270">U145/S145</f>
        <v>0.88292633906140083</v>
      </c>
      <c r="W145" s="26"/>
      <c r="X145" s="29">
        <f t="shared" ref="X145:X149" si="271">(E145-K145-P145)/T145</f>
        <v>45.878969957081551</v>
      </c>
      <c r="Y145" s="29">
        <f t="shared" ref="Y145:Y149" si="272">(D145-J145-O145)/S145</f>
        <v>59.525032660034178</v>
      </c>
      <c r="Z145" s="25">
        <f t="shared" ref="Z145:Z149" si="273">(E145-K145-P145)/E145</f>
        <v>0.29580398758983589</v>
      </c>
      <c r="AA145" s="30">
        <f t="shared" ref="AA145:AA148" si="274">SUM(D145-H145)/D145</f>
        <v>0.11041595691669484</v>
      </c>
      <c r="AB145" s="31"/>
      <c r="AD145" t="s">
        <v>33</v>
      </c>
      <c r="AE145" s="33">
        <f>AI149</f>
        <v>-3465.35</v>
      </c>
      <c r="AH145" s="20">
        <f>SUM(T146-T145)</f>
        <v>-58.25</v>
      </c>
      <c r="AI145" s="32">
        <f>SUM(K146-K145)</f>
        <v>-3465.35</v>
      </c>
    </row>
    <row r="146" spans="1:35" x14ac:dyDescent="0.2">
      <c r="A146" s="20"/>
      <c r="B146" s="21"/>
      <c r="C146" s="22" t="s">
        <v>34</v>
      </c>
      <c r="D146" s="23">
        <v>0</v>
      </c>
      <c r="E146" s="23">
        <v>0</v>
      </c>
      <c r="F146" s="24">
        <f t="shared" si="262"/>
        <v>0</v>
      </c>
      <c r="G146" s="25" t="e">
        <f t="shared" si="263"/>
        <v>#DIV/0!</v>
      </c>
      <c r="H146" s="24">
        <v>0</v>
      </c>
      <c r="I146" s="24">
        <v>0</v>
      </c>
      <c r="J146" s="23">
        <f t="shared" si="264"/>
        <v>0</v>
      </c>
      <c r="K146" s="23">
        <f t="shared" si="264"/>
        <v>0</v>
      </c>
      <c r="L146" s="24">
        <f t="shared" si="265"/>
        <v>0</v>
      </c>
      <c r="M146" s="25" t="e">
        <f t="shared" si="266"/>
        <v>#DIV/0!</v>
      </c>
      <c r="N146" s="26"/>
      <c r="O146" s="23">
        <v>0</v>
      </c>
      <c r="P146" s="23">
        <v>0</v>
      </c>
      <c r="Q146" s="24">
        <f t="shared" si="267"/>
        <v>0</v>
      </c>
      <c r="R146" s="25" t="e">
        <f t="shared" si="268"/>
        <v>#DIV/0!</v>
      </c>
      <c r="S146" s="27">
        <v>0</v>
      </c>
      <c r="T146" s="27">
        <v>0</v>
      </c>
      <c r="U146" s="28">
        <f t="shared" si="269"/>
        <v>0</v>
      </c>
      <c r="V146" s="25" t="e">
        <f t="shared" si="270"/>
        <v>#DIV/0!</v>
      </c>
      <c r="W146" s="26"/>
      <c r="X146" s="29" t="e">
        <f t="shared" si="271"/>
        <v>#DIV/0!</v>
      </c>
      <c r="Y146" s="29" t="e">
        <f t="shared" si="272"/>
        <v>#DIV/0!</v>
      </c>
      <c r="Z146" s="25" t="e">
        <f t="shared" si="273"/>
        <v>#DIV/0!</v>
      </c>
      <c r="AA146" s="30" t="e">
        <f t="shared" si="274"/>
        <v>#DIV/0!</v>
      </c>
      <c r="AB146" s="31"/>
      <c r="AH146" s="20">
        <f>SUM(T147-T146)</f>
        <v>0</v>
      </c>
      <c r="AI146" s="32">
        <f>SUM(K147-K146)</f>
        <v>0</v>
      </c>
    </row>
    <row r="147" spans="1:35" x14ac:dyDescent="0.2">
      <c r="A147" s="20"/>
      <c r="B147" s="21"/>
      <c r="C147" s="22" t="s">
        <v>35</v>
      </c>
      <c r="D147" s="23">
        <v>0</v>
      </c>
      <c r="E147" s="23">
        <v>0</v>
      </c>
      <c r="F147" s="24">
        <f t="shared" si="262"/>
        <v>0</v>
      </c>
      <c r="G147" s="25" t="e">
        <f t="shared" si="263"/>
        <v>#DIV/0!</v>
      </c>
      <c r="H147" s="24">
        <v>0</v>
      </c>
      <c r="I147" s="24"/>
      <c r="J147" s="23">
        <f t="shared" si="264"/>
        <v>0</v>
      </c>
      <c r="K147" s="23">
        <f t="shared" si="264"/>
        <v>0</v>
      </c>
      <c r="L147" s="24">
        <f t="shared" si="265"/>
        <v>0</v>
      </c>
      <c r="M147" s="25" t="e">
        <f t="shared" si="266"/>
        <v>#DIV/0!</v>
      </c>
      <c r="N147" s="26"/>
      <c r="O147" s="23">
        <v>0</v>
      </c>
      <c r="P147" s="23">
        <v>0</v>
      </c>
      <c r="Q147" s="24">
        <f t="shared" si="267"/>
        <v>0</v>
      </c>
      <c r="R147" s="25" t="e">
        <f t="shared" si="268"/>
        <v>#DIV/0!</v>
      </c>
      <c r="S147" s="27">
        <v>0</v>
      </c>
      <c r="T147" s="27">
        <v>0</v>
      </c>
      <c r="U147" s="28">
        <f t="shared" si="269"/>
        <v>0</v>
      </c>
      <c r="V147" s="25" t="e">
        <f t="shared" si="270"/>
        <v>#DIV/0!</v>
      </c>
      <c r="W147" s="26"/>
      <c r="X147" s="29" t="e">
        <f t="shared" si="271"/>
        <v>#DIV/0!</v>
      </c>
      <c r="Y147" s="29" t="e">
        <f t="shared" si="272"/>
        <v>#DIV/0!</v>
      </c>
      <c r="Z147" s="25" t="e">
        <f t="shared" si="273"/>
        <v>#DIV/0!</v>
      </c>
      <c r="AA147" s="30" t="e">
        <f t="shared" si="274"/>
        <v>#DIV/0!</v>
      </c>
      <c r="AB147" s="31"/>
      <c r="AD147" t="s">
        <v>36</v>
      </c>
      <c r="AE147" s="33">
        <v>0</v>
      </c>
      <c r="AH147" s="20">
        <f>SUM(T148-T147)</f>
        <v>0</v>
      </c>
      <c r="AI147" s="32">
        <f>SUM(K148-K147)</f>
        <v>0</v>
      </c>
    </row>
    <row r="148" spans="1:35" x14ac:dyDescent="0.2">
      <c r="A148" s="20"/>
      <c r="B148" s="21"/>
      <c r="C148" s="22" t="s">
        <v>37</v>
      </c>
      <c r="D148" s="23">
        <v>0</v>
      </c>
      <c r="E148" s="23">
        <v>0</v>
      </c>
      <c r="F148" s="24">
        <f t="shared" si="262"/>
        <v>0</v>
      </c>
      <c r="G148" s="25" t="e">
        <f t="shared" si="263"/>
        <v>#DIV/0!</v>
      </c>
      <c r="H148" s="24">
        <v>0</v>
      </c>
      <c r="I148" s="24"/>
      <c r="J148" s="23">
        <f t="shared" si="264"/>
        <v>0</v>
      </c>
      <c r="K148" s="23">
        <f t="shared" si="264"/>
        <v>0</v>
      </c>
      <c r="L148" s="24">
        <f t="shared" si="265"/>
        <v>0</v>
      </c>
      <c r="M148" s="25" t="e">
        <f t="shared" si="266"/>
        <v>#DIV/0!</v>
      </c>
      <c r="N148" s="26"/>
      <c r="O148" s="23">
        <v>0</v>
      </c>
      <c r="P148" s="23"/>
      <c r="Q148" s="24">
        <f t="shared" si="267"/>
        <v>0</v>
      </c>
      <c r="R148" s="25" t="e">
        <f t="shared" si="268"/>
        <v>#DIV/0!</v>
      </c>
      <c r="S148" s="27">
        <v>0</v>
      </c>
      <c r="T148" s="27">
        <v>0</v>
      </c>
      <c r="U148" s="28">
        <f t="shared" si="269"/>
        <v>0</v>
      </c>
      <c r="V148" s="25" t="e">
        <f t="shared" si="270"/>
        <v>#DIV/0!</v>
      </c>
      <c r="W148" s="26"/>
      <c r="X148" s="29" t="e">
        <f t="shared" si="271"/>
        <v>#DIV/0!</v>
      </c>
      <c r="Y148" s="29" t="e">
        <f t="shared" si="272"/>
        <v>#DIV/0!</v>
      </c>
      <c r="Z148" s="25" t="e">
        <f t="shared" si="273"/>
        <v>#DIV/0!</v>
      </c>
      <c r="AA148" s="30" t="e">
        <f t="shared" si="274"/>
        <v>#DIV/0!</v>
      </c>
      <c r="AB148" s="31"/>
      <c r="AH148" s="20">
        <f>SUM(T149-T148)</f>
        <v>0</v>
      </c>
      <c r="AI148" s="32">
        <f>SUM(K149-K148)</f>
        <v>0</v>
      </c>
    </row>
    <row r="149" spans="1:35" ht="17" thickBot="1" x14ac:dyDescent="0.25">
      <c r="A149" s="20"/>
      <c r="B149" s="21"/>
      <c r="C149" s="22" t="s">
        <v>38</v>
      </c>
      <c r="D149" s="23">
        <v>0</v>
      </c>
      <c r="E149" s="23">
        <v>0</v>
      </c>
      <c r="F149" s="24">
        <f t="shared" si="262"/>
        <v>0</v>
      </c>
      <c r="G149" s="25" t="e">
        <f t="shared" si="263"/>
        <v>#DIV/0!</v>
      </c>
      <c r="H149" s="24">
        <v>0</v>
      </c>
      <c r="I149" s="24"/>
      <c r="J149" s="23">
        <f t="shared" si="264"/>
        <v>0</v>
      </c>
      <c r="K149" s="23">
        <f t="shared" si="264"/>
        <v>0</v>
      </c>
      <c r="L149" s="24">
        <f t="shared" si="265"/>
        <v>0</v>
      </c>
      <c r="M149" s="25" t="e">
        <f t="shared" si="266"/>
        <v>#DIV/0!</v>
      </c>
      <c r="N149" s="26"/>
      <c r="O149" s="23">
        <v>0</v>
      </c>
      <c r="P149" s="23"/>
      <c r="Q149" s="24">
        <f t="shared" si="267"/>
        <v>0</v>
      </c>
      <c r="R149" s="25" t="e">
        <f t="shared" si="268"/>
        <v>#DIV/0!</v>
      </c>
      <c r="S149" s="27">
        <v>0</v>
      </c>
      <c r="T149" s="27">
        <v>0</v>
      </c>
      <c r="U149" s="28">
        <f t="shared" si="269"/>
        <v>0</v>
      </c>
      <c r="V149" s="25" t="e">
        <f t="shared" si="270"/>
        <v>#DIV/0!</v>
      </c>
      <c r="W149" s="26"/>
      <c r="X149" s="29" t="e">
        <f t="shared" si="271"/>
        <v>#DIV/0!</v>
      </c>
      <c r="Y149" s="29" t="e">
        <f t="shared" si="272"/>
        <v>#DIV/0!</v>
      </c>
      <c r="Z149" s="25" t="e">
        <f t="shared" si="273"/>
        <v>#DIV/0!</v>
      </c>
      <c r="AA149" s="30" t="e">
        <f>SUM(D149-H149)/D149</f>
        <v>#DIV/0!</v>
      </c>
      <c r="AB149" s="31"/>
      <c r="AH149" s="34">
        <f>SUM(AH144,AH145,AH146,AH147,AH148)</f>
        <v>-49.25</v>
      </c>
      <c r="AI149" s="35">
        <f>SUM(AI144,AI145,AI146,AI147,AI148)</f>
        <v>-3465.35</v>
      </c>
    </row>
    <row r="150" spans="1:35" ht="9" customHeight="1" x14ac:dyDescent="0.2">
      <c r="A150" s="3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8"/>
    </row>
    <row r="151" spans="1:35" x14ac:dyDescent="0.2">
      <c r="A151" s="58">
        <f>'[1]Main Sheet'!A46</f>
        <v>8360</v>
      </c>
      <c r="B151" s="59" t="str">
        <f>'[1]Main Sheet'!B46</f>
        <v>Dixon House</v>
      </c>
      <c r="C151" s="22" t="s">
        <v>30</v>
      </c>
      <c r="D151" s="23">
        <v>32773.410000000003</v>
      </c>
      <c r="E151" s="23">
        <v>25502.959999999999</v>
      </c>
      <c r="F151" s="24">
        <f>D151-E151</f>
        <v>7270.4500000000044</v>
      </c>
      <c r="G151" s="25">
        <f>F151/D151</f>
        <v>0.2218399000897375</v>
      </c>
      <c r="H151" s="24">
        <v>22750.99</v>
      </c>
      <c r="I151" s="24">
        <v>21846.04</v>
      </c>
      <c r="J151" s="23">
        <f>SUM(H151-O151)</f>
        <v>12243.410000000002</v>
      </c>
      <c r="K151" s="23">
        <f>SUM(I151-P151)</f>
        <v>10619.900000000001</v>
      </c>
      <c r="L151" s="24">
        <f>J151-K151</f>
        <v>1623.5100000000002</v>
      </c>
      <c r="M151" s="25">
        <f>L151/J151</f>
        <v>0.13260276344580471</v>
      </c>
      <c r="N151" s="26"/>
      <c r="O151" s="23">
        <v>10507.58</v>
      </c>
      <c r="P151" s="23">
        <v>11226.14</v>
      </c>
      <c r="Q151" s="24">
        <f>O151-P151</f>
        <v>-718.55999999999949</v>
      </c>
      <c r="R151" s="25">
        <f>Q151/O151</f>
        <v>-6.8384918316110793E-2</v>
      </c>
      <c r="S151" s="27">
        <v>210.6</v>
      </c>
      <c r="T151" s="27">
        <v>226.5</v>
      </c>
      <c r="U151" s="28">
        <f>S151-T151</f>
        <v>-15.900000000000006</v>
      </c>
      <c r="V151" s="25">
        <f>U151/S151</f>
        <v>-7.5498575498575526E-2</v>
      </c>
      <c r="W151" s="26"/>
      <c r="X151" s="29">
        <f>(E151-K151-P151)/T151</f>
        <v>16.145342163355402</v>
      </c>
      <c r="Y151" s="29">
        <f>(D151-J151-O151)/S151</f>
        <v>47.589838556505228</v>
      </c>
      <c r="Z151" s="25">
        <f>(E151-K151-P151)/E151</f>
        <v>0.14339198273455311</v>
      </c>
      <c r="AA151" s="30">
        <f>SUM(D151-H151)/D151</f>
        <v>0.30580949617388004</v>
      </c>
      <c r="AB151" s="31"/>
      <c r="AD151" t="s">
        <v>31</v>
      </c>
      <c r="AE151">
        <f>AH156</f>
        <v>34.25</v>
      </c>
      <c r="AH151" s="20">
        <f>SUM(T152-T151)</f>
        <v>0</v>
      </c>
      <c r="AI151" s="32">
        <f>SUM(K152-K151)</f>
        <v>0</v>
      </c>
    </row>
    <row r="152" spans="1:35" x14ac:dyDescent="0.2">
      <c r="A152" s="20"/>
      <c r="B152" s="21"/>
      <c r="C152" s="22" t="s">
        <v>32</v>
      </c>
      <c r="D152" s="23">
        <v>32773.410000000003</v>
      </c>
      <c r="E152" s="23">
        <v>30592.27</v>
      </c>
      <c r="F152" s="24">
        <f t="shared" ref="F152:F156" si="275">D152-E152</f>
        <v>2181.1400000000031</v>
      </c>
      <c r="G152" s="25">
        <f t="shared" ref="G152:G156" si="276">F152/D152</f>
        <v>6.6552122589623813E-2</v>
      </c>
      <c r="H152" s="24">
        <v>22750.99</v>
      </c>
      <c r="I152" s="24">
        <v>21846.04</v>
      </c>
      <c r="J152" s="23">
        <f t="shared" ref="J152:K156" si="277">SUM(H152-O152)</f>
        <v>12243.410000000002</v>
      </c>
      <c r="K152" s="23">
        <f t="shared" si="277"/>
        <v>10619.900000000001</v>
      </c>
      <c r="L152" s="24">
        <f t="shared" ref="L152:L156" si="278">J152-K152</f>
        <v>1623.5100000000002</v>
      </c>
      <c r="M152" s="25">
        <f t="shared" ref="M152:M156" si="279">L152/J152</f>
        <v>0.13260276344580471</v>
      </c>
      <c r="N152" s="26"/>
      <c r="O152" s="23">
        <v>10507.58</v>
      </c>
      <c r="P152" s="23">
        <v>11226.14</v>
      </c>
      <c r="Q152" s="24">
        <f t="shared" ref="Q152:Q156" si="280">O152-P152</f>
        <v>-718.55999999999949</v>
      </c>
      <c r="R152" s="25">
        <f t="shared" ref="R152:R156" si="281">Q152/O152</f>
        <v>-6.8384918316110793E-2</v>
      </c>
      <c r="S152" s="27">
        <v>210.6</v>
      </c>
      <c r="T152" s="27">
        <v>226.5</v>
      </c>
      <c r="U152" s="28">
        <f t="shared" ref="U152:U156" si="282">S152-T152</f>
        <v>-15.900000000000006</v>
      </c>
      <c r="V152" s="25">
        <f t="shared" ref="V152:V156" si="283">U152/S152</f>
        <v>-7.5498575498575526E-2</v>
      </c>
      <c r="W152" s="26"/>
      <c r="X152" s="29">
        <f t="shared" ref="X152:X156" si="284">(E152-K152-P152)/T152</f>
        <v>38.614701986754966</v>
      </c>
      <c r="Y152" s="29">
        <f t="shared" ref="Y152:Y156" si="285">(D152-J152-O152)/S152</f>
        <v>47.589838556505228</v>
      </c>
      <c r="Z152" s="25">
        <f t="shared" ref="Z152:Z156" si="286">(E152-K152-P152)/E152</f>
        <v>0.28589673142921396</v>
      </c>
      <c r="AA152" s="30">
        <f t="shared" ref="AA152:AA155" si="287">SUM(D152-H152)/D152</f>
        <v>0.30580949617388004</v>
      </c>
      <c r="AB152" s="31"/>
      <c r="AD152" t="s">
        <v>33</v>
      </c>
      <c r="AE152" s="33">
        <f>AI156</f>
        <v>-1295.4900000000016</v>
      </c>
      <c r="AH152" s="20">
        <f>SUM(T153-T152)</f>
        <v>34.25</v>
      </c>
      <c r="AI152" s="32">
        <f>SUM(K153-K152)</f>
        <v>-1295.4900000000016</v>
      </c>
    </row>
    <row r="153" spans="1:35" x14ac:dyDescent="0.2">
      <c r="A153" s="20"/>
      <c r="B153" s="21"/>
      <c r="C153" s="22" t="s">
        <v>34</v>
      </c>
      <c r="D153" s="23">
        <v>32773.410000000003</v>
      </c>
      <c r="E153" s="23">
        <v>32773.410000000003</v>
      </c>
      <c r="F153" s="24">
        <f t="shared" si="275"/>
        <v>0</v>
      </c>
      <c r="G153" s="25">
        <f t="shared" si="276"/>
        <v>0</v>
      </c>
      <c r="H153" s="24">
        <v>22750.99</v>
      </c>
      <c r="I153" s="24">
        <v>22238.62</v>
      </c>
      <c r="J153" s="23">
        <f t="shared" si="277"/>
        <v>12243.410000000002</v>
      </c>
      <c r="K153" s="23">
        <f t="shared" si="277"/>
        <v>9324.41</v>
      </c>
      <c r="L153" s="24">
        <f t="shared" si="278"/>
        <v>2919.0000000000018</v>
      </c>
      <c r="M153" s="25">
        <f t="shared" si="279"/>
        <v>0.23841397127107575</v>
      </c>
      <c r="N153" s="26"/>
      <c r="O153" s="23">
        <v>10507.58</v>
      </c>
      <c r="P153" s="23">
        <v>12914.21</v>
      </c>
      <c r="Q153" s="24">
        <f t="shared" si="280"/>
        <v>-2406.6299999999992</v>
      </c>
      <c r="R153" s="25">
        <f t="shared" si="281"/>
        <v>-0.22903751387093882</v>
      </c>
      <c r="S153" s="27">
        <v>210.6</v>
      </c>
      <c r="T153" s="27">
        <v>260.75</v>
      </c>
      <c r="U153" s="28">
        <f t="shared" si="282"/>
        <v>-50.150000000000006</v>
      </c>
      <c r="V153" s="25">
        <f t="shared" si="283"/>
        <v>-0.2381291547958215</v>
      </c>
      <c r="W153" s="26"/>
      <c r="X153" s="29">
        <f t="shared" si="284"/>
        <v>40.401879194630887</v>
      </c>
      <c r="Y153" s="29">
        <f t="shared" si="285"/>
        <v>47.589838556505228</v>
      </c>
      <c r="Z153" s="25">
        <f t="shared" si="286"/>
        <v>0.32144320655067637</v>
      </c>
      <c r="AA153" s="30">
        <f t="shared" si="287"/>
        <v>0.30580949617388004</v>
      </c>
      <c r="AB153" s="31"/>
      <c r="AH153" s="20">
        <f>SUM(T154-T153)</f>
        <v>0</v>
      </c>
      <c r="AI153" s="32">
        <f>SUM(K154-K153)</f>
        <v>0</v>
      </c>
    </row>
    <row r="154" spans="1:35" x14ac:dyDescent="0.2">
      <c r="A154" s="20"/>
      <c r="B154" s="21"/>
      <c r="C154" s="22" t="s">
        <v>35</v>
      </c>
      <c r="D154" s="23">
        <v>32773.410000000003</v>
      </c>
      <c r="E154" s="23">
        <v>32773.410000000003</v>
      </c>
      <c r="F154" s="24">
        <f t="shared" si="275"/>
        <v>0</v>
      </c>
      <c r="G154" s="25">
        <f t="shared" si="276"/>
        <v>0</v>
      </c>
      <c r="H154" s="24">
        <v>22750.99</v>
      </c>
      <c r="I154" s="24">
        <v>22238.62</v>
      </c>
      <c r="J154" s="23">
        <f t="shared" si="277"/>
        <v>12243.410000000002</v>
      </c>
      <c r="K154" s="23">
        <f t="shared" si="277"/>
        <v>9324.41</v>
      </c>
      <c r="L154" s="24">
        <f t="shared" si="278"/>
        <v>2919.0000000000018</v>
      </c>
      <c r="M154" s="25">
        <f t="shared" si="279"/>
        <v>0.23841397127107575</v>
      </c>
      <c r="N154" s="26"/>
      <c r="O154" s="23">
        <v>10507.58</v>
      </c>
      <c r="P154" s="23">
        <v>12914.21</v>
      </c>
      <c r="Q154" s="24">
        <f t="shared" si="280"/>
        <v>-2406.6299999999992</v>
      </c>
      <c r="R154" s="25">
        <f t="shared" si="281"/>
        <v>-0.22903751387093882</v>
      </c>
      <c r="S154" s="27">
        <v>210.6</v>
      </c>
      <c r="T154" s="27">
        <v>260.75</v>
      </c>
      <c r="U154" s="28">
        <f>S154-T154</f>
        <v>-50.150000000000006</v>
      </c>
      <c r="V154" s="25">
        <f>U154/S154</f>
        <v>-0.2381291547958215</v>
      </c>
      <c r="W154" s="26"/>
      <c r="X154" s="29">
        <f t="shared" si="284"/>
        <v>40.401879194630887</v>
      </c>
      <c r="Y154" s="29">
        <f>(D154-J154-O154)/S154</f>
        <v>47.589838556505228</v>
      </c>
      <c r="Z154" s="25">
        <f t="shared" si="286"/>
        <v>0.32144320655067637</v>
      </c>
      <c r="AA154" s="30">
        <f t="shared" si="287"/>
        <v>0.30580949617388004</v>
      </c>
      <c r="AB154" s="31"/>
      <c r="AD154" t="s">
        <v>36</v>
      </c>
      <c r="AE154" s="33">
        <v>0</v>
      </c>
      <c r="AH154" s="20">
        <f>SUM(T155-T154)</f>
        <v>0</v>
      </c>
      <c r="AI154" s="32">
        <f>SUM(K155-K154)</f>
        <v>0</v>
      </c>
    </row>
    <row r="155" spans="1:35" x14ac:dyDescent="0.2">
      <c r="A155" s="20"/>
      <c r="B155" s="21"/>
      <c r="C155" s="22" t="s">
        <v>37</v>
      </c>
      <c r="D155" s="23">
        <v>32773.410000000003</v>
      </c>
      <c r="E155" s="23">
        <v>32773.410000000003</v>
      </c>
      <c r="F155" s="24">
        <f t="shared" si="275"/>
        <v>0</v>
      </c>
      <c r="G155" s="25">
        <f t="shared" si="276"/>
        <v>0</v>
      </c>
      <c r="H155" s="24">
        <v>22750.99</v>
      </c>
      <c r="I155" s="24">
        <v>22238.62</v>
      </c>
      <c r="J155" s="23">
        <f t="shared" si="277"/>
        <v>12243.410000000002</v>
      </c>
      <c r="K155" s="23">
        <f t="shared" si="277"/>
        <v>9324.41</v>
      </c>
      <c r="L155" s="24">
        <f t="shared" si="278"/>
        <v>2919.0000000000018</v>
      </c>
      <c r="M155" s="25">
        <f t="shared" si="279"/>
        <v>0.23841397127107575</v>
      </c>
      <c r="N155" s="26"/>
      <c r="O155" s="23">
        <v>10507.58</v>
      </c>
      <c r="P155" s="23">
        <v>12914.21</v>
      </c>
      <c r="Q155" s="24">
        <f t="shared" si="280"/>
        <v>-2406.6299999999992</v>
      </c>
      <c r="R155" s="25">
        <f t="shared" si="281"/>
        <v>-0.22903751387093882</v>
      </c>
      <c r="S155" s="27">
        <v>210.6</v>
      </c>
      <c r="T155" s="27">
        <v>260.75</v>
      </c>
      <c r="U155" s="28">
        <f>S155-T155</f>
        <v>-50.150000000000006</v>
      </c>
      <c r="V155" s="25">
        <f>U155/S155</f>
        <v>-0.2381291547958215</v>
      </c>
      <c r="W155" s="26"/>
      <c r="X155" s="29">
        <f t="shared" si="284"/>
        <v>40.401879194630887</v>
      </c>
      <c r="Y155" s="29">
        <f>(D155-J155-O155)/S155</f>
        <v>47.589838556505228</v>
      </c>
      <c r="Z155" s="25">
        <f t="shared" si="286"/>
        <v>0.32144320655067637</v>
      </c>
      <c r="AA155" s="30">
        <f t="shared" si="287"/>
        <v>0.30580949617388004</v>
      </c>
      <c r="AB155" s="31"/>
      <c r="AH155" s="20">
        <f>SUM(T156-T155)</f>
        <v>0</v>
      </c>
      <c r="AI155" s="32">
        <f>SUM(K156-K155)</f>
        <v>0</v>
      </c>
    </row>
    <row r="156" spans="1:35" ht="17" thickBot="1" x14ac:dyDescent="0.25">
      <c r="A156" s="34"/>
      <c r="B156" s="60"/>
      <c r="C156" s="61" t="s">
        <v>38</v>
      </c>
      <c r="D156" s="23">
        <v>32773.410000000003</v>
      </c>
      <c r="E156" s="23">
        <v>32773.410000000003</v>
      </c>
      <c r="F156" s="24">
        <f t="shared" si="275"/>
        <v>0</v>
      </c>
      <c r="G156" s="25">
        <f t="shared" si="276"/>
        <v>0</v>
      </c>
      <c r="H156" s="24">
        <v>22750.99</v>
      </c>
      <c r="I156" s="24">
        <v>22238.62</v>
      </c>
      <c r="J156" s="23">
        <f t="shared" si="277"/>
        <v>12243.410000000002</v>
      </c>
      <c r="K156" s="23">
        <f t="shared" si="277"/>
        <v>9324.41</v>
      </c>
      <c r="L156" s="24">
        <f t="shared" si="278"/>
        <v>2919.0000000000018</v>
      </c>
      <c r="M156" s="25">
        <f t="shared" si="279"/>
        <v>0.23841397127107575</v>
      </c>
      <c r="N156" s="26"/>
      <c r="O156" s="23">
        <v>10507.58</v>
      </c>
      <c r="P156" s="23">
        <v>12914.21</v>
      </c>
      <c r="Q156" s="24">
        <f t="shared" si="280"/>
        <v>-2406.6299999999992</v>
      </c>
      <c r="R156" s="25">
        <f t="shared" si="281"/>
        <v>-0.22903751387093882</v>
      </c>
      <c r="S156" s="27">
        <v>210.6</v>
      </c>
      <c r="T156" s="27">
        <v>260.75</v>
      </c>
      <c r="U156" s="28">
        <f t="shared" si="282"/>
        <v>-50.150000000000006</v>
      </c>
      <c r="V156" s="25">
        <f t="shared" si="283"/>
        <v>-0.2381291547958215</v>
      </c>
      <c r="W156" s="26"/>
      <c r="X156" s="29">
        <f t="shared" si="284"/>
        <v>40.401879194630887</v>
      </c>
      <c r="Y156" s="29">
        <f t="shared" si="285"/>
        <v>47.589838556505228</v>
      </c>
      <c r="Z156" s="25">
        <f t="shared" si="286"/>
        <v>0.32144320655067637</v>
      </c>
      <c r="AA156" s="30">
        <f>SUM(D156-H156)/D156</f>
        <v>0.30580949617388004</v>
      </c>
      <c r="AB156" s="31"/>
      <c r="AH156" s="34">
        <f>SUM(AH151,AH152,AH153,AH154,AH155)</f>
        <v>34.25</v>
      </c>
      <c r="AI156" s="35">
        <f>SUM(AI151,AI152,AI153,AI154,AI155)</f>
        <v>-1295.4900000000016</v>
      </c>
    </row>
    <row r="157" spans="1:35" ht="26.25" customHeight="1" x14ac:dyDescent="0.2">
      <c r="A157" s="36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8"/>
    </row>
    <row r="158" spans="1:35" x14ac:dyDescent="0.2">
      <c r="A158" s="20">
        <f>'[1]Main Sheet'!A48</f>
        <v>8337</v>
      </c>
      <c r="B158" s="21" t="str">
        <f>'[1]Main Sheet'!B48</f>
        <v xml:space="preserve">Waimak Dairys </v>
      </c>
      <c r="C158" s="22" t="s">
        <v>30</v>
      </c>
      <c r="D158" s="23">
        <v>17899.330000000002</v>
      </c>
      <c r="E158" s="23">
        <v>0</v>
      </c>
      <c r="F158" s="24">
        <f>D158-E158</f>
        <v>17899.330000000002</v>
      </c>
      <c r="G158" s="25">
        <f>F158/D158</f>
        <v>1</v>
      </c>
      <c r="H158" s="24">
        <v>13691.44</v>
      </c>
      <c r="I158" s="24">
        <v>7562.12</v>
      </c>
      <c r="J158" s="23">
        <v>0</v>
      </c>
      <c r="K158" s="23">
        <v>0</v>
      </c>
      <c r="L158" s="24">
        <f>J158-K158</f>
        <v>0</v>
      </c>
      <c r="M158" s="25" t="e">
        <f>L158/J158</f>
        <v>#DIV/0!</v>
      </c>
      <c r="N158" s="26"/>
      <c r="O158" s="23">
        <v>5458.47</v>
      </c>
      <c r="P158" s="23">
        <v>2298.36</v>
      </c>
      <c r="Q158" s="24">
        <f>O158-P158</f>
        <v>3160.11</v>
      </c>
      <c r="R158" s="25">
        <f>Q158/O158</f>
        <v>0.57893695486097752</v>
      </c>
      <c r="S158" s="27">
        <v>109</v>
      </c>
      <c r="T158" s="27">
        <v>0</v>
      </c>
      <c r="U158" s="28">
        <f>S158-T158</f>
        <v>109</v>
      </c>
      <c r="V158" s="25">
        <f>U158/S158</f>
        <v>1</v>
      </c>
      <c r="W158" s="26"/>
      <c r="X158" s="29" t="e">
        <f>(E158-K158-P158)/T158</f>
        <v>#DIV/0!</v>
      </c>
      <c r="Y158" s="29">
        <f>(D158-J158-O158)/S158</f>
        <v>114.13633027522937</v>
      </c>
      <c r="Z158" s="25" t="e">
        <f>(E158-K158-P158)/E158</f>
        <v>#DIV/0!</v>
      </c>
      <c r="AA158" s="30">
        <f>SUM(D158-H158)/D158</f>
        <v>0.23508645295661909</v>
      </c>
      <c r="AB158" s="31"/>
      <c r="AD158" t="s">
        <v>31</v>
      </c>
      <c r="AE158">
        <f>AH163</f>
        <v>44.75</v>
      </c>
      <c r="AH158" s="20">
        <f>SUM(T159-T158)</f>
        <v>0</v>
      </c>
      <c r="AI158" s="32">
        <f>SUM(K159-K158)</f>
        <v>0</v>
      </c>
    </row>
    <row r="159" spans="1:35" x14ac:dyDescent="0.2">
      <c r="A159" s="20"/>
      <c r="B159" s="21"/>
      <c r="C159" s="22" t="s">
        <v>32</v>
      </c>
      <c r="D159" s="23">
        <v>17899.330000000002</v>
      </c>
      <c r="E159" s="23">
        <v>0</v>
      </c>
      <c r="F159" s="24">
        <f t="shared" ref="F159:F163" si="288">D159-E159</f>
        <v>17899.330000000002</v>
      </c>
      <c r="G159" s="25">
        <f t="shared" ref="G159:G163" si="289">F159/D159</f>
        <v>1</v>
      </c>
      <c r="H159" s="24">
        <v>13691.44</v>
      </c>
      <c r="I159" s="24">
        <v>7562.12</v>
      </c>
      <c r="J159" s="23">
        <v>0</v>
      </c>
      <c r="K159" s="23">
        <v>0</v>
      </c>
      <c r="L159" s="24">
        <f t="shared" ref="L159:L163" si="290">J159-K159</f>
        <v>0</v>
      </c>
      <c r="M159" s="25" t="e">
        <f t="shared" ref="M159:M163" si="291">L159/J159</f>
        <v>#DIV/0!</v>
      </c>
      <c r="N159" s="26"/>
      <c r="O159" s="23">
        <v>5508.47</v>
      </c>
      <c r="P159" s="23">
        <v>2298.36</v>
      </c>
      <c r="Q159" s="24">
        <f t="shared" ref="Q159:Q163" si="292">O159-P159</f>
        <v>3210.11</v>
      </c>
      <c r="R159" s="25">
        <f t="shared" ref="R159:R163" si="293">Q159/O159</f>
        <v>0.58275891490740628</v>
      </c>
      <c r="S159" s="27">
        <v>110.44</v>
      </c>
      <c r="T159" s="27">
        <v>0</v>
      </c>
      <c r="U159" s="28">
        <f t="shared" ref="U159:U163" si="294">S159-T159</f>
        <v>110.44</v>
      </c>
      <c r="V159" s="25">
        <f t="shared" ref="V159:V163" si="295">U159/S159</f>
        <v>1</v>
      </c>
      <c r="W159" s="26"/>
      <c r="X159" s="29" t="e">
        <f t="shared" ref="X159:X163" si="296">(E159-K159-P159)/T159</f>
        <v>#DIV/0!</v>
      </c>
      <c r="Y159" s="29">
        <f t="shared" ref="Y159:Y163" si="297">(D159-J159-O159)/S159</f>
        <v>112.19540021731258</v>
      </c>
      <c r="Z159" s="25" t="e">
        <f t="shared" ref="Z159:Z163" si="298">(E159-K159-P159)/E159</f>
        <v>#DIV/0!</v>
      </c>
      <c r="AA159" s="30">
        <f t="shared" ref="AA159:AA162" si="299">SUM(D159-H159)/D159</f>
        <v>0.23508645295661909</v>
      </c>
      <c r="AB159" s="31"/>
      <c r="AD159" t="s">
        <v>33</v>
      </c>
      <c r="AE159" s="33">
        <f>AI163</f>
        <v>5263.76</v>
      </c>
      <c r="AH159" s="20">
        <f>SUM(T160-T159)</f>
        <v>0</v>
      </c>
      <c r="AI159" s="32">
        <f>SUM(K160-K159)</f>
        <v>5263.76</v>
      </c>
    </row>
    <row r="160" spans="1:35" x14ac:dyDescent="0.2">
      <c r="A160" s="20"/>
      <c r="B160" s="21"/>
      <c r="C160" s="22" t="s">
        <v>34</v>
      </c>
      <c r="D160" s="23">
        <v>17899.330000000002</v>
      </c>
      <c r="E160" s="23">
        <v>0</v>
      </c>
      <c r="F160" s="24">
        <f t="shared" si="288"/>
        <v>17899.330000000002</v>
      </c>
      <c r="G160" s="25">
        <f t="shared" si="289"/>
        <v>1</v>
      </c>
      <c r="H160" s="24">
        <v>13919.4</v>
      </c>
      <c r="I160" s="24">
        <v>7562.12</v>
      </c>
      <c r="J160" s="23">
        <f t="shared" ref="J160:K163" si="300">SUM(H160-O160)</f>
        <v>8410.93</v>
      </c>
      <c r="K160" s="23">
        <f t="shared" si="300"/>
        <v>5263.76</v>
      </c>
      <c r="L160" s="24">
        <f t="shared" si="290"/>
        <v>3147.17</v>
      </c>
      <c r="M160" s="25">
        <f t="shared" si="291"/>
        <v>0.37417622070329914</v>
      </c>
      <c r="N160" s="26"/>
      <c r="O160" s="23">
        <v>5508.47</v>
      </c>
      <c r="P160" s="23">
        <v>2298.36</v>
      </c>
      <c r="Q160" s="24">
        <f t="shared" si="292"/>
        <v>3210.11</v>
      </c>
      <c r="R160" s="25">
        <f t="shared" si="293"/>
        <v>0.58275891490740628</v>
      </c>
      <c r="S160" s="27">
        <v>110.44</v>
      </c>
      <c r="T160" s="27">
        <v>0</v>
      </c>
      <c r="U160" s="28">
        <f t="shared" si="294"/>
        <v>110.44</v>
      </c>
      <c r="V160" s="25">
        <f t="shared" si="295"/>
        <v>1</v>
      </c>
      <c r="W160" s="26"/>
      <c r="X160" s="29" t="e">
        <f t="shared" si="296"/>
        <v>#DIV/0!</v>
      </c>
      <c r="Y160" s="29">
        <f t="shared" si="297"/>
        <v>36.037033683448037</v>
      </c>
      <c r="Z160" s="25" t="e">
        <f t="shared" si="298"/>
        <v>#DIV/0!</v>
      </c>
      <c r="AA160" s="30">
        <f t="shared" si="299"/>
        <v>0.22235078072754688</v>
      </c>
      <c r="AB160" s="31"/>
      <c r="AH160" s="20">
        <f>SUM(T161-T160)</f>
        <v>44.75</v>
      </c>
      <c r="AI160" s="32">
        <f>SUM(K161-K160)</f>
        <v>0</v>
      </c>
    </row>
    <row r="161" spans="1:35" x14ac:dyDescent="0.2">
      <c r="A161" s="20"/>
      <c r="B161" s="21"/>
      <c r="C161" s="22" t="s">
        <v>35</v>
      </c>
      <c r="D161" s="23">
        <v>17899.330000000002</v>
      </c>
      <c r="E161" s="23">
        <v>0</v>
      </c>
      <c r="F161" s="24">
        <f t="shared" si="288"/>
        <v>17899.330000000002</v>
      </c>
      <c r="G161" s="25">
        <f t="shared" si="289"/>
        <v>1</v>
      </c>
      <c r="H161" s="24">
        <v>13919.4</v>
      </c>
      <c r="I161" s="24">
        <v>7562.12</v>
      </c>
      <c r="J161" s="23">
        <f t="shared" si="300"/>
        <v>8410.93</v>
      </c>
      <c r="K161" s="23">
        <f t="shared" si="300"/>
        <v>5263.76</v>
      </c>
      <c r="L161" s="24">
        <f t="shared" si="290"/>
        <v>3147.17</v>
      </c>
      <c r="M161" s="25">
        <f t="shared" si="291"/>
        <v>0.37417622070329914</v>
      </c>
      <c r="N161" s="26"/>
      <c r="O161" s="23">
        <v>5508.47</v>
      </c>
      <c r="P161" s="23">
        <v>2298.36</v>
      </c>
      <c r="Q161" s="24">
        <f t="shared" si="292"/>
        <v>3210.11</v>
      </c>
      <c r="R161" s="25">
        <f t="shared" si="293"/>
        <v>0.58275891490740628</v>
      </c>
      <c r="S161" s="27">
        <v>110.44</v>
      </c>
      <c r="T161" s="27">
        <v>44.75</v>
      </c>
      <c r="U161" s="28">
        <f t="shared" si="294"/>
        <v>65.69</v>
      </c>
      <c r="V161" s="25">
        <f t="shared" si="295"/>
        <v>0.59480260775081495</v>
      </c>
      <c r="W161" s="26"/>
      <c r="X161" s="29">
        <f t="shared" si="296"/>
        <v>-168.98592178770951</v>
      </c>
      <c r="Y161" s="29">
        <f t="shared" si="297"/>
        <v>36.037033683448037</v>
      </c>
      <c r="Z161" s="25" t="e">
        <f t="shared" si="298"/>
        <v>#DIV/0!</v>
      </c>
      <c r="AA161" s="30">
        <f t="shared" si="299"/>
        <v>0.22235078072754688</v>
      </c>
      <c r="AB161" s="31"/>
      <c r="AD161" t="s">
        <v>36</v>
      </c>
      <c r="AE161" s="33">
        <v>0</v>
      </c>
      <c r="AH161" s="20">
        <f>SUM(T162-T161)</f>
        <v>0</v>
      </c>
      <c r="AI161" s="32">
        <f>SUM(K162-K161)</f>
        <v>0</v>
      </c>
    </row>
    <row r="162" spans="1:35" x14ac:dyDescent="0.2">
      <c r="A162" s="20"/>
      <c r="B162" s="21"/>
      <c r="C162" s="22" t="s">
        <v>37</v>
      </c>
      <c r="D162" s="23">
        <v>17899.330000000002</v>
      </c>
      <c r="E162" s="23">
        <v>0</v>
      </c>
      <c r="F162" s="24">
        <f t="shared" si="288"/>
        <v>17899.330000000002</v>
      </c>
      <c r="G162" s="25">
        <f t="shared" si="289"/>
        <v>1</v>
      </c>
      <c r="H162" s="24">
        <v>13919.4</v>
      </c>
      <c r="I162" s="24">
        <v>7562.12</v>
      </c>
      <c r="J162" s="23">
        <f t="shared" si="300"/>
        <v>8410.93</v>
      </c>
      <c r="K162" s="23">
        <f t="shared" si="300"/>
        <v>5263.76</v>
      </c>
      <c r="L162" s="24">
        <f t="shared" si="290"/>
        <v>3147.17</v>
      </c>
      <c r="M162" s="25">
        <f t="shared" si="291"/>
        <v>0.37417622070329914</v>
      </c>
      <c r="N162" s="26"/>
      <c r="O162" s="23">
        <v>5508.47</v>
      </c>
      <c r="P162" s="23">
        <v>2298.36</v>
      </c>
      <c r="Q162" s="24">
        <f t="shared" si="292"/>
        <v>3210.11</v>
      </c>
      <c r="R162" s="25">
        <f t="shared" si="293"/>
        <v>0.58275891490740628</v>
      </c>
      <c r="S162" s="27">
        <v>110.44</v>
      </c>
      <c r="T162" s="27">
        <v>44.75</v>
      </c>
      <c r="U162" s="28">
        <f t="shared" si="294"/>
        <v>65.69</v>
      </c>
      <c r="V162" s="25">
        <f t="shared" si="295"/>
        <v>0.59480260775081495</v>
      </c>
      <c r="W162" s="26"/>
      <c r="X162" s="29">
        <f t="shared" si="296"/>
        <v>-168.98592178770951</v>
      </c>
      <c r="Y162" s="29">
        <f t="shared" si="297"/>
        <v>36.037033683448037</v>
      </c>
      <c r="Z162" s="25" t="e">
        <f t="shared" si="298"/>
        <v>#DIV/0!</v>
      </c>
      <c r="AA162" s="30">
        <f t="shared" si="299"/>
        <v>0.22235078072754688</v>
      </c>
      <c r="AB162" s="31"/>
      <c r="AH162" s="20">
        <f>SUM(T163-T162)</f>
        <v>0</v>
      </c>
      <c r="AI162" s="32">
        <f>SUM(K163-K162)</f>
        <v>0</v>
      </c>
    </row>
    <row r="163" spans="1:35" ht="17" thickBot="1" x14ac:dyDescent="0.25">
      <c r="A163" s="34"/>
      <c r="B163" s="60"/>
      <c r="C163" s="61" t="s">
        <v>38</v>
      </c>
      <c r="D163" s="23">
        <v>17899.330000000002</v>
      </c>
      <c r="E163" s="23">
        <v>0</v>
      </c>
      <c r="F163" s="24">
        <f t="shared" si="288"/>
        <v>17899.330000000002</v>
      </c>
      <c r="G163" s="25">
        <f t="shared" si="289"/>
        <v>1</v>
      </c>
      <c r="H163" s="24">
        <v>13919.4</v>
      </c>
      <c r="I163" s="24">
        <v>7562.12</v>
      </c>
      <c r="J163" s="23">
        <f t="shared" si="300"/>
        <v>8410.93</v>
      </c>
      <c r="K163" s="23">
        <f t="shared" si="300"/>
        <v>5263.76</v>
      </c>
      <c r="L163" s="24">
        <f t="shared" si="290"/>
        <v>3147.17</v>
      </c>
      <c r="M163" s="25">
        <f t="shared" si="291"/>
        <v>0.37417622070329914</v>
      </c>
      <c r="N163" s="26"/>
      <c r="O163" s="23">
        <v>5508.47</v>
      </c>
      <c r="P163" s="23">
        <v>2298.36</v>
      </c>
      <c r="Q163" s="24">
        <f t="shared" si="292"/>
        <v>3210.11</v>
      </c>
      <c r="R163" s="25">
        <f t="shared" si="293"/>
        <v>0.58275891490740628</v>
      </c>
      <c r="S163" s="27">
        <v>110.44</v>
      </c>
      <c r="T163" s="27">
        <v>44.75</v>
      </c>
      <c r="U163" s="28">
        <f t="shared" si="294"/>
        <v>65.69</v>
      </c>
      <c r="V163" s="25">
        <f t="shared" si="295"/>
        <v>0.59480260775081495</v>
      </c>
      <c r="W163" s="26"/>
      <c r="X163" s="29">
        <f t="shared" si="296"/>
        <v>-168.98592178770951</v>
      </c>
      <c r="Y163" s="29">
        <f t="shared" si="297"/>
        <v>36.037033683448037</v>
      </c>
      <c r="Z163" s="25" t="e">
        <f t="shared" si="298"/>
        <v>#DIV/0!</v>
      </c>
      <c r="AA163" s="30">
        <f>SUM(D163-H163)/D163</f>
        <v>0.22235078072754688</v>
      </c>
      <c r="AB163" s="31"/>
      <c r="AH163" s="34">
        <f>SUM(AH158,AH159,AH160,AH161,AH162)</f>
        <v>44.75</v>
      </c>
      <c r="AI163" s="35">
        <f>SUM(AI158,AI159,AI160,AI161,AI162)</f>
        <v>5263.76</v>
      </c>
    </row>
    <row r="164" spans="1:35" ht="9" customHeight="1" x14ac:dyDescent="0.2">
      <c r="A164" s="36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8"/>
    </row>
    <row r="165" spans="1:35" x14ac:dyDescent="0.2">
      <c r="A165" s="20">
        <f>'[1]Main Sheet'!A50</f>
        <v>9240</v>
      </c>
      <c r="B165" s="21" t="str">
        <f>'[1]Main Sheet'!B50</f>
        <v>Daves Twizel Shack</v>
      </c>
      <c r="C165" s="22" t="s">
        <v>30</v>
      </c>
      <c r="D165" s="23">
        <v>10827.2</v>
      </c>
      <c r="E165" s="23"/>
      <c r="F165" s="24">
        <f>D165-E165</f>
        <v>10827.2</v>
      </c>
      <c r="G165" s="25">
        <f>F165/D165</f>
        <v>1</v>
      </c>
      <c r="H165" s="24">
        <v>7619.53</v>
      </c>
      <c r="I165" s="24"/>
      <c r="J165" s="23">
        <f>SUM(H165-O165)</f>
        <v>4388.87</v>
      </c>
      <c r="K165" s="23">
        <f>SUM(I165-P165)</f>
        <v>0</v>
      </c>
      <c r="L165" s="24">
        <f>J165-K165</f>
        <v>4388.87</v>
      </c>
      <c r="M165" s="25">
        <f>L165/J165</f>
        <v>1</v>
      </c>
      <c r="N165" s="26"/>
      <c r="O165" s="23">
        <v>3230.66</v>
      </c>
      <c r="P165" s="23"/>
      <c r="Q165" s="24">
        <f>O165-P165</f>
        <v>3230.66</v>
      </c>
      <c r="R165" s="25">
        <f>Q165/O165</f>
        <v>1</v>
      </c>
      <c r="S165" s="27">
        <v>64.709999999999994</v>
      </c>
      <c r="T165" s="27"/>
      <c r="U165" s="28">
        <f>S165-T165</f>
        <v>64.709999999999994</v>
      </c>
      <c r="V165" s="25">
        <f>U165/S165</f>
        <v>1</v>
      </c>
      <c r="W165" s="26"/>
      <c r="X165" s="29" t="e">
        <f>(E165-K165-P165)/T165</f>
        <v>#DIV/0!</v>
      </c>
      <c r="Y165" s="29">
        <f>(D165-J165-O165)/S165</f>
        <v>49.569927368258405</v>
      </c>
      <c r="Z165" s="25" t="e">
        <f>(E165-K165-P165)/E165</f>
        <v>#DIV/0!</v>
      </c>
      <c r="AA165" s="30">
        <f>SUM(D165-H165)/D165</f>
        <v>0.29626034431801396</v>
      </c>
      <c r="AB165" s="31"/>
      <c r="AD165" t="s">
        <v>31</v>
      </c>
      <c r="AE165">
        <f>AH170</f>
        <v>0</v>
      </c>
      <c r="AH165" s="20">
        <f>SUM(T166-T165)</f>
        <v>0</v>
      </c>
      <c r="AI165" s="32">
        <f>SUM(K166-K165)</f>
        <v>0</v>
      </c>
    </row>
    <row r="166" spans="1:35" x14ac:dyDescent="0.2">
      <c r="A166" s="20"/>
      <c r="B166" s="21"/>
      <c r="C166" s="22" t="s">
        <v>32</v>
      </c>
      <c r="D166" s="23">
        <v>10827.2</v>
      </c>
      <c r="E166" s="23"/>
      <c r="F166" s="24">
        <f>D166-E166</f>
        <v>10827.2</v>
      </c>
      <c r="G166" s="25">
        <f t="shared" ref="G166:G170" si="301">F166/D166</f>
        <v>1</v>
      </c>
      <c r="H166" s="24">
        <v>7619.53</v>
      </c>
      <c r="I166" s="24"/>
      <c r="J166" s="23">
        <f>SUM(H166-O166)</f>
        <v>4388.87</v>
      </c>
      <c r="K166" s="23">
        <f>SUM(I166-P166)</f>
        <v>0</v>
      </c>
      <c r="L166" s="24">
        <f t="shared" ref="L166:L170" si="302">J166-K166</f>
        <v>4388.87</v>
      </c>
      <c r="M166" s="25">
        <f t="shared" ref="M166:M170" si="303">L166/J166</f>
        <v>1</v>
      </c>
      <c r="N166" s="26"/>
      <c r="O166" s="23">
        <v>3230.66</v>
      </c>
      <c r="P166" s="23"/>
      <c r="Q166" s="24">
        <f t="shared" ref="Q166:Q170" si="304">O166-P166</f>
        <v>3230.66</v>
      </c>
      <c r="R166" s="25">
        <f t="shared" ref="R166:R170" si="305">Q166/O166</f>
        <v>1</v>
      </c>
      <c r="S166" s="27">
        <v>64.709999999999994</v>
      </c>
      <c r="T166" s="27"/>
      <c r="U166" s="28">
        <f t="shared" ref="U166:U170" si="306">S166-T166</f>
        <v>64.709999999999994</v>
      </c>
      <c r="V166" s="25">
        <f t="shared" ref="V166:V170" si="307">U166/S166</f>
        <v>1</v>
      </c>
      <c r="W166" s="26"/>
      <c r="X166" s="29" t="e">
        <f t="shared" ref="X166:X170" si="308">(E166-K166-P166)/T166</f>
        <v>#DIV/0!</v>
      </c>
      <c r="Y166" s="29">
        <f t="shared" ref="Y166:Y170" si="309">(D166-J166-O166)/S166</f>
        <v>49.569927368258405</v>
      </c>
      <c r="Z166" s="25" t="e">
        <f t="shared" ref="Z166:Z170" si="310">(E166-K166-P166)/E166</f>
        <v>#DIV/0!</v>
      </c>
      <c r="AA166" s="30">
        <f t="shared" ref="AA166:AA169" si="311">SUM(D166-H166)/D166</f>
        <v>0.29626034431801396</v>
      </c>
      <c r="AB166" s="31"/>
      <c r="AD166" t="s">
        <v>33</v>
      </c>
      <c r="AE166" s="33">
        <f>AI170</f>
        <v>0</v>
      </c>
      <c r="AH166" s="20">
        <f>SUM(T167-T166)</f>
        <v>0</v>
      </c>
      <c r="AI166" s="32">
        <f>SUM(K167-K166)</f>
        <v>0</v>
      </c>
    </row>
    <row r="167" spans="1:35" x14ac:dyDescent="0.2">
      <c r="A167" s="20"/>
      <c r="B167" s="21"/>
      <c r="C167" s="22" t="s">
        <v>34</v>
      </c>
      <c r="D167" s="23"/>
      <c r="E167" s="23"/>
      <c r="F167" s="24">
        <f t="shared" ref="F167:F170" si="312">D167-E167</f>
        <v>0</v>
      </c>
      <c r="G167" s="25" t="e">
        <f t="shared" si="301"/>
        <v>#DIV/0!</v>
      </c>
      <c r="H167" s="24"/>
      <c r="I167" s="24"/>
      <c r="J167" s="23">
        <f t="shared" ref="J167:K170" si="313">SUM(H167-O167)</f>
        <v>0</v>
      </c>
      <c r="K167" s="23">
        <f t="shared" si="313"/>
        <v>0</v>
      </c>
      <c r="L167" s="24">
        <f t="shared" si="302"/>
        <v>0</v>
      </c>
      <c r="M167" s="25" t="e">
        <f t="shared" si="303"/>
        <v>#DIV/0!</v>
      </c>
      <c r="N167" s="26"/>
      <c r="O167" s="23"/>
      <c r="P167" s="23"/>
      <c r="Q167" s="24">
        <f t="shared" si="304"/>
        <v>0</v>
      </c>
      <c r="R167" s="25" t="e">
        <f t="shared" si="305"/>
        <v>#DIV/0!</v>
      </c>
      <c r="S167" s="27"/>
      <c r="T167" s="27"/>
      <c r="U167" s="28">
        <f t="shared" si="306"/>
        <v>0</v>
      </c>
      <c r="V167" s="25" t="e">
        <f t="shared" si="307"/>
        <v>#DIV/0!</v>
      </c>
      <c r="W167" s="26"/>
      <c r="X167" s="29" t="e">
        <f t="shared" si="308"/>
        <v>#DIV/0!</v>
      </c>
      <c r="Y167" s="29" t="e">
        <f t="shared" si="309"/>
        <v>#DIV/0!</v>
      </c>
      <c r="Z167" s="25" t="e">
        <f t="shared" si="310"/>
        <v>#DIV/0!</v>
      </c>
      <c r="AA167" s="30" t="e">
        <f t="shared" si="311"/>
        <v>#DIV/0!</v>
      </c>
      <c r="AB167" s="31"/>
      <c r="AH167" s="20">
        <f>SUM(T168-T167)</f>
        <v>0</v>
      </c>
      <c r="AI167" s="32">
        <f>SUM(K168-K167)</f>
        <v>0</v>
      </c>
    </row>
    <row r="168" spans="1:35" x14ac:dyDescent="0.2">
      <c r="A168" s="20"/>
      <c r="B168" s="21"/>
      <c r="C168" s="22" t="s">
        <v>35</v>
      </c>
      <c r="D168" s="23"/>
      <c r="E168" s="23"/>
      <c r="F168" s="24">
        <f t="shared" si="312"/>
        <v>0</v>
      </c>
      <c r="G168" s="25" t="e">
        <f t="shared" si="301"/>
        <v>#DIV/0!</v>
      </c>
      <c r="H168" s="24"/>
      <c r="I168" s="24"/>
      <c r="J168" s="23">
        <f t="shared" si="313"/>
        <v>0</v>
      </c>
      <c r="K168" s="23">
        <f t="shared" si="313"/>
        <v>0</v>
      </c>
      <c r="L168" s="24">
        <f t="shared" si="302"/>
        <v>0</v>
      </c>
      <c r="M168" s="25" t="e">
        <f t="shared" si="303"/>
        <v>#DIV/0!</v>
      </c>
      <c r="N168" s="26"/>
      <c r="O168" s="23"/>
      <c r="P168" s="23"/>
      <c r="Q168" s="24">
        <f t="shared" si="304"/>
        <v>0</v>
      </c>
      <c r="R168" s="25" t="e">
        <f t="shared" si="305"/>
        <v>#DIV/0!</v>
      </c>
      <c r="S168" s="27"/>
      <c r="T168" s="27"/>
      <c r="U168" s="28">
        <f t="shared" si="306"/>
        <v>0</v>
      </c>
      <c r="V168" s="25" t="e">
        <f t="shared" si="307"/>
        <v>#DIV/0!</v>
      </c>
      <c r="W168" s="26"/>
      <c r="X168" s="29" t="e">
        <f t="shared" si="308"/>
        <v>#DIV/0!</v>
      </c>
      <c r="Y168" s="29" t="e">
        <f t="shared" si="309"/>
        <v>#DIV/0!</v>
      </c>
      <c r="Z168" s="25" t="e">
        <f t="shared" si="310"/>
        <v>#DIV/0!</v>
      </c>
      <c r="AA168" s="30" t="e">
        <f t="shared" si="311"/>
        <v>#DIV/0!</v>
      </c>
      <c r="AB168" s="31"/>
      <c r="AD168" t="s">
        <v>36</v>
      </c>
      <c r="AE168" s="33">
        <v>0</v>
      </c>
      <c r="AH168" s="20">
        <f>SUM(T169-T168)</f>
        <v>0</v>
      </c>
      <c r="AI168" s="32">
        <f>SUM(K169-K168)</f>
        <v>0</v>
      </c>
    </row>
    <row r="169" spans="1:35" x14ac:dyDescent="0.2">
      <c r="A169" s="20"/>
      <c r="B169" s="21"/>
      <c r="C169" s="22" t="s">
        <v>37</v>
      </c>
      <c r="D169" s="23"/>
      <c r="E169" s="23"/>
      <c r="F169" s="24">
        <f t="shared" si="312"/>
        <v>0</v>
      </c>
      <c r="G169" s="25" t="e">
        <f t="shared" si="301"/>
        <v>#DIV/0!</v>
      </c>
      <c r="H169" s="24"/>
      <c r="I169" s="24"/>
      <c r="J169" s="23">
        <f t="shared" si="313"/>
        <v>0</v>
      </c>
      <c r="K169" s="23">
        <f t="shared" si="313"/>
        <v>0</v>
      </c>
      <c r="L169" s="24">
        <f t="shared" si="302"/>
        <v>0</v>
      </c>
      <c r="M169" s="25" t="e">
        <f t="shared" si="303"/>
        <v>#DIV/0!</v>
      </c>
      <c r="N169" s="26"/>
      <c r="O169" s="23"/>
      <c r="P169" s="23"/>
      <c r="Q169" s="24">
        <f t="shared" si="304"/>
        <v>0</v>
      </c>
      <c r="R169" s="25" t="e">
        <f t="shared" si="305"/>
        <v>#DIV/0!</v>
      </c>
      <c r="S169" s="27"/>
      <c r="T169" s="27"/>
      <c r="U169" s="28">
        <f t="shared" si="306"/>
        <v>0</v>
      </c>
      <c r="V169" s="25" t="e">
        <f t="shared" si="307"/>
        <v>#DIV/0!</v>
      </c>
      <c r="W169" s="26"/>
      <c r="X169" s="29" t="e">
        <f t="shared" si="308"/>
        <v>#DIV/0!</v>
      </c>
      <c r="Y169" s="29" t="e">
        <f t="shared" si="309"/>
        <v>#DIV/0!</v>
      </c>
      <c r="Z169" s="25" t="e">
        <f t="shared" si="310"/>
        <v>#DIV/0!</v>
      </c>
      <c r="AA169" s="30" t="e">
        <f t="shared" si="311"/>
        <v>#DIV/0!</v>
      </c>
      <c r="AB169" s="31"/>
      <c r="AH169" s="20">
        <f>SUM(T170-T169)</f>
        <v>0</v>
      </c>
      <c r="AI169" s="32">
        <f>SUM(K170-K169)</f>
        <v>0</v>
      </c>
    </row>
    <row r="170" spans="1:35" ht="17" thickBot="1" x14ac:dyDescent="0.25">
      <c r="A170" s="34"/>
      <c r="B170" s="60"/>
      <c r="C170" s="61" t="s">
        <v>38</v>
      </c>
      <c r="D170" s="23"/>
      <c r="E170" s="23"/>
      <c r="F170" s="24">
        <f t="shared" si="312"/>
        <v>0</v>
      </c>
      <c r="G170" s="25" t="e">
        <f t="shared" si="301"/>
        <v>#DIV/0!</v>
      </c>
      <c r="H170" s="24"/>
      <c r="I170" s="24"/>
      <c r="J170" s="23">
        <f t="shared" si="313"/>
        <v>0</v>
      </c>
      <c r="K170" s="23">
        <f>SUM(I170-P170)</f>
        <v>0</v>
      </c>
      <c r="L170" s="24">
        <f t="shared" si="302"/>
        <v>0</v>
      </c>
      <c r="M170" s="25" t="e">
        <f t="shared" si="303"/>
        <v>#DIV/0!</v>
      </c>
      <c r="N170" s="26"/>
      <c r="O170" s="23"/>
      <c r="P170" s="23"/>
      <c r="Q170" s="24">
        <f t="shared" si="304"/>
        <v>0</v>
      </c>
      <c r="R170" s="25" t="e">
        <f t="shared" si="305"/>
        <v>#DIV/0!</v>
      </c>
      <c r="S170" s="27"/>
      <c r="T170" s="27"/>
      <c r="U170" s="28">
        <f t="shared" si="306"/>
        <v>0</v>
      </c>
      <c r="V170" s="25" t="e">
        <f t="shared" si="307"/>
        <v>#DIV/0!</v>
      </c>
      <c r="W170" s="26"/>
      <c r="X170" s="29" t="e">
        <f t="shared" si="308"/>
        <v>#DIV/0!</v>
      </c>
      <c r="Y170" s="29" t="e">
        <f t="shared" si="309"/>
        <v>#DIV/0!</v>
      </c>
      <c r="Z170" s="25" t="e">
        <f t="shared" si="310"/>
        <v>#DIV/0!</v>
      </c>
      <c r="AA170" s="30" t="e">
        <f>SUM(D170-H170)/D170</f>
        <v>#DIV/0!</v>
      </c>
      <c r="AB170" s="31"/>
      <c r="AH170" s="34">
        <f>SUM(AH165,AH166,AH167,AH168,AH169)</f>
        <v>0</v>
      </c>
      <c r="AI170" s="35">
        <f>SUM(AI165,AI166,AI167,AI168,AI169)</f>
        <v>0</v>
      </c>
    </row>
    <row r="171" spans="1:35" ht="9" customHeight="1" x14ac:dyDescent="0.2">
      <c r="A171" s="36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8"/>
    </row>
    <row r="172" spans="1:35" x14ac:dyDescent="0.2">
      <c r="A172" s="20">
        <f>'[1]Main Sheet'!A52</f>
        <v>7428</v>
      </c>
      <c r="B172" s="20" t="str">
        <f>'[1]Main Sheet'!B52</f>
        <v>FAB Pegasus Lakeside</v>
      </c>
      <c r="C172" s="22" t="s">
        <v>30</v>
      </c>
      <c r="D172" s="23">
        <v>146237.10999999999</v>
      </c>
      <c r="E172" s="23">
        <v>70638.78</v>
      </c>
      <c r="F172" s="24">
        <f>D172-E172</f>
        <v>75598.329999999987</v>
      </c>
      <c r="G172" s="25">
        <f>F172/D172</f>
        <v>0.5169572210501151</v>
      </c>
      <c r="H172" s="24">
        <v>114651.89</v>
      </c>
      <c r="I172" s="24">
        <v>71934.44</v>
      </c>
      <c r="J172" s="23">
        <f t="shared" ref="J172:J177" si="314">SUM(H172-O172)</f>
        <v>82888.160000000003</v>
      </c>
      <c r="K172" s="23">
        <v>0</v>
      </c>
      <c r="L172" s="24">
        <f>J172-K172</f>
        <v>82888.160000000003</v>
      </c>
      <c r="M172" s="25">
        <f>L172/J172</f>
        <v>1</v>
      </c>
      <c r="N172" s="26"/>
      <c r="O172" s="23">
        <v>31763.73</v>
      </c>
      <c r="P172" s="23">
        <v>12578.31</v>
      </c>
      <c r="Q172" s="24">
        <f>O172-P172</f>
        <v>19185.419999999998</v>
      </c>
      <c r="R172" s="25">
        <f>Q172/O172</f>
        <v>0.60400400078957972</v>
      </c>
      <c r="S172" s="27">
        <v>659.73</v>
      </c>
      <c r="T172" s="27">
        <v>245.25</v>
      </c>
      <c r="U172" s="28">
        <f>S172-T172</f>
        <v>414.48</v>
      </c>
      <c r="V172" s="25">
        <f>U172/S172</f>
        <v>0.62825701423309532</v>
      </c>
      <c r="W172" s="26"/>
      <c r="X172" s="29">
        <f>(E172-K172-P172)/T172</f>
        <v>236.7399388379205</v>
      </c>
      <c r="Y172" s="29">
        <f>(D172-J172-O172)/S172</f>
        <v>47.875979567398758</v>
      </c>
      <c r="Z172" s="25">
        <f>(E172-K172-P172)/E172</f>
        <v>0.82193477860178221</v>
      </c>
      <c r="AA172" s="30">
        <f>SUM(D172-H172)/D172</f>
        <v>0.21598635257493798</v>
      </c>
      <c r="AB172" s="31"/>
      <c r="AD172" t="s">
        <v>31</v>
      </c>
      <c r="AE172">
        <f>AH177</f>
        <v>59.5</v>
      </c>
      <c r="AH172" s="20">
        <f>SUM(T173-T172)</f>
        <v>32</v>
      </c>
      <c r="AI172" s="32">
        <f>SUM(K173-K172)</f>
        <v>0</v>
      </c>
    </row>
    <row r="173" spans="1:35" x14ac:dyDescent="0.2">
      <c r="A173" s="20"/>
      <c r="B173" s="21"/>
      <c r="C173" s="22" t="s">
        <v>32</v>
      </c>
      <c r="D173" s="23">
        <v>146237.10999999999</v>
      </c>
      <c r="E173" s="23">
        <v>89564.3</v>
      </c>
      <c r="F173" s="24">
        <v>0</v>
      </c>
      <c r="G173" s="25">
        <f t="shared" ref="G173:G177" si="315">F173/D173</f>
        <v>0</v>
      </c>
      <c r="H173" s="24">
        <v>114651.89</v>
      </c>
      <c r="I173" s="24">
        <v>73564.17</v>
      </c>
      <c r="J173" s="23">
        <f t="shared" si="314"/>
        <v>82888.160000000003</v>
      </c>
      <c r="K173" s="23">
        <v>0</v>
      </c>
      <c r="L173" s="24">
        <f t="shared" ref="L173:L177" si="316">J173-K173</f>
        <v>82888.160000000003</v>
      </c>
      <c r="M173" s="25">
        <f t="shared" ref="M173:M177" si="317">L173/J173</f>
        <v>1</v>
      </c>
      <c r="N173" s="26"/>
      <c r="O173" s="23">
        <v>31763.73</v>
      </c>
      <c r="P173" s="23">
        <v>13766.73</v>
      </c>
      <c r="Q173" s="24">
        <f t="shared" ref="Q173:Q177" si="318">O173-P173</f>
        <v>17997</v>
      </c>
      <c r="R173" s="25">
        <f t="shared" ref="R173:R177" si="319">Q173/O173</f>
        <v>0.56658962911471666</v>
      </c>
      <c r="S173" s="27">
        <v>659.73</v>
      </c>
      <c r="T173" s="27">
        <v>277.25</v>
      </c>
      <c r="U173" s="28">
        <f t="shared" ref="U173:U177" si="320">S173-T173</f>
        <v>382.48</v>
      </c>
      <c r="V173" s="25">
        <f t="shared" ref="V173:V177" si="321">U173/S173</f>
        <v>0.57975232291998247</v>
      </c>
      <c r="W173" s="26"/>
      <c r="X173" s="29">
        <f t="shared" ref="X173:X177" si="322">(E173-K173-P173)/T173</f>
        <v>273.39069431920655</v>
      </c>
      <c r="Y173" s="29">
        <f t="shared" ref="Y173:Y177" si="323">(D173-J173-O173)/S173</f>
        <v>47.875979567398758</v>
      </c>
      <c r="Z173" s="25">
        <f t="shared" ref="Z173:Z177" si="324">(E173-K173-P173)/E173</f>
        <v>0.8462922168765904</v>
      </c>
      <c r="AA173" s="30">
        <f t="shared" ref="AA173:AA176" si="325">SUM(D173-H173)/D173</f>
        <v>0.21598635257493798</v>
      </c>
      <c r="AB173" s="31"/>
      <c r="AD173" t="s">
        <v>33</v>
      </c>
      <c r="AE173" s="33">
        <f>AI177</f>
        <v>60408.100000000006</v>
      </c>
      <c r="AH173" s="20">
        <f>SUM(T174-T173)</f>
        <v>0.5</v>
      </c>
      <c r="AI173" s="32">
        <f>SUM(K174-K173)</f>
        <v>59720.630000000005</v>
      </c>
    </row>
    <row r="174" spans="1:35" x14ac:dyDescent="0.2">
      <c r="A174" s="20"/>
      <c r="B174" s="21"/>
      <c r="C174" s="22" t="s">
        <v>34</v>
      </c>
      <c r="D174" s="23">
        <v>146237.10999999999</v>
      </c>
      <c r="E174" s="23">
        <v>89564.3</v>
      </c>
      <c r="F174" s="24">
        <f t="shared" ref="F174:F177" si="326">D174-E174</f>
        <v>56672.809999999983</v>
      </c>
      <c r="G174" s="25">
        <f t="shared" si="315"/>
        <v>0.38754054972776736</v>
      </c>
      <c r="H174" s="24">
        <v>114651.89</v>
      </c>
      <c r="I174" s="24">
        <v>73523.83</v>
      </c>
      <c r="J174" s="23">
        <f t="shared" si="314"/>
        <v>82888.160000000003</v>
      </c>
      <c r="K174" s="23">
        <f t="shared" ref="K174:K177" si="327">SUM(I174-P174)</f>
        <v>59720.630000000005</v>
      </c>
      <c r="L174" s="24">
        <f t="shared" si="316"/>
        <v>23167.53</v>
      </c>
      <c r="M174" s="25">
        <f t="shared" si="317"/>
        <v>0.27950349000387992</v>
      </c>
      <c r="N174" s="26"/>
      <c r="O174" s="23">
        <v>31763.73</v>
      </c>
      <c r="P174" s="23">
        <v>13803.2</v>
      </c>
      <c r="Q174" s="24">
        <f t="shared" si="318"/>
        <v>17960.53</v>
      </c>
      <c r="R174" s="25">
        <f t="shared" si="319"/>
        <v>0.56544146421090968</v>
      </c>
      <c r="S174" s="27">
        <v>659.73</v>
      </c>
      <c r="T174" s="27">
        <v>277.75</v>
      </c>
      <c r="U174" s="28">
        <f t="shared" si="320"/>
        <v>381.98</v>
      </c>
      <c r="V174" s="25">
        <f t="shared" si="321"/>
        <v>0.57899443711821508</v>
      </c>
      <c r="W174" s="26"/>
      <c r="X174" s="29">
        <f t="shared" si="322"/>
        <v>57.75146714671466</v>
      </c>
      <c r="Y174" s="29">
        <f t="shared" si="323"/>
        <v>47.875979567398758</v>
      </c>
      <c r="Z174" s="25">
        <f t="shared" si="324"/>
        <v>0.17909446062772774</v>
      </c>
      <c r="AA174" s="30">
        <f t="shared" si="325"/>
        <v>0.21598635257493798</v>
      </c>
      <c r="AB174" s="31"/>
      <c r="AH174" s="20">
        <f>SUM(T175-T174)</f>
        <v>0</v>
      </c>
      <c r="AI174" s="32">
        <f>SUM(K175-K174)</f>
        <v>0</v>
      </c>
    </row>
    <row r="175" spans="1:35" x14ac:dyDescent="0.2">
      <c r="A175" s="20"/>
      <c r="B175" s="21"/>
      <c r="C175" s="22" t="s">
        <v>35</v>
      </c>
      <c r="D175" s="23">
        <v>146237.10999999999</v>
      </c>
      <c r="E175" s="23">
        <v>89564.3</v>
      </c>
      <c r="F175" s="24">
        <f t="shared" si="326"/>
        <v>56672.809999999983</v>
      </c>
      <c r="G175" s="25">
        <f t="shared" si="315"/>
        <v>0.38754054972776736</v>
      </c>
      <c r="H175" s="24">
        <v>114651.89</v>
      </c>
      <c r="I175" s="24">
        <v>73523.83</v>
      </c>
      <c r="J175" s="23">
        <f t="shared" si="314"/>
        <v>82888.160000000003</v>
      </c>
      <c r="K175" s="23">
        <f t="shared" si="327"/>
        <v>59720.630000000005</v>
      </c>
      <c r="L175" s="24">
        <f t="shared" si="316"/>
        <v>23167.53</v>
      </c>
      <c r="M175" s="25">
        <f t="shared" si="317"/>
        <v>0.27950349000387992</v>
      </c>
      <c r="N175" s="26"/>
      <c r="O175" s="23">
        <v>31763.73</v>
      </c>
      <c r="P175" s="23">
        <v>13803.2</v>
      </c>
      <c r="Q175" s="24">
        <f t="shared" si="318"/>
        <v>17960.53</v>
      </c>
      <c r="R175" s="25">
        <f t="shared" si="319"/>
        <v>0.56544146421090968</v>
      </c>
      <c r="S175" s="27">
        <v>659.73</v>
      </c>
      <c r="T175" s="27">
        <v>277.75</v>
      </c>
      <c r="U175" s="28">
        <f t="shared" si="320"/>
        <v>381.98</v>
      </c>
      <c r="V175" s="25">
        <f t="shared" si="321"/>
        <v>0.57899443711821508</v>
      </c>
      <c r="W175" s="26"/>
      <c r="X175" s="29">
        <f t="shared" si="322"/>
        <v>57.75146714671466</v>
      </c>
      <c r="Y175" s="29">
        <f t="shared" si="323"/>
        <v>47.875979567398758</v>
      </c>
      <c r="Z175" s="25">
        <f t="shared" si="324"/>
        <v>0.17909446062772774</v>
      </c>
      <c r="AA175" s="30">
        <f t="shared" si="325"/>
        <v>0.21598635257493798</v>
      </c>
      <c r="AB175" s="31"/>
      <c r="AD175" t="s">
        <v>36</v>
      </c>
      <c r="AE175" s="33">
        <v>0</v>
      </c>
      <c r="AH175" s="20">
        <f>SUM(T176-T175)</f>
        <v>0</v>
      </c>
      <c r="AI175" s="32">
        <f>SUM(K176-K175)</f>
        <v>0</v>
      </c>
    </row>
    <row r="176" spans="1:35" x14ac:dyDescent="0.2">
      <c r="A176" s="20"/>
      <c r="B176" s="21"/>
      <c r="C176" s="22" t="s">
        <v>37</v>
      </c>
      <c r="D176" s="23">
        <v>146237.10999999999</v>
      </c>
      <c r="E176" s="23">
        <v>89564.3</v>
      </c>
      <c r="F176" s="24">
        <f t="shared" si="326"/>
        <v>56672.809999999983</v>
      </c>
      <c r="G176" s="25">
        <f t="shared" si="315"/>
        <v>0.38754054972776736</v>
      </c>
      <c r="H176" s="24">
        <v>114651.89</v>
      </c>
      <c r="I176" s="24">
        <v>73523.83</v>
      </c>
      <c r="J176" s="23">
        <f t="shared" si="314"/>
        <v>82888.160000000003</v>
      </c>
      <c r="K176" s="23">
        <f t="shared" si="327"/>
        <v>59720.630000000005</v>
      </c>
      <c r="L176" s="24">
        <f t="shared" si="316"/>
        <v>23167.53</v>
      </c>
      <c r="M176" s="25">
        <f t="shared" si="317"/>
        <v>0.27950349000387992</v>
      </c>
      <c r="N176" s="26"/>
      <c r="O176" s="23">
        <v>31763.73</v>
      </c>
      <c r="P176" s="23">
        <v>13803.2</v>
      </c>
      <c r="Q176" s="24">
        <f t="shared" si="318"/>
        <v>17960.53</v>
      </c>
      <c r="R176" s="25">
        <f t="shared" si="319"/>
        <v>0.56544146421090968</v>
      </c>
      <c r="S176" s="27">
        <v>659.73</v>
      </c>
      <c r="T176" s="27">
        <v>277.75</v>
      </c>
      <c r="U176" s="28">
        <f t="shared" si="320"/>
        <v>381.98</v>
      </c>
      <c r="V176" s="25">
        <f t="shared" si="321"/>
        <v>0.57899443711821508</v>
      </c>
      <c r="W176" s="26"/>
      <c r="X176" s="29">
        <f t="shared" si="322"/>
        <v>57.75146714671466</v>
      </c>
      <c r="Y176" s="29">
        <f t="shared" si="323"/>
        <v>47.875979567398758</v>
      </c>
      <c r="Z176" s="25">
        <f t="shared" si="324"/>
        <v>0.17909446062772774</v>
      </c>
      <c r="AA176" s="30">
        <f t="shared" si="325"/>
        <v>0.21598635257493798</v>
      </c>
      <c r="AB176" s="31"/>
      <c r="AH176" s="20">
        <f>SUM(T177-T176)</f>
        <v>27</v>
      </c>
      <c r="AI176" s="32">
        <f>SUM(K177-K176)</f>
        <v>687.47000000000116</v>
      </c>
    </row>
    <row r="177" spans="1:35" ht="17" thickBot="1" x14ac:dyDescent="0.25">
      <c r="A177" s="34"/>
      <c r="B177" s="60"/>
      <c r="C177" s="61" t="s">
        <v>38</v>
      </c>
      <c r="D177" s="23">
        <v>146237.10999999999</v>
      </c>
      <c r="E177" s="23">
        <v>94266.45</v>
      </c>
      <c r="F177" s="24">
        <f t="shared" si="326"/>
        <v>51970.659999999989</v>
      </c>
      <c r="G177" s="25">
        <f t="shared" si="315"/>
        <v>0.355386262761894</v>
      </c>
      <c r="H177" s="24">
        <v>114651.87</v>
      </c>
      <c r="I177" s="24">
        <v>75526.070000000007</v>
      </c>
      <c r="J177" s="23">
        <f t="shared" si="314"/>
        <v>82888.079999999987</v>
      </c>
      <c r="K177" s="23">
        <f t="shared" si="327"/>
        <v>60408.100000000006</v>
      </c>
      <c r="L177" s="24">
        <f t="shared" si="316"/>
        <v>22479.979999999981</v>
      </c>
      <c r="M177" s="25">
        <f t="shared" si="317"/>
        <v>0.27120883967875703</v>
      </c>
      <c r="N177" s="26"/>
      <c r="O177" s="23">
        <v>31763.79</v>
      </c>
      <c r="P177" s="23">
        <v>15117.97</v>
      </c>
      <c r="Q177" s="24">
        <f t="shared" si="318"/>
        <v>16645.82</v>
      </c>
      <c r="R177" s="25">
        <f t="shared" si="319"/>
        <v>0.52405018418771809</v>
      </c>
      <c r="S177" s="27">
        <v>659.73</v>
      </c>
      <c r="T177" s="27">
        <v>304.75</v>
      </c>
      <c r="U177" s="28">
        <f t="shared" si="320"/>
        <v>354.98</v>
      </c>
      <c r="V177" s="25">
        <f t="shared" si="321"/>
        <v>0.53806860382277599</v>
      </c>
      <c r="W177" s="26"/>
      <c r="X177" s="29">
        <f t="shared" si="322"/>
        <v>61.494273995077897</v>
      </c>
      <c r="Y177" s="29">
        <f t="shared" si="323"/>
        <v>47.87600988283085</v>
      </c>
      <c r="Z177" s="25">
        <f t="shared" si="324"/>
        <v>0.19880222496975319</v>
      </c>
      <c r="AA177" s="30">
        <f>SUM(D177-H177)/D177</f>
        <v>0.21598648933912873</v>
      </c>
      <c r="AB177" s="31"/>
      <c r="AH177" s="34">
        <f>SUM(AH172,AH173,AH174,AH175,AH176)</f>
        <v>59.5</v>
      </c>
      <c r="AI177" s="35">
        <f>SUM(AI172,AI173,AI174,AI175,AI176)</f>
        <v>60408.100000000006</v>
      </c>
    </row>
    <row r="178" spans="1:35" ht="9" customHeight="1" x14ac:dyDescent="0.2">
      <c r="A178" s="36">
        <v>0</v>
      </c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8"/>
    </row>
    <row r="179" spans="1:35" x14ac:dyDescent="0.2">
      <c r="A179" s="20">
        <f>'[1]Main Sheet'!A54</f>
        <v>9351</v>
      </c>
      <c r="B179" s="20" t="str">
        <f>'[1]Main Sheet'!B54</f>
        <v>Harewood Golf Club</v>
      </c>
      <c r="C179" s="22" t="s">
        <v>30</v>
      </c>
      <c r="D179" s="23">
        <v>22013.439999999999</v>
      </c>
      <c r="E179" s="23">
        <v>0</v>
      </c>
      <c r="F179" s="24">
        <f>D179-E179</f>
        <v>22013.439999999999</v>
      </c>
      <c r="G179" s="25">
        <f>F179/D179</f>
        <v>1</v>
      </c>
      <c r="H179" s="24">
        <v>11868.76</v>
      </c>
      <c r="I179" s="24">
        <v>2282.63</v>
      </c>
      <c r="J179" s="23">
        <f t="shared" ref="J179:J184" si="328">SUM(H179-O179)</f>
        <v>3458.6000000000004</v>
      </c>
      <c r="K179" s="23">
        <f t="shared" ref="K179:K184" si="329">SUM(I179-P179)</f>
        <v>2282.63</v>
      </c>
      <c r="L179" s="24">
        <f>J179-K179</f>
        <v>1175.9700000000003</v>
      </c>
      <c r="M179" s="25">
        <f>L179/J179</f>
        <v>0.34001330017926334</v>
      </c>
      <c r="N179" s="26"/>
      <c r="O179" s="23">
        <v>8410.16</v>
      </c>
      <c r="P179" s="23">
        <v>0</v>
      </c>
      <c r="Q179" s="24">
        <f>O179-P179</f>
        <v>8410.16</v>
      </c>
      <c r="R179" s="25">
        <f>Q179/O179</f>
        <v>1</v>
      </c>
      <c r="S179" s="27">
        <v>168.44</v>
      </c>
      <c r="T179" s="27">
        <v>0</v>
      </c>
      <c r="U179" s="28">
        <f>S179-T179</f>
        <v>168.44</v>
      </c>
      <c r="V179" s="25">
        <f>U179/S179</f>
        <v>1</v>
      </c>
      <c r="W179" s="26"/>
      <c r="X179" s="29" t="e">
        <f>(E179-K179-P179)/T179</f>
        <v>#DIV/0!</v>
      </c>
      <c r="Y179" s="29">
        <f>(D179-J179-O179)/S179</f>
        <v>60.227261933032516</v>
      </c>
      <c r="Z179" s="25" t="e">
        <f>(E179-K179-P179)/E179</f>
        <v>#DIV/0!</v>
      </c>
      <c r="AA179" s="30">
        <f>SUM(D179-H179)/D179</f>
        <v>0.46084028666123966</v>
      </c>
      <c r="AB179" s="31"/>
      <c r="AD179" t="s">
        <v>31</v>
      </c>
      <c r="AE179">
        <f>AH184</f>
        <v>11.25</v>
      </c>
      <c r="AH179" s="20">
        <f>SUM(T180-T179)</f>
        <v>11.25</v>
      </c>
      <c r="AI179" s="32">
        <f>SUM(K180-K179)</f>
        <v>16.079999999999927</v>
      </c>
    </row>
    <row r="180" spans="1:35" x14ac:dyDescent="0.2">
      <c r="A180" s="20"/>
      <c r="B180" s="21"/>
      <c r="C180" s="22" t="s">
        <v>32</v>
      </c>
      <c r="D180" s="23">
        <v>22013.439999999999</v>
      </c>
      <c r="E180" s="23">
        <v>4953.0200000000004</v>
      </c>
      <c r="F180" s="24">
        <f t="shared" ref="F180:F184" si="330">D180-E180</f>
        <v>17060.419999999998</v>
      </c>
      <c r="G180" s="25">
        <f t="shared" ref="G180:G184" si="331">F180/D180</f>
        <v>0.77500018170717522</v>
      </c>
      <c r="H180" s="24">
        <v>11868.76</v>
      </c>
      <c r="I180" s="24">
        <v>2946.15</v>
      </c>
      <c r="J180" s="23">
        <f t="shared" si="328"/>
        <v>3458.6000000000004</v>
      </c>
      <c r="K180" s="23">
        <f t="shared" si="329"/>
        <v>2298.71</v>
      </c>
      <c r="L180" s="24">
        <f t="shared" ref="L180:L184" si="332">J180-K180</f>
        <v>1159.8900000000003</v>
      </c>
      <c r="M180" s="25">
        <f t="shared" ref="M180:M184" si="333">L180/J180</f>
        <v>0.33536402012374955</v>
      </c>
      <c r="N180" s="26"/>
      <c r="O180" s="23">
        <v>8410.16</v>
      </c>
      <c r="P180" s="23">
        <v>647.44000000000005</v>
      </c>
      <c r="Q180" s="24">
        <f t="shared" ref="Q180:Q184" si="334">O180-P180</f>
        <v>7762.7199999999993</v>
      </c>
      <c r="R180" s="25">
        <f t="shared" ref="R180:R184" si="335">Q180/O180</f>
        <v>0.92301692238911026</v>
      </c>
      <c r="S180" s="27">
        <v>168.44</v>
      </c>
      <c r="T180" s="27">
        <v>11.25</v>
      </c>
      <c r="U180" s="28">
        <f t="shared" ref="U180:U184" si="336">S180-T180</f>
        <v>157.19</v>
      </c>
      <c r="V180" s="25">
        <f t="shared" ref="V180:V184" si="337">U180/S180</f>
        <v>0.9332106388031346</v>
      </c>
      <c r="W180" s="26"/>
      <c r="X180" s="29">
        <f t="shared" ref="X180:X184" si="338">(E180-K180-P180)/T180</f>
        <v>178.38844444444447</v>
      </c>
      <c r="Y180" s="29">
        <f t="shared" ref="Y180:Y184" si="339">(D180-J180-O180)/S180</f>
        <v>60.227261933032516</v>
      </c>
      <c r="Z180" s="25">
        <f t="shared" ref="Z180:Z184" si="340">(E180-K180-P180)/E180</f>
        <v>0.40518108144122178</v>
      </c>
      <c r="AA180" s="30">
        <f t="shared" ref="AA180:AA183" si="341">SUM(D180-H180)/D180</f>
        <v>0.46084028666123966</v>
      </c>
      <c r="AB180" s="31"/>
      <c r="AD180" t="s">
        <v>33</v>
      </c>
      <c r="AE180" s="33">
        <f>AI184</f>
        <v>16.079999999999927</v>
      </c>
      <c r="AH180" s="20">
        <f>SUM(T181-T180)</f>
        <v>0</v>
      </c>
      <c r="AI180" s="32">
        <f>SUM(K181-K180)</f>
        <v>0</v>
      </c>
    </row>
    <row r="181" spans="1:35" x14ac:dyDescent="0.2">
      <c r="A181" s="20"/>
      <c r="B181" s="21"/>
      <c r="C181" s="22" t="s">
        <v>34</v>
      </c>
      <c r="D181" s="23">
        <v>16897.53</v>
      </c>
      <c r="E181" s="23">
        <v>0</v>
      </c>
      <c r="F181" s="24">
        <f t="shared" si="330"/>
        <v>16897.53</v>
      </c>
      <c r="G181" s="25">
        <f t="shared" si="331"/>
        <v>1</v>
      </c>
      <c r="H181" s="24">
        <v>9226.27</v>
      </c>
      <c r="I181" s="24">
        <v>2946.15</v>
      </c>
      <c r="J181" s="23">
        <f t="shared" si="328"/>
        <v>2977.1100000000006</v>
      </c>
      <c r="K181" s="23">
        <f t="shared" si="329"/>
        <v>2298.71</v>
      </c>
      <c r="L181" s="24">
        <f t="shared" si="332"/>
        <v>678.40000000000055</v>
      </c>
      <c r="M181" s="25">
        <f t="shared" si="333"/>
        <v>0.22787199666790961</v>
      </c>
      <c r="N181" s="26"/>
      <c r="O181" s="23">
        <v>6249.16</v>
      </c>
      <c r="P181" s="23">
        <v>647.44000000000005</v>
      </c>
      <c r="Q181" s="24">
        <f t="shared" si="334"/>
        <v>5601.7199999999993</v>
      </c>
      <c r="R181" s="25">
        <f t="shared" si="335"/>
        <v>0.89639567557879773</v>
      </c>
      <c r="S181" s="27">
        <v>125.17</v>
      </c>
      <c r="T181" s="27">
        <v>11.25</v>
      </c>
      <c r="U181" s="28">
        <f t="shared" si="336"/>
        <v>113.92</v>
      </c>
      <c r="V181" s="25">
        <f t="shared" si="337"/>
        <v>0.91012223376208357</v>
      </c>
      <c r="W181" s="26"/>
      <c r="X181" s="29">
        <f t="shared" si="338"/>
        <v>-261.88</v>
      </c>
      <c r="Y181" s="29">
        <f t="shared" si="339"/>
        <v>61.286730047135883</v>
      </c>
      <c r="Z181" s="25" t="e">
        <f t="shared" si="340"/>
        <v>#DIV/0!</v>
      </c>
      <c r="AA181" s="30">
        <f t="shared" si="341"/>
        <v>0.45398706201438904</v>
      </c>
      <c r="AB181" s="31"/>
      <c r="AH181" s="20">
        <f>SUM(T182-T181)</f>
        <v>0</v>
      </c>
      <c r="AI181" s="32">
        <f>SUM(K182-K181)</f>
        <v>0</v>
      </c>
    </row>
    <row r="182" spans="1:35" x14ac:dyDescent="0.2">
      <c r="A182" s="20"/>
      <c r="B182" s="21"/>
      <c r="C182" s="22" t="s">
        <v>35</v>
      </c>
      <c r="D182" s="23">
        <v>16897.53</v>
      </c>
      <c r="E182" s="23">
        <v>0</v>
      </c>
      <c r="F182" s="24">
        <f t="shared" si="330"/>
        <v>16897.53</v>
      </c>
      <c r="G182" s="25">
        <f t="shared" si="331"/>
        <v>1</v>
      </c>
      <c r="H182" s="24">
        <v>9226.27</v>
      </c>
      <c r="I182" s="24">
        <v>2946.15</v>
      </c>
      <c r="J182" s="23">
        <f t="shared" si="328"/>
        <v>2977.1100000000006</v>
      </c>
      <c r="K182" s="23">
        <f t="shared" si="329"/>
        <v>2298.71</v>
      </c>
      <c r="L182" s="24">
        <f t="shared" si="332"/>
        <v>678.40000000000055</v>
      </c>
      <c r="M182" s="25">
        <f t="shared" si="333"/>
        <v>0.22787199666790961</v>
      </c>
      <c r="N182" s="26"/>
      <c r="O182" s="23">
        <v>6249.16</v>
      </c>
      <c r="P182" s="23">
        <v>647.44000000000005</v>
      </c>
      <c r="Q182" s="24">
        <f t="shared" si="334"/>
        <v>5601.7199999999993</v>
      </c>
      <c r="R182" s="25">
        <f t="shared" si="335"/>
        <v>0.89639567557879773</v>
      </c>
      <c r="S182" s="27">
        <v>125.17</v>
      </c>
      <c r="T182" s="27">
        <v>11.25</v>
      </c>
      <c r="U182" s="28">
        <f t="shared" si="336"/>
        <v>113.92</v>
      </c>
      <c r="V182" s="25">
        <f t="shared" si="337"/>
        <v>0.91012223376208357</v>
      </c>
      <c r="W182" s="26"/>
      <c r="X182" s="29">
        <f t="shared" si="338"/>
        <v>-261.88</v>
      </c>
      <c r="Y182" s="29">
        <f t="shared" si="339"/>
        <v>61.286730047135883</v>
      </c>
      <c r="Z182" s="25" t="e">
        <f t="shared" si="340"/>
        <v>#DIV/0!</v>
      </c>
      <c r="AA182" s="30">
        <f t="shared" si="341"/>
        <v>0.45398706201438904</v>
      </c>
      <c r="AB182" s="31"/>
      <c r="AD182" t="s">
        <v>36</v>
      </c>
      <c r="AE182" s="33">
        <v>0</v>
      </c>
      <c r="AH182" s="20">
        <f>SUM(T183-T182)</f>
        <v>0</v>
      </c>
      <c r="AI182" s="32">
        <f>SUM(K183-K182)</f>
        <v>0</v>
      </c>
    </row>
    <row r="183" spans="1:35" x14ac:dyDescent="0.2">
      <c r="A183" s="20"/>
      <c r="B183" s="21"/>
      <c r="C183" s="22" t="s">
        <v>37</v>
      </c>
      <c r="D183" s="23">
        <v>16897.53</v>
      </c>
      <c r="E183" s="23">
        <v>0</v>
      </c>
      <c r="F183" s="24">
        <f t="shared" si="330"/>
        <v>16897.53</v>
      </c>
      <c r="G183" s="25">
        <f t="shared" si="331"/>
        <v>1</v>
      </c>
      <c r="H183" s="24">
        <v>9226.27</v>
      </c>
      <c r="I183" s="24">
        <v>2946.15</v>
      </c>
      <c r="J183" s="23">
        <f t="shared" si="328"/>
        <v>2977.1100000000006</v>
      </c>
      <c r="K183" s="23">
        <f t="shared" si="329"/>
        <v>2298.71</v>
      </c>
      <c r="L183" s="24">
        <f t="shared" si="332"/>
        <v>678.40000000000055</v>
      </c>
      <c r="M183" s="25">
        <f t="shared" si="333"/>
        <v>0.22787199666790961</v>
      </c>
      <c r="N183" s="26"/>
      <c r="O183" s="23">
        <v>6249.16</v>
      </c>
      <c r="P183" s="23">
        <v>647.44000000000005</v>
      </c>
      <c r="Q183" s="24">
        <f t="shared" si="334"/>
        <v>5601.7199999999993</v>
      </c>
      <c r="R183" s="25">
        <f t="shared" si="335"/>
        <v>0.89639567557879773</v>
      </c>
      <c r="S183" s="27">
        <v>125.17</v>
      </c>
      <c r="T183" s="27">
        <v>11.25</v>
      </c>
      <c r="U183" s="28">
        <f t="shared" si="336"/>
        <v>113.92</v>
      </c>
      <c r="V183" s="25">
        <f t="shared" si="337"/>
        <v>0.91012223376208357</v>
      </c>
      <c r="W183" s="26"/>
      <c r="X183" s="29">
        <f t="shared" si="338"/>
        <v>-261.88</v>
      </c>
      <c r="Y183" s="29">
        <f t="shared" si="339"/>
        <v>61.286730047135883</v>
      </c>
      <c r="Z183" s="25" t="e">
        <f t="shared" si="340"/>
        <v>#DIV/0!</v>
      </c>
      <c r="AA183" s="30">
        <f t="shared" si="341"/>
        <v>0.45398706201438904</v>
      </c>
      <c r="AB183" s="31"/>
      <c r="AH183" s="20">
        <f>SUM(T184-T183)</f>
        <v>0</v>
      </c>
      <c r="AI183" s="32">
        <f>SUM(K184-K183)</f>
        <v>0</v>
      </c>
    </row>
    <row r="184" spans="1:35" ht="17" thickBot="1" x14ac:dyDescent="0.25">
      <c r="A184" s="34"/>
      <c r="B184" s="60"/>
      <c r="C184" s="61" t="s">
        <v>38</v>
      </c>
      <c r="D184" s="23">
        <v>16897.53</v>
      </c>
      <c r="E184" s="23">
        <v>0</v>
      </c>
      <c r="F184" s="24">
        <f t="shared" si="330"/>
        <v>16897.53</v>
      </c>
      <c r="G184" s="25">
        <f t="shared" si="331"/>
        <v>1</v>
      </c>
      <c r="H184" s="24">
        <v>9226.27</v>
      </c>
      <c r="I184" s="24">
        <v>2946.15</v>
      </c>
      <c r="J184" s="23">
        <f t="shared" si="328"/>
        <v>2977.1100000000006</v>
      </c>
      <c r="K184" s="23">
        <f t="shared" si="329"/>
        <v>2298.71</v>
      </c>
      <c r="L184" s="24">
        <f t="shared" si="332"/>
        <v>678.40000000000055</v>
      </c>
      <c r="M184" s="25">
        <f t="shared" si="333"/>
        <v>0.22787199666790961</v>
      </c>
      <c r="N184" s="26"/>
      <c r="O184" s="23">
        <v>6249.16</v>
      </c>
      <c r="P184" s="23">
        <v>647.44000000000005</v>
      </c>
      <c r="Q184" s="24">
        <f t="shared" si="334"/>
        <v>5601.7199999999993</v>
      </c>
      <c r="R184" s="25">
        <f t="shared" si="335"/>
        <v>0.89639567557879773</v>
      </c>
      <c r="S184" s="27">
        <v>125.17</v>
      </c>
      <c r="T184" s="27">
        <v>11.25</v>
      </c>
      <c r="U184" s="28">
        <f t="shared" si="336"/>
        <v>113.92</v>
      </c>
      <c r="V184" s="25">
        <f t="shared" si="337"/>
        <v>0.91012223376208357</v>
      </c>
      <c r="W184" s="26"/>
      <c r="X184" s="29">
        <f t="shared" si="338"/>
        <v>-261.88</v>
      </c>
      <c r="Y184" s="29">
        <f t="shared" si="339"/>
        <v>61.286730047135883</v>
      </c>
      <c r="Z184" s="25" t="e">
        <f t="shared" si="340"/>
        <v>#DIV/0!</v>
      </c>
      <c r="AA184" s="30">
        <f>SUM(D184-H184)/D184</f>
        <v>0.45398706201438904</v>
      </c>
      <c r="AB184" s="31"/>
      <c r="AH184" s="34">
        <f>SUM(AH179,AH180,AH181,AH182,AH183)</f>
        <v>11.25</v>
      </c>
      <c r="AI184" s="35">
        <f>SUM(AI179,AI180,AI181,AI182,AI183)</f>
        <v>16.079999999999927</v>
      </c>
    </row>
    <row r="185" spans="1:35" ht="9" customHeight="1" x14ac:dyDescent="0.2">
      <c r="A185" s="36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8"/>
    </row>
    <row r="186" spans="1:35" x14ac:dyDescent="0.2">
      <c r="A186" s="20">
        <f>'[1]Main Sheet'!A56</f>
        <v>7429</v>
      </c>
      <c r="B186" s="20" t="str">
        <f>'[1]Main Sheet'!B56</f>
        <v>Taggart House</v>
      </c>
      <c r="C186" s="22" t="s">
        <v>30</v>
      </c>
      <c r="D186" s="23">
        <v>17608.259999999998</v>
      </c>
      <c r="E186" s="23">
        <v>1232.58</v>
      </c>
      <c r="F186" s="24">
        <f>D186-E186</f>
        <v>16375.679999999998</v>
      </c>
      <c r="G186" s="25">
        <f>F186/D186</f>
        <v>0.92999989777524861</v>
      </c>
      <c r="H186" s="24">
        <v>14076.97</v>
      </c>
      <c r="I186" s="24">
        <v>1028</v>
      </c>
      <c r="J186" s="23">
        <f t="shared" ref="J186:J191" si="342">SUM(H186-O186)</f>
        <v>8286.4599999999991</v>
      </c>
      <c r="K186" s="23">
        <v>0</v>
      </c>
      <c r="L186" s="24">
        <f>J186-K186</f>
        <v>8286.4599999999991</v>
      </c>
      <c r="M186" s="25">
        <f>L186/J186</f>
        <v>1</v>
      </c>
      <c r="N186" s="26"/>
      <c r="O186" s="23">
        <v>5790.51</v>
      </c>
      <c r="P186" s="23">
        <v>0</v>
      </c>
      <c r="Q186" s="24">
        <f>O186-P186</f>
        <v>5790.51</v>
      </c>
      <c r="R186" s="25">
        <f>Q186/O186</f>
        <v>1</v>
      </c>
      <c r="S186" s="27">
        <v>116.13</v>
      </c>
      <c r="T186" s="27">
        <v>0</v>
      </c>
      <c r="U186" s="28">
        <f>S186-T186</f>
        <v>116.13</v>
      </c>
      <c r="V186" s="25">
        <f>U186/S186</f>
        <v>1</v>
      </c>
      <c r="W186" s="26"/>
      <c r="X186" s="29" t="e">
        <f>(E186-K186-P186)/T186</f>
        <v>#DIV/0!</v>
      </c>
      <c r="Y186" s="29">
        <f>(D186-J186-O186)/S186</f>
        <v>30.40807715491259</v>
      </c>
      <c r="Z186" s="25">
        <f>(E186-K186-P186)/E186</f>
        <v>1</v>
      </c>
      <c r="AA186" s="30">
        <f>SUM(D186-H186)/D186</f>
        <v>0.20054735675188801</v>
      </c>
      <c r="AB186" s="31"/>
      <c r="AD186" t="s">
        <v>31</v>
      </c>
      <c r="AE186">
        <f>AH191</f>
        <v>32.25</v>
      </c>
      <c r="AH186" s="20">
        <f>SUM(T187-T186)</f>
        <v>0</v>
      </c>
      <c r="AI186" s="32">
        <f>SUM(K187-K186)</f>
        <v>0</v>
      </c>
    </row>
    <row r="187" spans="1:35" x14ac:dyDescent="0.2">
      <c r="A187" s="20"/>
      <c r="B187" s="21"/>
      <c r="C187" s="22" t="s">
        <v>32</v>
      </c>
      <c r="D187" s="23">
        <v>17608.259999999998</v>
      </c>
      <c r="E187" s="23">
        <v>1232.58</v>
      </c>
      <c r="F187" s="24">
        <f>D187-E187</f>
        <v>16375.679999999998</v>
      </c>
      <c r="G187" s="25">
        <f t="shared" ref="G187:G191" si="343">F187/D187</f>
        <v>0.92999989777524861</v>
      </c>
      <c r="H187" s="24">
        <v>14077.05</v>
      </c>
      <c r="I187" s="24">
        <v>1028</v>
      </c>
      <c r="J187" s="23">
        <f t="shared" si="342"/>
        <v>8286.5399999999991</v>
      </c>
      <c r="K187" s="23">
        <v>0</v>
      </c>
      <c r="L187" s="24">
        <f t="shared" ref="L187:L191" si="344">J187-K187</f>
        <v>8286.5399999999991</v>
      </c>
      <c r="M187" s="25">
        <f t="shared" ref="M187:M191" si="345">L187/J187</f>
        <v>1</v>
      </c>
      <c r="N187" s="26"/>
      <c r="O187" s="23">
        <v>5790.51</v>
      </c>
      <c r="P187" s="23">
        <v>0</v>
      </c>
      <c r="Q187" s="24">
        <f t="shared" ref="Q187:Q191" si="346">O187-P187</f>
        <v>5790.51</v>
      </c>
      <c r="R187" s="25">
        <f t="shared" ref="R187:R191" si="347">Q187/O187</f>
        <v>1</v>
      </c>
      <c r="S187" s="27">
        <v>116.13</v>
      </c>
      <c r="T187" s="27">
        <v>0</v>
      </c>
      <c r="U187" s="28">
        <f t="shared" ref="U187:U191" si="348">S187-T187</f>
        <v>116.13</v>
      </c>
      <c r="V187" s="25">
        <f t="shared" ref="V187:V191" si="349">U187/S187</f>
        <v>1</v>
      </c>
      <c r="W187" s="26"/>
      <c r="X187" s="29" t="e">
        <f t="shared" ref="X187:X191" si="350">(E187-K187-P187)/T187</f>
        <v>#DIV/0!</v>
      </c>
      <c r="Y187" s="29">
        <f t="shared" ref="Y187:Y191" si="351">(D187-J187-O187)/S187</f>
        <v>30.407388271764397</v>
      </c>
      <c r="Z187" s="25">
        <f t="shared" ref="Z187:Z191" si="352">(E187-K187-P187)/E187</f>
        <v>1</v>
      </c>
      <c r="AA187" s="30">
        <f t="shared" ref="AA187:AA190" si="353">SUM(D187-H187)/D187</f>
        <v>0.20054281342960631</v>
      </c>
      <c r="AB187" s="31"/>
      <c r="AD187" t="s">
        <v>33</v>
      </c>
      <c r="AE187" s="33">
        <f>AI191</f>
        <v>3461.1499999999996</v>
      </c>
      <c r="AH187" s="20">
        <f>SUM(T188-T187)</f>
        <v>32.25</v>
      </c>
      <c r="AI187" s="32">
        <f>SUM(K188-K187)</f>
        <v>3461.1499999999996</v>
      </c>
    </row>
    <row r="188" spans="1:35" x14ac:dyDescent="0.2">
      <c r="A188" s="20"/>
      <c r="B188" s="21"/>
      <c r="C188" s="22" t="s">
        <v>34</v>
      </c>
      <c r="D188" s="23">
        <v>20992.12</v>
      </c>
      <c r="E188" s="23">
        <v>1232.58</v>
      </c>
      <c r="F188" s="24">
        <f t="shared" ref="F188:F191" si="354">D188-E188</f>
        <v>19759.54</v>
      </c>
      <c r="G188" s="25">
        <f t="shared" si="343"/>
        <v>0.94128368168627097</v>
      </c>
      <c r="H188" s="24">
        <v>16299.09</v>
      </c>
      <c r="I188" s="24">
        <v>4905.28</v>
      </c>
      <c r="J188" s="23">
        <f t="shared" si="342"/>
        <v>9784.33</v>
      </c>
      <c r="K188" s="23">
        <f t="shared" ref="K188:K191" si="355">SUM(I188-P188)</f>
        <v>3461.1499999999996</v>
      </c>
      <c r="L188" s="24">
        <f t="shared" si="344"/>
        <v>6323.18</v>
      </c>
      <c r="M188" s="25">
        <f t="shared" si="345"/>
        <v>0.64625579881299999</v>
      </c>
      <c r="N188" s="26"/>
      <c r="O188" s="23">
        <v>6514.76</v>
      </c>
      <c r="P188" s="23">
        <v>1444.13</v>
      </c>
      <c r="Q188" s="24">
        <f t="shared" si="346"/>
        <v>5070.63</v>
      </c>
      <c r="R188" s="25">
        <f t="shared" si="347"/>
        <v>0.77832951635977377</v>
      </c>
      <c r="S188" s="27">
        <v>130.62</v>
      </c>
      <c r="T188" s="27">
        <v>32.25</v>
      </c>
      <c r="U188" s="28">
        <f t="shared" si="348"/>
        <v>98.37</v>
      </c>
      <c r="V188" s="25">
        <f t="shared" si="349"/>
        <v>0.75310059715204414</v>
      </c>
      <c r="W188" s="26"/>
      <c r="X188" s="29">
        <f t="shared" si="350"/>
        <v>-113.88217054263565</v>
      </c>
      <c r="Y188" s="29">
        <f t="shared" si="351"/>
        <v>35.928877660388906</v>
      </c>
      <c r="Z188" s="25">
        <f t="shared" si="352"/>
        <v>-2.9796848886076361</v>
      </c>
      <c r="AA188" s="30">
        <f t="shared" si="353"/>
        <v>0.22356150784199019</v>
      </c>
      <c r="AB188" s="31"/>
      <c r="AH188" s="20">
        <f>SUM(T189-T188)</f>
        <v>0</v>
      </c>
      <c r="AI188" s="32">
        <f>SUM(K189-K188)</f>
        <v>0</v>
      </c>
    </row>
    <row r="189" spans="1:35" x14ac:dyDescent="0.2">
      <c r="A189" s="20"/>
      <c r="B189" s="21"/>
      <c r="C189" s="22" t="s">
        <v>35</v>
      </c>
      <c r="D189" s="23">
        <v>20992.12</v>
      </c>
      <c r="E189" s="23">
        <v>1232.58</v>
      </c>
      <c r="F189" s="24">
        <f t="shared" si="354"/>
        <v>19759.54</v>
      </c>
      <c r="G189" s="25">
        <f t="shared" si="343"/>
        <v>0.94128368168627097</v>
      </c>
      <c r="H189" s="24">
        <v>16299.09</v>
      </c>
      <c r="I189" s="24">
        <v>4905.28</v>
      </c>
      <c r="J189" s="23">
        <f t="shared" si="342"/>
        <v>9784.33</v>
      </c>
      <c r="K189" s="23">
        <f t="shared" si="355"/>
        <v>3461.1499999999996</v>
      </c>
      <c r="L189" s="24">
        <f t="shared" si="344"/>
        <v>6323.18</v>
      </c>
      <c r="M189" s="25">
        <f t="shared" si="345"/>
        <v>0.64625579881299999</v>
      </c>
      <c r="N189" s="26"/>
      <c r="O189" s="23">
        <v>6514.76</v>
      </c>
      <c r="P189" s="23">
        <v>1444.13</v>
      </c>
      <c r="Q189" s="24">
        <f t="shared" si="346"/>
        <v>5070.63</v>
      </c>
      <c r="R189" s="25">
        <f t="shared" si="347"/>
        <v>0.77832951635977377</v>
      </c>
      <c r="S189" s="27">
        <v>130.62</v>
      </c>
      <c r="T189" s="27">
        <v>32.25</v>
      </c>
      <c r="U189" s="28">
        <f t="shared" si="348"/>
        <v>98.37</v>
      </c>
      <c r="V189" s="25">
        <f t="shared" si="349"/>
        <v>0.75310059715204414</v>
      </c>
      <c r="W189" s="26"/>
      <c r="X189" s="29">
        <f t="shared" si="350"/>
        <v>-113.88217054263565</v>
      </c>
      <c r="Y189" s="29">
        <f t="shared" si="351"/>
        <v>35.928877660388906</v>
      </c>
      <c r="Z189" s="25">
        <f t="shared" si="352"/>
        <v>-2.9796848886076361</v>
      </c>
      <c r="AA189" s="30">
        <f t="shared" si="353"/>
        <v>0.22356150784199019</v>
      </c>
      <c r="AB189" s="31"/>
      <c r="AD189" t="s">
        <v>36</v>
      </c>
      <c r="AE189" s="33">
        <v>0</v>
      </c>
      <c r="AH189" s="20">
        <f>SUM(T190-T189)</f>
        <v>0</v>
      </c>
      <c r="AI189" s="32">
        <f>SUM(K190-K189)</f>
        <v>0</v>
      </c>
    </row>
    <row r="190" spans="1:35" x14ac:dyDescent="0.2">
      <c r="A190" s="20"/>
      <c r="B190" s="21"/>
      <c r="C190" s="22" t="s">
        <v>37</v>
      </c>
      <c r="D190" s="23">
        <v>20992.12</v>
      </c>
      <c r="E190" s="23">
        <v>1232.58</v>
      </c>
      <c r="F190" s="24">
        <f t="shared" si="354"/>
        <v>19759.54</v>
      </c>
      <c r="G190" s="25">
        <f t="shared" si="343"/>
        <v>0.94128368168627097</v>
      </c>
      <c r="H190" s="24">
        <v>16299.09</v>
      </c>
      <c r="I190" s="24">
        <v>4905.28</v>
      </c>
      <c r="J190" s="23">
        <f t="shared" si="342"/>
        <v>9784.33</v>
      </c>
      <c r="K190" s="23">
        <f t="shared" si="355"/>
        <v>3461.1499999999996</v>
      </c>
      <c r="L190" s="24">
        <f t="shared" si="344"/>
        <v>6323.18</v>
      </c>
      <c r="M190" s="25">
        <f t="shared" si="345"/>
        <v>0.64625579881299999</v>
      </c>
      <c r="N190" s="26"/>
      <c r="O190" s="23">
        <v>6514.76</v>
      </c>
      <c r="P190" s="23">
        <v>1444.13</v>
      </c>
      <c r="Q190" s="24">
        <f t="shared" si="346"/>
        <v>5070.63</v>
      </c>
      <c r="R190" s="25">
        <f t="shared" si="347"/>
        <v>0.77832951635977377</v>
      </c>
      <c r="S190" s="27">
        <v>130.62</v>
      </c>
      <c r="T190" s="27">
        <v>32.25</v>
      </c>
      <c r="U190" s="28">
        <f t="shared" si="348"/>
        <v>98.37</v>
      </c>
      <c r="V190" s="25">
        <f t="shared" si="349"/>
        <v>0.75310059715204414</v>
      </c>
      <c r="W190" s="26"/>
      <c r="X190" s="29">
        <f t="shared" si="350"/>
        <v>-113.88217054263565</v>
      </c>
      <c r="Y190" s="29">
        <f t="shared" si="351"/>
        <v>35.928877660388906</v>
      </c>
      <c r="Z190" s="25">
        <f t="shared" si="352"/>
        <v>-2.9796848886076361</v>
      </c>
      <c r="AA190" s="30">
        <f t="shared" si="353"/>
        <v>0.22356150784199019</v>
      </c>
      <c r="AB190" s="31"/>
      <c r="AH190" s="20">
        <f>SUM(T191-T190)</f>
        <v>0</v>
      </c>
      <c r="AI190" s="32">
        <f>SUM(K191-K190)</f>
        <v>0</v>
      </c>
    </row>
    <row r="191" spans="1:35" ht="17" thickBot="1" x14ac:dyDescent="0.25">
      <c r="A191" s="34"/>
      <c r="B191" s="60"/>
      <c r="C191" s="61" t="s">
        <v>38</v>
      </c>
      <c r="D191" s="23">
        <v>20992.12</v>
      </c>
      <c r="E191" s="23">
        <v>1232.58</v>
      </c>
      <c r="F191" s="24">
        <f t="shared" si="354"/>
        <v>19759.54</v>
      </c>
      <c r="G191" s="25">
        <f t="shared" si="343"/>
        <v>0.94128368168627097</v>
      </c>
      <c r="H191" s="24">
        <v>16299.09</v>
      </c>
      <c r="I191" s="24">
        <v>4905.28</v>
      </c>
      <c r="J191" s="23">
        <f t="shared" si="342"/>
        <v>9784.33</v>
      </c>
      <c r="K191" s="23">
        <f t="shared" si="355"/>
        <v>3461.1499999999996</v>
      </c>
      <c r="L191" s="24">
        <f t="shared" si="344"/>
        <v>6323.18</v>
      </c>
      <c r="M191" s="25">
        <f t="shared" si="345"/>
        <v>0.64625579881299999</v>
      </c>
      <c r="N191" s="26"/>
      <c r="O191" s="23">
        <v>6514.76</v>
      </c>
      <c r="P191" s="23">
        <v>1444.13</v>
      </c>
      <c r="Q191" s="24">
        <f t="shared" si="346"/>
        <v>5070.63</v>
      </c>
      <c r="R191" s="25">
        <f t="shared" si="347"/>
        <v>0.77832951635977377</v>
      </c>
      <c r="S191" s="27">
        <v>130.62</v>
      </c>
      <c r="T191" s="27">
        <v>32.25</v>
      </c>
      <c r="U191" s="28">
        <f t="shared" si="348"/>
        <v>98.37</v>
      </c>
      <c r="V191" s="25">
        <f t="shared" si="349"/>
        <v>0.75310059715204414</v>
      </c>
      <c r="W191" s="26"/>
      <c r="X191" s="29">
        <f t="shared" si="350"/>
        <v>-113.88217054263565</v>
      </c>
      <c r="Y191" s="29">
        <f t="shared" si="351"/>
        <v>35.928877660388906</v>
      </c>
      <c r="Z191" s="25">
        <f t="shared" si="352"/>
        <v>-2.9796848886076361</v>
      </c>
      <c r="AA191" s="30">
        <f>SUM(D191-H191)/D191</f>
        <v>0.22356150784199019</v>
      </c>
      <c r="AB191" s="31"/>
      <c r="AH191" s="34">
        <f>SUM(AH186,AH187,AH188,AH189,AH190)</f>
        <v>32.25</v>
      </c>
      <c r="AI191" s="35">
        <f>SUM(AI186,AI187,AI188,AI189,AI190)</f>
        <v>3461.1499999999996</v>
      </c>
    </row>
    <row r="192" spans="1:35" ht="9" customHeight="1" x14ac:dyDescent="0.2">
      <c r="A192" s="36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8"/>
    </row>
    <row r="193" spans="1:35" x14ac:dyDescent="0.2">
      <c r="A193" s="20">
        <f>'[1]Main Sheet'!A58</f>
        <v>9508</v>
      </c>
      <c r="B193" s="21" t="str">
        <f>'[1]Main Sheet'!B58</f>
        <v>St Barnabas Church</v>
      </c>
      <c r="C193" s="22" t="s">
        <v>30</v>
      </c>
      <c r="D193" s="23">
        <v>39559.620000000003</v>
      </c>
      <c r="E193" s="23">
        <v>0</v>
      </c>
      <c r="F193" s="24">
        <f>D193-E193</f>
        <v>39559.620000000003</v>
      </c>
      <c r="G193" s="25">
        <f>F193/D193</f>
        <v>1</v>
      </c>
      <c r="H193" s="24">
        <v>29401.08</v>
      </c>
      <c r="I193" s="24">
        <v>0</v>
      </c>
      <c r="J193" s="23">
        <f t="shared" ref="J193:J198" si="356">SUM(H193-O193)</f>
        <v>22999.49</v>
      </c>
      <c r="K193" s="23">
        <v>0</v>
      </c>
      <c r="L193" s="24">
        <f>J193-K193</f>
        <v>22999.49</v>
      </c>
      <c r="M193" s="25">
        <f>L193/J193</f>
        <v>1</v>
      </c>
      <c r="N193" s="26">
        <v>0</v>
      </c>
      <c r="O193" s="23">
        <v>6401.59</v>
      </c>
      <c r="P193" s="23">
        <v>0</v>
      </c>
      <c r="Q193" s="24">
        <f>O193-P193</f>
        <v>6401.59</v>
      </c>
      <c r="R193" s="25">
        <f>Q193/O193</f>
        <v>1</v>
      </c>
      <c r="S193" s="27">
        <v>129.75</v>
      </c>
      <c r="T193" s="27">
        <v>0</v>
      </c>
      <c r="U193" s="28">
        <f>S193-T193</f>
        <v>129.75</v>
      </c>
      <c r="V193" s="25">
        <f>U193/S193</f>
        <v>1</v>
      </c>
      <c r="W193" s="26">
        <v>0</v>
      </c>
      <c r="X193" s="29" t="e">
        <f>(E193-K193-P193)/T193</f>
        <v>#DIV/0!</v>
      </c>
      <c r="Y193" s="29">
        <f>(D193-J193-O193)/S193</f>
        <v>78.293179190751445</v>
      </c>
      <c r="Z193" s="25" t="e">
        <f>(E193-K193-P193)/E193</f>
        <v>#DIV/0!</v>
      </c>
      <c r="AA193" s="30">
        <f>SUM(D193-H193)/D193</f>
        <v>0.25679063651268641</v>
      </c>
      <c r="AB193" s="31"/>
      <c r="AD193" t="s">
        <v>31</v>
      </c>
      <c r="AE193">
        <f>AH198</f>
        <v>0</v>
      </c>
      <c r="AH193" s="20">
        <f>SUM(T194-T193)</f>
        <v>0</v>
      </c>
      <c r="AI193" s="32">
        <f>SUM(K194-K193)</f>
        <v>0</v>
      </c>
    </row>
    <row r="194" spans="1:35" x14ac:dyDescent="0.2">
      <c r="A194" s="20"/>
      <c r="B194" s="21"/>
      <c r="C194" s="22" t="s">
        <v>32</v>
      </c>
      <c r="D194" s="23">
        <v>39559.620000000003</v>
      </c>
      <c r="E194" s="23">
        <v>0</v>
      </c>
      <c r="F194" s="24">
        <f t="shared" ref="F194:F198" si="357">D194-E194</f>
        <v>39559.620000000003</v>
      </c>
      <c r="G194" s="25">
        <f t="shared" ref="G194:G198" si="358">F194/D194</f>
        <v>1</v>
      </c>
      <c r="H194" s="24">
        <v>29401.08</v>
      </c>
      <c r="I194" s="24">
        <v>0</v>
      </c>
      <c r="J194" s="23">
        <f t="shared" si="356"/>
        <v>22999.49</v>
      </c>
      <c r="K194" s="23">
        <v>0</v>
      </c>
      <c r="L194" s="24">
        <f t="shared" ref="L194:L198" si="359">J194-K194</f>
        <v>22999.49</v>
      </c>
      <c r="M194" s="25">
        <f t="shared" ref="M194:M198" si="360">L194/J194</f>
        <v>1</v>
      </c>
      <c r="N194" s="26"/>
      <c r="O194" s="23">
        <v>6401.59</v>
      </c>
      <c r="P194" s="23">
        <v>0</v>
      </c>
      <c r="Q194" s="24">
        <f t="shared" ref="Q194:Q198" si="361">O194-P194</f>
        <v>6401.59</v>
      </c>
      <c r="R194" s="25">
        <f t="shared" ref="R194:R198" si="362">Q194/O194</f>
        <v>1</v>
      </c>
      <c r="S194" s="27">
        <v>129.75</v>
      </c>
      <c r="T194" s="27">
        <v>0</v>
      </c>
      <c r="U194" s="28">
        <f t="shared" ref="U194:U198" si="363">S194-T194</f>
        <v>129.75</v>
      </c>
      <c r="V194" s="25">
        <f t="shared" ref="V194:V198" si="364">U194/S194</f>
        <v>1</v>
      </c>
      <c r="W194" s="26"/>
      <c r="X194" s="29" t="e">
        <f t="shared" ref="X194:X198" si="365">(E194-K194-P194)/T194</f>
        <v>#DIV/0!</v>
      </c>
      <c r="Y194" s="29">
        <f t="shared" ref="Y194:Y198" si="366">(D194-J194-O194)/S194</f>
        <v>78.293179190751445</v>
      </c>
      <c r="Z194" s="25" t="e">
        <f t="shared" ref="Z194:Z198" si="367">(E194-K194-P194)/E194</f>
        <v>#DIV/0!</v>
      </c>
      <c r="AA194" s="30">
        <f t="shared" ref="AA194:AA197" si="368">SUM(D194-H194)/D194</f>
        <v>0.25679063651268641</v>
      </c>
      <c r="AB194" s="31"/>
      <c r="AD194" t="s">
        <v>33</v>
      </c>
      <c r="AE194" s="33">
        <f>AI198</f>
        <v>0</v>
      </c>
      <c r="AH194" s="20">
        <f>SUM(T195-T194)</f>
        <v>5.75</v>
      </c>
      <c r="AI194" s="32">
        <f>SUM(K195-K194)</f>
        <v>0</v>
      </c>
    </row>
    <row r="195" spans="1:35" x14ac:dyDescent="0.2">
      <c r="A195" s="20"/>
      <c r="B195" s="21"/>
      <c r="C195" s="22" t="s">
        <v>34</v>
      </c>
      <c r="D195" s="23">
        <v>23770.95</v>
      </c>
      <c r="E195" s="23">
        <v>0</v>
      </c>
      <c r="F195" s="24">
        <f t="shared" si="357"/>
        <v>23770.95</v>
      </c>
      <c r="G195" s="25">
        <f t="shared" si="358"/>
        <v>1</v>
      </c>
      <c r="H195" s="24">
        <v>14310.96</v>
      </c>
      <c r="I195" s="24">
        <v>330.91</v>
      </c>
      <c r="J195" s="23">
        <f t="shared" si="356"/>
        <v>7389.3399999999992</v>
      </c>
      <c r="K195" s="23">
        <f t="shared" ref="K195:K198" si="369">SUM(I195-P195)</f>
        <v>0</v>
      </c>
      <c r="L195" s="24">
        <f t="shared" si="359"/>
        <v>7389.3399999999992</v>
      </c>
      <c r="M195" s="25">
        <f t="shared" si="360"/>
        <v>1</v>
      </c>
      <c r="N195" s="26"/>
      <c r="O195" s="23">
        <v>6921.62</v>
      </c>
      <c r="P195" s="23">
        <v>330.91</v>
      </c>
      <c r="Q195" s="24">
        <f t="shared" si="361"/>
        <v>6590.71</v>
      </c>
      <c r="R195" s="25">
        <f t="shared" si="362"/>
        <v>0.9521918279246766</v>
      </c>
      <c r="S195" s="27">
        <v>140.15</v>
      </c>
      <c r="T195" s="27">
        <v>5.75</v>
      </c>
      <c r="U195" s="28">
        <f t="shared" si="363"/>
        <v>134.4</v>
      </c>
      <c r="V195" s="25">
        <f t="shared" si="364"/>
        <v>0.95897252943275058</v>
      </c>
      <c r="W195" s="26"/>
      <c r="X195" s="29">
        <f t="shared" si="365"/>
        <v>-57.549565217391311</v>
      </c>
      <c r="Y195" s="29">
        <f t="shared" si="366"/>
        <v>67.499036746343208</v>
      </c>
      <c r="Z195" s="25" t="e">
        <f t="shared" si="367"/>
        <v>#DIV/0!</v>
      </c>
      <c r="AA195" s="30">
        <f t="shared" si="368"/>
        <v>0.39796432199806914</v>
      </c>
      <c r="AB195" s="31"/>
      <c r="AH195" s="20">
        <f>SUM(T196-T195)</f>
        <v>0</v>
      </c>
      <c r="AI195" s="32">
        <f>SUM(K196-K195)</f>
        <v>0</v>
      </c>
    </row>
    <row r="196" spans="1:35" x14ac:dyDescent="0.2">
      <c r="A196" s="20"/>
      <c r="B196" s="21"/>
      <c r="C196" s="22" t="s">
        <v>35</v>
      </c>
      <c r="D196" s="23">
        <v>23770.95</v>
      </c>
      <c r="E196" s="23">
        <v>0</v>
      </c>
      <c r="F196" s="24">
        <f t="shared" si="357"/>
        <v>23770.95</v>
      </c>
      <c r="G196" s="25">
        <f t="shared" si="358"/>
        <v>1</v>
      </c>
      <c r="H196" s="24">
        <v>14310.96</v>
      </c>
      <c r="I196" s="24">
        <v>330.91</v>
      </c>
      <c r="J196" s="23">
        <f t="shared" si="356"/>
        <v>7389.3399999999992</v>
      </c>
      <c r="K196" s="23">
        <f t="shared" si="369"/>
        <v>0</v>
      </c>
      <c r="L196" s="24">
        <f t="shared" si="359"/>
        <v>7389.3399999999992</v>
      </c>
      <c r="M196" s="25">
        <f t="shared" si="360"/>
        <v>1</v>
      </c>
      <c r="N196" s="26"/>
      <c r="O196" s="23">
        <v>6921.62</v>
      </c>
      <c r="P196" s="23">
        <v>330.91</v>
      </c>
      <c r="Q196" s="24">
        <f t="shared" si="361"/>
        <v>6590.71</v>
      </c>
      <c r="R196" s="25">
        <f t="shared" si="362"/>
        <v>0.9521918279246766</v>
      </c>
      <c r="S196" s="27">
        <v>140.15</v>
      </c>
      <c r="T196" s="27">
        <v>5.75</v>
      </c>
      <c r="U196" s="28">
        <f t="shared" si="363"/>
        <v>134.4</v>
      </c>
      <c r="V196" s="25">
        <f t="shared" si="364"/>
        <v>0.95897252943275058</v>
      </c>
      <c r="W196" s="26"/>
      <c r="X196" s="29">
        <f t="shared" si="365"/>
        <v>-57.549565217391311</v>
      </c>
      <c r="Y196" s="29">
        <f t="shared" si="366"/>
        <v>67.499036746343208</v>
      </c>
      <c r="Z196" s="25" t="e">
        <f t="shared" si="367"/>
        <v>#DIV/0!</v>
      </c>
      <c r="AA196" s="30">
        <f t="shared" si="368"/>
        <v>0.39796432199806914</v>
      </c>
      <c r="AB196" s="31"/>
      <c r="AD196" t="s">
        <v>36</v>
      </c>
      <c r="AE196" s="33">
        <v>0</v>
      </c>
      <c r="AH196" s="20">
        <f>SUM(T197-T196)</f>
        <v>0</v>
      </c>
      <c r="AI196" s="32">
        <f>SUM(K197-K196)</f>
        <v>0</v>
      </c>
    </row>
    <row r="197" spans="1:35" x14ac:dyDescent="0.2">
      <c r="A197" s="20"/>
      <c r="B197" s="21"/>
      <c r="C197" s="22" t="s">
        <v>37</v>
      </c>
      <c r="D197" s="23">
        <v>23770.95</v>
      </c>
      <c r="E197" s="23">
        <v>0</v>
      </c>
      <c r="F197" s="24">
        <f t="shared" si="357"/>
        <v>23770.95</v>
      </c>
      <c r="G197" s="25">
        <f t="shared" si="358"/>
        <v>1</v>
      </c>
      <c r="H197" s="24">
        <v>14310.96</v>
      </c>
      <c r="I197" s="24">
        <v>330.91</v>
      </c>
      <c r="J197" s="23">
        <f t="shared" si="356"/>
        <v>7389.3399999999992</v>
      </c>
      <c r="K197" s="23">
        <f t="shared" si="369"/>
        <v>0</v>
      </c>
      <c r="L197" s="24">
        <f t="shared" si="359"/>
        <v>7389.3399999999992</v>
      </c>
      <c r="M197" s="25">
        <f t="shared" si="360"/>
        <v>1</v>
      </c>
      <c r="N197" s="26"/>
      <c r="O197" s="23">
        <v>6921.62</v>
      </c>
      <c r="P197" s="23">
        <v>330.91</v>
      </c>
      <c r="Q197" s="24">
        <f t="shared" si="361"/>
        <v>6590.71</v>
      </c>
      <c r="R197" s="25">
        <f t="shared" si="362"/>
        <v>0.9521918279246766</v>
      </c>
      <c r="S197" s="27">
        <v>140.15</v>
      </c>
      <c r="T197" s="27">
        <v>5.75</v>
      </c>
      <c r="U197" s="28">
        <f t="shared" si="363"/>
        <v>134.4</v>
      </c>
      <c r="V197" s="25">
        <f t="shared" si="364"/>
        <v>0.95897252943275058</v>
      </c>
      <c r="W197" s="26"/>
      <c r="X197" s="29">
        <f t="shared" si="365"/>
        <v>-57.549565217391311</v>
      </c>
      <c r="Y197" s="29">
        <f t="shared" si="366"/>
        <v>67.499036746343208</v>
      </c>
      <c r="Z197" s="25" t="e">
        <f t="shared" si="367"/>
        <v>#DIV/0!</v>
      </c>
      <c r="AA197" s="30">
        <f t="shared" si="368"/>
        <v>0.39796432199806914</v>
      </c>
      <c r="AB197" s="31"/>
      <c r="AH197" s="20">
        <f>SUM(T198-T197)</f>
        <v>-5.75</v>
      </c>
      <c r="AI197" s="32">
        <f>SUM(K198-K197)</f>
        <v>0</v>
      </c>
    </row>
    <row r="198" spans="1:35" ht="17" thickBot="1" x14ac:dyDescent="0.25">
      <c r="A198" s="34"/>
      <c r="B198" s="60"/>
      <c r="C198" s="61" t="s">
        <v>38</v>
      </c>
      <c r="D198" s="23">
        <v>0</v>
      </c>
      <c r="E198" s="23">
        <v>0</v>
      </c>
      <c r="F198" s="24">
        <f t="shared" si="357"/>
        <v>0</v>
      </c>
      <c r="G198" s="25" t="e">
        <f t="shared" si="358"/>
        <v>#DIV/0!</v>
      </c>
      <c r="H198" s="24">
        <v>0</v>
      </c>
      <c r="I198" s="24">
        <v>0</v>
      </c>
      <c r="J198" s="23">
        <f t="shared" si="356"/>
        <v>0</v>
      </c>
      <c r="K198" s="23">
        <f t="shared" si="369"/>
        <v>0</v>
      </c>
      <c r="L198" s="24">
        <f t="shared" si="359"/>
        <v>0</v>
      </c>
      <c r="M198" s="25" t="e">
        <f t="shared" si="360"/>
        <v>#DIV/0!</v>
      </c>
      <c r="N198" s="26"/>
      <c r="O198" s="23">
        <v>0</v>
      </c>
      <c r="P198" s="23">
        <v>0</v>
      </c>
      <c r="Q198" s="24">
        <f t="shared" si="361"/>
        <v>0</v>
      </c>
      <c r="R198" s="25" t="e">
        <f t="shared" si="362"/>
        <v>#DIV/0!</v>
      </c>
      <c r="S198" s="27">
        <v>0</v>
      </c>
      <c r="T198" s="27">
        <v>0</v>
      </c>
      <c r="U198" s="28">
        <f t="shared" si="363"/>
        <v>0</v>
      </c>
      <c r="V198" s="25" t="e">
        <f t="shared" si="364"/>
        <v>#DIV/0!</v>
      </c>
      <c r="W198" s="26"/>
      <c r="X198" s="29" t="e">
        <f t="shared" si="365"/>
        <v>#DIV/0!</v>
      </c>
      <c r="Y198" s="29" t="e">
        <f t="shared" si="366"/>
        <v>#DIV/0!</v>
      </c>
      <c r="Z198" s="25" t="e">
        <f t="shared" si="367"/>
        <v>#DIV/0!</v>
      </c>
      <c r="AA198" s="30" t="e">
        <f>SUM(D198-H198)/D198</f>
        <v>#DIV/0!</v>
      </c>
      <c r="AB198" s="31"/>
      <c r="AH198" s="34">
        <f>SUM(AH193,AH194,AH195,AH196,AH197)</f>
        <v>0</v>
      </c>
      <c r="AI198" s="35">
        <f>SUM(AI193,AI194,AI195,AI196,AI197)</f>
        <v>0</v>
      </c>
    </row>
    <row r="199" spans="1:35" ht="9" customHeight="1" x14ac:dyDescent="0.2">
      <c r="A199" s="36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8"/>
    </row>
    <row r="200" spans="1:35" x14ac:dyDescent="0.2">
      <c r="A200" s="20">
        <f>'[1]Main Sheet'!A60</f>
        <v>0</v>
      </c>
      <c r="B200" s="20">
        <f>'[1]Main Sheet'!B60</f>
        <v>0</v>
      </c>
      <c r="C200" s="22" t="s">
        <v>30</v>
      </c>
      <c r="D200" s="23">
        <v>0</v>
      </c>
      <c r="E200" s="23">
        <v>0</v>
      </c>
      <c r="F200" s="24">
        <f>D200-E200</f>
        <v>0</v>
      </c>
      <c r="G200" s="25" t="e">
        <f>F200/D200</f>
        <v>#DIV/0!</v>
      </c>
      <c r="H200" s="24">
        <v>0</v>
      </c>
      <c r="I200" s="24">
        <v>0</v>
      </c>
      <c r="J200" s="23">
        <v>0</v>
      </c>
      <c r="K200" s="23">
        <v>0</v>
      </c>
      <c r="L200" s="24">
        <f>J200-K200</f>
        <v>0</v>
      </c>
      <c r="M200" s="25" t="e">
        <f>L200/J200</f>
        <v>#DIV/0!</v>
      </c>
      <c r="N200" s="26"/>
      <c r="O200" s="23">
        <v>0</v>
      </c>
      <c r="P200" s="23">
        <v>0</v>
      </c>
      <c r="Q200" s="24">
        <f>O200-P200</f>
        <v>0</v>
      </c>
      <c r="R200" s="25" t="e">
        <f>Q200/O200</f>
        <v>#DIV/0!</v>
      </c>
      <c r="S200" s="27">
        <v>0</v>
      </c>
      <c r="T200" s="27">
        <v>0</v>
      </c>
      <c r="U200" s="28">
        <f>S200-T200</f>
        <v>0</v>
      </c>
      <c r="V200" s="25" t="e">
        <f>U200/S200</f>
        <v>#DIV/0!</v>
      </c>
      <c r="W200" s="26"/>
      <c r="X200" s="29" t="e">
        <f>(E200-K200-P200)/T200</f>
        <v>#DIV/0!</v>
      </c>
      <c r="Y200" s="29" t="e">
        <f>(D200-J200-O200)/S200</f>
        <v>#DIV/0!</v>
      </c>
      <c r="Z200" s="25" t="e">
        <f>(E200-K200-P200)/E200</f>
        <v>#DIV/0!</v>
      </c>
      <c r="AA200" s="30" t="e">
        <f>SUM(D200-H200)/D200</f>
        <v>#DIV/0!</v>
      </c>
      <c r="AB200" s="31"/>
      <c r="AD200" t="s">
        <v>31</v>
      </c>
      <c r="AE200">
        <f>AH205</f>
        <v>0</v>
      </c>
      <c r="AH200" s="20">
        <f>SUM(T201-T200)</f>
        <v>0</v>
      </c>
      <c r="AI200" s="32">
        <f>SUM(K201-K200)</f>
        <v>0</v>
      </c>
    </row>
    <row r="201" spans="1:35" x14ac:dyDescent="0.2">
      <c r="A201" s="20"/>
      <c r="B201" s="21"/>
      <c r="C201" s="22" t="s">
        <v>32</v>
      </c>
      <c r="D201" s="23">
        <v>0</v>
      </c>
      <c r="E201" s="23">
        <v>0</v>
      </c>
      <c r="F201" s="24">
        <v>0</v>
      </c>
      <c r="G201" s="25" t="e">
        <f t="shared" ref="G201:G205" si="370">F201/D201</f>
        <v>#DIV/0!</v>
      </c>
      <c r="H201" s="24">
        <v>0</v>
      </c>
      <c r="I201" s="24">
        <v>0</v>
      </c>
      <c r="J201" s="23">
        <v>0</v>
      </c>
      <c r="K201" s="23">
        <v>0</v>
      </c>
      <c r="L201" s="24">
        <f t="shared" ref="L201:L205" si="371">J201-K201</f>
        <v>0</v>
      </c>
      <c r="M201" s="25" t="e">
        <f t="shared" ref="M201:M205" si="372">L201/J201</f>
        <v>#DIV/0!</v>
      </c>
      <c r="N201" s="26"/>
      <c r="O201" s="23">
        <v>0</v>
      </c>
      <c r="P201" s="23">
        <v>0</v>
      </c>
      <c r="Q201" s="24">
        <f t="shared" ref="Q201:Q205" si="373">O201-P201</f>
        <v>0</v>
      </c>
      <c r="R201" s="25" t="e">
        <f t="shared" ref="R201:R205" si="374">Q201/O201</f>
        <v>#DIV/0!</v>
      </c>
      <c r="S201" s="27">
        <v>0</v>
      </c>
      <c r="T201" s="27">
        <v>0</v>
      </c>
      <c r="U201" s="28">
        <f t="shared" ref="U201:U205" si="375">S201-T201</f>
        <v>0</v>
      </c>
      <c r="V201" s="25" t="e">
        <f t="shared" ref="V201:V205" si="376">U201/S201</f>
        <v>#DIV/0!</v>
      </c>
      <c r="W201" s="26"/>
      <c r="X201" s="29" t="e">
        <f t="shared" ref="X201:X205" si="377">(E201-K201-P201)/T201</f>
        <v>#DIV/0!</v>
      </c>
      <c r="Y201" s="29" t="e">
        <f t="shared" ref="Y201:Y205" si="378">(D201-J201-O201)/S201</f>
        <v>#DIV/0!</v>
      </c>
      <c r="Z201" s="25" t="e">
        <f t="shared" ref="Z201:Z205" si="379">(E201-K201-P201)/E201</f>
        <v>#DIV/0!</v>
      </c>
      <c r="AA201" s="30" t="e">
        <f t="shared" ref="AA201:AA204" si="380">SUM(D201-H201)/D201</f>
        <v>#DIV/0!</v>
      </c>
      <c r="AB201" s="31"/>
      <c r="AD201" t="s">
        <v>33</v>
      </c>
      <c r="AE201" s="33">
        <f>AI205</f>
        <v>0</v>
      </c>
      <c r="AH201" s="20">
        <f>SUM(T202-T201)</f>
        <v>0</v>
      </c>
      <c r="AI201" s="32">
        <f>SUM(K202-K201)</f>
        <v>0</v>
      </c>
    </row>
    <row r="202" spans="1:35" x14ac:dyDescent="0.2">
      <c r="A202" s="20"/>
      <c r="B202" s="21"/>
      <c r="C202" s="22" t="s">
        <v>34</v>
      </c>
      <c r="D202" s="23">
        <v>0</v>
      </c>
      <c r="E202" s="23">
        <v>0</v>
      </c>
      <c r="F202" s="24">
        <f t="shared" ref="F202:F205" si="381">D202-E202</f>
        <v>0</v>
      </c>
      <c r="G202" s="25" t="e">
        <f t="shared" si="370"/>
        <v>#DIV/0!</v>
      </c>
      <c r="H202" s="24">
        <v>0</v>
      </c>
      <c r="I202" s="24">
        <v>0</v>
      </c>
      <c r="J202" s="23">
        <f t="shared" ref="J202:K205" si="382">SUM(H202-O202)</f>
        <v>0</v>
      </c>
      <c r="K202" s="23">
        <f t="shared" si="382"/>
        <v>0</v>
      </c>
      <c r="L202" s="24">
        <f t="shared" si="371"/>
        <v>0</v>
      </c>
      <c r="M202" s="25" t="e">
        <f t="shared" si="372"/>
        <v>#DIV/0!</v>
      </c>
      <c r="N202" s="26"/>
      <c r="O202" s="23">
        <v>0</v>
      </c>
      <c r="P202" s="23">
        <v>0</v>
      </c>
      <c r="Q202" s="24">
        <f t="shared" si="373"/>
        <v>0</v>
      </c>
      <c r="R202" s="25" t="e">
        <f t="shared" si="374"/>
        <v>#DIV/0!</v>
      </c>
      <c r="S202" s="27">
        <v>0</v>
      </c>
      <c r="T202" s="27">
        <v>0</v>
      </c>
      <c r="U202" s="28">
        <f t="shared" si="375"/>
        <v>0</v>
      </c>
      <c r="V202" s="25" t="e">
        <f t="shared" si="376"/>
        <v>#DIV/0!</v>
      </c>
      <c r="W202" s="26"/>
      <c r="X202" s="29" t="e">
        <f t="shared" si="377"/>
        <v>#DIV/0!</v>
      </c>
      <c r="Y202" s="29" t="e">
        <f t="shared" si="378"/>
        <v>#DIV/0!</v>
      </c>
      <c r="Z202" s="25" t="e">
        <f t="shared" si="379"/>
        <v>#DIV/0!</v>
      </c>
      <c r="AA202" s="30" t="e">
        <f t="shared" si="380"/>
        <v>#DIV/0!</v>
      </c>
      <c r="AB202" s="31"/>
      <c r="AH202" s="20">
        <f>SUM(T203-T202)</f>
        <v>0</v>
      </c>
      <c r="AI202" s="32">
        <f>SUM(K203-K202)</f>
        <v>0</v>
      </c>
    </row>
    <row r="203" spans="1:35" x14ac:dyDescent="0.2">
      <c r="A203" s="20"/>
      <c r="B203" s="21"/>
      <c r="C203" s="22" t="s">
        <v>35</v>
      </c>
      <c r="D203" s="23">
        <v>0</v>
      </c>
      <c r="E203" s="23">
        <v>0</v>
      </c>
      <c r="F203" s="24">
        <f t="shared" si="381"/>
        <v>0</v>
      </c>
      <c r="G203" s="25" t="e">
        <f t="shared" si="370"/>
        <v>#DIV/0!</v>
      </c>
      <c r="H203" s="24">
        <v>0</v>
      </c>
      <c r="I203" s="24">
        <v>0</v>
      </c>
      <c r="J203" s="23">
        <f t="shared" si="382"/>
        <v>0</v>
      </c>
      <c r="K203" s="23">
        <f t="shared" si="382"/>
        <v>0</v>
      </c>
      <c r="L203" s="24">
        <f t="shared" si="371"/>
        <v>0</v>
      </c>
      <c r="M203" s="25" t="e">
        <f t="shared" si="372"/>
        <v>#DIV/0!</v>
      </c>
      <c r="N203" s="26"/>
      <c r="O203" s="23">
        <v>0</v>
      </c>
      <c r="P203" s="23">
        <v>0</v>
      </c>
      <c r="Q203" s="24">
        <f t="shared" si="373"/>
        <v>0</v>
      </c>
      <c r="R203" s="25" t="e">
        <f t="shared" si="374"/>
        <v>#DIV/0!</v>
      </c>
      <c r="S203" s="27">
        <v>0</v>
      </c>
      <c r="T203" s="27">
        <v>0</v>
      </c>
      <c r="U203" s="28">
        <f t="shared" si="375"/>
        <v>0</v>
      </c>
      <c r="V203" s="25" t="e">
        <f t="shared" si="376"/>
        <v>#DIV/0!</v>
      </c>
      <c r="W203" s="26"/>
      <c r="X203" s="29" t="e">
        <f t="shared" si="377"/>
        <v>#DIV/0!</v>
      </c>
      <c r="Y203" s="29" t="e">
        <f t="shared" si="378"/>
        <v>#DIV/0!</v>
      </c>
      <c r="Z203" s="25" t="e">
        <f t="shared" si="379"/>
        <v>#DIV/0!</v>
      </c>
      <c r="AA203" s="30" t="e">
        <f t="shared" si="380"/>
        <v>#DIV/0!</v>
      </c>
      <c r="AB203" s="31"/>
      <c r="AD203" t="s">
        <v>36</v>
      </c>
      <c r="AE203" s="33">
        <v>0</v>
      </c>
      <c r="AH203" s="20">
        <f>SUM(T204-T203)</f>
        <v>0</v>
      </c>
      <c r="AI203" s="32">
        <f>SUM(K204-K203)</f>
        <v>0</v>
      </c>
    </row>
    <row r="204" spans="1:35" x14ac:dyDescent="0.2">
      <c r="A204" s="20"/>
      <c r="B204" s="21"/>
      <c r="C204" s="22" t="s">
        <v>37</v>
      </c>
      <c r="D204" s="23">
        <v>0</v>
      </c>
      <c r="E204" s="23">
        <v>0</v>
      </c>
      <c r="F204" s="24">
        <f t="shared" si="381"/>
        <v>0</v>
      </c>
      <c r="G204" s="25" t="e">
        <f t="shared" si="370"/>
        <v>#DIV/0!</v>
      </c>
      <c r="H204" s="24">
        <v>0</v>
      </c>
      <c r="I204" s="24">
        <v>0</v>
      </c>
      <c r="J204" s="23">
        <f t="shared" si="382"/>
        <v>0</v>
      </c>
      <c r="K204" s="23">
        <f t="shared" si="382"/>
        <v>0</v>
      </c>
      <c r="L204" s="24">
        <f t="shared" si="371"/>
        <v>0</v>
      </c>
      <c r="M204" s="25" t="e">
        <f t="shared" si="372"/>
        <v>#DIV/0!</v>
      </c>
      <c r="N204" s="26"/>
      <c r="O204" s="23">
        <v>0</v>
      </c>
      <c r="P204" s="23">
        <v>0</v>
      </c>
      <c r="Q204" s="24">
        <f t="shared" si="373"/>
        <v>0</v>
      </c>
      <c r="R204" s="25" t="e">
        <f t="shared" si="374"/>
        <v>#DIV/0!</v>
      </c>
      <c r="S204" s="27">
        <v>0</v>
      </c>
      <c r="T204" s="27">
        <v>0</v>
      </c>
      <c r="U204" s="28">
        <f t="shared" si="375"/>
        <v>0</v>
      </c>
      <c r="V204" s="25" t="e">
        <f t="shared" si="376"/>
        <v>#DIV/0!</v>
      </c>
      <c r="W204" s="26"/>
      <c r="X204" s="29" t="e">
        <f t="shared" si="377"/>
        <v>#DIV/0!</v>
      </c>
      <c r="Y204" s="29" t="e">
        <f t="shared" si="378"/>
        <v>#DIV/0!</v>
      </c>
      <c r="Z204" s="25" t="e">
        <f t="shared" si="379"/>
        <v>#DIV/0!</v>
      </c>
      <c r="AA204" s="30" t="e">
        <f t="shared" si="380"/>
        <v>#DIV/0!</v>
      </c>
      <c r="AB204" s="31"/>
      <c r="AH204" s="20">
        <f>SUM(T205-T204)</f>
        <v>0</v>
      </c>
      <c r="AI204" s="32">
        <f>SUM(K205-K204)</f>
        <v>0</v>
      </c>
    </row>
    <row r="205" spans="1:35" ht="17" thickBot="1" x14ac:dyDescent="0.25">
      <c r="A205" s="34"/>
      <c r="B205" s="60"/>
      <c r="C205" s="61" t="s">
        <v>38</v>
      </c>
      <c r="D205" s="23">
        <v>0</v>
      </c>
      <c r="E205" s="23">
        <v>0</v>
      </c>
      <c r="F205" s="24">
        <f t="shared" si="381"/>
        <v>0</v>
      </c>
      <c r="G205" s="25" t="e">
        <f t="shared" si="370"/>
        <v>#DIV/0!</v>
      </c>
      <c r="H205" s="24">
        <v>0</v>
      </c>
      <c r="I205" s="24">
        <v>0</v>
      </c>
      <c r="J205" s="23">
        <f t="shared" si="382"/>
        <v>0</v>
      </c>
      <c r="K205" s="23">
        <f t="shared" si="382"/>
        <v>0</v>
      </c>
      <c r="L205" s="24">
        <f t="shared" si="371"/>
        <v>0</v>
      </c>
      <c r="M205" s="25" t="e">
        <f t="shared" si="372"/>
        <v>#DIV/0!</v>
      </c>
      <c r="N205" s="26"/>
      <c r="O205" s="23">
        <v>0</v>
      </c>
      <c r="P205" s="23">
        <v>0</v>
      </c>
      <c r="Q205" s="24">
        <f t="shared" si="373"/>
        <v>0</v>
      </c>
      <c r="R205" s="25" t="e">
        <f t="shared" si="374"/>
        <v>#DIV/0!</v>
      </c>
      <c r="S205" s="27">
        <v>0</v>
      </c>
      <c r="T205" s="27">
        <v>0</v>
      </c>
      <c r="U205" s="28">
        <f t="shared" si="375"/>
        <v>0</v>
      </c>
      <c r="V205" s="25" t="e">
        <f t="shared" si="376"/>
        <v>#DIV/0!</v>
      </c>
      <c r="W205" s="26"/>
      <c r="X205" s="29" t="e">
        <f t="shared" si="377"/>
        <v>#DIV/0!</v>
      </c>
      <c r="Y205" s="29" t="e">
        <f t="shared" si="378"/>
        <v>#DIV/0!</v>
      </c>
      <c r="Z205" s="25" t="e">
        <f t="shared" si="379"/>
        <v>#DIV/0!</v>
      </c>
      <c r="AA205" s="30" t="e">
        <f>SUM(D205-H205)/D205</f>
        <v>#DIV/0!</v>
      </c>
      <c r="AB205" s="31"/>
      <c r="AH205" s="34">
        <f>SUM(AH200,AH201,AH202,AH203,AH204)</f>
        <v>0</v>
      </c>
      <c r="AI205" s="35">
        <f>SUM(AI200,AI201,AI202,AI203,AI204)</f>
        <v>0</v>
      </c>
    </row>
    <row r="206" spans="1:35" ht="9" customHeight="1" x14ac:dyDescent="0.2">
      <c r="A206" s="36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8"/>
    </row>
    <row r="207" spans="1:35" x14ac:dyDescent="0.2">
      <c r="A207" s="20">
        <f>'[1]Main Sheet'!A62</f>
        <v>0</v>
      </c>
      <c r="B207" s="20" t="str">
        <f>'[1]Main Sheet'!B62</f>
        <v>Contracting</v>
      </c>
      <c r="C207" s="22" t="s">
        <v>30</v>
      </c>
      <c r="D207" s="23"/>
      <c r="E207" s="23"/>
      <c r="F207" s="24">
        <f>D207-E207</f>
        <v>0</v>
      </c>
      <c r="G207" s="25" t="e">
        <f>F207/D207</f>
        <v>#DIV/0!</v>
      </c>
      <c r="H207" s="24"/>
      <c r="I207" s="24"/>
      <c r="J207" s="23">
        <v>0</v>
      </c>
      <c r="K207" s="23">
        <v>0</v>
      </c>
      <c r="L207" s="24">
        <f>J207-K207</f>
        <v>0</v>
      </c>
      <c r="M207" s="25" t="e">
        <f>L207/J207</f>
        <v>#DIV/0!</v>
      </c>
      <c r="N207" s="26"/>
      <c r="O207" s="23"/>
      <c r="P207" s="23"/>
      <c r="Q207" s="24">
        <f>O207-P207</f>
        <v>0</v>
      </c>
      <c r="R207" s="25" t="e">
        <f>Q207/O207</f>
        <v>#DIV/0!</v>
      </c>
      <c r="S207" s="27"/>
      <c r="T207" s="27"/>
      <c r="U207" s="28">
        <f>S207-T207</f>
        <v>0</v>
      </c>
      <c r="V207" s="25" t="e">
        <f>U207/S207</f>
        <v>#DIV/0!</v>
      </c>
      <c r="W207" s="26"/>
      <c r="X207" s="29" t="e">
        <f>(E207-K207-P207)/T207</f>
        <v>#DIV/0!</v>
      </c>
      <c r="Y207" s="29" t="e">
        <f>(D207-J207-O207)/S207</f>
        <v>#DIV/0!</v>
      </c>
      <c r="Z207" s="25" t="e">
        <f>(E207-K207-P207)/E207</f>
        <v>#DIV/0!</v>
      </c>
      <c r="AA207" s="30" t="e">
        <f>SUM(D207-H207)/D207</f>
        <v>#DIV/0!</v>
      </c>
      <c r="AB207" s="31"/>
      <c r="AD207" t="s">
        <v>31</v>
      </c>
      <c r="AE207">
        <f>AH212</f>
        <v>0</v>
      </c>
      <c r="AH207" s="20">
        <f>SUM(T208-T207)</f>
        <v>0</v>
      </c>
      <c r="AI207" s="32">
        <f>SUM(K208-K207)</f>
        <v>0</v>
      </c>
    </row>
    <row r="208" spans="1:35" x14ac:dyDescent="0.2">
      <c r="A208" s="20"/>
      <c r="B208" s="21"/>
      <c r="C208" s="22" t="s">
        <v>32</v>
      </c>
      <c r="D208" s="23"/>
      <c r="E208" s="23"/>
      <c r="F208" s="24">
        <f t="shared" ref="F208:F212" si="383">D208-E208</f>
        <v>0</v>
      </c>
      <c r="G208" s="25" t="e">
        <f t="shared" ref="G208:G212" si="384">F208/D208</f>
        <v>#DIV/0!</v>
      </c>
      <c r="H208" s="24"/>
      <c r="I208" s="24"/>
      <c r="J208" s="23">
        <v>0</v>
      </c>
      <c r="K208" s="23">
        <v>0</v>
      </c>
      <c r="L208" s="24">
        <f t="shared" ref="L208:L212" si="385">J208-K208</f>
        <v>0</v>
      </c>
      <c r="M208" s="25" t="e">
        <f t="shared" ref="M208:M212" si="386">L208/J208</f>
        <v>#DIV/0!</v>
      </c>
      <c r="N208" s="26"/>
      <c r="O208" s="23"/>
      <c r="P208" s="23"/>
      <c r="Q208" s="24">
        <f t="shared" ref="Q208:Q212" si="387">O208-P208</f>
        <v>0</v>
      </c>
      <c r="R208" s="25" t="e">
        <f t="shared" ref="R208:R212" si="388">Q208/O208</f>
        <v>#DIV/0!</v>
      </c>
      <c r="S208" s="27"/>
      <c r="T208" s="27"/>
      <c r="U208" s="28">
        <f t="shared" ref="U208:U212" si="389">S208-T208</f>
        <v>0</v>
      </c>
      <c r="V208" s="25" t="e">
        <f t="shared" ref="V208:V212" si="390">U208/S208</f>
        <v>#DIV/0!</v>
      </c>
      <c r="W208" s="26"/>
      <c r="X208" s="29" t="e">
        <f t="shared" ref="X208:X212" si="391">(E208-K208-P208)/T208</f>
        <v>#DIV/0!</v>
      </c>
      <c r="Y208" s="29" t="e">
        <f t="shared" ref="Y208:Y212" si="392">(D208-J208-O208)/S208</f>
        <v>#DIV/0!</v>
      </c>
      <c r="Z208" s="25" t="e">
        <f t="shared" ref="Z208:Z212" si="393">(E208-K208-P208)/E208</f>
        <v>#DIV/0!</v>
      </c>
      <c r="AA208" s="30" t="e">
        <f t="shared" ref="AA208:AA211" si="394">SUM(D208-H208)/D208</f>
        <v>#DIV/0!</v>
      </c>
      <c r="AB208" s="31"/>
      <c r="AD208" t="s">
        <v>33</v>
      </c>
      <c r="AE208" s="33">
        <f>AI212</f>
        <v>0</v>
      </c>
      <c r="AH208" s="20">
        <f>SUM(T209-T208)</f>
        <v>0</v>
      </c>
      <c r="AI208" s="32">
        <f>SUM(K209-K208)</f>
        <v>0</v>
      </c>
    </row>
    <row r="209" spans="1:35" x14ac:dyDescent="0.2">
      <c r="A209" s="20"/>
      <c r="B209" s="21"/>
      <c r="C209" s="22" t="s">
        <v>34</v>
      </c>
      <c r="D209" s="23"/>
      <c r="E209" s="23"/>
      <c r="F209" s="24">
        <f t="shared" si="383"/>
        <v>0</v>
      </c>
      <c r="G209" s="25" t="e">
        <f t="shared" si="384"/>
        <v>#DIV/0!</v>
      </c>
      <c r="H209" s="24"/>
      <c r="I209" s="24"/>
      <c r="J209" s="23">
        <f t="shared" ref="J209:K212" si="395">SUM(H209-O209)</f>
        <v>0</v>
      </c>
      <c r="K209" s="23">
        <f t="shared" si="395"/>
        <v>0</v>
      </c>
      <c r="L209" s="24">
        <f t="shared" si="385"/>
        <v>0</v>
      </c>
      <c r="M209" s="25" t="e">
        <f t="shared" si="386"/>
        <v>#DIV/0!</v>
      </c>
      <c r="N209" s="26"/>
      <c r="O209" s="23"/>
      <c r="P209" s="23"/>
      <c r="Q209" s="24">
        <f t="shared" si="387"/>
        <v>0</v>
      </c>
      <c r="R209" s="25" t="e">
        <f t="shared" si="388"/>
        <v>#DIV/0!</v>
      </c>
      <c r="S209" s="27"/>
      <c r="T209" s="27"/>
      <c r="U209" s="28">
        <f t="shared" si="389"/>
        <v>0</v>
      </c>
      <c r="V209" s="25" t="e">
        <f t="shared" si="390"/>
        <v>#DIV/0!</v>
      </c>
      <c r="W209" s="26"/>
      <c r="X209" s="29" t="e">
        <f t="shared" si="391"/>
        <v>#DIV/0!</v>
      </c>
      <c r="Y209" s="29" t="e">
        <f t="shared" si="392"/>
        <v>#DIV/0!</v>
      </c>
      <c r="Z209" s="25" t="e">
        <f t="shared" si="393"/>
        <v>#DIV/0!</v>
      </c>
      <c r="AA209" s="30" t="e">
        <f t="shared" si="394"/>
        <v>#DIV/0!</v>
      </c>
      <c r="AB209" s="31"/>
      <c r="AH209" s="20">
        <f>SUM(T210-T209)</f>
        <v>0</v>
      </c>
      <c r="AI209" s="32">
        <f>SUM(K210-K209)</f>
        <v>0</v>
      </c>
    </row>
    <row r="210" spans="1:35" x14ac:dyDescent="0.2">
      <c r="A210" s="20"/>
      <c r="B210" s="21"/>
      <c r="C210" s="22" t="s">
        <v>35</v>
      </c>
      <c r="D210" s="23"/>
      <c r="E210" s="23"/>
      <c r="F210" s="24">
        <f t="shared" si="383"/>
        <v>0</v>
      </c>
      <c r="G210" s="25" t="e">
        <f t="shared" si="384"/>
        <v>#DIV/0!</v>
      </c>
      <c r="H210" s="24"/>
      <c r="I210" s="24"/>
      <c r="J210" s="23">
        <f t="shared" si="395"/>
        <v>0</v>
      </c>
      <c r="K210" s="23">
        <f t="shared" si="395"/>
        <v>0</v>
      </c>
      <c r="L210" s="24">
        <f t="shared" si="385"/>
        <v>0</v>
      </c>
      <c r="M210" s="25" t="e">
        <f t="shared" si="386"/>
        <v>#DIV/0!</v>
      </c>
      <c r="N210" s="26"/>
      <c r="O210" s="23"/>
      <c r="P210" s="23"/>
      <c r="Q210" s="24">
        <f t="shared" si="387"/>
        <v>0</v>
      </c>
      <c r="R210" s="25" t="e">
        <f t="shared" si="388"/>
        <v>#DIV/0!</v>
      </c>
      <c r="S210" s="27"/>
      <c r="T210" s="27"/>
      <c r="U210" s="28">
        <f t="shared" si="389"/>
        <v>0</v>
      </c>
      <c r="V210" s="25" t="e">
        <f t="shared" si="390"/>
        <v>#DIV/0!</v>
      </c>
      <c r="W210" s="26"/>
      <c r="X210" s="29" t="e">
        <f t="shared" si="391"/>
        <v>#DIV/0!</v>
      </c>
      <c r="Y210" s="29" t="e">
        <f t="shared" si="392"/>
        <v>#DIV/0!</v>
      </c>
      <c r="Z210" s="25" t="e">
        <f t="shared" si="393"/>
        <v>#DIV/0!</v>
      </c>
      <c r="AA210" s="30" t="e">
        <f t="shared" si="394"/>
        <v>#DIV/0!</v>
      </c>
      <c r="AB210" s="31"/>
      <c r="AD210" t="s">
        <v>36</v>
      </c>
      <c r="AE210" s="33">
        <v>0</v>
      </c>
      <c r="AH210" s="20">
        <f>SUM(T211-T210)</f>
        <v>0</v>
      </c>
      <c r="AI210" s="32">
        <f>SUM(K211-K210)</f>
        <v>0</v>
      </c>
    </row>
    <row r="211" spans="1:35" x14ac:dyDescent="0.2">
      <c r="A211" s="20"/>
      <c r="B211" s="21"/>
      <c r="C211" s="22" t="s">
        <v>37</v>
      </c>
      <c r="D211" s="23"/>
      <c r="E211" s="23"/>
      <c r="F211" s="24">
        <f t="shared" si="383"/>
        <v>0</v>
      </c>
      <c r="G211" s="25" t="e">
        <f t="shared" si="384"/>
        <v>#DIV/0!</v>
      </c>
      <c r="H211" s="24"/>
      <c r="I211" s="24"/>
      <c r="J211" s="23">
        <f t="shared" si="395"/>
        <v>0</v>
      </c>
      <c r="K211" s="23">
        <f t="shared" si="395"/>
        <v>0</v>
      </c>
      <c r="L211" s="24">
        <f t="shared" si="385"/>
        <v>0</v>
      </c>
      <c r="M211" s="25" t="e">
        <f t="shared" si="386"/>
        <v>#DIV/0!</v>
      </c>
      <c r="N211" s="26"/>
      <c r="O211" s="23"/>
      <c r="P211" s="23"/>
      <c r="Q211" s="24">
        <f t="shared" si="387"/>
        <v>0</v>
      </c>
      <c r="R211" s="25" t="e">
        <f t="shared" si="388"/>
        <v>#DIV/0!</v>
      </c>
      <c r="S211" s="27"/>
      <c r="T211" s="27"/>
      <c r="U211" s="28">
        <f t="shared" si="389"/>
        <v>0</v>
      </c>
      <c r="V211" s="25" t="e">
        <f t="shared" si="390"/>
        <v>#DIV/0!</v>
      </c>
      <c r="W211" s="26"/>
      <c r="X211" s="29" t="e">
        <f t="shared" si="391"/>
        <v>#DIV/0!</v>
      </c>
      <c r="Y211" s="29" t="e">
        <f t="shared" si="392"/>
        <v>#DIV/0!</v>
      </c>
      <c r="Z211" s="25" t="e">
        <f t="shared" si="393"/>
        <v>#DIV/0!</v>
      </c>
      <c r="AA211" s="30" t="e">
        <f t="shared" si="394"/>
        <v>#DIV/0!</v>
      </c>
      <c r="AB211" s="31"/>
      <c r="AH211" s="20">
        <f>SUM(T212-T211)</f>
        <v>0</v>
      </c>
      <c r="AI211" s="32">
        <f>SUM(K212-K211)</f>
        <v>0</v>
      </c>
    </row>
    <row r="212" spans="1:35" ht="17" thickBot="1" x14ac:dyDescent="0.25">
      <c r="A212" s="34"/>
      <c r="B212" s="60"/>
      <c r="C212" s="61" t="s">
        <v>38</v>
      </c>
      <c r="D212" s="23"/>
      <c r="E212" s="23"/>
      <c r="F212" s="24">
        <f t="shared" si="383"/>
        <v>0</v>
      </c>
      <c r="G212" s="25" t="e">
        <f t="shared" si="384"/>
        <v>#DIV/0!</v>
      </c>
      <c r="H212" s="24"/>
      <c r="I212" s="24"/>
      <c r="J212" s="23">
        <f t="shared" si="395"/>
        <v>0</v>
      </c>
      <c r="K212" s="23">
        <f t="shared" si="395"/>
        <v>0</v>
      </c>
      <c r="L212" s="24">
        <f t="shared" si="385"/>
        <v>0</v>
      </c>
      <c r="M212" s="25" t="e">
        <f t="shared" si="386"/>
        <v>#DIV/0!</v>
      </c>
      <c r="N212" s="26"/>
      <c r="O212" s="23"/>
      <c r="P212" s="23"/>
      <c r="Q212" s="24">
        <f t="shared" si="387"/>
        <v>0</v>
      </c>
      <c r="R212" s="25" t="e">
        <f t="shared" si="388"/>
        <v>#DIV/0!</v>
      </c>
      <c r="S212" s="27"/>
      <c r="T212" s="27"/>
      <c r="U212" s="28">
        <f t="shared" si="389"/>
        <v>0</v>
      </c>
      <c r="V212" s="25" t="e">
        <f t="shared" si="390"/>
        <v>#DIV/0!</v>
      </c>
      <c r="W212" s="26"/>
      <c r="X212" s="29" t="e">
        <f t="shared" si="391"/>
        <v>#DIV/0!</v>
      </c>
      <c r="Y212" s="29" t="e">
        <f t="shared" si="392"/>
        <v>#DIV/0!</v>
      </c>
      <c r="Z212" s="25" t="e">
        <f t="shared" si="393"/>
        <v>#DIV/0!</v>
      </c>
      <c r="AA212" s="30" t="e">
        <f>SUM(D212-H212)/D212</f>
        <v>#DIV/0!</v>
      </c>
      <c r="AB212" s="31"/>
      <c r="AH212" s="34">
        <f>SUM(AH207,AH208,AH209,AH210,AH211)</f>
        <v>0</v>
      </c>
      <c r="AI212" s="35">
        <f>SUM(AI207,AI208,AI209,AI210,AI211)</f>
        <v>0</v>
      </c>
    </row>
    <row r="213" spans="1:35" ht="9" customHeight="1" x14ac:dyDescent="0.2">
      <c r="A213" s="36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8"/>
    </row>
    <row r="214" spans="1:35" x14ac:dyDescent="0.2">
      <c r="A214" s="20">
        <f>'[1]Main Sheet'!A64</f>
        <v>8946</v>
      </c>
      <c r="B214" s="62" t="str">
        <f>'[1]Main Sheet'!B64</f>
        <v>Westcoast Vaults</v>
      </c>
      <c r="C214" s="22" t="s">
        <v>30</v>
      </c>
      <c r="D214" s="23">
        <v>137109.56</v>
      </c>
      <c r="E214" s="23">
        <v>0</v>
      </c>
      <c r="F214" s="24">
        <f>D214-E214</f>
        <v>137109.56</v>
      </c>
      <c r="G214" s="25">
        <f>F214/D214</f>
        <v>1</v>
      </c>
      <c r="H214" s="24">
        <v>117394.57</v>
      </c>
      <c r="I214" s="24">
        <v>0</v>
      </c>
      <c r="J214" s="23">
        <f t="shared" ref="J214:J219" si="396">SUM(H214-O214)</f>
        <v>99479.62000000001</v>
      </c>
      <c r="K214" s="23">
        <f t="shared" ref="K214:K219" si="397">SUM(I214-P214)</f>
        <v>0</v>
      </c>
      <c r="L214" s="24">
        <f>J214-K214</f>
        <v>99479.62000000001</v>
      </c>
      <c r="M214" s="25">
        <f>L214/J214</f>
        <v>1</v>
      </c>
      <c r="N214" s="26"/>
      <c r="O214" s="23">
        <v>17914.95</v>
      </c>
      <c r="P214" s="23">
        <v>0</v>
      </c>
      <c r="Q214" s="24">
        <f>O214-P214</f>
        <v>17914.95</v>
      </c>
      <c r="R214" s="25">
        <f>Q214/O214</f>
        <v>1</v>
      </c>
      <c r="S214" s="27">
        <v>358.86</v>
      </c>
      <c r="T214" s="27">
        <v>0</v>
      </c>
      <c r="U214" s="28">
        <f>S214-T214</f>
        <v>358.86</v>
      </c>
      <c r="V214" s="25">
        <f>U214/S214</f>
        <v>1</v>
      </c>
      <c r="W214" s="26"/>
      <c r="X214" s="29" t="e">
        <f>(E214-K214-P214)/T214</f>
        <v>#DIV/0!</v>
      </c>
      <c r="Y214" s="29">
        <f>(D214-J214-O214)/S214</f>
        <v>54.93783090898954</v>
      </c>
      <c r="Z214" s="25" t="e">
        <f>(E214-K214-P214)/E214</f>
        <v>#DIV/0!</v>
      </c>
      <c r="AA214" s="30">
        <f>SUM(D214-H214)/D214</f>
        <v>0.14379004644169227</v>
      </c>
      <c r="AB214" s="31"/>
      <c r="AD214" t="s">
        <v>31</v>
      </c>
      <c r="AE214">
        <f>AH219</f>
        <v>0</v>
      </c>
      <c r="AH214" s="20">
        <f>SUM(T215-T214)</f>
        <v>0</v>
      </c>
      <c r="AI214" s="32">
        <f>SUM(K215-K214)</f>
        <v>0</v>
      </c>
    </row>
    <row r="215" spans="1:35" x14ac:dyDescent="0.2">
      <c r="A215" s="20"/>
      <c r="B215" s="21"/>
      <c r="C215" s="22" t="s">
        <v>32</v>
      </c>
      <c r="D215" s="23">
        <v>137109.56</v>
      </c>
      <c r="E215" s="23">
        <v>0</v>
      </c>
      <c r="F215" s="24">
        <f t="shared" ref="F215:F219" si="398">D215-E215</f>
        <v>137109.56</v>
      </c>
      <c r="G215" s="25">
        <f t="shared" ref="G215:G219" si="399">F215/D215</f>
        <v>1</v>
      </c>
      <c r="H215" s="24">
        <v>117394.57</v>
      </c>
      <c r="I215" s="24">
        <v>0</v>
      </c>
      <c r="J215" s="23">
        <f t="shared" si="396"/>
        <v>99479.62000000001</v>
      </c>
      <c r="K215" s="23">
        <f t="shared" si="397"/>
        <v>0</v>
      </c>
      <c r="L215" s="24">
        <f t="shared" ref="L215:L219" si="400">J215-K215</f>
        <v>99479.62000000001</v>
      </c>
      <c r="M215" s="25">
        <f t="shared" ref="M215:M219" si="401">L215/J215</f>
        <v>1</v>
      </c>
      <c r="N215" s="26"/>
      <c r="O215" s="23">
        <v>17914.95</v>
      </c>
      <c r="P215" s="23">
        <v>0</v>
      </c>
      <c r="Q215" s="24">
        <f t="shared" ref="Q215:Q219" si="402">O215-P215</f>
        <v>17914.95</v>
      </c>
      <c r="R215" s="25">
        <f t="shared" ref="R215:R219" si="403">Q215/O215</f>
        <v>1</v>
      </c>
      <c r="S215" s="27">
        <v>358.86</v>
      </c>
      <c r="T215" s="27">
        <v>0</v>
      </c>
      <c r="U215" s="28">
        <f t="shared" ref="U215:U219" si="404">S215-T215</f>
        <v>358.86</v>
      </c>
      <c r="V215" s="25">
        <f t="shared" ref="V215:V219" si="405">U215/S215</f>
        <v>1</v>
      </c>
      <c r="W215" s="26"/>
      <c r="X215" s="29" t="e">
        <f t="shared" ref="X215:X219" si="406">(E215-K215-P215)/T215</f>
        <v>#DIV/0!</v>
      </c>
      <c r="Y215" s="29">
        <f t="shared" ref="Y215:Y219" si="407">(D215-J215-O215)/S215</f>
        <v>54.93783090898954</v>
      </c>
      <c r="Z215" s="25" t="e">
        <f t="shared" ref="Z215:Z219" si="408">(E215-K215-P215)/E215</f>
        <v>#DIV/0!</v>
      </c>
      <c r="AA215" s="30">
        <f t="shared" ref="AA215:AA218" si="409">SUM(D215-H215)/D215</f>
        <v>0.14379004644169227</v>
      </c>
      <c r="AB215" s="31"/>
      <c r="AD215" t="s">
        <v>33</v>
      </c>
      <c r="AE215" s="33">
        <f>AI219</f>
        <v>0</v>
      </c>
      <c r="AH215" s="20">
        <f>SUM(T216-T215)</f>
        <v>0</v>
      </c>
      <c r="AI215" s="32">
        <f>SUM(K216-K215)</f>
        <v>0</v>
      </c>
    </row>
    <row r="216" spans="1:35" x14ac:dyDescent="0.2">
      <c r="A216" s="20"/>
      <c r="B216" s="21"/>
      <c r="C216" s="22" t="s">
        <v>34</v>
      </c>
      <c r="D216" s="23">
        <v>137109.56</v>
      </c>
      <c r="E216" s="23">
        <v>0</v>
      </c>
      <c r="F216" s="24">
        <f t="shared" si="398"/>
        <v>137109.56</v>
      </c>
      <c r="G216" s="25">
        <f t="shared" si="399"/>
        <v>1</v>
      </c>
      <c r="H216" s="24">
        <v>117394.57</v>
      </c>
      <c r="I216" s="24">
        <v>0</v>
      </c>
      <c r="J216" s="23">
        <f t="shared" si="396"/>
        <v>99479.62000000001</v>
      </c>
      <c r="K216" s="23">
        <f t="shared" si="397"/>
        <v>0</v>
      </c>
      <c r="L216" s="24">
        <f t="shared" si="400"/>
        <v>99479.62000000001</v>
      </c>
      <c r="M216" s="25">
        <f t="shared" si="401"/>
        <v>1</v>
      </c>
      <c r="N216" s="26"/>
      <c r="O216" s="23">
        <v>17914.95</v>
      </c>
      <c r="P216" s="23">
        <v>0</v>
      </c>
      <c r="Q216" s="24">
        <f t="shared" si="402"/>
        <v>17914.95</v>
      </c>
      <c r="R216" s="25">
        <f t="shared" si="403"/>
        <v>1</v>
      </c>
      <c r="S216" s="27">
        <v>358.86</v>
      </c>
      <c r="T216" s="27">
        <v>0</v>
      </c>
      <c r="U216" s="28">
        <f t="shared" si="404"/>
        <v>358.86</v>
      </c>
      <c r="V216" s="25">
        <f t="shared" si="405"/>
        <v>1</v>
      </c>
      <c r="W216" s="26"/>
      <c r="X216" s="29" t="e">
        <f t="shared" si="406"/>
        <v>#DIV/0!</v>
      </c>
      <c r="Y216" s="29">
        <f t="shared" si="407"/>
        <v>54.93783090898954</v>
      </c>
      <c r="Z216" s="25" t="e">
        <f t="shared" si="408"/>
        <v>#DIV/0!</v>
      </c>
      <c r="AA216" s="30">
        <f t="shared" si="409"/>
        <v>0.14379004644169227</v>
      </c>
      <c r="AB216" s="31"/>
      <c r="AH216" s="20">
        <f>SUM(T217-T216)</f>
        <v>0</v>
      </c>
      <c r="AI216" s="32">
        <f>SUM(K217-K216)</f>
        <v>0</v>
      </c>
    </row>
    <row r="217" spans="1:35" x14ac:dyDescent="0.2">
      <c r="A217" s="20"/>
      <c r="B217" s="21"/>
      <c r="C217" s="22" t="s">
        <v>35</v>
      </c>
      <c r="D217" s="23">
        <v>137109.56</v>
      </c>
      <c r="E217" s="23">
        <v>0</v>
      </c>
      <c r="F217" s="24">
        <f t="shared" si="398"/>
        <v>137109.56</v>
      </c>
      <c r="G217" s="25">
        <f t="shared" si="399"/>
        <v>1</v>
      </c>
      <c r="H217" s="24">
        <v>117394.57</v>
      </c>
      <c r="I217" s="24">
        <v>0</v>
      </c>
      <c r="J217" s="23">
        <f t="shared" si="396"/>
        <v>99479.62000000001</v>
      </c>
      <c r="K217" s="23">
        <f t="shared" si="397"/>
        <v>0</v>
      </c>
      <c r="L217" s="24">
        <f t="shared" si="400"/>
        <v>99479.62000000001</v>
      </c>
      <c r="M217" s="25">
        <f t="shared" si="401"/>
        <v>1</v>
      </c>
      <c r="N217" s="26"/>
      <c r="O217" s="23">
        <v>17914.95</v>
      </c>
      <c r="P217" s="23">
        <v>0</v>
      </c>
      <c r="Q217" s="24">
        <f t="shared" si="402"/>
        <v>17914.95</v>
      </c>
      <c r="R217" s="25">
        <f t="shared" si="403"/>
        <v>1</v>
      </c>
      <c r="S217" s="27">
        <v>358.86</v>
      </c>
      <c r="T217" s="27">
        <v>0</v>
      </c>
      <c r="U217" s="28">
        <f t="shared" si="404"/>
        <v>358.86</v>
      </c>
      <c r="V217" s="25">
        <f t="shared" si="405"/>
        <v>1</v>
      </c>
      <c r="W217" s="26"/>
      <c r="X217" s="29" t="e">
        <f t="shared" si="406"/>
        <v>#DIV/0!</v>
      </c>
      <c r="Y217" s="29">
        <f t="shared" si="407"/>
        <v>54.93783090898954</v>
      </c>
      <c r="Z217" s="25" t="e">
        <f t="shared" si="408"/>
        <v>#DIV/0!</v>
      </c>
      <c r="AA217" s="30">
        <f t="shared" si="409"/>
        <v>0.14379004644169227</v>
      </c>
      <c r="AB217" s="31"/>
      <c r="AD217" t="s">
        <v>36</v>
      </c>
      <c r="AE217" s="33">
        <v>0</v>
      </c>
      <c r="AH217" s="20">
        <f>SUM(T218-T217)</f>
        <v>0</v>
      </c>
      <c r="AI217" s="32">
        <f>SUM(K218-K217)</f>
        <v>0</v>
      </c>
    </row>
    <row r="218" spans="1:35" x14ac:dyDescent="0.2">
      <c r="A218" s="20"/>
      <c r="B218" s="21"/>
      <c r="C218" s="22" t="s">
        <v>37</v>
      </c>
      <c r="D218" s="23">
        <v>137109.56</v>
      </c>
      <c r="E218" s="23">
        <v>0</v>
      </c>
      <c r="F218" s="24">
        <f t="shared" si="398"/>
        <v>137109.56</v>
      </c>
      <c r="G218" s="25">
        <f t="shared" si="399"/>
        <v>1</v>
      </c>
      <c r="H218" s="24">
        <v>117394.57</v>
      </c>
      <c r="I218" s="24">
        <v>0</v>
      </c>
      <c r="J218" s="23">
        <f t="shared" si="396"/>
        <v>99479.62000000001</v>
      </c>
      <c r="K218" s="23">
        <f t="shared" si="397"/>
        <v>0</v>
      </c>
      <c r="L218" s="24">
        <f t="shared" si="400"/>
        <v>99479.62000000001</v>
      </c>
      <c r="M218" s="25">
        <f t="shared" si="401"/>
        <v>1</v>
      </c>
      <c r="N218" s="26"/>
      <c r="O218" s="23">
        <v>17914.95</v>
      </c>
      <c r="P218" s="23">
        <v>0</v>
      </c>
      <c r="Q218" s="24">
        <f t="shared" si="402"/>
        <v>17914.95</v>
      </c>
      <c r="R218" s="25">
        <f t="shared" si="403"/>
        <v>1</v>
      </c>
      <c r="S218" s="27">
        <v>358.86</v>
      </c>
      <c r="T218" s="27">
        <v>0</v>
      </c>
      <c r="U218" s="28">
        <f t="shared" si="404"/>
        <v>358.86</v>
      </c>
      <c r="V218" s="25">
        <f t="shared" si="405"/>
        <v>1</v>
      </c>
      <c r="W218" s="26"/>
      <c r="X218" s="29" t="e">
        <f t="shared" si="406"/>
        <v>#DIV/0!</v>
      </c>
      <c r="Y218" s="29">
        <f t="shared" si="407"/>
        <v>54.93783090898954</v>
      </c>
      <c r="Z218" s="25" t="e">
        <f t="shared" si="408"/>
        <v>#DIV/0!</v>
      </c>
      <c r="AA218" s="30">
        <f t="shared" si="409"/>
        <v>0.14379004644169227</v>
      </c>
      <c r="AB218" s="31"/>
      <c r="AH218" s="20">
        <f>SUM(T219-T218)</f>
        <v>0</v>
      </c>
      <c r="AI218" s="32">
        <f>SUM(K219-K218)</f>
        <v>0</v>
      </c>
    </row>
    <row r="219" spans="1:35" ht="17" thickBot="1" x14ac:dyDescent="0.25">
      <c r="A219" s="34"/>
      <c r="B219" s="60"/>
      <c r="C219" s="61" t="s">
        <v>38</v>
      </c>
      <c r="D219" s="23">
        <v>137109.56</v>
      </c>
      <c r="E219" s="23">
        <v>0</v>
      </c>
      <c r="F219" s="24">
        <f t="shared" si="398"/>
        <v>137109.56</v>
      </c>
      <c r="G219" s="25">
        <f t="shared" si="399"/>
        <v>1</v>
      </c>
      <c r="H219" s="24">
        <v>117394.57</v>
      </c>
      <c r="I219" s="24">
        <v>0</v>
      </c>
      <c r="J219" s="23">
        <f t="shared" si="396"/>
        <v>99479.62000000001</v>
      </c>
      <c r="K219" s="23">
        <f t="shared" si="397"/>
        <v>0</v>
      </c>
      <c r="L219" s="24">
        <f t="shared" si="400"/>
        <v>99479.62000000001</v>
      </c>
      <c r="M219" s="25">
        <f t="shared" si="401"/>
        <v>1</v>
      </c>
      <c r="N219" s="26"/>
      <c r="O219" s="23">
        <v>17914.95</v>
      </c>
      <c r="P219" s="23">
        <v>0</v>
      </c>
      <c r="Q219" s="24">
        <f t="shared" si="402"/>
        <v>17914.95</v>
      </c>
      <c r="R219" s="25">
        <f t="shared" si="403"/>
        <v>1</v>
      </c>
      <c r="S219" s="27">
        <v>358.86</v>
      </c>
      <c r="T219" s="27">
        <v>0</v>
      </c>
      <c r="U219" s="28">
        <f t="shared" si="404"/>
        <v>358.86</v>
      </c>
      <c r="V219" s="25">
        <f t="shared" si="405"/>
        <v>1</v>
      </c>
      <c r="W219" s="26"/>
      <c r="X219" s="29" t="e">
        <f t="shared" si="406"/>
        <v>#DIV/0!</v>
      </c>
      <c r="Y219" s="29">
        <f t="shared" si="407"/>
        <v>54.93783090898954</v>
      </c>
      <c r="Z219" s="25" t="e">
        <f t="shared" si="408"/>
        <v>#DIV/0!</v>
      </c>
      <c r="AA219" s="30">
        <f>SUM(D219-H219)/D219</f>
        <v>0.14379004644169227</v>
      </c>
      <c r="AB219" s="31"/>
      <c r="AH219" s="34">
        <f>SUM(AH214,AH215,AH216,AH217,AH218)</f>
        <v>0</v>
      </c>
      <c r="AI219" s="35">
        <f>SUM(AI214,AI215,AI216,AI217,AI218)</f>
        <v>0</v>
      </c>
    </row>
    <row r="220" spans="1:35" ht="9" customHeight="1" x14ac:dyDescent="0.2">
      <c r="A220" s="36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8"/>
    </row>
    <row r="221" spans="1:35" x14ac:dyDescent="0.2">
      <c r="A221" s="20">
        <f>'[1]Main Sheet'!A66</f>
        <v>8308</v>
      </c>
      <c r="B221" s="20" t="str">
        <f>'[1]Main Sheet'!B66</f>
        <v>Roydvale</v>
      </c>
      <c r="C221" s="22" t="s">
        <v>30</v>
      </c>
      <c r="D221" s="23">
        <v>389318.35</v>
      </c>
      <c r="E221" s="23">
        <v>206944.06</v>
      </c>
      <c r="F221" s="24">
        <f>D221-E221</f>
        <v>182374.28999999998</v>
      </c>
      <c r="G221" s="25">
        <f>F221/D221</f>
        <v>0.46844514264483034</v>
      </c>
      <c r="H221" s="24">
        <v>289549.48</v>
      </c>
      <c r="I221" s="24">
        <v>176095.03</v>
      </c>
      <c r="J221" s="23">
        <v>0</v>
      </c>
      <c r="K221" s="23">
        <v>0</v>
      </c>
      <c r="L221" s="24">
        <f>J221-K221</f>
        <v>0</v>
      </c>
      <c r="M221" s="25" t="e">
        <f>L221/J221</f>
        <v>#DIV/0!</v>
      </c>
      <c r="N221" s="26"/>
      <c r="O221" s="23">
        <v>115269.5</v>
      </c>
      <c r="P221" s="23">
        <v>19280.830000000002</v>
      </c>
      <c r="Q221" s="24">
        <f>O221-P221</f>
        <v>95988.67</v>
      </c>
      <c r="R221" s="25">
        <f>Q221/O221</f>
        <v>0.83273259622016227</v>
      </c>
      <c r="S221" s="27">
        <v>2312.6799999999998</v>
      </c>
      <c r="T221" s="27">
        <v>414.25</v>
      </c>
      <c r="U221" s="28">
        <f>S221-T221</f>
        <v>1898.4299999999998</v>
      </c>
      <c r="V221" s="25">
        <f>U221/S221</f>
        <v>0.82087880727121776</v>
      </c>
      <c r="W221" s="26"/>
      <c r="X221" s="29">
        <f>(E221-K221-P221)/T221</f>
        <v>453.0192637296318</v>
      </c>
      <c r="Y221" s="29">
        <f>(D221-J221-O221)/S221</f>
        <v>118.49838715256759</v>
      </c>
      <c r="Z221" s="25">
        <f>(E221-K221-P221)/E221</f>
        <v>0.90683071550833583</v>
      </c>
      <c r="AA221" s="30">
        <f>SUM(D221-H221)/D221</f>
        <v>0.25626552151985643</v>
      </c>
      <c r="AB221" s="31"/>
      <c r="AD221" t="s">
        <v>31</v>
      </c>
      <c r="AE221">
        <f>AH226</f>
        <v>600</v>
      </c>
      <c r="AH221" s="20">
        <f>SUM(T222-T221)</f>
        <v>299.5</v>
      </c>
      <c r="AI221" s="32">
        <f>SUM(K222-K221)</f>
        <v>0</v>
      </c>
    </row>
    <row r="222" spans="1:35" x14ac:dyDescent="0.2">
      <c r="A222" s="20"/>
      <c r="B222" s="21"/>
      <c r="C222" s="22" t="s">
        <v>32</v>
      </c>
      <c r="D222" s="23">
        <v>389318.35</v>
      </c>
      <c r="E222" s="23">
        <v>240563.46</v>
      </c>
      <c r="F222" s="24">
        <v>0</v>
      </c>
      <c r="G222" s="25">
        <f t="shared" ref="G222:G226" si="410">F222/D222</f>
        <v>0</v>
      </c>
      <c r="H222" s="24">
        <v>289549.48</v>
      </c>
      <c r="I222" s="24">
        <v>197795.69</v>
      </c>
      <c r="J222" s="23">
        <v>0</v>
      </c>
      <c r="K222" s="23">
        <v>0</v>
      </c>
      <c r="L222" s="24">
        <f t="shared" ref="L222:L226" si="411">J222-K222</f>
        <v>0</v>
      </c>
      <c r="M222" s="25" t="e">
        <f t="shared" ref="M222:M226" si="412">L222/J222</f>
        <v>#DIV/0!</v>
      </c>
      <c r="N222" s="26"/>
      <c r="O222" s="23">
        <v>115269.5</v>
      </c>
      <c r="P222" s="23">
        <v>33338.39</v>
      </c>
      <c r="Q222" s="24">
        <f t="shared" ref="Q222:Q226" si="413">O222-P222</f>
        <v>81931.11</v>
      </c>
      <c r="R222" s="25">
        <f t="shared" ref="R222:R226" si="414">Q222/O222</f>
        <v>0.71077874025652932</v>
      </c>
      <c r="S222" s="27">
        <v>2312.6799999999998</v>
      </c>
      <c r="T222" s="27">
        <v>713.75</v>
      </c>
      <c r="U222" s="28">
        <f t="shared" ref="U222:U226" si="415">S222-T222</f>
        <v>1598.9299999999998</v>
      </c>
      <c r="V222" s="25">
        <f t="shared" ref="V222:V226" si="416">U222/S222</f>
        <v>0.69137537402494076</v>
      </c>
      <c r="W222" s="26"/>
      <c r="X222" s="29">
        <f t="shared" ref="X222:X226" si="417">(E222-K222-P222)/T222</f>
        <v>290.33284763572681</v>
      </c>
      <c r="Y222" s="29">
        <f t="shared" ref="Y222:Y226" si="418">(D222-J222-O222)/S222</f>
        <v>118.49838715256759</v>
      </c>
      <c r="Z222" s="25">
        <f t="shared" ref="Z222:Z226" si="419">(E222-K222-P222)/E222</f>
        <v>0.86141540365274105</v>
      </c>
      <c r="AA222" s="30">
        <f t="shared" ref="AA222:AA225" si="420">SUM(D222-H222)/D222</f>
        <v>0.25626552151985643</v>
      </c>
      <c r="AB222" s="31"/>
      <c r="AD222" t="s">
        <v>33</v>
      </c>
      <c r="AE222" s="33">
        <f>AI226</f>
        <v>176149.13</v>
      </c>
      <c r="AH222" s="20">
        <f>SUM(T223-T222)</f>
        <v>193.25</v>
      </c>
      <c r="AI222" s="32">
        <f>SUM(K223-K222)</f>
        <v>174116.21</v>
      </c>
    </row>
    <row r="223" spans="1:35" x14ac:dyDescent="0.2">
      <c r="A223" s="20"/>
      <c r="B223" s="21"/>
      <c r="C223" s="22" t="s">
        <v>34</v>
      </c>
      <c r="D223" s="23">
        <v>389318.35</v>
      </c>
      <c r="E223" s="23">
        <v>240563.46</v>
      </c>
      <c r="F223" s="24">
        <f t="shared" ref="F223:F226" si="421">D223-E223</f>
        <v>148754.88999999998</v>
      </c>
      <c r="G223" s="25">
        <f t="shared" si="410"/>
        <v>0.38209062069640437</v>
      </c>
      <c r="H223" s="24">
        <v>289549.48</v>
      </c>
      <c r="I223" s="24">
        <v>217432.95999999999</v>
      </c>
      <c r="J223" s="23">
        <f t="shared" ref="J223:K226" si="422">SUM(H223-O223)</f>
        <v>174279.97999999998</v>
      </c>
      <c r="K223" s="23">
        <f t="shared" si="422"/>
        <v>174116.21</v>
      </c>
      <c r="L223" s="24">
        <f t="shared" si="411"/>
        <v>163.76999999998952</v>
      </c>
      <c r="M223" s="25">
        <f t="shared" si="412"/>
        <v>9.3969485192728125E-4</v>
      </c>
      <c r="N223" s="26"/>
      <c r="O223" s="23">
        <v>115269.5</v>
      </c>
      <c r="P223" s="23">
        <v>43316.75</v>
      </c>
      <c r="Q223" s="24">
        <f t="shared" si="413"/>
        <v>71952.75</v>
      </c>
      <c r="R223" s="25">
        <f t="shared" si="414"/>
        <v>0.62421325675916006</v>
      </c>
      <c r="S223" s="27">
        <v>2312.6799999999998</v>
      </c>
      <c r="T223" s="27">
        <v>907</v>
      </c>
      <c r="U223" s="28">
        <f t="shared" si="415"/>
        <v>1405.6799999999998</v>
      </c>
      <c r="V223" s="25">
        <f t="shared" si="416"/>
        <v>0.60781431066987213</v>
      </c>
      <c r="W223" s="26"/>
      <c r="X223" s="29">
        <f t="shared" si="417"/>
        <v>25.502205071664829</v>
      </c>
      <c r="Y223" s="29">
        <f t="shared" si="418"/>
        <v>43.139937215697806</v>
      </c>
      <c r="Z223" s="25">
        <f t="shared" si="419"/>
        <v>9.6151344015421136E-2</v>
      </c>
      <c r="AA223" s="30">
        <f t="shared" si="420"/>
        <v>0.25626552151985643</v>
      </c>
      <c r="AB223" s="31"/>
      <c r="AH223" s="20">
        <f>SUM(T224-T223)</f>
        <v>0</v>
      </c>
      <c r="AI223" s="32">
        <f>SUM(K224-K223)</f>
        <v>0</v>
      </c>
    </row>
    <row r="224" spans="1:35" x14ac:dyDescent="0.2">
      <c r="A224" s="20"/>
      <c r="B224" s="21"/>
      <c r="C224" s="22" t="s">
        <v>35</v>
      </c>
      <c r="D224" s="23">
        <v>389318.35</v>
      </c>
      <c r="E224" s="23">
        <v>240563.46</v>
      </c>
      <c r="F224" s="24">
        <f t="shared" si="421"/>
        <v>148754.88999999998</v>
      </c>
      <c r="G224" s="25">
        <f t="shared" si="410"/>
        <v>0.38209062069640437</v>
      </c>
      <c r="H224" s="24">
        <v>289549.48</v>
      </c>
      <c r="I224" s="24">
        <v>217432.95999999999</v>
      </c>
      <c r="J224" s="23">
        <f t="shared" si="422"/>
        <v>174279.97999999998</v>
      </c>
      <c r="K224" s="23">
        <f t="shared" si="422"/>
        <v>174116.21</v>
      </c>
      <c r="L224" s="24">
        <f t="shared" si="411"/>
        <v>163.76999999998952</v>
      </c>
      <c r="M224" s="25">
        <f t="shared" si="412"/>
        <v>9.3969485192728125E-4</v>
      </c>
      <c r="N224" s="26"/>
      <c r="O224" s="23">
        <v>115269.5</v>
      </c>
      <c r="P224" s="23">
        <v>43316.75</v>
      </c>
      <c r="Q224" s="24">
        <f t="shared" si="413"/>
        <v>71952.75</v>
      </c>
      <c r="R224" s="25">
        <f t="shared" si="414"/>
        <v>0.62421325675916006</v>
      </c>
      <c r="S224" s="27">
        <v>2312.6799999999998</v>
      </c>
      <c r="T224" s="27">
        <v>907</v>
      </c>
      <c r="U224" s="28">
        <f t="shared" si="415"/>
        <v>1405.6799999999998</v>
      </c>
      <c r="V224" s="25">
        <f t="shared" si="416"/>
        <v>0.60781431066987213</v>
      </c>
      <c r="W224" s="26"/>
      <c r="X224" s="29">
        <f t="shared" si="417"/>
        <v>25.502205071664829</v>
      </c>
      <c r="Y224" s="29">
        <f t="shared" si="418"/>
        <v>43.139937215697806</v>
      </c>
      <c r="Z224" s="25">
        <f t="shared" si="419"/>
        <v>9.6151344015421136E-2</v>
      </c>
      <c r="AA224" s="30">
        <f t="shared" si="420"/>
        <v>0.25626552151985643</v>
      </c>
      <c r="AB224" s="31"/>
      <c r="AD224" t="s">
        <v>36</v>
      </c>
      <c r="AE224" s="33">
        <v>0</v>
      </c>
      <c r="AH224" s="20">
        <f>SUM(T225-T224)</f>
        <v>0</v>
      </c>
      <c r="AI224" s="32">
        <f>SUM(K225-K224)</f>
        <v>0</v>
      </c>
    </row>
    <row r="225" spans="1:35" x14ac:dyDescent="0.2">
      <c r="A225" s="20"/>
      <c r="B225" s="21"/>
      <c r="C225" s="22" t="s">
        <v>37</v>
      </c>
      <c r="D225" s="23">
        <v>389318.35</v>
      </c>
      <c r="E225" s="23">
        <v>240563.46</v>
      </c>
      <c r="F225" s="24">
        <f t="shared" si="421"/>
        <v>148754.88999999998</v>
      </c>
      <c r="G225" s="25">
        <f t="shared" si="410"/>
        <v>0.38209062069640437</v>
      </c>
      <c r="H225" s="24">
        <v>289549.48</v>
      </c>
      <c r="I225" s="24">
        <v>217432.95999999999</v>
      </c>
      <c r="J225" s="23">
        <f t="shared" si="422"/>
        <v>174279.97999999998</v>
      </c>
      <c r="K225" s="23">
        <f t="shared" si="422"/>
        <v>174116.21</v>
      </c>
      <c r="L225" s="24">
        <f t="shared" si="411"/>
        <v>163.76999999998952</v>
      </c>
      <c r="M225" s="25">
        <f t="shared" si="412"/>
        <v>9.3969485192728125E-4</v>
      </c>
      <c r="N225" s="26"/>
      <c r="O225" s="23">
        <v>115269.5</v>
      </c>
      <c r="P225" s="23">
        <v>43316.75</v>
      </c>
      <c r="Q225" s="24">
        <f t="shared" si="413"/>
        <v>71952.75</v>
      </c>
      <c r="R225" s="25">
        <f t="shared" si="414"/>
        <v>0.62421325675916006</v>
      </c>
      <c r="S225" s="27">
        <v>2312.6799999999998</v>
      </c>
      <c r="T225" s="27">
        <v>907</v>
      </c>
      <c r="U225" s="28">
        <f t="shared" si="415"/>
        <v>1405.6799999999998</v>
      </c>
      <c r="V225" s="25">
        <f t="shared" si="416"/>
        <v>0.60781431066987213</v>
      </c>
      <c r="W225" s="26"/>
      <c r="X225" s="29">
        <f t="shared" si="417"/>
        <v>25.502205071664829</v>
      </c>
      <c r="Y225" s="29">
        <f t="shared" si="418"/>
        <v>43.139937215697806</v>
      </c>
      <c r="Z225" s="25">
        <f t="shared" si="419"/>
        <v>9.6151344015421136E-2</v>
      </c>
      <c r="AA225" s="30">
        <f t="shared" si="420"/>
        <v>0.25626552151985643</v>
      </c>
      <c r="AB225" s="31"/>
      <c r="AH225" s="20">
        <f>SUM(T226-T225)</f>
        <v>107.25</v>
      </c>
      <c r="AI225" s="32">
        <f>SUM(K226-K225)</f>
        <v>2032.9200000000128</v>
      </c>
    </row>
    <row r="226" spans="1:35" ht="17" thickBot="1" x14ac:dyDescent="0.25">
      <c r="A226" s="34"/>
      <c r="B226" s="60"/>
      <c r="C226" s="61" t="s">
        <v>38</v>
      </c>
      <c r="D226" s="23">
        <v>389318.35</v>
      </c>
      <c r="E226" s="23">
        <v>271388.15000000002</v>
      </c>
      <c r="F226" s="24">
        <f t="shared" si="421"/>
        <v>117930.19999999995</v>
      </c>
      <c r="G226" s="25">
        <f t="shared" si="410"/>
        <v>0.30291456850158738</v>
      </c>
      <c r="H226" s="24">
        <v>289549.48</v>
      </c>
      <c r="I226" s="24">
        <v>224459.32</v>
      </c>
      <c r="J226" s="23">
        <f t="shared" si="422"/>
        <v>174279.97999999998</v>
      </c>
      <c r="K226" s="23">
        <f t="shared" si="422"/>
        <v>176149.13</v>
      </c>
      <c r="L226" s="24">
        <f t="shared" si="411"/>
        <v>-1869.1500000000233</v>
      </c>
      <c r="M226" s="25">
        <f t="shared" si="412"/>
        <v>-1.0724984017097221E-2</v>
      </c>
      <c r="N226" s="26"/>
      <c r="O226" s="23">
        <v>115269.5</v>
      </c>
      <c r="P226" s="23">
        <v>48310.19</v>
      </c>
      <c r="Q226" s="24">
        <f t="shared" si="413"/>
        <v>66959.31</v>
      </c>
      <c r="R226" s="25">
        <f t="shared" si="414"/>
        <v>0.58089355813983745</v>
      </c>
      <c r="S226" s="27">
        <v>2312.6799999999998</v>
      </c>
      <c r="T226" s="27">
        <v>1014.25</v>
      </c>
      <c r="U226" s="28">
        <f t="shared" si="415"/>
        <v>1298.4299999999998</v>
      </c>
      <c r="V226" s="25">
        <f t="shared" si="416"/>
        <v>0.561439542003217</v>
      </c>
      <c r="W226" s="26"/>
      <c r="X226" s="29">
        <f t="shared" si="417"/>
        <v>46.26948977076659</v>
      </c>
      <c r="Y226" s="29">
        <f t="shared" si="418"/>
        <v>43.139937215697806</v>
      </c>
      <c r="Z226" s="25">
        <f t="shared" si="419"/>
        <v>0.17292144111671792</v>
      </c>
      <c r="AA226" s="30">
        <f>SUM(D226-H226)/D226</f>
        <v>0.25626552151985643</v>
      </c>
      <c r="AB226" s="31"/>
      <c r="AH226" s="34">
        <f>SUM(AH221,AH222,AH223,AH224,AH225)</f>
        <v>600</v>
      </c>
      <c r="AI226" s="35">
        <f>SUM(AI221,AI222,AI223,AI224,AI225)</f>
        <v>176149.13</v>
      </c>
    </row>
  </sheetData>
  <mergeCells count="58">
    <mergeCell ref="A185:AA185"/>
    <mergeCell ref="A192:AA192"/>
    <mergeCell ref="A199:AA199"/>
    <mergeCell ref="A206:AA206"/>
    <mergeCell ref="A213:AA213"/>
    <mergeCell ref="A220:AA220"/>
    <mergeCell ref="A143:AA143"/>
    <mergeCell ref="A150:AA150"/>
    <mergeCell ref="A157:AA157"/>
    <mergeCell ref="A164:AA164"/>
    <mergeCell ref="A171:AA171"/>
    <mergeCell ref="A178:AA178"/>
    <mergeCell ref="A94:AA94"/>
    <mergeCell ref="A101:AA101"/>
    <mergeCell ref="A108:AA108"/>
    <mergeCell ref="A122:AA122"/>
    <mergeCell ref="A129:AA129"/>
    <mergeCell ref="A136:AA136"/>
    <mergeCell ref="A52:AA52"/>
    <mergeCell ref="A59:AA59"/>
    <mergeCell ref="A66:AA66"/>
    <mergeCell ref="A73:AA73"/>
    <mergeCell ref="A80:AA80"/>
    <mergeCell ref="A87:AA87"/>
    <mergeCell ref="A10:AA10"/>
    <mergeCell ref="A17:AA17"/>
    <mergeCell ref="A24:AA24"/>
    <mergeCell ref="A31:AA31"/>
    <mergeCell ref="A38:AA38"/>
    <mergeCell ref="A45:AA45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S2:S3"/>
    <mergeCell ref="T2:T3"/>
    <mergeCell ref="U2:U3"/>
    <mergeCell ref="J2:J3"/>
    <mergeCell ref="K2:K3"/>
    <mergeCell ref="L2:L3"/>
    <mergeCell ref="M2:M3"/>
    <mergeCell ref="N2:N3"/>
    <mergeCell ref="O2:O3"/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conditionalFormatting sqref="X4:X9">
    <cfRule type="expression" dxfId="63" priority="17">
      <formula>$X$4&lt;$Y$4</formula>
    </cfRule>
  </conditionalFormatting>
  <conditionalFormatting sqref="X11:X16">
    <cfRule type="expression" dxfId="62" priority="15">
      <formula>$X$4&lt;$Y$4</formula>
    </cfRule>
  </conditionalFormatting>
  <conditionalFormatting sqref="X18:X23">
    <cfRule type="expression" dxfId="61" priority="13">
      <formula>$X$4&lt;$Y$4</formula>
    </cfRule>
  </conditionalFormatting>
  <conditionalFormatting sqref="X25:X30">
    <cfRule type="expression" dxfId="60" priority="11">
      <formula>$X$4&lt;$Y$4</formula>
    </cfRule>
  </conditionalFormatting>
  <conditionalFormatting sqref="X32:X37">
    <cfRule type="expression" dxfId="59" priority="61">
      <formula>$X$4&lt;$Y$4</formula>
    </cfRule>
  </conditionalFormatting>
  <conditionalFormatting sqref="X39:X44">
    <cfRule type="expression" dxfId="58" priority="63">
      <formula>$X$4&lt;$Y$4</formula>
    </cfRule>
  </conditionalFormatting>
  <conditionalFormatting sqref="X46:X51">
    <cfRule type="expression" dxfId="57" priority="9">
      <formula>$X$4&lt;$Y$4</formula>
    </cfRule>
  </conditionalFormatting>
  <conditionalFormatting sqref="X53:X58">
    <cfRule type="expression" dxfId="56" priority="7">
      <formula>$X$4&lt;$Y$4</formula>
    </cfRule>
  </conditionalFormatting>
  <conditionalFormatting sqref="X60:X65">
    <cfRule type="expression" dxfId="55" priority="5">
      <formula>$X$4&lt;$Y$4</formula>
    </cfRule>
  </conditionalFormatting>
  <conditionalFormatting sqref="X67:X72">
    <cfRule type="expression" dxfId="54" priority="3">
      <formula>$X$4&lt;$Y$4</formula>
    </cfRule>
  </conditionalFormatting>
  <conditionalFormatting sqref="X74:X79">
    <cfRule type="expression" dxfId="53" priority="1">
      <formula>$X$4&lt;$Y$4</formula>
    </cfRule>
  </conditionalFormatting>
  <conditionalFormatting sqref="X81:X86">
    <cfRule type="expression" dxfId="52" priority="33">
      <formula>$X$4&lt;$Y$4</formula>
    </cfRule>
  </conditionalFormatting>
  <conditionalFormatting sqref="X88:X93">
    <cfRule type="expression" dxfId="51" priority="35">
      <formula>$X$4&lt;$Y$4</formula>
    </cfRule>
  </conditionalFormatting>
  <conditionalFormatting sqref="X95:X100">
    <cfRule type="expression" dxfId="50" priority="31">
      <formula>$X$4&lt;$Y$4</formula>
    </cfRule>
  </conditionalFormatting>
  <conditionalFormatting sqref="X102:X107">
    <cfRule type="expression" dxfId="49" priority="29">
      <formula>$X$4&lt;$Y$4</formula>
    </cfRule>
  </conditionalFormatting>
  <conditionalFormatting sqref="X109:X114">
    <cfRule type="expression" dxfId="48" priority="27">
      <formula>$X$4&lt;$Y$4</formula>
    </cfRule>
  </conditionalFormatting>
  <conditionalFormatting sqref="X116:X121">
    <cfRule type="expression" dxfId="47" priority="59">
      <formula>$X$4&lt;$Y$4</formula>
    </cfRule>
  </conditionalFormatting>
  <conditionalFormatting sqref="X123:X128">
    <cfRule type="expression" dxfId="46" priority="25">
      <formula>$X$4&lt;$Y$4</formula>
    </cfRule>
  </conditionalFormatting>
  <conditionalFormatting sqref="X130:X135">
    <cfRule type="expression" dxfId="45" priority="23">
      <formula>$X$4&lt;$Y$4</formula>
    </cfRule>
  </conditionalFormatting>
  <conditionalFormatting sqref="X137:X142">
    <cfRule type="expression" dxfId="44" priority="57">
      <formula>$X$4&lt;$Y$4</formula>
    </cfRule>
  </conditionalFormatting>
  <conditionalFormatting sqref="X144:X149">
    <cfRule type="expression" dxfId="43" priority="21">
      <formula>$X$4&lt;$Y$4</formula>
    </cfRule>
  </conditionalFormatting>
  <conditionalFormatting sqref="X151:X156">
    <cfRule type="expression" dxfId="42" priority="19">
      <formula>$X$4&lt;$Y$4</formula>
    </cfRule>
  </conditionalFormatting>
  <conditionalFormatting sqref="X158:X163">
    <cfRule type="expression" dxfId="41" priority="55">
      <formula>$X$4&lt;$Y$4</formula>
    </cfRule>
  </conditionalFormatting>
  <conditionalFormatting sqref="X165:X170">
    <cfRule type="expression" dxfId="40" priority="53">
      <formula>$X$4&lt;$Y$4</formula>
    </cfRule>
  </conditionalFormatting>
  <conditionalFormatting sqref="X172:X177">
    <cfRule type="expression" dxfId="39" priority="51">
      <formula>$X$4&lt;$Y$4</formula>
    </cfRule>
  </conditionalFormatting>
  <conditionalFormatting sqref="X179:X184">
    <cfRule type="expression" dxfId="38" priority="49">
      <formula>$X$4&lt;$Y$4</formula>
    </cfRule>
  </conditionalFormatting>
  <conditionalFormatting sqref="X186:X191">
    <cfRule type="expression" dxfId="37" priority="47">
      <formula>$X$4&lt;$Y$4</formula>
    </cfRule>
  </conditionalFormatting>
  <conditionalFormatting sqref="X193:X198">
    <cfRule type="expression" dxfId="36" priority="45">
      <formula>$X$4&lt;$Y$4</formula>
    </cfRule>
  </conditionalFormatting>
  <conditionalFormatting sqref="X200:X205">
    <cfRule type="expression" dxfId="35" priority="43">
      <formula>$X$4&lt;$Y$4</formula>
    </cfRule>
  </conditionalFormatting>
  <conditionalFormatting sqref="X207:X212">
    <cfRule type="expression" dxfId="34" priority="41">
      <formula>$X$4&lt;$Y$4</formula>
    </cfRule>
  </conditionalFormatting>
  <conditionalFormatting sqref="X214:X219">
    <cfRule type="expression" dxfId="33" priority="39">
      <formula>$X$4&lt;$Y$4</formula>
    </cfRule>
  </conditionalFormatting>
  <conditionalFormatting sqref="X221:X226">
    <cfRule type="expression" dxfId="32" priority="37">
      <formula>$X$4&lt;$Y$4</formula>
    </cfRule>
  </conditionalFormatting>
  <conditionalFormatting sqref="Z4:Z9">
    <cfRule type="expression" dxfId="31" priority="18">
      <formula>$Z$4&lt;AA4</formula>
    </cfRule>
  </conditionalFormatting>
  <conditionalFormatting sqref="Z11:Z16">
    <cfRule type="expression" dxfId="30" priority="16">
      <formula>$Z$4&lt;AA11</formula>
    </cfRule>
  </conditionalFormatting>
  <conditionalFormatting sqref="Z18:Z23">
    <cfRule type="expression" dxfId="29" priority="14">
      <formula>$Z$4&lt;AA18</formula>
    </cfRule>
  </conditionalFormatting>
  <conditionalFormatting sqref="Z25:Z30">
    <cfRule type="expression" dxfId="28" priority="12">
      <formula>$Z$4&lt;AA25</formula>
    </cfRule>
  </conditionalFormatting>
  <conditionalFormatting sqref="Z32:Z37">
    <cfRule type="expression" dxfId="27" priority="62">
      <formula>$Z$4&lt;AA32</formula>
    </cfRule>
  </conditionalFormatting>
  <conditionalFormatting sqref="Z39:Z44">
    <cfRule type="expression" dxfId="26" priority="64">
      <formula>$Z$4&lt;AA39</formula>
    </cfRule>
  </conditionalFormatting>
  <conditionalFormatting sqref="Z46:Z51">
    <cfRule type="expression" dxfId="25" priority="10">
      <formula>$Z$4&lt;AA46</formula>
    </cfRule>
  </conditionalFormatting>
  <conditionalFormatting sqref="Z53:Z58">
    <cfRule type="expression" dxfId="24" priority="8">
      <formula>$Z$4&lt;AA53</formula>
    </cfRule>
  </conditionalFormatting>
  <conditionalFormatting sqref="Z60:Z65">
    <cfRule type="expression" dxfId="23" priority="6">
      <formula>$Z$4&lt;AA60</formula>
    </cfRule>
  </conditionalFormatting>
  <conditionalFormatting sqref="Z67:Z72">
    <cfRule type="expression" dxfId="22" priority="4">
      <formula>$Z$4&lt;AA67</formula>
    </cfRule>
  </conditionalFormatting>
  <conditionalFormatting sqref="Z74:Z79">
    <cfRule type="expression" dxfId="21" priority="2">
      <formula>$Z$4&lt;AA74</formula>
    </cfRule>
  </conditionalFormatting>
  <conditionalFormatting sqref="Z81:Z86">
    <cfRule type="expression" dxfId="20" priority="34">
      <formula>$Z$4&lt;AA81</formula>
    </cfRule>
  </conditionalFormatting>
  <conditionalFormatting sqref="Z88:Z93">
    <cfRule type="expression" dxfId="19" priority="36">
      <formula>$Z$4&lt;AA88</formula>
    </cfRule>
  </conditionalFormatting>
  <conditionalFormatting sqref="Z95:Z100">
    <cfRule type="expression" dxfId="18" priority="32">
      <formula>$Z$4&lt;AA95</formula>
    </cfRule>
  </conditionalFormatting>
  <conditionalFormatting sqref="Z102:Z107">
    <cfRule type="expression" dxfId="17" priority="30">
      <formula>$Z$4&lt;AA102</formula>
    </cfRule>
  </conditionalFormatting>
  <conditionalFormatting sqref="Z109:Z114">
    <cfRule type="expression" dxfId="16" priority="28">
      <formula>$Z$4&lt;AA109</formula>
    </cfRule>
  </conditionalFormatting>
  <conditionalFormatting sqref="Z116:Z121">
    <cfRule type="expression" dxfId="15" priority="60">
      <formula>$Z$4&lt;AA116</formula>
    </cfRule>
  </conditionalFormatting>
  <conditionalFormatting sqref="Z123:Z128">
    <cfRule type="expression" dxfId="14" priority="26">
      <formula>$Z$4&lt;AA123</formula>
    </cfRule>
  </conditionalFormatting>
  <conditionalFormatting sqref="Z130:Z135">
    <cfRule type="expression" dxfId="13" priority="24">
      <formula>$Z$4&lt;AA130</formula>
    </cfRule>
  </conditionalFormatting>
  <conditionalFormatting sqref="Z137:Z142">
    <cfRule type="expression" dxfId="12" priority="58">
      <formula>$Z$4&lt;AA137</formula>
    </cfRule>
  </conditionalFormatting>
  <conditionalFormatting sqref="Z144:Z149">
    <cfRule type="expression" dxfId="11" priority="22">
      <formula>$Z$4&lt;AA144</formula>
    </cfRule>
  </conditionalFormatting>
  <conditionalFormatting sqref="Z151:Z156">
    <cfRule type="expression" dxfId="10" priority="20">
      <formula>$Z$4&lt;AA151</formula>
    </cfRule>
  </conditionalFormatting>
  <conditionalFormatting sqref="Z158:Z163">
    <cfRule type="expression" dxfId="9" priority="56">
      <formula>$Z$4&lt;AA158</formula>
    </cfRule>
  </conditionalFormatting>
  <conditionalFormatting sqref="Z165:Z170">
    <cfRule type="expression" dxfId="8" priority="54">
      <formula>$Z$4&lt;AA165</formula>
    </cfRule>
  </conditionalFormatting>
  <conditionalFormatting sqref="Z172:Z177">
    <cfRule type="expression" dxfId="7" priority="52">
      <formula>$Z$4&lt;AA172</formula>
    </cfRule>
  </conditionalFormatting>
  <conditionalFormatting sqref="Z179:Z184">
    <cfRule type="expression" dxfId="6" priority="50">
      <formula>$Z$4&lt;AA179</formula>
    </cfRule>
  </conditionalFormatting>
  <conditionalFormatting sqref="Z186:Z191">
    <cfRule type="expression" dxfId="5" priority="48">
      <formula>$Z$4&lt;AA186</formula>
    </cfRule>
  </conditionalFormatting>
  <conditionalFormatting sqref="Z193:Z198">
    <cfRule type="expression" dxfId="4" priority="46">
      <formula>$Z$4&lt;AA193</formula>
    </cfRule>
  </conditionalFormatting>
  <conditionalFormatting sqref="Z200:Z205">
    <cfRule type="expression" dxfId="3" priority="44">
      <formula>$Z$4&lt;AA200</formula>
    </cfRule>
  </conditionalFormatting>
  <conditionalFormatting sqref="Z207:Z212">
    <cfRule type="expression" dxfId="2" priority="42">
      <formula>$Z$4&lt;AA207</formula>
    </cfRule>
  </conditionalFormatting>
  <conditionalFormatting sqref="Z214:Z219">
    <cfRule type="expression" dxfId="1" priority="40">
      <formula>$Z$4&lt;AA214</formula>
    </cfRule>
  </conditionalFormatting>
  <conditionalFormatting sqref="Z221:Z226">
    <cfRule type="expression" dxfId="0" priority="38">
      <formula>$Z$4&lt;AA221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Kwan</dc:creator>
  <cp:lastModifiedBy>Felix Kwan</cp:lastModifiedBy>
  <dcterms:created xsi:type="dcterms:W3CDTF">2026-08-04T21:50:38Z</dcterms:created>
  <dcterms:modified xsi:type="dcterms:W3CDTF">2026-08-04T21:50:54Z</dcterms:modified>
</cp:coreProperties>
</file>