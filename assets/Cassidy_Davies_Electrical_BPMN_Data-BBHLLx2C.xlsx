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Directory" sheetId="2" state="visible" r:id="rId2"/>
    <sheet name="Swimlane Reference" sheetId="3" state="visible" r:id="rId3"/>
  </sheets>
  <definedNames>
    <definedName name="_xlnm._FilterDatabase" localSheetId="1" hidden="1">'Job Directory'!$A$4:$K$22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sz val="10"/>
    </font>
    <font>
      <name val="Segoe UI"/>
      <b val="1"/>
      <color rgb="001B365D"/>
      <sz val="14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E9EFF4"/>
        <bgColor rgb="00E9EFF4"/>
      </patternFill>
    </fill>
    <fill>
      <patternFill patternType="solid">
        <fgColor rgb="001B365D"/>
        <bgColor rgb="001B365D"/>
      </patternFill>
    </fill>
    <fill>
      <patternFill patternType="solid">
        <fgColor rgb="00F4F7F9"/>
        <bgColor rgb="00F4F7F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2" pivotButton="0" quotePrefix="0" xfId="0"/>
    <xf numFmtId="164" fontId="3" fillId="0" borderId="2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8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Cassidy-Davies Electrical — Operations &amp; Workflow Dashboard</t>
        </is>
      </c>
    </row>
    <row r="2">
      <c r="A2" s="2" t="inlineStr">
        <is>
          <t>Summary of active jobs, swimlane SLA status, and automated BPMN workflow routing metrics.</t>
        </is>
      </c>
    </row>
    <row r="4">
      <c r="B4" s="3" t="inlineStr">
        <is>
          <t>Total Active Jobs</t>
        </is>
      </c>
      <c r="C4" s="25" t="n"/>
      <c r="E4" s="3" t="inlineStr">
        <is>
          <t>Automated AI Validations</t>
        </is>
      </c>
      <c r="F4" s="25" t="n"/>
    </row>
    <row r="5">
      <c r="B5" s="5">
        <f>COUNTA('Job Directory'!A5:A24)</f>
        <v/>
      </c>
      <c r="C5" s="25" t="n"/>
      <c r="E5" s="5">
        <f>COUNTIF('Job Directory'!F5:F24, "Passed")</f>
        <v/>
      </c>
      <c r="F5" s="25" t="n"/>
    </row>
    <row r="7">
      <c r="B7" s="3" t="inlineStr">
        <is>
          <t>Pending Manual Approval</t>
        </is>
      </c>
      <c r="C7" s="25" t="n"/>
      <c r="E7" s="3" t="inlineStr">
        <is>
          <t>Total Revenue Pipeline</t>
        </is>
      </c>
      <c r="F7" s="25" t="n"/>
    </row>
    <row r="8">
      <c r="B8" s="5">
        <f>COUNTIF('Job Directory'!G5:G24, "Pending")</f>
        <v/>
      </c>
      <c r="C8" s="25" t="n"/>
      <c r="E8" s="6">
        <f>SUM('Job Directory'!I5:I24)</f>
        <v/>
      </c>
      <c r="F8" s="25" t="n"/>
    </row>
    <row r="11">
      <c r="A11" s="7" t="inlineStr">
        <is>
          <t>BPMN Swimlane Performance &amp; Backlog</t>
        </is>
      </c>
    </row>
    <row r="12">
      <c r="A12" s="8" t="inlineStr">
        <is>
          <t>Swimlane Role</t>
        </is>
      </c>
      <c r="B12" s="8" t="inlineStr">
        <is>
          <t>Active Task Count</t>
        </is>
      </c>
      <c r="C12" s="8" t="inlineStr">
        <is>
          <t>Avg Cycle Time (Hrs)</t>
        </is>
      </c>
      <c r="D12" s="8" t="inlineStr">
        <is>
          <t>Target SLA (Hrs)</t>
        </is>
      </c>
      <c r="E12" s="8" t="inlineStr">
        <is>
          <t>SLA Compliance %</t>
        </is>
      </c>
    </row>
    <row r="13">
      <c r="A13" s="9" t="inlineStr">
        <is>
          <t>1. Client / Portal</t>
        </is>
      </c>
      <c r="B13" s="10">
        <f>COUNTIF('Job Directory'!E5:E24, "1. Client / Portal")</f>
        <v/>
      </c>
      <c r="C13" s="11" t="n">
        <v>1.5</v>
      </c>
      <c r="D13" s="11" t="n">
        <v>2</v>
      </c>
      <c r="E13" s="12">
        <f>1-(C13/D13-1)</f>
        <v/>
      </c>
    </row>
    <row r="14">
      <c r="A14" s="9" t="inlineStr">
        <is>
          <t>2. Service Coordinator</t>
        </is>
      </c>
      <c r="B14" s="10">
        <f>COUNTIF('Job Directory'!E5:E24, "2. Service Coordinator")</f>
        <v/>
      </c>
      <c r="C14" s="11" t="n">
        <v>4.2</v>
      </c>
      <c r="D14" s="11" t="n">
        <v>4</v>
      </c>
      <c r="E14" s="12">
        <f>1-(C14/D14-1)</f>
        <v/>
      </c>
    </row>
    <row r="15">
      <c r="A15" s="9" t="inlineStr">
        <is>
          <t>3. Central Knowledge Repository</t>
        </is>
      </c>
      <c r="B15" s="10">
        <f>COUNTIF('Job Directory'!E5:E24, "3. Central Knowledge Repository")</f>
        <v/>
      </c>
      <c r="C15" s="11" t="n">
        <v>0.1</v>
      </c>
      <c r="D15" s="11" t="n">
        <v>0.5</v>
      </c>
      <c r="E15" s="12" t="n">
        <v>1</v>
      </c>
    </row>
    <row r="16">
      <c r="A16" s="9" t="inlineStr">
        <is>
          <t>4. AI Validation Layer</t>
        </is>
      </c>
      <c r="B16" s="10">
        <f>COUNTIF('Job Directory'!E5:E24, "4. AI Validation Layer")</f>
        <v/>
      </c>
      <c r="C16" s="11" t="n">
        <v>0.2</v>
      </c>
      <c r="D16" s="11" t="n">
        <v>0.5</v>
      </c>
      <c r="E16" s="12" t="n">
        <v>1</v>
      </c>
    </row>
    <row r="17">
      <c r="A17" s="9" t="inlineStr">
        <is>
          <t>5. Electrical Technician</t>
        </is>
      </c>
      <c r="B17" s="10">
        <f>COUNTIF('Job Directory'!E5:E24, "5. Electrical Technician")</f>
        <v/>
      </c>
      <c r="C17" s="11" t="n">
        <v>18.5</v>
      </c>
      <c r="D17" s="11" t="n">
        <v>24</v>
      </c>
      <c r="E17" s="12" t="n">
        <v>0.95</v>
      </c>
    </row>
    <row r="18">
      <c r="A18" s="9" t="inlineStr">
        <is>
          <t>6. Accounts &amp; Billing</t>
        </is>
      </c>
      <c r="B18" s="10">
        <f>COUNTIF('Job Directory'!E5:E24, "6. Accounts &amp; Billing")</f>
        <v/>
      </c>
      <c r="C18" s="11" t="n">
        <v>8</v>
      </c>
      <c r="D18" s="11" t="n">
        <v>12</v>
      </c>
      <c r="E18" s="12" t="n">
        <v>0.92</v>
      </c>
    </row>
    <row r="19">
      <c r="A19" s="13" t="inlineStr">
        <is>
          <t>Total / Average</t>
        </is>
      </c>
      <c r="B19" s="13">
        <f>SUM(B13:B18)</f>
        <v/>
      </c>
      <c r="C19" s="14">
        <f>AVERAGE(C13:C18)</f>
        <v/>
      </c>
      <c r="D19" s="14">
        <f>AVERAGE(D13:D18)</f>
        <v/>
      </c>
      <c r="E19" s="15">
        <f>AVERAGE(E13:E18)</f>
        <v/>
      </c>
    </row>
  </sheetData>
  <mergeCells count="10">
    <mergeCell ref="E4:F4"/>
    <mergeCell ref="A1:G1"/>
    <mergeCell ref="B7:C7"/>
    <mergeCell ref="E7:F7"/>
    <mergeCell ref="B5:C5"/>
    <mergeCell ref="E8:F8"/>
    <mergeCell ref="E5:F5"/>
    <mergeCell ref="A2:G2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0" customWidth="1" min="3" max="3"/>
    <col width="37" customWidth="1" min="4" max="4"/>
    <col width="17" customWidth="1" min="5" max="5"/>
    <col width="35" customWidth="1" min="6" max="6"/>
    <col width="19" customWidth="1" min="7" max="7"/>
    <col width="19" customWidth="1" min="8" max="8"/>
    <col width="17" customWidth="1" min="9" max="9"/>
    <col width="18" customWidth="1" min="10" max="10"/>
    <col width="19" customWidth="1" min="11" max="11"/>
  </cols>
  <sheetData>
    <row r="1">
      <c r="A1" s="1" t="inlineStr">
        <is>
          <t>Cassidy-Davies Electrical — Active Job Log</t>
        </is>
      </c>
    </row>
    <row r="2">
      <c r="A2" s="2" t="inlineStr">
        <is>
          <t>Commercial, Residential &amp; Home Ventilation jobs across 6 BPMN swimlanes</t>
        </is>
      </c>
    </row>
    <row r="4">
      <c r="A4" s="8" t="inlineStr">
        <is>
          <t>Job ID</t>
        </is>
      </c>
      <c r="B4" s="8" t="inlineStr">
        <is>
          <t>Client Name</t>
        </is>
      </c>
      <c r="C4" s="8" t="inlineStr">
        <is>
          <t>Service Type</t>
        </is>
      </c>
      <c r="D4" s="8" t="inlineStr">
        <is>
          <t>Job Category</t>
        </is>
      </c>
      <c r="E4" s="8" t="inlineStr">
        <is>
          <t>Creation Date</t>
        </is>
      </c>
      <c r="F4" s="8" t="inlineStr">
        <is>
          <t>Current Swimlane</t>
        </is>
      </c>
      <c r="G4" s="8" t="inlineStr">
        <is>
          <t>AI Check Status</t>
        </is>
      </c>
      <c r="H4" s="8" t="inlineStr">
        <is>
          <t>Approval Status</t>
        </is>
      </c>
      <c r="I4" s="8" t="inlineStr">
        <is>
          <t>Assigned Tech</t>
        </is>
      </c>
      <c r="J4" s="8" t="inlineStr">
        <is>
          <t>Est. Value ($)</t>
        </is>
      </c>
      <c r="K4" s="8" t="inlineStr">
        <is>
          <t>BPMN Process ID</t>
        </is>
      </c>
    </row>
    <row r="5">
      <c r="A5" s="16" t="inlineStr">
        <is>
          <t>CDE-2026-001</t>
        </is>
      </c>
      <c r="B5" s="9" t="inlineStr">
        <is>
          <t>Riccarton Business Park</t>
        </is>
      </c>
      <c r="C5" s="16" t="inlineStr">
        <is>
          <t>Commercial</t>
        </is>
      </c>
      <c r="D5" s="9" t="inlineStr">
        <is>
          <t>3-Phase Power Distribution</t>
        </is>
      </c>
      <c r="E5" s="16" t="inlineStr">
        <is>
          <t>2026-07-10</t>
        </is>
      </c>
      <c r="F5" s="9" t="inlineStr">
        <is>
          <t>5. Electrical Technician</t>
        </is>
      </c>
      <c r="G5" s="16" t="inlineStr">
        <is>
          <t>Passed</t>
        </is>
      </c>
      <c r="H5" s="16" t="inlineStr">
        <is>
          <t>Approved</t>
        </is>
      </c>
      <c r="I5" s="9" t="inlineStr">
        <is>
          <t>Mark Stevens</t>
        </is>
      </c>
      <c r="J5" s="17" t="n">
        <v>8200</v>
      </c>
      <c r="K5" s="16" t="inlineStr">
        <is>
          <t>PROC_COM_01</t>
        </is>
      </c>
    </row>
    <row r="6">
      <c r="A6" s="18" t="inlineStr">
        <is>
          <t>CDE-2026-002</t>
        </is>
      </c>
      <c r="B6" s="19" t="inlineStr">
        <is>
          <t>Riccarton Business Park</t>
        </is>
      </c>
      <c r="C6" s="18" t="inlineStr">
        <is>
          <t>Commercial</t>
        </is>
      </c>
      <c r="D6" s="19" t="inlineStr">
        <is>
          <t>Switchboard Upgrade</t>
        </is>
      </c>
      <c r="E6" s="18" t="inlineStr">
        <is>
          <t>2026-07-22</t>
        </is>
      </c>
      <c r="F6" s="19" t="inlineStr">
        <is>
          <t>2. Service Coordinator</t>
        </is>
      </c>
      <c r="G6" s="18" t="inlineStr">
        <is>
          <t>Passed</t>
        </is>
      </c>
      <c r="H6" s="18" t="inlineStr">
        <is>
          <t>Pending</t>
        </is>
      </c>
      <c r="I6" s="19" t="inlineStr">
        <is>
          <t>Sarah Jenkins</t>
        </is>
      </c>
      <c r="J6" s="20" t="n">
        <v>6400</v>
      </c>
      <c r="K6" s="18" t="inlineStr">
        <is>
          <t>PROC_COM_02</t>
        </is>
      </c>
    </row>
    <row r="7">
      <c r="A7" s="16" t="inlineStr">
        <is>
          <t>CDE-2026-003</t>
        </is>
      </c>
      <c r="B7" s="9" t="inlineStr">
        <is>
          <t>Papanui Auto Workshop</t>
        </is>
      </c>
      <c r="C7" s="16" t="inlineStr">
        <is>
          <t>Commercial</t>
        </is>
      </c>
      <c r="D7" s="9" t="inlineStr">
        <is>
          <t>Motor Control Centre Repair</t>
        </is>
      </c>
      <c r="E7" s="16" t="inlineStr">
        <is>
          <t>2026-07-08</t>
        </is>
      </c>
      <c r="F7" s="9" t="inlineStr">
        <is>
          <t>6. Accounts &amp; Billing</t>
        </is>
      </c>
      <c r="G7" s="16" t="inlineStr">
        <is>
          <t>Passed</t>
        </is>
      </c>
      <c r="H7" s="16" t="inlineStr">
        <is>
          <t>Approved</t>
        </is>
      </c>
      <c r="I7" s="9" t="inlineStr">
        <is>
          <t>Mark Stevens</t>
        </is>
      </c>
      <c r="J7" s="17" t="n">
        <v>11200</v>
      </c>
      <c r="K7" s="16" t="inlineStr">
        <is>
          <t>PROC_COM_01</t>
        </is>
      </c>
    </row>
    <row r="8">
      <c r="A8" s="18" t="inlineStr">
        <is>
          <t>CDE-2026-004</t>
        </is>
      </c>
      <c r="B8" s="19" t="inlineStr">
        <is>
          <t>Papanui Auto Workshop</t>
        </is>
      </c>
      <c r="C8" s="18" t="inlineStr">
        <is>
          <t>Commercial</t>
        </is>
      </c>
      <c r="D8" s="19" t="inlineStr">
        <is>
          <t>Compliance Certification</t>
        </is>
      </c>
      <c r="E8" s="18" t="inlineStr">
        <is>
          <t>2026-07-25</t>
        </is>
      </c>
      <c r="F8" s="19" t="inlineStr">
        <is>
          <t>4. AI Validation Layer</t>
        </is>
      </c>
      <c r="G8" s="18" t="inlineStr">
        <is>
          <t>Flagged</t>
        </is>
      </c>
      <c r="H8" s="18" t="inlineStr">
        <is>
          <t>Pending</t>
        </is>
      </c>
      <c r="I8" s="19" t="inlineStr">
        <is>
          <t>Unassigned</t>
        </is>
      </c>
      <c r="J8" s="20" t="n">
        <v>3100</v>
      </c>
      <c r="K8" s="18" t="inlineStr">
        <is>
          <t>PROC_COM_03</t>
        </is>
      </c>
    </row>
    <row r="9">
      <c r="A9" s="16" t="inlineStr">
        <is>
          <t>CDE-2026-005</t>
        </is>
      </c>
      <c r="B9" s="9" t="inlineStr">
        <is>
          <t>Addington Cold Stores</t>
        </is>
      </c>
      <c r="C9" s="16" t="inlineStr">
        <is>
          <t>Commercial</t>
        </is>
      </c>
      <c r="D9" s="9" t="inlineStr">
        <is>
          <t>Refrigeration Wiring</t>
        </is>
      </c>
      <c r="E9" s="16" t="inlineStr">
        <is>
          <t>2026-07-15</t>
        </is>
      </c>
      <c r="F9" s="9" t="inlineStr">
        <is>
          <t>5. Electrical Technician</t>
        </is>
      </c>
      <c r="G9" s="16" t="inlineStr">
        <is>
          <t>Passed</t>
        </is>
      </c>
      <c r="H9" s="16" t="inlineStr">
        <is>
          <t>Approved</t>
        </is>
      </c>
      <c r="I9" s="9" t="inlineStr">
        <is>
          <t>Dave Wilson</t>
        </is>
      </c>
      <c r="J9" s="17" t="n">
        <v>5400</v>
      </c>
      <c r="K9" s="16" t="inlineStr">
        <is>
          <t>PROC_COM_01</t>
        </is>
      </c>
    </row>
    <row r="10">
      <c r="A10" s="18" t="inlineStr">
        <is>
          <t>CDE-2026-006</t>
        </is>
      </c>
      <c r="B10" s="19" t="inlineStr">
        <is>
          <t>Addington Cold Stores</t>
        </is>
      </c>
      <c r="C10" s="18" t="inlineStr">
        <is>
          <t>Commercial</t>
        </is>
      </c>
      <c r="D10" s="19" t="inlineStr">
        <is>
          <t>Emergency Lighting Maintenance</t>
        </is>
      </c>
      <c r="E10" s="18" t="inlineStr">
        <is>
          <t>2026-07-27</t>
        </is>
      </c>
      <c r="F10" s="19" t="inlineStr">
        <is>
          <t>1. Client / Portal</t>
        </is>
      </c>
      <c r="G10" s="18" t="inlineStr">
        <is>
          <t>Passed</t>
        </is>
      </c>
      <c r="H10" s="18" t="inlineStr">
        <is>
          <t>Pending</t>
        </is>
      </c>
      <c r="I10" s="19" t="inlineStr">
        <is>
          <t>Unassigned</t>
        </is>
      </c>
      <c r="J10" s="20" t="n">
        <v>850</v>
      </c>
      <c r="K10" s="18" t="inlineStr">
        <is>
          <t>PROC_COM_02</t>
        </is>
      </c>
    </row>
    <row r="11">
      <c r="A11" s="16" t="inlineStr">
        <is>
          <t>CDE-2026-007</t>
        </is>
      </c>
      <c r="B11" s="9" t="inlineStr">
        <is>
          <t>Aidan &amp; Grace Family Home</t>
        </is>
      </c>
      <c r="C11" s="16" t="inlineStr">
        <is>
          <t>Residential</t>
        </is>
      </c>
      <c r="D11" s="9" t="inlineStr">
        <is>
          <t>Full House Rewire</t>
        </is>
      </c>
      <c r="E11" s="16" t="inlineStr">
        <is>
          <t>2026-07-05</t>
        </is>
      </c>
      <c r="F11" s="9" t="inlineStr">
        <is>
          <t>5. Electrical Technician</t>
        </is>
      </c>
      <c r="G11" s="16" t="inlineStr">
        <is>
          <t>Passed</t>
        </is>
      </c>
      <c r="H11" s="16" t="inlineStr">
        <is>
          <t>Approved</t>
        </is>
      </c>
      <c r="I11" s="9" t="inlineStr">
        <is>
          <t>Mark Stevens</t>
        </is>
      </c>
      <c r="J11" s="17" t="n">
        <v>15400</v>
      </c>
      <c r="K11" s="16" t="inlineStr">
        <is>
          <t>PROC_RES_01</t>
        </is>
      </c>
    </row>
    <row r="12">
      <c r="A12" s="18" t="inlineStr">
        <is>
          <t>CDE-2026-008</t>
        </is>
      </c>
      <c r="B12" s="19" t="inlineStr">
        <is>
          <t>Aidan &amp; Grace Family Home</t>
        </is>
      </c>
      <c r="C12" s="18" t="inlineStr">
        <is>
          <t>Residential</t>
        </is>
      </c>
      <c r="D12" s="19" t="inlineStr">
        <is>
          <t>Switchboard Safety Upgrade</t>
        </is>
      </c>
      <c r="E12" s="18" t="inlineStr">
        <is>
          <t>2026-07-19</t>
        </is>
      </c>
      <c r="F12" s="19" t="inlineStr">
        <is>
          <t>6. Accounts &amp; Billing</t>
        </is>
      </c>
      <c r="G12" s="18" t="inlineStr">
        <is>
          <t>Passed</t>
        </is>
      </c>
      <c r="H12" s="18" t="inlineStr">
        <is>
          <t>Approved</t>
        </is>
      </c>
      <c r="I12" s="19" t="inlineStr">
        <is>
          <t>Mark Stevens</t>
        </is>
      </c>
      <c r="J12" s="20" t="n">
        <v>2150</v>
      </c>
      <c r="K12" s="18" t="inlineStr">
        <is>
          <t>PROC_RES_02</t>
        </is>
      </c>
    </row>
    <row r="13">
      <c r="A13" s="16" t="inlineStr">
        <is>
          <t>CDE-2026-009</t>
        </is>
      </c>
      <c r="B13" s="9" t="inlineStr">
        <is>
          <t>Halswell Family Home</t>
        </is>
      </c>
      <c r="C13" s="16" t="inlineStr">
        <is>
          <t>Residential</t>
        </is>
      </c>
      <c r="D13" s="9" t="inlineStr">
        <is>
          <t>EV Charger Installation</t>
        </is>
      </c>
      <c r="E13" s="16" t="inlineStr">
        <is>
          <t>2026-07-12</t>
        </is>
      </c>
      <c r="F13" s="9" t="inlineStr">
        <is>
          <t>2. Service Coordinator</t>
        </is>
      </c>
      <c r="G13" s="16" t="inlineStr">
        <is>
          <t>Passed</t>
        </is>
      </c>
      <c r="H13" s="16" t="inlineStr">
        <is>
          <t>Pending</t>
        </is>
      </c>
      <c r="I13" s="9" t="inlineStr">
        <is>
          <t>Sarah Jenkins</t>
        </is>
      </c>
      <c r="J13" s="17" t="n">
        <v>3900</v>
      </c>
      <c r="K13" s="16" t="inlineStr">
        <is>
          <t>PROC_RES_01</t>
        </is>
      </c>
    </row>
    <row r="14">
      <c r="A14" s="18" t="inlineStr">
        <is>
          <t>CDE-2026-010</t>
        </is>
      </c>
      <c r="B14" s="19" t="inlineStr">
        <is>
          <t>Halswell Family Home</t>
        </is>
      </c>
      <c r="C14" s="18" t="inlineStr">
        <is>
          <t>Residential</t>
        </is>
      </c>
      <c r="D14" s="19" t="inlineStr">
        <is>
          <t>Smart Lighting Setup</t>
        </is>
      </c>
      <c r="E14" s="18" t="inlineStr">
        <is>
          <t>2026-07-24</t>
        </is>
      </c>
      <c r="F14" s="19" t="inlineStr">
        <is>
          <t>3. Central Knowledge Repository</t>
        </is>
      </c>
      <c r="G14" s="18" t="inlineStr">
        <is>
          <t>Passed</t>
        </is>
      </c>
      <c r="H14" s="18" t="inlineStr">
        <is>
          <t>Approved</t>
        </is>
      </c>
      <c r="I14" s="19" t="inlineStr">
        <is>
          <t>Sarah Jenkins</t>
        </is>
      </c>
      <c r="J14" s="20" t="n">
        <v>2750</v>
      </c>
      <c r="K14" s="18" t="inlineStr">
        <is>
          <t>PROC_RES_02</t>
        </is>
      </c>
    </row>
    <row r="15">
      <c r="A15" s="16" t="inlineStr">
        <is>
          <t>CDE-2026-011</t>
        </is>
      </c>
      <c r="B15" s="9" t="inlineStr">
        <is>
          <t>Merivale Residence</t>
        </is>
      </c>
      <c r="C15" s="16" t="inlineStr">
        <is>
          <t>Residential</t>
        </is>
      </c>
      <c r="D15" s="9" t="inlineStr">
        <is>
          <t>Solar Panel Wiring</t>
        </is>
      </c>
      <c r="E15" s="16" t="inlineStr">
        <is>
          <t>2026-07-09</t>
        </is>
      </c>
      <c r="F15" s="9" t="inlineStr">
        <is>
          <t>4. AI Validation Layer</t>
        </is>
      </c>
      <c r="G15" s="16" t="inlineStr">
        <is>
          <t>Flagged</t>
        </is>
      </c>
      <c r="H15" s="16" t="inlineStr">
        <is>
          <t>Pending</t>
        </is>
      </c>
      <c r="I15" s="9" t="inlineStr">
        <is>
          <t>Unassigned</t>
        </is>
      </c>
      <c r="J15" s="17" t="n">
        <v>8900</v>
      </c>
      <c r="K15" s="16" t="inlineStr">
        <is>
          <t>PROC_RES_01</t>
        </is>
      </c>
    </row>
    <row r="16">
      <c r="A16" s="18" t="inlineStr">
        <is>
          <t>CDE-2026-012</t>
        </is>
      </c>
      <c r="B16" s="19" t="inlineStr">
        <is>
          <t>Merivale Residence</t>
        </is>
      </c>
      <c r="C16" s="18" t="inlineStr">
        <is>
          <t>Residential</t>
        </is>
      </c>
      <c r="D16" s="19" t="inlineStr">
        <is>
          <t>Outdoor Security Lighting</t>
        </is>
      </c>
      <c r="E16" s="18" t="inlineStr">
        <is>
          <t>2026-07-26</t>
        </is>
      </c>
      <c r="F16" s="19" t="inlineStr">
        <is>
          <t>5. Electrical Technician</t>
        </is>
      </c>
      <c r="G16" s="18" t="inlineStr">
        <is>
          <t>Passed</t>
        </is>
      </c>
      <c r="H16" s="18" t="inlineStr">
        <is>
          <t>Approved</t>
        </is>
      </c>
      <c r="I16" s="19" t="inlineStr">
        <is>
          <t>Dave Wilson</t>
        </is>
      </c>
      <c r="J16" s="20" t="n">
        <v>1850</v>
      </c>
      <c r="K16" s="18" t="inlineStr">
        <is>
          <t>PROC_RES_02</t>
        </is>
      </c>
    </row>
    <row r="17">
      <c r="A17" s="16" t="inlineStr">
        <is>
          <t>CDE-2026-013</t>
        </is>
      </c>
      <c r="B17" s="9" t="inlineStr">
        <is>
          <t>Cashmere Residence</t>
        </is>
      </c>
      <c r="C17" s="16" t="inlineStr">
        <is>
          <t>Home Ventilation</t>
        </is>
      </c>
      <c r="D17" s="9" t="inlineStr">
        <is>
          <t>Heat Pump Installation</t>
        </is>
      </c>
      <c r="E17" s="16" t="inlineStr">
        <is>
          <t>2026-07-11</t>
        </is>
      </c>
      <c r="F17" s="9" t="inlineStr">
        <is>
          <t>5. Electrical Technician</t>
        </is>
      </c>
      <c r="G17" s="16" t="inlineStr">
        <is>
          <t>Passed</t>
        </is>
      </c>
      <c r="H17" s="16" t="inlineStr">
        <is>
          <t>Approved</t>
        </is>
      </c>
      <c r="I17" s="9" t="inlineStr">
        <is>
          <t>Dave Wilson</t>
        </is>
      </c>
      <c r="J17" s="17" t="n">
        <v>4600</v>
      </c>
      <c r="K17" s="16" t="inlineStr">
        <is>
          <t>PROC_VEN_01</t>
        </is>
      </c>
    </row>
    <row r="18">
      <c r="A18" s="18" t="inlineStr">
        <is>
          <t>CDE-2026-014</t>
        </is>
      </c>
      <c r="B18" s="19" t="inlineStr">
        <is>
          <t>Cashmere Residence</t>
        </is>
      </c>
      <c r="C18" s="18" t="inlineStr">
        <is>
          <t>Home Ventilation</t>
        </is>
      </c>
      <c r="D18" s="19" t="inlineStr">
        <is>
          <t>Ventilation System Service</t>
        </is>
      </c>
      <c r="E18" s="18" t="inlineStr">
        <is>
          <t>2026-07-23</t>
        </is>
      </c>
      <c r="F18" s="19" t="inlineStr">
        <is>
          <t>1. Client / Portal</t>
        </is>
      </c>
      <c r="G18" s="18" t="inlineStr">
        <is>
          <t>Passed</t>
        </is>
      </c>
      <c r="H18" s="18" t="inlineStr">
        <is>
          <t>Pending</t>
        </is>
      </c>
      <c r="I18" s="19" t="inlineStr">
        <is>
          <t>Unassigned</t>
        </is>
      </c>
      <c r="J18" s="20" t="n">
        <v>1250</v>
      </c>
      <c r="K18" s="18" t="inlineStr">
        <is>
          <t>PROC_VEN_02</t>
        </is>
      </c>
    </row>
    <row r="19">
      <c r="A19" s="16" t="inlineStr">
        <is>
          <t>CDE-2026-015</t>
        </is>
      </c>
      <c r="B19" s="9" t="inlineStr">
        <is>
          <t>Hornby Residence</t>
        </is>
      </c>
      <c r="C19" s="16" t="inlineStr">
        <is>
          <t>Home Ventilation</t>
        </is>
      </c>
      <c r="D19" s="9" t="inlineStr">
        <is>
          <t>Whole-Home Ventilation System</t>
        </is>
      </c>
      <c r="E19" s="16" t="inlineStr">
        <is>
          <t>2026-07-14</t>
        </is>
      </c>
      <c r="F19" s="9" t="inlineStr">
        <is>
          <t>2. Service Coordinator</t>
        </is>
      </c>
      <c r="G19" s="16" t="inlineStr">
        <is>
          <t>Passed</t>
        </is>
      </c>
      <c r="H19" s="16" t="inlineStr">
        <is>
          <t>Pending</t>
        </is>
      </c>
      <c r="I19" s="9" t="inlineStr">
        <is>
          <t>Sarah Jenkins</t>
        </is>
      </c>
      <c r="J19" s="17" t="n">
        <v>7300</v>
      </c>
      <c r="K19" s="16" t="inlineStr">
        <is>
          <t>PROC_VEN_01</t>
        </is>
      </c>
    </row>
    <row r="20">
      <c r="A20" s="18" t="inlineStr">
        <is>
          <t>CDE-2026-016</t>
        </is>
      </c>
      <c r="B20" s="19" t="inlineStr">
        <is>
          <t>Hornby Residence</t>
        </is>
      </c>
      <c r="C20" s="18" t="inlineStr">
        <is>
          <t>Home Ventilation</t>
        </is>
      </c>
      <c r="D20" s="19" t="inlineStr">
        <is>
          <t>Bathroom Extraction Fan Upgrade</t>
        </is>
      </c>
      <c r="E20" s="18" t="inlineStr">
        <is>
          <t>2026-07-28</t>
        </is>
      </c>
      <c r="F20" s="19" t="inlineStr">
        <is>
          <t>6. Accounts &amp; Billing</t>
        </is>
      </c>
      <c r="G20" s="18" t="inlineStr">
        <is>
          <t>Passed</t>
        </is>
      </c>
      <c r="H20" s="18" t="inlineStr">
        <is>
          <t>Approved</t>
        </is>
      </c>
      <c r="I20" s="19" t="inlineStr">
        <is>
          <t>Mark Stevens</t>
        </is>
      </c>
      <c r="J20" s="20" t="n">
        <v>950</v>
      </c>
      <c r="K20" s="18" t="inlineStr">
        <is>
          <t>PROC_VEN_02</t>
        </is>
      </c>
    </row>
    <row r="21">
      <c r="A21" s="16" t="inlineStr">
        <is>
          <t>CDE-2026-017</t>
        </is>
      </c>
      <c r="B21" s="9" t="inlineStr">
        <is>
          <t>Burnside Home</t>
        </is>
      </c>
      <c r="C21" s="16" t="inlineStr">
        <is>
          <t>Home Ventilation</t>
        </is>
      </c>
      <c r="D21" s="9" t="inlineStr">
        <is>
          <t>Heat Recovery Ventilation Install</t>
        </is>
      </c>
      <c r="E21" s="16" t="inlineStr">
        <is>
          <t>2026-07-13</t>
        </is>
      </c>
      <c r="F21" s="9" t="inlineStr">
        <is>
          <t>5. Electrical Technician</t>
        </is>
      </c>
      <c r="G21" s="16" t="inlineStr">
        <is>
          <t>Passed</t>
        </is>
      </c>
      <c r="H21" s="16" t="inlineStr">
        <is>
          <t>Approved</t>
        </is>
      </c>
      <c r="I21" s="9" t="inlineStr">
        <is>
          <t>Dave Wilson</t>
        </is>
      </c>
      <c r="J21" s="17" t="n">
        <v>6100</v>
      </c>
      <c r="K21" s="16" t="inlineStr">
        <is>
          <t>PROC_VEN_01</t>
        </is>
      </c>
    </row>
    <row r="22">
      <c r="A22" s="18" t="inlineStr">
        <is>
          <t>CDE-2026-018</t>
        </is>
      </c>
      <c r="B22" s="19" t="inlineStr">
        <is>
          <t>Burnside Home</t>
        </is>
      </c>
      <c r="C22" s="18" t="inlineStr">
        <is>
          <t>Home Ventilation</t>
        </is>
      </c>
      <c r="D22" s="19" t="inlineStr">
        <is>
          <t>Ducted Ventilation Maintenance</t>
        </is>
      </c>
      <c r="E22" s="18" t="inlineStr">
        <is>
          <t>2026-07-29</t>
        </is>
      </c>
      <c r="F22" s="19" t="inlineStr">
        <is>
          <t>4. AI Validation Layer</t>
        </is>
      </c>
      <c r="G22" s="18" t="inlineStr">
        <is>
          <t>Passed</t>
        </is>
      </c>
      <c r="H22" s="18" t="inlineStr">
        <is>
          <t>Pending</t>
        </is>
      </c>
      <c r="I22" s="19" t="inlineStr">
        <is>
          <t>Unassigned</t>
        </is>
      </c>
      <c r="J22" s="20" t="n">
        <v>1600</v>
      </c>
      <c r="K22" s="18" t="inlineStr">
        <is>
          <t>PROC_VEN_02</t>
        </is>
      </c>
    </row>
    <row r="23">
      <c r="A23" s="13" t="inlineStr">
        <is>
          <t>Total Pipeline Value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2">
        <f>SUM(J5:J22)</f>
        <v/>
      </c>
      <c r="K23" s="21" t="n"/>
    </row>
  </sheetData>
  <autoFilter ref="A4:K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50" customWidth="1" min="4" max="4"/>
    <col width="32" customWidth="1" min="5" max="5"/>
  </cols>
  <sheetData>
    <row r="1">
      <c r="A1" s="1" t="inlineStr">
        <is>
          <t>Camunda BPMN 2.0 Swimlane Mapping — Cassidy-Davies Electrical</t>
        </is>
      </c>
    </row>
    <row r="2">
      <c r="A2" s="2" t="inlineStr">
        <is>
          <t>Reference framework for automated workflows, repositories, and human task layers.</t>
        </is>
      </c>
    </row>
    <row r="4">
      <c r="A4" s="8" t="inlineStr">
        <is>
          <t>Swimlane #</t>
        </is>
      </c>
      <c r="B4" s="8" t="inlineStr">
        <is>
          <t>Role / System Name</t>
        </is>
      </c>
      <c r="C4" s="8" t="inlineStr">
        <is>
          <t>BPMN Element Type</t>
        </is>
      </c>
      <c r="D4" s="8" t="inlineStr">
        <is>
          <t>Primary Responsibilities</t>
        </is>
      </c>
      <c r="E4" s="8" t="inlineStr">
        <is>
          <t>System Integration Point</t>
        </is>
      </c>
    </row>
    <row r="5">
      <c r="A5" s="16" t="n">
        <v>1</v>
      </c>
      <c r="B5" s="9" t="inlineStr">
        <is>
          <t>Client / Portal</t>
        </is>
      </c>
      <c r="C5" s="9" t="inlineStr">
        <is>
          <t>Start Event / Customer Pool</t>
        </is>
      </c>
      <c r="D5" s="23" t="inlineStr">
        <is>
          <t>Submits job requests, views real-time status updates, approves quotes, and receives final invoices.</t>
        </is>
      </c>
      <c r="E5" s="9" t="inlineStr">
        <is>
          <t>Web Portal / Mobile App</t>
        </is>
      </c>
    </row>
    <row r="6">
      <c r="A6" s="18" t="n">
        <v>2</v>
      </c>
      <c r="B6" s="19" t="inlineStr">
        <is>
          <t>Service Coordinator</t>
        </is>
      </c>
      <c r="C6" s="19" t="inlineStr">
        <is>
          <t>User Task / Manual Gateway</t>
        </is>
      </c>
      <c r="D6" s="24" t="inlineStr">
        <is>
          <t>Reviews incoming service requests, verifies schedule availability, and dispatches field technicians.</t>
        </is>
      </c>
      <c r="E6" s="19" t="inlineStr">
        <is>
          <t>Job Management System</t>
        </is>
      </c>
    </row>
    <row r="7">
      <c r="A7" s="16" t="n">
        <v>3</v>
      </c>
      <c r="B7" s="9" t="inlineStr">
        <is>
          <t>Central Knowledge Repository</t>
        </is>
      </c>
      <c r="C7" s="9" t="inlineStr">
        <is>
          <t>Data Store / Service Task</t>
        </is>
      </c>
      <c r="D7" s="23" t="inlineStr">
        <is>
          <t>Stores equipment specs, compliance checklists, site history, and technical schematics.</t>
        </is>
      </c>
      <c r="E7" s="9" t="inlineStr">
        <is>
          <t>Central Database / Cloud Docs</t>
        </is>
      </c>
    </row>
    <row r="8">
      <c r="A8" s="18" t="n">
        <v>4</v>
      </c>
      <c r="B8" s="19" t="inlineStr">
        <is>
          <t>AI Validation Layer</t>
        </is>
      </c>
      <c r="C8" s="19" t="inlineStr">
        <is>
          <t>Service Task / Decision Table (DMN)</t>
        </is>
      </c>
      <c r="D8" s="24" t="inlineStr">
        <is>
          <t>Automates job pre-validation, verifies regulatory compliance rules, and checks technician availability.</t>
        </is>
      </c>
      <c r="E8" s="19" t="inlineStr">
        <is>
          <t>Camunda AI Engine / DMN Rules</t>
        </is>
      </c>
    </row>
    <row r="9">
      <c r="A9" s="16" t="n">
        <v>5</v>
      </c>
      <c r="B9" s="9" t="inlineStr">
        <is>
          <t>Electrical Technician</t>
        </is>
      </c>
      <c r="C9" s="9" t="inlineStr">
        <is>
          <t>User Task / Sub-Process</t>
        </is>
      </c>
      <c r="D9" s="23" t="inlineStr">
        <is>
          <t>Performed on-site electrical work, logs safety checks, records parts used, and captures client sign-off.</t>
        </is>
      </c>
      <c r="E9" s="9" t="inlineStr">
        <is>
          <t>Field Tech Mobile App</t>
        </is>
      </c>
    </row>
    <row r="10">
      <c r="A10" s="18" t="n">
        <v>6</v>
      </c>
      <c r="B10" s="19" t="inlineStr">
        <is>
          <t>Accounts &amp; Billing</t>
        </is>
      </c>
      <c r="C10" s="19" t="inlineStr">
        <is>
          <t>User Task / Service Task</t>
        </is>
      </c>
      <c r="D10" s="24" t="inlineStr">
        <is>
          <t>Generates job invoices, validates billable hours, processes payments, and syncs accounting ledgers.</t>
        </is>
      </c>
      <c r="E10" s="19" t="inlineStr">
        <is>
          <t>Xero / MYOB API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2026-07-29T22:05:09Z</dcterms:created>
  <dcterms:modified xsi:type="dcterms:W3CDTF">2026-07-29T23:41:05Z</dcterms:modified>
</cp:coreProperties>
</file>