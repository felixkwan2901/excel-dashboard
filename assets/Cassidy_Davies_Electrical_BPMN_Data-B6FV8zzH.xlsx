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Sheet" sheetId="1" r:id="rId1"/>
    <sheet name="Deliverables Sheet" sheetId="2" r:id="rId2"/>
    <sheet name="Claim Calculator By Month" sheetId="3" r:id="rId3"/>
    <sheet name="Upcoming Work Calculator" sheetId="4" r:id="rId4"/>
    <sheet name="Note Cam (To Do)" sheetId="5" r:id="rId5"/>
    <sheet name="Note Tom (To Do) " sheetId="6" r:id="rId6"/>
    <sheet name="Deliverables_RR_Test_Sheet (2)" sheetId="7" r:id="rId7"/>
    <sheet name="Sheet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7"/>
  <sheetViews>
    <sheetView workbookViewId="0" rightToLeft="0"/>
  </sheetViews>
  <sheetData>
    <row r="1">
      <c r="A1" t="str">
        <v xml:space="preserve">                        Updated Job Spreadsheet</v>
      </c>
    </row>
    <row r="2" xml:space="preserve">
      <c r="A2" t="str" xml:space="preserve">
        <v xml:space="preserve">Job
Number</v>
      </c>
      <c r="B2" t="str" xml:space="preserve">
        <v xml:space="preserve">Job
Name</v>
      </c>
      <c r="C2" t="str" xml:space="preserve">
        <v xml:space="preserve">Job
Owner</v>
      </c>
      <c r="D2" t="str" xml:space="preserve">
        <v xml:space="preserve">Contract
Signed &amp;
Returned. Retention % loaded correctly into Katipolt</v>
      </c>
      <c r="E2" t="str" xml:space="preserve">
        <v xml:space="preserve">Warranty
Signed &amp;
Returned</v>
      </c>
      <c r="F2" t="str" xml:space="preserve">
        <v xml:space="preserve">Construction
Programme
Received</v>
      </c>
      <c r="G2" t="str" xml:space="preserve">
        <v xml:space="preserve">Into Work
Calculator
2 Weekly</v>
      </c>
      <c r="H2" t="str" xml:space="preserve">
        <v xml:space="preserve">Temp Application
Done</v>
      </c>
      <c r="I2" t="str" xml:space="preserve">
        <v xml:space="preserve">Mains
Connection
Application</v>
      </c>
      <c r="J2" t="str" xml:space="preserve">
        <v xml:space="preserve">POs Sent
to Sub
contractors</v>
      </c>
      <c r="K2" t="str" xml:space="preserve">
        <v xml:space="preserve">Switchboard
Drawing
Sent for
Approval</v>
      </c>
      <c r="L2" t="str" xml:space="preserve">
        <v xml:space="preserve">Email
Sent to
QS/Builder
to Confirm
Order Gear</v>
      </c>
      <c r="M2" t="str" xml:space="preserve">
        <v xml:space="preserve">Long Lead Time
Materials Ordered</v>
      </c>
      <c r="O2" t="str" xml:space="preserve">
        <v xml:space="preserve">Client Walk
Through</v>
      </c>
      <c r="P2" t="str" xml:space="preserve">
        <v xml:space="preserve">Pre Job Meeting
Completed
with Staff
Job Pack Made</v>
      </c>
      <c r="Q2" t="str">
        <v>O&amp;M Manual underway (notes for what's needed)</v>
      </c>
      <c r="R2" t="str" xml:space="preserve">
        <v xml:space="preserve">QA
Completed
By Others</v>
      </c>
      <c r="T2" t="str" xml:space="preserve">
        <v xml:space="preserve">Job 
Completion 
Paperwork 
Completed </v>
      </c>
      <c r="U2" t="str">
        <v xml:space="preserve">All V.Os captured </v>
      </c>
      <c r="W2" t="str">
        <v>Last toolbox date</v>
      </c>
    </row>
    <row r="3" xml:space="preserve">
      <c r="M3" t="str">
        <v>Ordered</v>
      </c>
      <c r="N3" t="str" xml:space="preserve">
        <v xml:space="preserve">Lead Times
Comm.</v>
      </c>
      <c r="R3" t="str" xml:space="preserve">
        <v xml:space="preserve">1st
Fix</v>
      </c>
      <c r="S3" t="str" xml:space="preserve">
        <v xml:space="preserve">2nd
Fix</v>
      </c>
    </row>
    <row r="4">
      <c r="A4">
        <v>7658</v>
      </c>
      <c r="B4" t="str">
        <v>Charity Hospital</v>
      </c>
      <c r="C4" t="str">
        <v>Cameron</v>
      </c>
      <c r="D4" t="str">
        <v>Yes</v>
      </c>
      <c r="F4" t="str">
        <v>Yes</v>
      </c>
      <c r="G4" t="str">
        <v>Yes</v>
      </c>
      <c r="H4" t="str">
        <v>N/A</v>
      </c>
      <c r="I4" t="str">
        <v>N/A</v>
      </c>
      <c r="J4" t="str">
        <v>Yes</v>
      </c>
      <c r="K4" t="str">
        <v>Yes</v>
      </c>
      <c r="L4" t="str">
        <v>Yes</v>
      </c>
      <c r="M4" t="str">
        <v>Yes</v>
      </c>
      <c r="P4" t="str">
        <v>Yes</v>
      </c>
    </row>
    <row r="6">
      <c r="A6">
        <v>8142</v>
      </c>
      <c r="B6" t="str">
        <v>Fisher Developements</v>
      </c>
      <c r="C6" t="str">
        <v>Cameron</v>
      </c>
      <c r="D6" t="str">
        <v>Yes</v>
      </c>
      <c r="F6" t="str">
        <v>Yes</v>
      </c>
      <c r="G6" t="str">
        <v>yes</v>
      </c>
      <c r="H6" t="str">
        <v>Yes</v>
      </c>
      <c r="I6" t="str">
        <v>Yes</v>
      </c>
      <c r="J6" t="str">
        <v>Yes</v>
      </c>
      <c r="K6" t="str">
        <v>Yes</v>
      </c>
      <c r="M6" t="str">
        <v>Yes</v>
      </c>
    </row>
    <row r="8">
      <c r="A8">
        <v>8824</v>
      </c>
      <c r="B8" t="str">
        <v>3 Innovation Road</v>
      </c>
      <c r="C8" t="str">
        <v>Cameron</v>
      </c>
    </row>
    <row r="10">
      <c r="A10">
        <v>8127</v>
      </c>
      <c r="B10" t="str">
        <v>Rolly Autowash</v>
      </c>
      <c r="C10" t="str">
        <v>Cameron</v>
      </c>
      <c r="D10" t="str">
        <v>Yes</v>
      </c>
      <c r="F10" t="str">
        <v>Yes</v>
      </c>
      <c r="G10" t="str">
        <v>No</v>
      </c>
      <c r="H10" t="str">
        <v>Yes</v>
      </c>
      <c r="I10" t="str">
        <v>Yes</v>
      </c>
      <c r="J10" t="str">
        <v>N/A</v>
      </c>
      <c r="K10" t="str">
        <v>Yes</v>
      </c>
      <c r="M10" t="str">
        <v>Yes</v>
      </c>
    </row>
    <row r="12">
      <c r="A12">
        <v>8183</v>
      </c>
      <c r="B12" t="str">
        <v>Murney - 1 Freight Drive + 109 Iport</v>
      </c>
      <c r="C12" t="str">
        <v>Cameron</v>
      </c>
      <c r="D12" t="str">
        <v>Yes</v>
      </c>
      <c r="F12" t="str">
        <v>Yes</v>
      </c>
      <c r="G12" t="str">
        <v>Yes</v>
      </c>
      <c r="H12" t="str">
        <v>Yes</v>
      </c>
      <c r="I12" t="str">
        <v>Yes</v>
      </c>
      <c r="J12" t="str">
        <v>Yes</v>
      </c>
      <c r="K12" t="str">
        <v>Yes</v>
      </c>
      <c r="M12" t="str">
        <v>Yes</v>
      </c>
    </row>
    <row r="14">
      <c r="A14">
        <v>8886</v>
      </c>
      <c r="B14" t="str">
        <v>Monkey Toe - Fisher fit out</v>
      </c>
      <c r="C14" t="str">
        <v>Cameron</v>
      </c>
      <c r="F14" t="str">
        <v>Yes</v>
      </c>
      <c r="G14" t="str">
        <v>No</v>
      </c>
      <c r="H14" t="str">
        <v>N/A</v>
      </c>
      <c r="I14" t="str">
        <v>Yes</v>
      </c>
      <c r="J14" t="str">
        <v>Yes</v>
      </c>
      <c r="K14" t="str">
        <v>Yes</v>
      </c>
    </row>
    <row r="16">
      <c r="A16">
        <v>8887</v>
      </c>
      <c r="B16" t="str">
        <v>Tenancy 2 - Fisher Fit out</v>
      </c>
      <c r="C16" t="str">
        <v>Cameron</v>
      </c>
      <c r="F16" t="str">
        <v>Yes</v>
      </c>
      <c r="G16" t="str">
        <v>No</v>
      </c>
      <c r="H16" t="str">
        <v>N/A</v>
      </c>
      <c r="I16" t="str">
        <v>Yes</v>
      </c>
      <c r="J16" t="str">
        <v>Yes</v>
      </c>
      <c r="K16" t="str">
        <v>Yes</v>
      </c>
    </row>
    <row r="18">
      <c r="A18">
        <v>8670</v>
      </c>
      <c r="B18" t="str">
        <v>Studio DB - tautara fit out</v>
      </c>
      <c r="C18" t="str">
        <v>Cameron</v>
      </c>
      <c r="D18" t="str">
        <v>Yes</v>
      </c>
    </row>
    <row r="20">
      <c r="A20">
        <v>8907</v>
      </c>
      <c r="B20" t="str">
        <v>35 Mania</v>
      </c>
      <c r="C20" t="str">
        <v>Cameron</v>
      </c>
      <c r="D20" t="str">
        <v>Yes</v>
      </c>
    </row>
    <row r="22">
      <c r="A22">
        <v>9065</v>
      </c>
      <c r="B22" t="str">
        <v>Cooltranz stage 4</v>
      </c>
      <c r="C22" t="str">
        <v>Cameron</v>
      </c>
    </row>
    <row r="24">
      <c r="A24">
        <v>9259</v>
      </c>
      <c r="B24" t="str">
        <v>Andrew Reeve Stage 2</v>
      </c>
      <c r="C24" t="str">
        <v>Cameron</v>
      </c>
    </row>
    <row r="26">
      <c r="A26">
        <v>8352</v>
      </c>
      <c r="B26" t="str">
        <v>5 Sanscrit Place</v>
      </c>
      <c r="C26" t="str">
        <v>Tom</v>
      </c>
      <c r="D26" t="str">
        <v>Yes</v>
      </c>
      <c r="E26" t="str">
        <v>N/A</v>
      </c>
      <c r="F26" t="str">
        <v>Yes</v>
      </c>
      <c r="H26" t="str">
        <v>N/A</v>
      </c>
      <c r="I26" t="str">
        <v>N/A</v>
      </c>
      <c r="K26" t="str">
        <v>N/A</v>
      </c>
      <c r="L26" t="str">
        <v>Yes</v>
      </c>
      <c r="O26" t="str">
        <v>Yes</v>
      </c>
    </row>
    <row r="28">
      <c r="A28">
        <v>8234</v>
      </c>
      <c r="B28" t="str">
        <v>Melhuish House</v>
      </c>
      <c r="C28" t="str">
        <v>Tom</v>
      </c>
    </row>
    <row r="30">
      <c r="A30">
        <v>8214</v>
      </c>
      <c r="B30" t="str">
        <v>6 Tiroroa Lane</v>
      </c>
      <c r="C30" t="str">
        <v>Tom</v>
      </c>
      <c r="D30" t="str">
        <v>Yes</v>
      </c>
      <c r="E30" t="str">
        <v>N/A</v>
      </c>
      <c r="K30" t="str">
        <v>N/A</v>
      </c>
    </row>
    <row r="32">
      <c r="A32">
        <v>6792</v>
      </c>
      <c r="B32" t="str">
        <v xml:space="preserve">Major Hornbrook </v>
      </c>
      <c r="C32" t="str">
        <v>Tom</v>
      </c>
      <c r="D32" t="str">
        <v>Yes</v>
      </c>
      <c r="E32" t="str">
        <v>N/A</v>
      </c>
      <c r="F32" t="str">
        <v>Yes</v>
      </c>
      <c r="G32">
        <v>45979</v>
      </c>
      <c r="H32" t="str">
        <v>Yes</v>
      </c>
      <c r="I32" t="str">
        <v>Yes</v>
      </c>
      <c r="J32" t="str">
        <v>N/A</v>
      </c>
      <c r="K32" t="str">
        <v>N/A</v>
      </c>
      <c r="L32" t="str">
        <v>N/A</v>
      </c>
      <c r="O32" t="str">
        <v>No</v>
      </c>
      <c r="Q32" t="str">
        <v>NA</v>
      </c>
    </row>
    <row r="34">
      <c r="A34">
        <v>8840</v>
      </c>
      <c r="B34" t="str">
        <v>Inline Architecture</v>
      </c>
      <c r="C34" t="str">
        <v>Tom</v>
      </c>
    </row>
    <row r="36">
      <c r="A36">
        <v>8769</v>
      </c>
      <c r="B36" t="str">
        <v>Percival Bach</v>
      </c>
    </row>
    <row r="38">
      <c r="A38">
        <v>7901</v>
      </c>
      <c r="B38" t="str">
        <v>St Albans Street</v>
      </c>
    </row>
    <row r="40">
      <c r="A40">
        <v>8923</v>
      </c>
      <c r="B40" t="str">
        <v>4 Perry St</v>
      </c>
    </row>
    <row r="42">
      <c r="A42">
        <v>7864</v>
      </c>
      <c r="B42" t="str">
        <v>Ryans House</v>
      </c>
    </row>
    <row r="44">
      <c r="A44">
        <v>7912</v>
      </c>
      <c r="B44" t="str">
        <v xml:space="preserve">71A Fendalton Road </v>
      </c>
      <c r="C44" t="str">
        <v>Tom</v>
      </c>
      <c r="D44" t="str">
        <v>Yes</v>
      </c>
      <c r="E44" t="str">
        <v>N/A</v>
      </c>
      <c r="G44">
        <v>45979</v>
      </c>
      <c r="J44" t="str">
        <v>N/A</v>
      </c>
      <c r="K44" t="str">
        <v>N/A</v>
      </c>
      <c r="O44" t="str">
        <v>No</v>
      </c>
    </row>
    <row r="46">
      <c r="A46">
        <v>8360</v>
      </c>
      <c r="B46" t="str">
        <v>Dixon House</v>
      </c>
      <c r="C46" t="str">
        <v>Tom</v>
      </c>
      <c r="D46" t="str">
        <v>Yes</v>
      </c>
      <c r="E46" t="str">
        <v>N/A</v>
      </c>
      <c r="F46" t="str">
        <v>Yes</v>
      </c>
      <c r="G46">
        <v>45979</v>
      </c>
      <c r="H46" t="str">
        <v>N/A</v>
      </c>
      <c r="I46" t="str">
        <v>Yes</v>
      </c>
      <c r="J46" t="str">
        <v>N/A</v>
      </c>
      <c r="K46" t="str">
        <v>N/A</v>
      </c>
      <c r="L46" t="str">
        <v>N/A</v>
      </c>
      <c r="M46" t="str">
        <v>N/A</v>
      </c>
      <c r="O46" t="str">
        <v>Yes</v>
      </c>
    </row>
    <row r="48">
      <c r="A48">
        <v>8337</v>
      </c>
      <c r="B48" t="str">
        <v xml:space="preserve">Waimak Dairys </v>
      </c>
    </row>
    <row r="50">
      <c r="A50">
        <v>9240</v>
      </c>
      <c r="B50" t="str">
        <v>Daves Twizel Shack</v>
      </c>
    </row>
    <row r="52">
      <c r="A52">
        <v>7428</v>
      </c>
      <c r="B52" t="str">
        <v>FAB Pegasus Lakeside</v>
      </c>
      <c r="C52" t="str">
        <v>Tom</v>
      </c>
      <c r="D52" t="str">
        <v>Yes</v>
      </c>
      <c r="E52" t="str">
        <v>N/A</v>
      </c>
      <c r="F52" t="str">
        <v>Yes</v>
      </c>
      <c r="G52">
        <v>45979</v>
      </c>
      <c r="H52" t="str">
        <v>Yes</v>
      </c>
      <c r="J52" t="str">
        <v>N/A</v>
      </c>
      <c r="K52" t="str">
        <v>N/A</v>
      </c>
      <c r="L52" t="str">
        <v>N/A</v>
      </c>
      <c r="O52" t="str">
        <v>No</v>
      </c>
    </row>
    <row r="54">
      <c r="A54">
        <v>9351</v>
      </c>
      <c r="B54" t="str">
        <v>Harewood Golf Club</v>
      </c>
      <c r="C54" t="str">
        <v>Tom</v>
      </c>
    </row>
    <row r="56">
      <c r="A56">
        <v>7429</v>
      </c>
      <c r="B56" t="str">
        <v>Taggart House</v>
      </c>
      <c r="C56" t="str">
        <v>Tom</v>
      </c>
      <c r="D56" t="str">
        <v>Yes</v>
      </c>
      <c r="E56" t="str">
        <v>N/A</v>
      </c>
      <c r="F56" t="str">
        <v>Yes</v>
      </c>
      <c r="G56">
        <v>45979</v>
      </c>
      <c r="H56" t="str">
        <v>N/A</v>
      </c>
      <c r="I56" t="str">
        <v>N/A</v>
      </c>
      <c r="J56" t="str">
        <v>N/A</v>
      </c>
      <c r="K56" t="str">
        <v>N/A</v>
      </c>
      <c r="L56" t="str">
        <v>N/A</v>
      </c>
      <c r="O56" t="str">
        <v>No</v>
      </c>
    </row>
    <row r="58">
      <c r="A58">
        <v>9508</v>
      </c>
      <c r="B58" t="str">
        <v>St Barnabas Church</v>
      </c>
      <c r="C58" t="str">
        <v>Tom</v>
      </c>
      <c r="E58" t="str">
        <v>N/A</v>
      </c>
      <c r="F58" t="str">
        <v>Yes</v>
      </c>
      <c r="G58">
        <v>45979</v>
      </c>
      <c r="H58" t="str">
        <v>N/A</v>
      </c>
      <c r="I58" t="str">
        <v>N/A</v>
      </c>
      <c r="J58" t="str">
        <v>N/A</v>
      </c>
      <c r="K58" t="str">
        <v>N/A</v>
      </c>
      <c r="L58" t="str">
        <v>N/A</v>
      </c>
      <c r="O58" t="str">
        <v>No</v>
      </c>
    </row>
    <row r="60">
      <c r="E60" t="str">
        <v>N/A</v>
      </c>
      <c r="F60" t="str">
        <v>Yes</v>
      </c>
      <c r="H60" t="str">
        <v>N/A</v>
      </c>
      <c r="J60" t="str">
        <v>N/A</v>
      </c>
    </row>
    <row r="62">
      <c r="B62" t="str">
        <v>Contracting</v>
      </c>
    </row>
    <row r="64">
      <c r="A64">
        <v>8946</v>
      </c>
      <c r="B64" t="str">
        <v>Westcoast Vaults</v>
      </c>
      <c r="C64" t="str">
        <v>Cameron</v>
      </c>
    </row>
    <row r="66">
      <c r="A66">
        <v>8308</v>
      </c>
      <c r="B66" t="str">
        <v>Roydvale</v>
      </c>
      <c r="C66" t="str">
        <v>Tom</v>
      </c>
      <c r="E66" t="str">
        <v>N/A</v>
      </c>
      <c r="F66" t="str">
        <v>Yes</v>
      </c>
      <c r="H66" t="str">
        <v>N/A</v>
      </c>
      <c r="J66" t="str">
        <v>N/A</v>
      </c>
    </row>
  </sheetData>
  <mergeCells count="35">
    <mergeCell ref="A7:T7"/>
    <mergeCell ref="A1:T1"/>
    <mergeCell ref="M2:N2"/>
    <mergeCell ref="R2:S2"/>
    <mergeCell ref="A3:L3"/>
    <mergeCell ref="A5:T5"/>
    <mergeCell ref="A31:T31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45:T45"/>
    <mergeCell ref="A33:T33"/>
    <mergeCell ref="A35:T35"/>
    <mergeCell ref="A37:T37"/>
    <mergeCell ref="A39:T39"/>
    <mergeCell ref="A41:T41"/>
    <mergeCell ref="A43:T43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pageMargins left="0.7" right="0.7" top="0.75" bottom="0.75" header="0.3" footer="0.3"/>
  <ignoredErrors>
    <ignoredError numberStoredAsText="1" sqref="A1:Z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26"/>
  <sheetViews>
    <sheetView workbookViewId="0" rightToLeft="0"/>
  </sheetViews>
  <sheetData>
    <row r="1">
      <c r="A1" t="str">
        <v xml:space="preserve">                        Updated Job Spreadsheet</v>
      </c>
    </row>
    <row r="2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t="str">
        <v>Quoted Price</v>
      </c>
      <c r="E2" t="str">
        <v>Claim to date</v>
      </c>
      <c r="F2" t="str">
        <v>Remaining to claim</v>
      </c>
      <c r="G2" t="str">
        <v>% Claim remaining</v>
      </c>
      <c r="H2" t="str">
        <v>Total quoted cost</v>
      </c>
      <c r="I2" t="str">
        <v>Total actual cost</v>
      </c>
      <c r="J2" t="str">
        <v>Quoted material cost</v>
      </c>
      <c r="K2" t="str">
        <v>Actual material cost</v>
      </c>
      <c r="L2" t="str">
        <v>Material cost remaining</v>
      </c>
      <c r="M2" t="str">
        <v>Material % remaining</v>
      </c>
      <c r="N2" t="str">
        <v>Estimated % of materials recieved</v>
      </c>
      <c r="O2" t="str">
        <v>Quoted labour cost</v>
      </c>
      <c r="P2" t="str">
        <v>Actual labour cost</v>
      </c>
      <c r="Q2" t="str">
        <v>Labour  cost remaining</v>
      </c>
      <c r="R2" t="str">
        <v>Labour cost % remaining</v>
      </c>
      <c r="S2" t="str">
        <v>Quoted labour hours</v>
      </c>
      <c r="T2" t="str">
        <v>Actual labour hours</v>
      </c>
      <c r="U2" t="str">
        <v>Labour hours remaining</v>
      </c>
      <c r="V2" t="str">
        <v>Labour hour % remaining</v>
      </c>
      <c r="W2" t="str">
        <v>Estimated % of job complete</v>
      </c>
      <c r="X2" t="str">
        <v>GP $ Per Hour</v>
      </c>
      <c r="Y2" t="str">
        <v>Quoted GP $ Per Hour</v>
      </c>
      <c r="Z2" t="str">
        <v>Margin to date</v>
      </c>
      <c r="AA2" t="str">
        <v>Quoted margin</v>
      </c>
    </row>
    <row r="3">
      <c r="AH3" t="str">
        <v>Hours calcs</v>
      </c>
      <c r="AI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>
        <v>151187.84</v>
      </c>
      <c r="E4">
        <v>84036.95</v>
      </c>
      <c r="F4">
        <f>D4-E4</f>
        <v>67150.89</v>
      </c>
      <c r="G4">
        <f>F4/D4</f>
        <v>0.4441553632884761</v>
      </c>
      <c r="H4">
        <v>123244.87</v>
      </c>
      <c r="I4">
        <v>83080.14</v>
      </c>
      <c r="J4">
        <f>SUM(H4-O4)</f>
        <v>99869.39</v>
      </c>
      <c r="K4">
        <f>SUM(I4-P4)</f>
        <v>71217.91</v>
      </c>
      <c r="L4">
        <f>J4-K4</f>
        <v>28651.479999999996</v>
      </c>
      <c r="M4">
        <f>L4/J4</f>
        <v>0.2868895063842885</v>
      </c>
      <c r="N4">
        <v>0.2</v>
      </c>
      <c r="O4">
        <v>23375.48</v>
      </c>
      <c r="P4">
        <v>11862.23</v>
      </c>
      <c r="Q4">
        <f>O4-P4</f>
        <v>11513.25</v>
      </c>
      <c r="R4">
        <f>Q4/O4</f>
        <v>0.49253534045076297</v>
      </c>
      <c r="S4">
        <v>473</v>
      </c>
      <c r="T4">
        <v>247.75</v>
      </c>
      <c r="U4">
        <f>S4-T4</f>
        <v>225.25</v>
      </c>
      <c r="V4">
        <f>U4/S4</f>
        <v>0.476215644820296</v>
      </c>
      <c r="X4">
        <f>(E4-K4-P4)/T4</f>
        <v>3.8619979818365047</v>
      </c>
      <c r="Y4">
        <f>(D4-J4-O4)/S4</f>
        <v>59.0760465116279</v>
      </c>
      <c r="Z4">
        <f>(E4-K4-P4)/E4</f>
        <v>0.011385586935270664</v>
      </c>
      <c r="AA4">
        <f>SUM(D4-H4)/D4</f>
        <v>0.18482286670674045</v>
      </c>
      <c r="AD4" t="str">
        <v>Hours calc for monthly claims</v>
      </c>
      <c r="AE4">
        <f>AH9</f>
        <v>170.25</v>
      </c>
      <c r="AH4">
        <f>SUM(T5-T4)</f>
        <v>55</v>
      </c>
      <c r="AI4">
        <f>SUM(K5-K4)</f>
        <v>4159.190000000002</v>
      </c>
    </row>
    <row r="5">
      <c r="C5" t="str">
        <v>Week 1</v>
      </c>
      <c r="D5">
        <v>233882.27</v>
      </c>
      <c r="E5">
        <v>205915.9</v>
      </c>
      <c r="F5">
        <f>D5-E5</f>
        <v>27966.369999999995</v>
      </c>
      <c r="G5">
        <f>F5/D5</f>
        <v>0.1195745620221661</v>
      </c>
      <c r="H5">
        <v>199128.99</v>
      </c>
      <c r="I5">
        <v>161636.57</v>
      </c>
      <c r="J5">
        <f>SUM(H5-O5)</f>
        <v>172860.11</v>
      </c>
      <c r="K5">
        <f>SUM(I5-P5)</f>
        <v>136958.29</v>
      </c>
      <c r="L5">
        <f>J5-K5</f>
        <v>35901.81999999998</v>
      </c>
      <c r="M5">
        <f>L5/J5</f>
        <v>0.20769291422989364</v>
      </c>
      <c r="N5">
        <v>0.9</v>
      </c>
      <c r="O5">
        <v>26268.88</v>
      </c>
      <c r="P5">
        <v>24678.28</v>
      </c>
      <c r="Q5">
        <f>O5-P5</f>
        <v>1590.6000000000022</v>
      </c>
      <c r="R5">
        <f>Q5/O5</f>
        <v>0.06055073531874987</v>
      </c>
      <c r="S5">
        <v>530.95</v>
      </c>
      <c r="T5">
        <v>498.25</v>
      </c>
      <c r="U5">
        <f>S5-T5</f>
        <v>32.700000000000045</v>
      </c>
      <c r="V5">
        <f>U5/S5</f>
        <v>0.06158772012430557</v>
      </c>
      <c r="X5">
        <f>(E5-K5-P5)/T5</f>
        <v>88.86970396387356</v>
      </c>
      <c r="Y5">
        <f>(D5-J5-O5)/S5</f>
        <v>65.45490166985587</v>
      </c>
      <c r="Z5">
        <f>(E5-K5-P5)/E5</f>
        <v>0.215</v>
      </c>
      <c r="AA5">
        <f>SUM(D5-H5)/D5</f>
        <v>0.1486</v>
      </c>
      <c r="AD5" t="str">
        <v>Materials calc for monthly claims</v>
      </c>
      <c r="AE5">
        <f>AI9</f>
        <v>21734.649999999994</v>
      </c>
      <c r="AH5">
        <f>SUM(T6-T5)</f>
        <v>0</v>
      </c>
      <c r="AI5">
        <f>SUM(K6-K5)</f>
        <v>0</v>
      </c>
    </row>
    <row r="6">
      <c r="C6" t="str">
        <v>Week 2</v>
      </c>
      <c r="D6">
        <v>233882.27</v>
      </c>
      <c r="E6">
        <v>205915.9</v>
      </c>
      <c r="F6">
        <v>27966.369999999995</v>
      </c>
      <c r="G6">
        <v>0.1195745620221661</v>
      </c>
      <c r="H6">
        <v>199128.99</v>
      </c>
      <c r="I6">
        <v>161636.57</v>
      </c>
      <c r="J6">
        <v>172860.11</v>
      </c>
      <c r="K6">
        <v>136958.29</v>
      </c>
      <c r="L6">
        <v>35901.81999999998</v>
      </c>
      <c r="M6">
        <v>0.20769291422989364</v>
      </c>
      <c r="O6">
        <v>26268.88</v>
      </c>
      <c r="P6">
        <v>24678.28</v>
      </c>
      <c r="Q6">
        <v>1590.6000000000022</v>
      </c>
      <c r="R6">
        <v>0.06055073531874987</v>
      </c>
      <c r="S6">
        <v>530.95</v>
      </c>
      <c r="T6">
        <v>498.25</v>
      </c>
      <c r="U6">
        <v>32.700000000000045</v>
      </c>
      <c r="V6">
        <v>0.06158772012430557</v>
      </c>
      <c r="X6">
        <v>88.86970396387356</v>
      </c>
      <c r="Y6">
        <v>65.45490166985587</v>
      </c>
      <c r="Z6">
        <v>0.215</v>
      </c>
      <c r="AA6">
        <v>0.1486</v>
      </c>
      <c r="AH6">
        <f>SUM(T7-T6)</f>
        <v>0</v>
      </c>
      <c r="AI6">
        <f>SUM(K7-K6)</f>
        <v>0</v>
      </c>
    </row>
    <row r="7">
      <c r="C7" t="str">
        <v>Week 3</v>
      </c>
      <c r="AD7" t="str">
        <v>Estimated months claim</v>
      </c>
      <c r="AE7">
        <v>0</v>
      </c>
      <c r="AH7">
        <f>SUM(T8-T7)</f>
        <v>52.75</v>
      </c>
      <c r="AI7">
        <f>SUM(K8-K7)</f>
        <v>9611.119999999995</v>
      </c>
    </row>
    <row r="8">
      <c r="C8" t="str">
        <v>Week 4</v>
      </c>
      <c r="AH8">
        <f>SUM(T9-T8)</f>
        <v>62.5</v>
      </c>
      <c r="AI8">
        <f>SUM(K9-K8)</f>
        <v>7964.3399999999965</v>
      </c>
    </row>
    <row r="9">
      <c r="C9" t="str">
        <v>Week 5</v>
      </c>
      <c r="AH9">
        <f>SUM(AH4,AH5,AH6,AH7,AH8)</f>
        <v>170.25</v>
      </c>
      <c r="AI9">
        <f>SUM(AI4,AI5,AI6,AI7,AI8)</f>
        <v>21734.649999999994</v>
      </c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>
        <v>95023.47</v>
      </c>
      <c r="E11">
        <v>51156.11</v>
      </c>
      <c r="F11">
        <f>D11-E11</f>
        <v>43867.36</v>
      </c>
      <c r="G11">
        <f>F11/D11</f>
        <v>0.4616476329479443</v>
      </c>
      <c r="H11">
        <v>72292.47</v>
      </c>
      <c r="I11">
        <v>46015.25</v>
      </c>
      <c r="J11">
        <f>SUM(H11-O11)</f>
        <v>56719.740000000005</v>
      </c>
      <c r="K11">
        <f>SUM(I11-P11)</f>
        <v>43985.17</v>
      </c>
      <c r="L11">
        <f>J11-K11</f>
        <v>12734.570000000007</v>
      </c>
      <c r="M11">
        <f>L11/J11</f>
        <v>0.2245174255030084</v>
      </c>
      <c r="N11">
        <v>0.5</v>
      </c>
      <c r="O11">
        <v>15572.73</v>
      </c>
      <c r="P11">
        <v>2030.08</v>
      </c>
      <c r="Q11">
        <f>O11-P11</f>
        <v>13542.65</v>
      </c>
      <c r="R11">
        <f>Q11/O11</f>
        <v>0.8696387852354726</v>
      </c>
      <c r="S11">
        <v>311.89</v>
      </c>
      <c r="T11">
        <v>45.5</v>
      </c>
      <c r="U11">
        <f>S11-T11</f>
        <v>266.39</v>
      </c>
      <c r="V11">
        <f>U11/S11</f>
        <v>0.8541152329346885</v>
      </c>
      <c r="W11">
        <v>0.1</v>
      </c>
      <c r="X11">
        <f>(E11-K11-P11)/T11</f>
        <v>112.98593406593412</v>
      </c>
      <c r="Y11">
        <f>(D11-J11-O11)/S11</f>
        <v>72.88146461893615</v>
      </c>
      <c r="Z11">
        <f>(E11-K11-P11)/E11</f>
        <v>0.10049356763053333</v>
      </c>
      <c r="AA11">
        <f>SUM(D11-H11)/D11</f>
        <v>0.23921458561763742</v>
      </c>
      <c r="AD11" t="str">
        <v>Hours calc for monthly claims</v>
      </c>
      <c r="AE11">
        <f>AH16</f>
        <v>7</v>
      </c>
      <c r="AH11">
        <f>SUM(T12-T11)</f>
        <v>7</v>
      </c>
      <c r="AI11">
        <f>SUM(K12-K11)</f>
        <v>-178.95999999999185</v>
      </c>
    </row>
    <row r="12">
      <c r="C12" t="str">
        <v>Week 1</v>
      </c>
      <c r="D12">
        <v>129074.86</v>
      </c>
      <c r="E12">
        <v>55068.11</v>
      </c>
      <c r="F12">
        <f>D12-E12</f>
        <v>74006.75</v>
      </c>
      <c r="G12">
        <f>F12/D12</f>
        <v>0.5733630081024299</v>
      </c>
      <c r="H12">
        <v>101420.72</v>
      </c>
      <c r="I12">
        <v>54810.2</v>
      </c>
      <c r="J12">
        <f>SUM(H12-O12)</f>
        <v>83645.65</v>
      </c>
      <c r="K12">
        <f>SUM(I12-P12)</f>
        <v>51716.869999999995</v>
      </c>
      <c r="L12">
        <f>J12-K12</f>
        <v>31928.78</v>
      </c>
      <c r="M12">
        <f>L12/J12</f>
        <v>0.3817147693872903</v>
      </c>
      <c r="O12">
        <v>17775.07</v>
      </c>
      <c r="P12">
        <v>3093.33</v>
      </c>
      <c r="Q12">
        <f>O12-P12</f>
        <v>14681.74</v>
      </c>
      <c r="R12">
        <f>Q12/O12</f>
        <v>0.825973681116305</v>
      </c>
      <c r="S12">
        <v>356.07</v>
      </c>
      <c r="T12">
        <v>63</v>
      </c>
      <c r="U12">
        <f>S12-T12</f>
        <v>293.07</v>
      </c>
      <c r="V12">
        <f>U12/S12</f>
        <v>0.823068497767293</v>
      </c>
      <c r="W12">
        <v>0.3</v>
      </c>
      <c r="X12">
        <f>(E12-K12-P12)/T12</f>
        <v>4.093809523809524</v>
      </c>
      <c r="Y12">
        <f>(D12-J12-O12)/S12</f>
        <v>77.66490997775718</v>
      </c>
      <c r="Z12">
        <f>(E12-K12-P12)/E12</f>
        <v>0.004699999999999999</v>
      </c>
      <c r="AA12">
        <f>SUM(D12-H12)/D12</f>
        <v>0.2142</v>
      </c>
      <c r="AD12" t="str">
        <v>Materials calc for monthly claims</v>
      </c>
      <c r="AE12">
        <f>AI16</f>
        <v>1716.6900000000023</v>
      </c>
      <c r="AH12">
        <f>SUM(T13-T12)</f>
        <v>0</v>
      </c>
      <c r="AI12">
        <f>SUM(K13-K12)</f>
        <v>0</v>
      </c>
    </row>
    <row r="13">
      <c r="C13" t="str">
        <v>Week 2</v>
      </c>
      <c r="D13">
        <v>129074.86</v>
      </c>
      <c r="E13">
        <v>55068.11</v>
      </c>
      <c r="F13">
        <v>74006.75</v>
      </c>
      <c r="G13">
        <v>0.5733630081024299</v>
      </c>
      <c r="H13">
        <v>101420.72</v>
      </c>
      <c r="I13">
        <v>54810.2</v>
      </c>
      <c r="J13">
        <v>83645.65</v>
      </c>
      <c r="K13">
        <v>51716.869999999995</v>
      </c>
      <c r="L13">
        <v>31928.78</v>
      </c>
      <c r="M13">
        <v>0.3817147693872903</v>
      </c>
      <c r="O13">
        <v>17775.07</v>
      </c>
      <c r="P13">
        <v>3093.33</v>
      </c>
      <c r="Q13">
        <v>14681.74</v>
      </c>
      <c r="R13">
        <v>0.825973681116305</v>
      </c>
      <c r="S13">
        <v>356.07</v>
      </c>
      <c r="T13">
        <v>63</v>
      </c>
      <c r="U13">
        <v>293.07</v>
      </c>
      <c r="V13">
        <v>0.823068497767293</v>
      </c>
      <c r="X13">
        <v>4.093809523809524</v>
      </c>
      <c r="Y13">
        <v>77.66490997775718</v>
      </c>
      <c r="Z13">
        <v>0.004699999999999999</v>
      </c>
      <c r="AA13">
        <v>0.2142</v>
      </c>
      <c r="AH13">
        <f>SUM(T14-T13)</f>
        <v>0</v>
      </c>
      <c r="AI13">
        <f>SUM(K14-K13)</f>
        <v>0</v>
      </c>
    </row>
    <row r="14">
      <c r="C14" t="str">
        <v>Week 3</v>
      </c>
      <c r="AD14" t="str">
        <v>Estimated months claim</v>
      </c>
      <c r="AE14">
        <v>0</v>
      </c>
      <c r="AH14">
        <f>SUM(T15-T14)</f>
        <v>0</v>
      </c>
      <c r="AI14">
        <f>SUM(K15-K14)</f>
        <v>1880.949999999997</v>
      </c>
    </row>
    <row r="15">
      <c r="C15" t="str">
        <v>Week 4</v>
      </c>
      <c r="AH15">
        <f>SUM(T16-T15)</f>
        <v>0</v>
      </c>
      <c r="AI15">
        <f>SUM(K16-K15)</f>
        <v>14.69999999999709</v>
      </c>
    </row>
    <row r="16">
      <c r="C16" t="str">
        <v>Week 5</v>
      </c>
      <c r="AH16">
        <f>SUM(AH11,AH12,AH13,AH14,AH15)</f>
        <v>7</v>
      </c>
      <c r="AI16">
        <f>SUM(AI11,AI12,AI13,AI14,AI15)</f>
        <v>1716.6900000000023</v>
      </c>
    </row>
    <row r="18">
      <c r="A18">
        <v>8824</v>
      </c>
      <c r="B18" t="str">
        <v>3 Innovation Road</v>
      </c>
      <c r="C18" t="str">
        <v>Start of month</v>
      </c>
      <c r="D18">
        <v>27500.32</v>
      </c>
      <c r="E18">
        <v>0</v>
      </c>
      <c r="F18">
        <f>D18-E18</f>
        <v>27500.32</v>
      </c>
      <c r="G18">
        <f>F18/D18</f>
        <v>1</v>
      </c>
      <c r="H18">
        <v>19565.83</v>
      </c>
      <c r="I18">
        <v>4619.18</v>
      </c>
      <c r="J18">
        <f>SUM(H18-O18)</f>
        <v>13767.340000000002</v>
      </c>
      <c r="K18">
        <f>SUM(I18-P18)</f>
        <v>3061.2400000000002</v>
      </c>
      <c r="L18">
        <f>J18-K18</f>
        <v>10706.100000000002</v>
      </c>
      <c r="M18">
        <f>L18/J18</f>
        <v>0.777644773790725</v>
      </c>
      <c r="O18">
        <v>5798.49</v>
      </c>
      <c r="P18">
        <v>1557.94</v>
      </c>
      <c r="Q18">
        <f>O18-P18</f>
        <v>4240.549999999999</v>
      </c>
      <c r="R18">
        <f>Q18/O18</f>
        <v>0.7313197056475047</v>
      </c>
      <c r="S18">
        <v>125.39</v>
      </c>
      <c r="T18">
        <v>31.75</v>
      </c>
      <c r="U18">
        <f>S18-T18</f>
        <v>93.64</v>
      </c>
      <c r="V18">
        <f>U18/S18</f>
        <v>0.7467900151527235</v>
      </c>
      <c r="W18">
        <v>0.25</v>
      </c>
      <c r="X18">
        <f>(E18-K18-P18)/T18</f>
        <v>-145.48598425196852</v>
      </c>
      <c r="Y18">
        <f>(D18-J18-O18)/S18</f>
        <v>63.278491107743825</v>
      </c>
      <c r="Z18" t="e">
        <f>(E18-K18-P18)/E18</f>
        <v>#DIV/0!</v>
      </c>
      <c r="AA18">
        <f>SUM(D18-H18)/D18</f>
        <v>0.28852355172594346</v>
      </c>
      <c r="AD18" t="str">
        <v>Hours calc for monthly claims</v>
      </c>
      <c r="AE18">
        <f>AH23</f>
        <v>3</v>
      </c>
      <c r="AH18">
        <f>SUM(T19-T18)</f>
        <v>0</v>
      </c>
      <c r="AI18">
        <f>SUM(K19-K18)</f>
        <v>0</v>
      </c>
    </row>
    <row r="19">
      <c r="C19" t="str">
        <v>Week 1</v>
      </c>
      <c r="D19">
        <v>27500.32</v>
      </c>
      <c r="E19">
        <v>6999.08</v>
      </c>
      <c r="F19">
        <f>D19-E19</f>
        <v>20501.239999999998</v>
      </c>
      <c r="G19">
        <f>F19/D19</f>
        <v>0.74549096155972</v>
      </c>
      <c r="H19">
        <v>19565.83</v>
      </c>
      <c r="I19">
        <v>7621.92</v>
      </c>
      <c r="J19">
        <f>SUM(H19-O19)</f>
        <v>13767.340000000002</v>
      </c>
      <c r="K19">
        <f>SUM(I19-P19)</f>
        <v>5911.24</v>
      </c>
      <c r="L19">
        <f>J19-K19</f>
        <v>7856.100000000002</v>
      </c>
      <c r="M19">
        <f>L19/J19</f>
        <v>0.5706331070490016</v>
      </c>
      <c r="O19">
        <v>5798.49</v>
      </c>
      <c r="P19">
        <v>1710.68</v>
      </c>
      <c r="Q19">
        <f>O19-P19</f>
        <v>4087.8099999999995</v>
      </c>
      <c r="R19">
        <f>Q19/O19</f>
        <v>0.7049783650571096</v>
      </c>
      <c r="S19">
        <v>125.39</v>
      </c>
      <c r="T19">
        <v>34.75</v>
      </c>
      <c r="U19">
        <f>S19-T19</f>
        <v>90.64</v>
      </c>
      <c r="V19">
        <f>U19/S19</f>
        <v>0.7228646622537682</v>
      </c>
      <c r="W19">
        <v>0.25</v>
      </c>
      <c r="X19">
        <f>(E19-K19-P19)/T19</f>
        <v>-17.923453237410072</v>
      </c>
      <c r="Y19">
        <f>(D19-J19-O19)/S19</f>
        <v>63.27846478985563</v>
      </c>
      <c r="Z19">
        <f>(E19-K19-P19)/E19</f>
        <v>-0.08900000000000001</v>
      </c>
      <c r="AA19">
        <f>SUM(D19-H19)/D19</f>
        <v>0.2885</v>
      </c>
      <c r="AD19" t="str">
        <v>Materials calc for monthly claims</v>
      </c>
      <c r="AE19">
        <f>AI23</f>
        <v>2849.9999999999995</v>
      </c>
      <c r="AH19">
        <f>SUM(T20-T19)</f>
        <v>3</v>
      </c>
      <c r="AI19">
        <f>SUM(K20-K19)</f>
        <v>-4.547473508864641e-13</v>
      </c>
    </row>
    <row r="20">
      <c r="C20" t="str">
        <v>Week 2</v>
      </c>
      <c r="D20">
        <v>27500.32</v>
      </c>
      <c r="E20">
        <v>6999.08</v>
      </c>
      <c r="F20">
        <v>20501.239999999998</v>
      </c>
      <c r="G20">
        <v>0.74549096155972</v>
      </c>
      <c r="H20">
        <v>19565.83</v>
      </c>
      <c r="I20">
        <v>7621.92</v>
      </c>
      <c r="J20">
        <v>13767.340000000002</v>
      </c>
      <c r="K20">
        <v>5911.24</v>
      </c>
      <c r="L20">
        <v>7856.100000000002</v>
      </c>
      <c r="M20">
        <v>0.5706331070490016</v>
      </c>
      <c r="O20">
        <v>5798.49</v>
      </c>
      <c r="P20">
        <v>1710.68</v>
      </c>
      <c r="Q20">
        <v>4087.8099999999995</v>
      </c>
      <c r="R20">
        <v>0.7049783650571096</v>
      </c>
      <c r="S20">
        <v>125.39</v>
      </c>
      <c r="T20">
        <v>34.75</v>
      </c>
      <c r="U20">
        <v>90.64</v>
      </c>
      <c r="V20">
        <v>0.7228646622537682</v>
      </c>
      <c r="X20">
        <v>-17.923453237410072</v>
      </c>
      <c r="Y20">
        <v>63.27846478985563</v>
      </c>
      <c r="Z20">
        <v>-0.08900000000000001</v>
      </c>
      <c r="AA20">
        <v>0.2885</v>
      </c>
      <c r="AH20">
        <f>SUM(T21-T20)</f>
        <v>0</v>
      </c>
      <c r="AI20">
        <f>SUM(K21-K20)</f>
        <v>0</v>
      </c>
    </row>
    <row r="21">
      <c r="C21" t="str">
        <v>Week 3</v>
      </c>
      <c r="AD21" t="str">
        <v>Estimated months claim</v>
      </c>
      <c r="AE21">
        <v>0</v>
      </c>
      <c r="AH21">
        <f>SUM(T22-T21)</f>
        <v>0</v>
      </c>
      <c r="AI21">
        <f>SUM(K22-K21)</f>
        <v>0</v>
      </c>
    </row>
    <row r="22">
      <c r="C22" t="str">
        <v>Week 4</v>
      </c>
      <c r="AH22">
        <f>SUM(T23-T22)</f>
        <v>0</v>
      </c>
      <c r="AI22">
        <f>SUM(K23-K22)</f>
        <v>2850</v>
      </c>
    </row>
    <row r="23">
      <c r="C23" t="str">
        <v>Week 5</v>
      </c>
      <c r="AH23">
        <f>SUM(AH18,AH19,AH20,AH21,AH22)</f>
        <v>3</v>
      </c>
      <c r="AI23">
        <f>SUM(AI18,AI19,AI20,AI21,AI22)</f>
        <v>2849.9999999999995</v>
      </c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>
        <v>150850.82</v>
      </c>
      <c r="E25">
        <v>58752.41</v>
      </c>
      <c r="F25">
        <f>D25-E25</f>
        <v>92098.41</v>
      </c>
      <c r="G25">
        <f>F25/D25</f>
        <v>0.6105264127831721</v>
      </c>
      <c r="H25">
        <v>102178.42</v>
      </c>
      <c r="I25">
        <v>53395.44</v>
      </c>
      <c r="J25">
        <f>SUM(H25-O25)</f>
        <v>63160.67</v>
      </c>
      <c r="K25">
        <f>SUM(I25-P25)</f>
        <v>46046.12</v>
      </c>
      <c r="L25">
        <f>J25-K25</f>
        <v>17114.549999999996</v>
      </c>
      <c r="M25">
        <f>L25/J25</f>
        <v>0.27096846819389336</v>
      </c>
      <c r="N25">
        <v>0</v>
      </c>
      <c r="O25">
        <v>39017.75</v>
      </c>
      <c r="P25">
        <v>7349.32</v>
      </c>
      <c r="Q25">
        <f>O25-P25</f>
        <v>31668.43</v>
      </c>
      <c r="R25">
        <f>Q25/O25</f>
        <v>0.8116416246451935</v>
      </c>
      <c r="S25">
        <v>795.22</v>
      </c>
      <c r="T25">
        <v>160.75</v>
      </c>
      <c r="U25">
        <f>S25-T25</f>
        <v>634.47</v>
      </c>
      <c r="V25">
        <f>U25/S25</f>
        <v>0.7978546817232967</v>
      </c>
      <c r="W25">
        <v>0.05</v>
      </c>
      <c r="X25">
        <f>(E25-K25-P25)/T25</f>
        <v>33.32485225505444</v>
      </c>
      <c r="Y25">
        <f>(D25-J25-O25)/S25</f>
        <v>61.206207087346904</v>
      </c>
      <c r="Z25">
        <f>(E25-K25-P25)/E25</f>
        <v>0.09117872781729296</v>
      </c>
      <c r="AA25">
        <f>SUM(D25-H25)/D25</f>
        <v>0.32265253844824976</v>
      </c>
      <c r="AD25" t="str">
        <v>Hours calc for monthly claims</v>
      </c>
      <c r="AE25">
        <f>AH30</f>
        <v>227.5</v>
      </c>
      <c r="AH25">
        <f>SUM(T26-T25)</f>
        <v>0</v>
      </c>
      <c r="AI25">
        <f>SUM(K26-K25)</f>
        <v>15900.86</v>
      </c>
    </row>
    <row r="26">
      <c r="C26" t="str">
        <v>Week 1</v>
      </c>
      <c r="D26">
        <v>150850.82</v>
      </c>
      <c r="E26">
        <v>111983.72</v>
      </c>
      <c r="F26">
        <f>D26-E26</f>
        <v>38867.100000000006</v>
      </c>
      <c r="G26">
        <f>F26/D26</f>
        <v>0.25765256032416667</v>
      </c>
      <c r="H26">
        <v>102178.42</v>
      </c>
      <c r="I26">
        <v>81033.37</v>
      </c>
      <c r="J26">
        <f>SUM(H26-O26)</f>
        <v>62464.86</v>
      </c>
      <c r="K26">
        <f>SUM(I26-P26)</f>
        <v>58088.59</v>
      </c>
      <c r="L26">
        <f>J26-K26</f>
        <v>4376.270000000004</v>
      </c>
      <c r="M26">
        <f>L26/J26</f>
        <v>0.07005971037155936</v>
      </c>
      <c r="N26">
        <v>0.9</v>
      </c>
      <c r="O26">
        <v>39713.56</v>
      </c>
      <c r="P26">
        <v>22944.78</v>
      </c>
      <c r="Q26">
        <f>O26-P26</f>
        <v>16768.78</v>
      </c>
      <c r="R26">
        <f>Q26/O26</f>
        <v>0.4222431834365894</v>
      </c>
      <c r="S26">
        <v>795.22</v>
      </c>
      <c r="T26">
        <v>472.75</v>
      </c>
      <c r="U26">
        <f>S26-T26</f>
        <v>322.47</v>
      </c>
      <c r="V26">
        <f>U26/S26</f>
        <v>0.40551042478810895</v>
      </c>
      <c r="W26">
        <v>0.6</v>
      </c>
      <c r="X26">
        <f>(E26-K26-P26)/T26</f>
        <v>65.46874669487043</v>
      </c>
      <c r="Y26">
        <f>(D26-J26-O26)/S26</f>
        <v>61.20621468124544</v>
      </c>
      <c r="Z26">
        <f>(E26-K26-P26)/E26</f>
        <v>0.2764</v>
      </c>
      <c r="AA26">
        <f>SUM(D26-H26)/D26</f>
        <v>0.3227</v>
      </c>
      <c r="AD26" t="str">
        <v>Materials calc for monthly claims</v>
      </c>
      <c r="AE26">
        <f>AI30</f>
        <v>10918.690000000002</v>
      </c>
      <c r="AH26">
        <f>SUM(T27-T26)</f>
        <v>0</v>
      </c>
      <c r="AI26">
        <f>SUM(K27-K26)</f>
        <v>0</v>
      </c>
    </row>
    <row r="27">
      <c r="C27" t="str">
        <v>Week 2</v>
      </c>
      <c r="D27">
        <v>150850.82</v>
      </c>
      <c r="E27">
        <v>111983.72</v>
      </c>
      <c r="F27">
        <v>38867.100000000006</v>
      </c>
      <c r="G27">
        <v>0.25765256032416667</v>
      </c>
      <c r="H27">
        <v>102178.42</v>
      </c>
      <c r="I27">
        <v>81033.37</v>
      </c>
      <c r="J27">
        <v>62464.86</v>
      </c>
      <c r="K27">
        <v>58088.59</v>
      </c>
      <c r="L27">
        <v>4376.270000000004</v>
      </c>
      <c r="M27">
        <v>0.07005971037155936</v>
      </c>
      <c r="O27">
        <v>39713.56</v>
      </c>
      <c r="P27">
        <v>22944.78</v>
      </c>
      <c r="Q27">
        <v>16768.78</v>
      </c>
      <c r="R27">
        <v>0.4222431834365894</v>
      </c>
      <c r="S27">
        <v>795.22</v>
      </c>
      <c r="T27">
        <v>472.75</v>
      </c>
      <c r="U27">
        <v>322.47</v>
      </c>
      <c r="V27">
        <v>0.40551042478810895</v>
      </c>
      <c r="X27">
        <v>65.46874669487043</v>
      </c>
      <c r="Y27">
        <v>61.20621468124544</v>
      </c>
      <c r="Z27">
        <v>0.2764</v>
      </c>
      <c r="AA27">
        <v>0.3227</v>
      </c>
      <c r="AH27">
        <f>SUM(T28-T27)</f>
        <v>0</v>
      </c>
      <c r="AI27">
        <f>SUM(K28-K27)</f>
        <v>0</v>
      </c>
    </row>
    <row r="28">
      <c r="C28" t="str">
        <v>Week 3</v>
      </c>
      <c r="AD28" t="str">
        <v>Estimated months claim</v>
      </c>
      <c r="AE28">
        <v>0</v>
      </c>
      <c r="AH28">
        <f>SUM(T29-T28)</f>
        <v>182.25</v>
      </c>
      <c r="AI28">
        <f>SUM(K29-K28)</f>
        <v>957.4500000000044</v>
      </c>
    </row>
    <row r="29">
      <c r="C29" t="str">
        <v>Week 4</v>
      </c>
      <c r="AH29">
        <f>SUM(T30-T29)</f>
        <v>45.25</v>
      </c>
      <c r="AI29">
        <f>SUM(K30-K29)</f>
        <v>-5939.620000000003</v>
      </c>
    </row>
    <row r="30">
      <c r="C30" t="str">
        <v>Week 5</v>
      </c>
      <c r="AH30">
        <f>SUM(AH25,AH26,AH27,AH28,AH29)</f>
        <v>227.5</v>
      </c>
      <c r="AI30">
        <f>SUM(AI25,AI26,AI27,AI28,AI29)</f>
        <v>10918.690000000002</v>
      </c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>
        <v>387361.22</v>
      </c>
      <c r="E32">
        <v>129848.32</v>
      </c>
      <c r="F32">
        <f>D32-E32</f>
        <v>257512.89999999997</v>
      </c>
      <c r="G32">
        <f>F32/D32</f>
        <v>0.6647875076395102</v>
      </c>
      <c r="H32">
        <v>319185.51</v>
      </c>
      <c r="I32">
        <v>115165.8</v>
      </c>
      <c r="J32">
        <f>SUM(H32-O32)</f>
        <v>263544.78</v>
      </c>
      <c r="K32">
        <f>SUM(I32-P32)</f>
        <v>106200.69</v>
      </c>
      <c r="L32">
        <f>J32-K32</f>
        <v>157344.09000000003</v>
      </c>
      <c r="M32">
        <f>L32/J32</f>
        <v>0.5970298102660201</v>
      </c>
      <c r="N32">
        <v>0.25</v>
      </c>
      <c r="O32">
        <v>55640.73</v>
      </c>
      <c r="P32">
        <v>8965.11</v>
      </c>
      <c r="Q32">
        <f>O32-P32</f>
        <v>46675.62</v>
      </c>
      <c r="R32">
        <f>Q32/O32</f>
        <v>0.8388750471102734</v>
      </c>
      <c r="S32">
        <v>1114.27</v>
      </c>
      <c r="T32">
        <v>223.25</v>
      </c>
      <c r="U32">
        <f>S32-T32</f>
        <v>891.02</v>
      </c>
      <c r="V32">
        <f>U32/S32</f>
        <v>0.7996446103727104</v>
      </c>
      <c r="W32">
        <v>0.15</v>
      </c>
      <c r="X32">
        <f>(E32-K32-P32)/T32</f>
        <v>65.7671668533035</v>
      </c>
      <c r="Y32">
        <f>(D32-J32-O32)/S32</f>
        <v>61.18419234117398</v>
      </c>
      <c r="Z32">
        <f>(E32-K32-P32)/E32</f>
        <v>0.11307439326130675</v>
      </c>
      <c r="AA32">
        <f>SUM(D32-H32)/D32</f>
        <v>0.17600034923475294</v>
      </c>
      <c r="AD32" t="str">
        <v>Hours calc for monthly claims</v>
      </c>
      <c r="AE32">
        <f>AH37</f>
        <v>164.25</v>
      </c>
      <c r="AH32">
        <f>SUM(T33-T32)</f>
        <v>117.5</v>
      </c>
      <c r="AI32">
        <f>SUM(K33-K32)</f>
        <v>6796.800000000003</v>
      </c>
    </row>
    <row r="33">
      <c r="C33" t="str">
        <v>Week 1</v>
      </c>
      <c r="D33">
        <v>396422.03</v>
      </c>
      <c r="E33">
        <v>176161.65</v>
      </c>
      <c r="F33">
        <f>D33-E33</f>
        <v>220260.38000000003</v>
      </c>
      <c r="G33">
        <f>F33/D33</f>
        <v>0.5556209376153994</v>
      </c>
      <c r="H33">
        <v>327431.12</v>
      </c>
      <c r="I33">
        <v>150094.16</v>
      </c>
      <c r="J33">
        <f>SUM(H33-O33)</f>
        <v>271519.78</v>
      </c>
      <c r="K33">
        <f>SUM(I33-P33)</f>
        <v>132259.14</v>
      </c>
      <c r="L33">
        <f>J33-K33</f>
        <v>139260.64</v>
      </c>
      <c r="M33">
        <f>L33/J33</f>
        <v>0.5128931674885712</v>
      </c>
      <c r="O33">
        <v>55911.34</v>
      </c>
      <c r="P33">
        <v>17835.02</v>
      </c>
      <c r="Q33">
        <f>O33-P33</f>
        <v>38076.31999999999</v>
      </c>
      <c r="R33">
        <f>Q33/O33</f>
        <v>0.6810124743924935</v>
      </c>
      <c r="S33">
        <v>1120.27</v>
      </c>
      <c r="T33">
        <v>416.25</v>
      </c>
      <c r="U33">
        <f>S33-T33</f>
        <v>704.02</v>
      </c>
      <c r="V33">
        <f>U33/S33</f>
        <v>0.6284377873191285</v>
      </c>
      <c r="W33">
        <v>0.4</v>
      </c>
      <c r="X33">
        <f>(E33-K33-P33)/T33</f>
        <v>62.6246006006006</v>
      </c>
      <c r="Y33">
        <f>(D33-J33-O33)/S33</f>
        <v>61.5841822414239</v>
      </c>
      <c r="Z33">
        <f>(E33-K33-P33)/E33</f>
        <v>0.14800000000000002</v>
      </c>
      <c r="AA33">
        <f>SUM(D33-H33)/D33</f>
        <v>0.174</v>
      </c>
      <c r="AD33" t="str">
        <v>Materials calc for monthly claims</v>
      </c>
      <c r="AE33">
        <f>AI37</f>
        <v>26116.02000000002</v>
      </c>
      <c r="AH33">
        <f>SUM(T34-T33)</f>
        <v>0</v>
      </c>
      <c r="AI33">
        <f>SUM(K34-K33)</f>
        <v>0</v>
      </c>
    </row>
    <row r="34">
      <c r="C34" t="str">
        <v>Week 2</v>
      </c>
      <c r="D34">
        <v>396422.03</v>
      </c>
      <c r="E34">
        <v>176161.65</v>
      </c>
      <c r="F34">
        <v>220260.38000000003</v>
      </c>
      <c r="G34">
        <v>0.5556209376153994</v>
      </c>
      <c r="H34">
        <v>327431.12</v>
      </c>
      <c r="I34">
        <v>150094.16</v>
      </c>
      <c r="J34">
        <v>271519.78</v>
      </c>
      <c r="K34">
        <v>132259.14</v>
      </c>
      <c r="L34">
        <v>139260.64</v>
      </c>
      <c r="M34">
        <v>0.5128931674885712</v>
      </c>
      <c r="O34">
        <v>55911.34</v>
      </c>
      <c r="P34">
        <v>17835.02</v>
      </c>
      <c r="Q34">
        <v>38076.31999999999</v>
      </c>
      <c r="R34">
        <v>0.6810124743924935</v>
      </c>
      <c r="S34">
        <v>1120.27</v>
      </c>
      <c r="T34">
        <v>416.25</v>
      </c>
      <c r="U34">
        <v>704.02</v>
      </c>
      <c r="V34">
        <v>0.6284377873191285</v>
      </c>
      <c r="X34">
        <v>62.6246006006006</v>
      </c>
      <c r="Y34">
        <v>61.5841822414239</v>
      </c>
      <c r="Z34">
        <v>0.14800000000000002</v>
      </c>
      <c r="AA34">
        <v>0.174</v>
      </c>
      <c r="AH34">
        <f>SUM(T35-T34)</f>
        <v>0</v>
      </c>
      <c r="AI34">
        <f>SUM(K35-K34)</f>
        <v>0</v>
      </c>
    </row>
    <row r="35">
      <c r="C35" t="str">
        <v>Week 3</v>
      </c>
      <c r="AD35" t="str">
        <v>Estimated months claim</v>
      </c>
      <c r="AE35">
        <v>0</v>
      </c>
      <c r="AH35">
        <f>SUM(T36-T35)</f>
        <v>34.75</v>
      </c>
      <c r="AI35">
        <f>SUM(K36-K35)</f>
        <v>-1881.6699999999983</v>
      </c>
    </row>
    <row r="36">
      <c r="C36" t="str">
        <v>Week 4</v>
      </c>
      <c r="AH36">
        <f>SUM(T37-T36)</f>
        <v>12</v>
      </c>
      <c r="AI36">
        <f>SUM(K37-K36)</f>
        <v>21200.890000000014</v>
      </c>
    </row>
    <row r="37">
      <c r="C37" t="str">
        <v>Week 5</v>
      </c>
      <c r="AH37">
        <f>SUM(AH32,AH33,AH34,AH35,AH36)</f>
        <v>164.25</v>
      </c>
      <c r="AI37">
        <f>SUM(AI32,AI33,AI34,AI35,AI36)</f>
        <v>26116.02000000002</v>
      </c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>
        <v>128258.5</v>
      </c>
      <c r="E39">
        <v>25608.7</v>
      </c>
      <c r="F39">
        <f>D39-E39</f>
        <v>102649.8</v>
      </c>
      <c r="G39">
        <f>F39/D39</f>
        <v>0.8003352604310826</v>
      </c>
      <c r="H39">
        <v>94098.32</v>
      </c>
      <c r="I39">
        <v>21372.82</v>
      </c>
      <c r="J39">
        <f>SUM(H39-O39)</f>
        <v>69042.09000000001</v>
      </c>
      <c r="K39">
        <f>SUM(I39-P39)</f>
        <v>20997.98</v>
      </c>
      <c r="L39">
        <f>J39-K39</f>
        <v>48044.110000000015</v>
      </c>
      <c r="M39">
        <f>L39/J39</f>
        <v>0.6958669704234042</v>
      </c>
      <c r="N39">
        <v>0</v>
      </c>
      <c r="O39">
        <v>25056.23</v>
      </c>
      <c r="P39">
        <v>374.84</v>
      </c>
      <c r="Q39">
        <f>O39-P39</f>
        <v>24681.39</v>
      </c>
      <c r="R39">
        <f>Q39/O39</f>
        <v>0.9850400479242089</v>
      </c>
      <c r="S39">
        <v>501.83</v>
      </c>
      <c r="T39">
        <v>8</v>
      </c>
      <c r="U39">
        <f>S39-T39</f>
        <v>493.83</v>
      </c>
      <c r="V39">
        <f>U39/S39</f>
        <v>0.9840583464519858</v>
      </c>
      <c r="W39">
        <v>0.01</v>
      </c>
      <c r="X39">
        <f>(E39-K39-P39)/T39</f>
        <v>529.4850000000001</v>
      </c>
      <c r="Y39">
        <f>(D39-J39-O39)/S39</f>
        <v>68.07121933722574</v>
      </c>
      <c r="Z39">
        <f>(E39-K39-P39)/E39</f>
        <v>0.16540784967608668</v>
      </c>
      <c r="AA39">
        <f>SUM(D39-H39)/D39</f>
        <v>0.26633852727109697</v>
      </c>
      <c r="AD39" t="str">
        <v>Hours calc for monthly claims</v>
      </c>
      <c r="AE39">
        <f>AH44</f>
        <v>104</v>
      </c>
      <c r="AH39">
        <f>SUM(T40-T39)</f>
        <v>60.75</v>
      </c>
      <c r="AI39">
        <f>SUM(K40-K39)</f>
        <v>537.260000000002</v>
      </c>
    </row>
    <row r="40">
      <c r="C40" t="str">
        <v>Week 1</v>
      </c>
      <c r="D40">
        <v>128258.5</v>
      </c>
      <c r="E40">
        <v>36398.39</v>
      </c>
      <c r="F40">
        <f>D40-E40</f>
        <v>91860.11</v>
      </c>
      <c r="G40">
        <f>F40/D40</f>
        <v>0.7162106994858041</v>
      </c>
      <c r="H40">
        <v>94098.32</v>
      </c>
      <c r="I40">
        <v>35395.54</v>
      </c>
      <c r="J40">
        <f>SUM(H40-O40)</f>
        <v>69042.09000000001</v>
      </c>
      <c r="K40">
        <f>SUM(I40-P40)</f>
        <v>29132.06</v>
      </c>
      <c r="L40">
        <f>J40-K40</f>
        <v>39910.03000000001</v>
      </c>
      <c r="M40">
        <f>L40/J40</f>
        <v>0.5780536191763604</v>
      </c>
      <c r="O40">
        <v>25056.23</v>
      </c>
      <c r="P40">
        <v>6263.48</v>
      </c>
      <c r="Q40">
        <f>O40-P40</f>
        <v>18792.75</v>
      </c>
      <c r="R40">
        <f>Q40/O40</f>
        <v>0.7500230481600784</v>
      </c>
      <c r="S40">
        <v>501.83</v>
      </c>
      <c r="T40">
        <v>122.75</v>
      </c>
      <c r="U40">
        <f>S40-T40</f>
        <v>379.08</v>
      </c>
      <c r="V40">
        <f>U40/S40</f>
        <v>0.7553952533726561</v>
      </c>
      <c r="W40">
        <v>0.4</v>
      </c>
      <c r="X40">
        <f>(E40-K40-P40)/T40</f>
        <v>8.169857433808554</v>
      </c>
      <c r="Y40">
        <f>(D40-J40-O40)/S40</f>
        <v>68.07122423898531</v>
      </c>
      <c r="Z40">
        <f>(E40-K40-P40)/E40</f>
        <v>0.0276</v>
      </c>
      <c r="AA40">
        <f>SUM(D40-H40)/D40</f>
        <v>0.2663</v>
      </c>
      <c r="AD40" t="str">
        <v>Materials calc for monthly claims</v>
      </c>
      <c r="AE40">
        <f>AI44</f>
        <v>5849.48</v>
      </c>
      <c r="AH40">
        <f>SUM(T41-T40)</f>
        <v>0</v>
      </c>
      <c r="AI40">
        <f>SUM(K41-K40)</f>
        <v>0</v>
      </c>
    </row>
    <row r="41">
      <c r="C41" t="str">
        <v>Week 2</v>
      </c>
      <c r="D41">
        <v>128258.5</v>
      </c>
      <c r="E41">
        <v>36398.39</v>
      </c>
      <c r="F41">
        <v>91860.11</v>
      </c>
      <c r="G41">
        <v>0.7162106994858041</v>
      </c>
      <c r="H41">
        <v>94098.32</v>
      </c>
      <c r="I41">
        <v>35395.54</v>
      </c>
      <c r="J41">
        <v>69042.09000000001</v>
      </c>
      <c r="K41">
        <v>29132.06</v>
      </c>
      <c r="L41">
        <v>39910.03000000001</v>
      </c>
      <c r="M41">
        <v>0.5780536191763604</v>
      </c>
      <c r="O41">
        <v>25056.23</v>
      </c>
      <c r="P41">
        <v>6263.48</v>
      </c>
      <c r="Q41">
        <v>18792.75</v>
      </c>
      <c r="R41">
        <v>0.7500230481600784</v>
      </c>
      <c r="S41">
        <v>501.83</v>
      </c>
      <c r="T41">
        <v>122.75</v>
      </c>
      <c r="U41">
        <v>379.08</v>
      </c>
      <c r="V41">
        <v>0.7553952533726561</v>
      </c>
      <c r="X41">
        <v>8.169857433808554</v>
      </c>
      <c r="Y41">
        <v>68.07122423898531</v>
      </c>
      <c r="Z41">
        <v>0.0276</v>
      </c>
      <c r="AA41">
        <v>0.2663</v>
      </c>
      <c r="AH41">
        <f>SUM(T42-T41)</f>
        <v>0</v>
      </c>
      <c r="AI41">
        <f>SUM(K42-K41)</f>
        <v>0</v>
      </c>
    </row>
    <row r="42">
      <c r="C42" t="str">
        <v>Week 3</v>
      </c>
      <c r="AD42" t="str">
        <v>Estimated months claim</v>
      </c>
      <c r="AE42">
        <v>0</v>
      </c>
      <c r="AH42">
        <f>SUM(T43-T42)</f>
        <v>19.5</v>
      </c>
      <c r="AI42">
        <f>SUM(K43-K42)</f>
        <v>-3.637978807091713e-12</v>
      </c>
    </row>
    <row r="43">
      <c r="C43" t="str">
        <v>Week 4</v>
      </c>
      <c r="AH43">
        <f>SUM(T44-T43)</f>
        <v>23.75</v>
      </c>
      <c r="AI43">
        <f>SUM(K44-K43)</f>
        <v>5312.220000000001</v>
      </c>
    </row>
    <row r="44">
      <c r="C44" t="str">
        <v>Week 5</v>
      </c>
      <c r="AH44">
        <f>SUM(AH39,AH40,AH41,AH42,AH43)</f>
        <v>104</v>
      </c>
      <c r="AI44">
        <f>SUM(AI39,AI40,AI41,AI42,AI43)</f>
        <v>5849.48</v>
      </c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>
        <v>64305.21</v>
      </c>
      <c r="E46">
        <v>14477.41</v>
      </c>
      <c r="F46">
        <f>D46-E46</f>
        <v>49827.8</v>
      </c>
      <c r="G46">
        <f>F46/D46</f>
        <v>0.7748641206521214</v>
      </c>
      <c r="H46">
        <v>49749.48</v>
      </c>
      <c r="I46">
        <v>13531.4</v>
      </c>
      <c r="J46">
        <f>SUM(H46-O46)</f>
        <v>39151.4</v>
      </c>
      <c r="K46">
        <f>SUM(I46-P46)</f>
        <v>13232.43</v>
      </c>
      <c r="L46">
        <f>J46-K46</f>
        <v>25918.97</v>
      </c>
      <c r="M46">
        <f>L46/J46</f>
        <v>0.6620189827183702</v>
      </c>
      <c r="N46">
        <v>0</v>
      </c>
      <c r="O46">
        <v>10598.08</v>
      </c>
      <c r="P46">
        <v>298.97</v>
      </c>
      <c r="Q46">
        <f>O46-P46</f>
        <v>10299.11</v>
      </c>
      <c r="R46">
        <f>Q46/O46</f>
        <v>0.9717901733144118</v>
      </c>
      <c r="S46">
        <v>212.3</v>
      </c>
      <c r="T46">
        <v>6.5</v>
      </c>
      <c r="U46">
        <f>S46-T46</f>
        <v>205.8</v>
      </c>
      <c r="V46">
        <f>U46/S46</f>
        <v>0.96938294865756</v>
      </c>
      <c r="W46">
        <v>0.01</v>
      </c>
      <c r="X46">
        <f>(E46-K46-P46)/T46</f>
        <v>145.53999999999994</v>
      </c>
      <c r="Y46">
        <f>(D46-J46-O46)/S46</f>
        <v>68.56208195949127</v>
      </c>
      <c r="Z46">
        <f>(E46-K46-P46)/E46</f>
        <v>0.06534387020882876</v>
      </c>
      <c r="AA46">
        <f>SUM(D46-H46)/D46</f>
        <v>0.22635382109785498</v>
      </c>
      <c r="AD46" t="str">
        <v>Hours calc for monthly claims</v>
      </c>
      <c r="AE46">
        <f>AH51</f>
        <v>80.25</v>
      </c>
      <c r="AH46">
        <f>SUM(T47-T46)</f>
        <v>15.75</v>
      </c>
      <c r="AI46">
        <f>SUM(K47-K46)</f>
        <v>1065.1899999999987</v>
      </c>
    </row>
    <row r="47">
      <c r="C47" t="str">
        <v>Week 1</v>
      </c>
      <c r="D47">
        <v>65693.36</v>
      </c>
      <c r="E47">
        <v>25322.07</v>
      </c>
      <c r="F47">
        <f>D47-E47</f>
        <v>40371.29</v>
      </c>
      <c r="G47">
        <f>F47/D47</f>
        <v>0.6145414087512041</v>
      </c>
      <c r="H47">
        <v>50582.37</v>
      </c>
      <c r="I47">
        <v>21491.46</v>
      </c>
      <c r="J47">
        <f>SUM(H47-O47)</f>
        <v>39438.990000000005</v>
      </c>
      <c r="K47">
        <f>SUM(I47-P47)</f>
        <v>16895.879999999997</v>
      </c>
      <c r="L47">
        <f>J47-K47</f>
        <v>22543.110000000008</v>
      </c>
      <c r="M47">
        <f>L47/J47</f>
        <v>0.5715945058430757</v>
      </c>
      <c r="N47">
        <v>0</v>
      </c>
      <c r="O47">
        <v>11143.38</v>
      </c>
      <c r="P47">
        <v>4595.58</v>
      </c>
      <c r="Q47">
        <f>O47-P47</f>
        <v>6547.799999999999</v>
      </c>
      <c r="R47">
        <f>Q47/O47</f>
        <v>0.5875955051339898</v>
      </c>
      <c r="S47">
        <v>223.22</v>
      </c>
      <c r="T47">
        <v>100.25</v>
      </c>
      <c r="U47">
        <f>S47-T47</f>
        <v>122.97</v>
      </c>
      <c r="V47">
        <f>U47/S47</f>
        <v>0.5508914971776723</v>
      </c>
      <c r="W47">
        <v>0.4</v>
      </c>
      <c r="X47">
        <f>(E47-K47-P47)/T47</f>
        <v>38.21057356608479</v>
      </c>
      <c r="Y47">
        <f>(D47-J47-O47)/S47</f>
        <v>67.69550512136009</v>
      </c>
      <c r="Z47">
        <f>(E47-K47-P47)/E47</f>
        <v>0.15130000000000002</v>
      </c>
      <c r="AA47">
        <f>SUM(D47-H47)/D47</f>
        <v>0.23</v>
      </c>
      <c r="AD47" t="str">
        <v>Materials calc for monthly claims</v>
      </c>
      <c r="AE47">
        <f>AI51</f>
        <v>2406.619999999999</v>
      </c>
      <c r="AH47">
        <f>SUM(T48-T47)</f>
        <v>0</v>
      </c>
      <c r="AI47">
        <f>SUM(K48-K47)</f>
        <v>0</v>
      </c>
    </row>
    <row r="48">
      <c r="C48" t="str">
        <v>Week 2</v>
      </c>
      <c r="D48">
        <v>65693.36</v>
      </c>
      <c r="E48">
        <v>25322.07</v>
      </c>
      <c r="F48">
        <v>40371.29</v>
      </c>
      <c r="G48">
        <v>0.6145414087512041</v>
      </c>
      <c r="H48">
        <v>50582.37</v>
      </c>
      <c r="I48">
        <v>21491.46</v>
      </c>
      <c r="J48">
        <v>39438.990000000005</v>
      </c>
      <c r="K48">
        <v>16895.879999999997</v>
      </c>
      <c r="L48">
        <v>22543.110000000008</v>
      </c>
      <c r="M48">
        <v>0.5715945058430757</v>
      </c>
      <c r="O48">
        <v>11143.38</v>
      </c>
      <c r="P48">
        <v>4595.58</v>
      </c>
      <c r="Q48">
        <v>6547.799999999999</v>
      </c>
      <c r="R48">
        <v>0.5875955051339898</v>
      </c>
      <c r="S48">
        <v>223.22</v>
      </c>
      <c r="T48">
        <v>100.25</v>
      </c>
      <c r="U48">
        <v>122.97</v>
      </c>
      <c r="V48">
        <v>0.5508914971776723</v>
      </c>
      <c r="X48">
        <v>38.21057356608479</v>
      </c>
      <c r="Y48">
        <v>67.69550512136009</v>
      </c>
      <c r="Z48">
        <v>0.15130000000000002</v>
      </c>
      <c r="AA48">
        <v>0.23</v>
      </c>
      <c r="AH48">
        <f>SUM(T49-T48)</f>
        <v>0</v>
      </c>
      <c r="AI48">
        <f>SUM(K49-K48)</f>
        <v>0</v>
      </c>
    </row>
    <row r="49">
      <c r="C49" t="str">
        <v>Week 3</v>
      </c>
      <c r="AD49" t="str">
        <v>Estimated months claim</v>
      </c>
      <c r="AE49">
        <v>0</v>
      </c>
      <c r="AH49">
        <f>SUM(T50-T49)</f>
        <v>64.75</v>
      </c>
      <c r="AI49">
        <f>SUM(K50-K49)</f>
        <v>159.67000000000007</v>
      </c>
    </row>
    <row r="50">
      <c r="C50" t="str">
        <v>Week 4</v>
      </c>
      <c r="AH50">
        <f>SUM(T51-T50)</f>
        <v>-0.25</v>
      </c>
      <c r="AI50">
        <f>SUM(K51-K50)</f>
        <v>1181.7600000000002</v>
      </c>
    </row>
    <row r="51">
      <c r="C51" t="str">
        <v>Week 5</v>
      </c>
      <c r="AH51">
        <f>SUM(AH46,AH47,AH48,AH49,AH50)</f>
        <v>80.25</v>
      </c>
      <c r="AI51">
        <f>SUM(AI46,AI47,AI48,AI49,AI50)</f>
        <v>2406.619999999999</v>
      </c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>
        <v>146005.55</v>
      </c>
      <c r="E53">
        <v>61401.4</v>
      </c>
      <c r="F53">
        <f>D53-E53</f>
        <v>84604.15</v>
      </c>
      <c r="G53">
        <f>F53/D53</f>
        <v>0.5794584520930882</v>
      </c>
      <c r="H53">
        <v>103345.75</v>
      </c>
      <c r="I53">
        <v>52398.84</v>
      </c>
      <c r="J53">
        <f>SUM(H53-O53)</f>
        <v>71390.14</v>
      </c>
      <c r="K53">
        <f>SUM(I53-P53)</f>
        <v>50454.38</v>
      </c>
      <c r="L53">
        <f>J53-K53</f>
        <v>20935.760000000002</v>
      </c>
      <c r="M53">
        <f>L53/J53</f>
        <v>0.29325842476285946</v>
      </c>
      <c r="O53">
        <v>31955.61</v>
      </c>
      <c r="P53">
        <v>1944.46</v>
      </c>
      <c r="Q53">
        <f>O53-P53</f>
        <v>30011.15</v>
      </c>
      <c r="R53">
        <f>Q53/O53</f>
        <v>0.9391512163278999</v>
      </c>
      <c r="S53">
        <v>639.95</v>
      </c>
      <c r="T53">
        <v>38</v>
      </c>
      <c r="U53">
        <f>S53-T53</f>
        <v>601.95</v>
      </c>
      <c r="V53">
        <f>U53/S53</f>
        <v>0.9406203609657005</v>
      </c>
      <c r="W53">
        <v>0</v>
      </c>
      <c r="X53">
        <f>(E53-K53-P53)/T53</f>
        <v>236.90947368421067</v>
      </c>
      <c r="Y53">
        <f>(D53-J53-O53)/S53</f>
        <v>66.66114540198451</v>
      </c>
      <c r="Z53">
        <f>(E53-K53-P53)/E53</f>
        <v>0.14661815528636163</v>
      </c>
      <c r="AA53">
        <f>SUM(D53-H53)/D53</f>
        <v>0.2921793041428904</v>
      </c>
      <c r="AD53" t="str">
        <v>Hours calc for monthly claims</v>
      </c>
      <c r="AE53">
        <f>AH58</f>
        <v>231</v>
      </c>
      <c r="AH53">
        <f>SUM(T54-T53)</f>
        <v>132.5</v>
      </c>
      <c r="AI53">
        <f>SUM(K54-K53)</f>
        <v>8559.079999999994</v>
      </c>
    </row>
    <row r="54">
      <c r="C54" t="str">
        <v>Week 1</v>
      </c>
      <c r="D54">
        <v>154527.79</v>
      </c>
      <c r="E54">
        <v>98562.5</v>
      </c>
      <c r="F54">
        <f>D54-E54</f>
        <v>55965.29000000001</v>
      </c>
      <c r="G54">
        <f>F54/D54</f>
        <v>0.36216974306045535</v>
      </c>
      <c r="H54">
        <v>108880.28</v>
      </c>
      <c r="I54">
        <v>91409.03</v>
      </c>
      <c r="J54">
        <f>SUM(H54-O54)</f>
        <v>74953.01000000001</v>
      </c>
      <c r="K54">
        <f>SUM(I54-P54)</f>
        <v>72957.27</v>
      </c>
      <c r="L54">
        <f>J54-K54</f>
        <v>1995.7400000000052</v>
      </c>
      <c r="M54">
        <f>L54/J54</f>
        <v>0.026626549087221514</v>
      </c>
      <c r="O54">
        <v>33927.27</v>
      </c>
      <c r="P54">
        <v>18451.76</v>
      </c>
      <c r="Q54">
        <f>O54-P54</f>
        <v>15475.509999999998</v>
      </c>
      <c r="R54">
        <f>Q54/O54</f>
        <v>0.4561377912222233</v>
      </c>
      <c r="S54">
        <v>679.42</v>
      </c>
      <c r="T54">
        <v>386.5</v>
      </c>
      <c r="U54">
        <f>S54-T54</f>
        <v>292.91999999999996</v>
      </c>
      <c r="V54">
        <f>U54/S54</f>
        <v>0.43113243648994726</v>
      </c>
      <c r="W54">
        <v>0.3</v>
      </c>
      <c r="X54">
        <f>(E54-K54-P54)/T54</f>
        <v>18.508331177231565</v>
      </c>
      <c r="Y54">
        <f>(D54-J54-O54)/S54</f>
        <v>67.18600078134293</v>
      </c>
      <c r="Z54">
        <f>(E54-K54-P54)/E54</f>
        <v>0.0726</v>
      </c>
      <c r="AA54">
        <f>SUM(D54-H54)/D54</f>
        <v>0.2954</v>
      </c>
      <c r="AD54" t="str">
        <v>Materials calc for monthly claims</v>
      </c>
      <c r="AE54">
        <f>AI58</f>
        <v>15945.500000000007</v>
      </c>
      <c r="AH54">
        <f>SUM(T55-T54)</f>
        <v>0</v>
      </c>
      <c r="AI54">
        <f>SUM(K55-K54)</f>
        <v>0</v>
      </c>
    </row>
    <row r="55">
      <c r="C55" t="str">
        <v>Week 2</v>
      </c>
      <c r="D55">
        <v>154527.79</v>
      </c>
      <c r="E55">
        <v>98562.5</v>
      </c>
      <c r="F55">
        <v>55965.29000000001</v>
      </c>
      <c r="G55">
        <v>0.36216974306045535</v>
      </c>
      <c r="H55">
        <v>108880.28</v>
      </c>
      <c r="I55">
        <v>91409.03</v>
      </c>
      <c r="J55">
        <v>74953.01000000001</v>
      </c>
      <c r="K55">
        <v>72957.27</v>
      </c>
      <c r="L55">
        <v>1995.7400000000052</v>
      </c>
      <c r="M55">
        <v>0.026626549087221514</v>
      </c>
      <c r="O55">
        <v>33927.27</v>
      </c>
      <c r="P55">
        <v>18451.76</v>
      </c>
      <c r="Q55">
        <v>15475.509999999998</v>
      </c>
      <c r="R55">
        <v>0.4561377912222233</v>
      </c>
      <c r="S55">
        <v>679.42</v>
      </c>
      <c r="T55">
        <v>386.5</v>
      </c>
      <c r="U55">
        <v>292.91999999999996</v>
      </c>
      <c r="V55">
        <v>0.43113243648994726</v>
      </c>
      <c r="X55">
        <v>18.508331177231565</v>
      </c>
      <c r="Y55">
        <v>67.18600078134293</v>
      </c>
      <c r="Z55">
        <v>0.0726</v>
      </c>
      <c r="AA55">
        <v>0.2954</v>
      </c>
      <c r="AH55">
        <f>SUM(T56-T55)</f>
        <v>0</v>
      </c>
      <c r="AI55">
        <f>SUM(K56-K55)</f>
        <v>0</v>
      </c>
    </row>
    <row r="56">
      <c r="C56" t="str">
        <v>Week 3</v>
      </c>
      <c r="AD56" t="str">
        <v>Estimated months claim</v>
      </c>
      <c r="AE56">
        <v>0</v>
      </c>
      <c r="AH56">
        <f>SUM(T57-T56)</f>
        <v>72.25</v>
      </c>
      <c r="AI56">
        <f>SUM(K57-K56)</f>
        <v>4493.62000000001</v>
      </c>
    </row>
    <row r="57">
      <c r="C57" t="str">
        <v>Week 4</v>
      </c>
      <c r="AH57">
        <f>SUM(T58-T57)</f>
        <v>26.25</v>
      </c>
      <c r="AI57">
        <f>SUM(K58-K57)</f>
        <v>2892.800000000003</v>
      </c>
    </row>
    <row r="58">
      <c r="C58" t="str">
        <v>Week 5</v>
      </c>
      <c r="AH58">
        <f>SUM(AH53,AH54,AH55,AH56,AH57)</f>
        <v>231</v>
      </c>
      <c r="AI58">
        <f>SUM(AI53,AI54,AI55,AI56,AI57)</f>
        <v>15945.500000000007</v>
      </c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>
        <v>20420.56</v>
      </c>
      <c r="F60">
        <f>D60-E60</f>
        <v>20420.56</v>
      </c>
      <c r="G60">
        <f>F60/D60</f>
        <v>1</v>
      </c>
      <c r="H60">
        <v>15859.68</v>
      </c>
      <c r="I60">
        <v>0</v>
      </c>
      <c r="J60">
        <f>SUM(H60-O60)</f>
        <v>12689.1</v>
      </c>
      <c r="K60">
        <f>SUM(I60-P60)</f>
        <v>0</v>
      </c>
      <c r="L60">
        <f>J60-K60</f>
        <v>12689.1</v>
      </c>
      <c r="M60">
        <f>L60/J60</f>
        <v>1</v>
      </c>
      <c r="O60">
        <v>3170.58</v>
      </c>
      <c r="P60">
        <v>0</v>
      </c>
      <c r="Q60">
        <f>O60-P60</f>
        <v>3170.58</v>
      </c>
      <c r="R60">
        <f>Q60/O60</f>
        <v>1</v>
      </c>
      <c r="S60">
        <v>63.5</v>
      </c>
      <c r="T60">
        <v>0</v>
      </c>
      <c r="U60">
        <f>S60-T60</f>
        <v>63.5</v>
      </c>
      <c r="V60">
        <f>U60/S60</f>
        <v>1</v>
      </c>
      <c r="X60" t="e">
        <f>(E60-K60-P60)/T60</f>
        <v>#DIV/0!</v>
      </c>
      <c r="Y60">
        <f>(D60-J60-O60)/S60</f>
        <v>71.8248818897638</v>
      </c>
      <c r="Z60" t="e">
        <f>(E60-K60-P60)/E60</f>
        <v>#DIV/0!</v>
      </c>
      <c r="AA60">
        <f>SUM(D60-H60)/D60</f>
        <v>0.2233474498250783</v>
      </c>
      <c r="AD60" t="str">
        <v>Hours calc for monthly claims</v>
      </c>
      <c r="AE60">
        <f>AH65</f>
        <v>26.75</v>
      </c>
      <c r="AH60">
        <f>SUM(T61-T60)</f>
        <v>26.75</v>
      </c>
      <c r="AI60">
        <f>SUM(K61-K60)</f>
        <v>1454.9800000000002</v>
      </c>
    </row>
    <row r="61">
      <c r="C61" t="str">
        <v>Week 1</v>
      </c>
      <c r="D61">
        <v>20420.56</v>
      </c>
      <c r="E61">
        <v>16358.37</v>
      </c>
      <c r="F61">
        <f>D61-E61</f>
        <v>4062.1900000000005</v>
      </c>
      <c r="G61">
        <f>F61/D61</f>
        <v>0.19892647410257114</v>
      </c>
      <c r="H61">
        <v>15859.68</v>
      </c>
      <c r="I61">
        <v>12992.52</v>
      </c>
      <c r="J61">
        <f>SUM(H61-O61)</f>
        <v>12689.1</v>
      </c>
      <c r="K61">
        <f>SUM(I61-P61)</f>
        <v>11685.130000000001</v>
      </c>
      <c r="L61">
        <f>J61-K61</f>
        <v>1003.9699999999993</v>
      </c>
      <c r="M61">
        <f>L61/J61</f>
        <v>0.07912066261594591</v>
      </c>
      <c r="O61">
        <v>3170.58</v>
      </c>
      <c r="P61">
        <v>1307.39</v>
      </c>
      <c r="Q61">
        <f>O61-P61</f>
        <v>1863.1899999999998</v>
      </c>
      <c r="R61">
        <f>Q61/O61</f>
        <v>0.587649578310593</v>
      </c>
      <c r="S61">
        <v>63.5</v>
      </c>
      <c r="T61">
        <v>33.25</v>
      </c>
      <c r="U61">
        <f>S61-T61</f>
        <v>30.25</v>
      </c>
      <c r="V61">
        <f>U61/S61</f>
        <v>0.4763779527559055</v>
      </c>
      <c r="W61">
        <v>0.4</v>
      </c>
      <c r="X61">
        <f>(E61-K61-P61)/T61</f>
        <v>101.22857142857143</v>
      </c>
      <c r="Y61">
        <f>(D61-J61-O61)/S61</f>
        <v>71.82495570677168</v>
      </c>
      <c r="Z61">
        <f>(E61-K61-P61)/E61</f>
        <v>0.20579999999999998</v>
      </c>
      <c r="AA61">
        <f>SUM(D61-H61)/D61</f>
        <v>0.2233</v>
      </c>
      <c r="AD61" t="str">
        <v>Materials calc for monthly claims</v>
      </c>
      <c r="AE61">
        <f>AI65</f>
        <v>11159.14</v>
      </c>
      <c r="AH61">
        <f>SUM(T62-T61)</f>
        <v>0</v>
      </c>
      <c r="AI61">
        <f>SUM(K62-K61)</f>
        <v>0</v>
      </c>
    </row>
    <row r="62">
      <c r="C62" t="str">
        <v>Week 2</v>
      </c>
      <c r="D62">
        <v>20420.56</v>
      </c>
      <c r="E62">
        <v>16358.37</v>
      </c>
      <c r="F62">
        <v>4062.1900000000005</v>
      </c>
      <c r="G62">
        <v>0.19892647410257114</v>
      </c>
      <c r="H62">
        <v>15859.68</v>
      </c>
      <c r="I62">
        <v>12992.52</v>
      </c>
      <c r="J62">
        <v>12689.1</v>
      </c>
      <c r="K62">
        <v>11685.130000000001</v>
      </c>
      <c r="L62">
        <v>1003.9699999999993</v>
      </c>
      <c r="M62">
        <v>0.07912066261594591</v>
      </c>
      <c r="O62">
        <v>3170.58</v>
      </c>
      <c r="P62">
        <v>1307.39</v>
      </c>
      <c r="Q62">
        <v>1863.1899999999998</v>
      </c>
      <c r="R62">
        <v>0.587649578310593</v>
      </c>
      <c r="S62">
        <v>63.5</v>
      </c>
      <c r="T62">
        <v>33.25</v>
      </c>
      <c r="U62">
        <v>30.25</v>
      </c>
      <c r="V62">
        <v>0.4763779527559055</v>
      </c>
      <c r="X62">
        <v>101.22857142857143</v>
      </c>
      <c r="Y62">
        <v>71.82495570677168</v>
      </c>
      <c r="Z62">
        <v>0.20579999999999998</v>
      </c>
      <c r="AA62">
        <v>0.2233</v>
      </c>
      <c r="AH62">
        <f>SUM(T63-T62)</f>
        <v>0</v>
      </c>
      <c r="AI62">
        <f>SUM(K63-K62)</f>
        <v>0</v>
      </c>
    </row>
    <row r="63">
      <c r="C63" t="str">
        <v>Week 3</v>
      </c>
      <c r="AD63" t="str">
        <v>Estimated months claim</v>
      </c>
      <c r="AE63">
        <v>0</v>
      </c>
      <c r="AH63">
        <f>SUM(T64-T63)</f>
        <v>0</v>
      </c>
      <c r="AI63">
        <f>SUM(K64-K63)</f>
        <v>0</v>
      </c>
    </row>
    <row r="64">
      <c r="C64" t="str">
        <v>Week 4</v>
      </c>
      <c r="AH64">
        <f>SUM(T65-T64)</f>
        <v>0</v>
      </c>
      <c r="AI64">
        <f>SUM(K65-K64)</f>
        <v>9704.16</v>
      </c>
    </row>
    <row r="65">
      <c r="C65" t="str">
        <v>Week 5</v>
      </c>
      <c r="AH65">
        <f>SUM(AH60,AH61,AH62,AH63,AH64)</f>
        <v>26.75</v>
      </c>
      <c r="AI65">
        <f>SUM(AI60,AI61,AI62,AI63,AI64)</f>
        <v>11159.14</v>
      </c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>
        <v>46303.5</v>
      </c>
      <c r="E67">
        <v>6131.46</v>
      </c>
      <c r="F67">
        <f>D67-E67</f>
        <v>40172.04</v>
      </c>
      <c r="G67">
        <f>F67/D67</f>
        <v>0.8675810683857592</v>
      </c>
      <c r="H67">
        <v>34612.41</v>
      </c>
      <c r="I67">
        <v>5397.27</v>
      </c>
      <c r="J67">
        <f>SUM(H67-O67)</f>
        <v>26584.530000000002</v>
      </c>
      <c r="K67">
        <f>SUM(I67-P67)</f>
        <v>5397.27</v>
      </c>
      <c r="L67">
        <f>J67-K67</f>
        <v>21187.260000000002</v>
      </c>
      <c r="M67">
        <f>L67/J67</f>
        <v>0.7969770389019478</v>
      </c>
      <c r="O67">
        <v>8027.88</v>
      </c>
      <c r="P67">
        <v>0</v>
      </c>
      <c r="Q67">
        <f>O67-P67</f>
        <v>8027.88</v>
      </c>
      <c r="R67">
        <f>Q67/O67</f>
        <v>1</v>
      </c>
      <c r="S67">
        <v>160.82</v>
      </c>
      <c r="T67">
        <v>0</v>
      </c>
      <c r="U67">
        <f>S67-T67</f>
        <v>160.82</v>
      </c>
      <c r="V67">
        <f>U67/S67</f>
        <v>1</v>
      </c>
      <c r="X67" t="e">
        <f>(E67-K67-P67)/T67</f>
        <v>#DIV/0!</v>
      </c>
      <c r="Y67">
        <f>(D67-J67-O67)/S67</f>
        <v>72.69674169879366</v>
      </c>
      <c r="Z67">
        <f>(E67-K67-P67)/E67</f>
        <v>0.11974146451253039</v>
      </c>
      <c r="AA67">
        <f>SUM(D67-H67)/D67</f>
        <v>0.25248825682723763</v>
      </c>
      <c r="AD67" t="str">
        <v>Hours calc for monthly claims</v>
      </c>
      <c r="AE67">
        <f>AH72</f>
        <v>0</v>
      </c>
      <c r="AH67">
        <f>SUM(T68-T67)</f>
        <v>0</v>
      </c>
      <c r="AI67">
        <f>SUM(K68-K67)</f>
        <v>0</v>
      </c>
    </row>
    <row r="68">
      <c r="C68" t="str">
        <v>Week 1</v>
      </c>
      <c r="D68">
        <v>46303.5</v>
      </c>
      <c r="E68">
        <v>6131.46</v>
      </c>
      <c r="F68">
        <f>D68-E68</f>
        <v>40172.04</v>
      </c>
      <c r="G68">
        <f>F68/D68</f>
        <v>0.8675810683857592</v>
      </c>
      <c r="H68">
        <v>34612.41</v>
      </c>
      <c r="I68">
        <v>9981.43</v>
      </c>
      <c r="J68">
        <f>SUM(H68-O68)</f>
        <v>26584.530000000002</v>
      </c>
      <c r="K68">
        <f>SUM(I68-P68)</f>
        <v>9832.65</v>
      </c>
      <c r="L68">
        <f>J68-K68</f>
        <v>16751.880000000005</v>
      </c>
      <c r="M68">
        <f>L68/J68</f>
        <v>0.6301363988755868</v>
      </c>
      <c r="O68">
        <v>8027.88</v>
      </c>
      <c r="P68">
        <v>148.78</v>
      </c>
      <c r="Q68">
        <f>O68-P68</f>
        <v>7879.1</v>
      </c>
      <c r="R68">
        <f>Q68/O68</f>
        <v>0.9814670872011042</v>
      </c>
      <c r="S68">
        <v>160.82</v>
      </c>
      <c r="T68">
        <v>2.75</v>
      </c>
      <c r="U68">
        <f>S68-T68</f>
        <v>158.07</v>
      </c>
      <c r="V68">
        <f>U68/S68</f>
        <v>0.9829001367989056</v>
      </c>
      <c r="X68">
        <f>(E68-K68-P68)/T68</f>
        <v>-1399.989090909091</v>
      </c>
      <c r="Y68">
        <f>(D68-J68-O68)/S68</f>
        <v>72.69676349334662</v>
      </c>
      <c r="Z68">
        <f>(E68-K68-P68)/E68</f>
        <v>-0.6279</v>
      </c>
      <c r="AA68">
        <f>SUM(D68-H68)/D68</f>
        <v>0.2525</v>
      </c>
      <c r="AD68" t="str">
        <v>Materials calc for monthly claims</v>
      </c>
      <c r="AE68">
        <f>AI72</f>
        <v>0</v>
      </c>
      <c r="AH68">
        <f>SUM(T69-T68)</f>
        <v>0</v>
      </c>
      <c r="AI68">
        <f>SUM(K69-K68)</f>
        <v>0</v>
      </c>
    </row>
    <row r="69">
      <c r="C69" t="str">
        <v>Week 2</v>
      </c>
      <c r="D69">
        <v>46303.5</v>
      </c>
      <c r="E69">
        <v>6131.46</v>
      </c>
      <c r="F69">
        <v>40172.04</v>
      </c>
      <c r="G69">
        <v>0.8675810683857592</v>
      </c>
      <c r="H69">
        <v>34612.41</v>
      </c>
      <c r="I69">
        <v>9981.43</v>
      </c>
      <c r="J69">
        <v>26584.530000000002</v>
      </c>
      <c r="K69">
        <v>9832.65</v>
      </c>
      <c r="L69">
        <v>16751.880000000005</v>
      </c>
      <c r="M69">
        <v>0.6301363988755868</v>
      </c>
      <c r="O69">
        <v>8027.88</v>
      </c>
      <c r="P69">
        <v>148.78</v>
      </c>
      <c r="Q69">
        <v>7879.1</v>
      </c>
      <c r="R69">
        <v>0.9814670872011042</v>
      </c>
      <c r="S69">
        <v>160.82</v>
      </c>
      <c r="T69">
        <v>2.75</v>
      </c>
      <c r="U69">
        <v>158.07</v>
      </c>
      <c r="V69">
        <v>0.9829001367989056</v>
      </c>
      <c r="X69">
        <v>-1399.989090909091</v>
      </c>
      <c r="Y69">
        <v>72.69676349334662</v>
      </c>
      <c r="Z69">
        <v>-0.6279</v>
      </c>
      <c r="AA69">
        <v>0.2525</v>
      </c>
      <c r="AH69">
        <f>SUM(T70-T69)</f>
        <v>0</v>
      </c>
      <c r="AI69">
        <f>SUM(K70-K69)</f>
        <v>0</v>
      </c>
    </row>
    <row r="70">
      <c r="C70" t="str">
        <v>Week 3</v>
      </c>
      <c r="AD70" t="str">
        <v>Estimated months claim</v>
      </c>
      <c r="AE70">
        <v>0</v>
      </c>
      <c r="AH70">
        <f>SUM(T71-T70)</f>
        <v>0</v>
      </c>
      <c r="AI70">
        <f>SUM(K71-K70)</f>
        <v>0</v>
      </c>
    </row>
    <row r="71">
      <c r="C71" t="str">
        <v>Week 4</v>
      </c>
      <c r="AH71">
        <f>SUM(T72-T71)</f>
        <v>0</v>
      </c>
      <c r="AI71">
        <f>SUM(K72-K71)</f>
        <v>0</v>
      </c>
    </row>
    <row r="72">
      <c r="C72" t="str">
        <v>Week 5</v>
      </c>
      <c r="AH72">
        <f>SUM(AH67,AH68,AH69,AH70,AH71)</f>
        <v>0</v>
      </c>
      <c r="AI72">
        <f>SUM(AI67,AI68,AI69,AI70,AI71)</f>
        <v>0</v>
      </c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F74">
        <f>D74-E74</f>
        <v>0</v>
      </c>
      <c r="G74" t="e">
        <f>F74/D74</f>
        <v>#DIV/0!</v>
      </c>
      <c r="J74">
        <f>SUM(H74-O74)</f>
        <v>0</v>
      </c>
      <c r="K74">
        <f>SUM(I74-P74)</f>
        <v>0</v>
      </c>
      <c r="L74">
        <f>J74-K74</f>
        <v>0</v>
      </c>
      <c r="M74" t="e">
        <f>L74/J74</f>
        <v>#DIV/0!</v>
      </c>
      <c r="Q74">
        <f>O74-P74</f>
        <v>0</v>
      </c>
      <c r="R74" t="e">
        <f>Q74/O74</f>
        <v>#DIV/0!</v>
      </c>
      <c r="S74">
        <v>470.3</v>
      </c>
      <c r="U74">
        <f>S74-T74</f>
        <v>470.3</v>
      </c>
      <c r="V74">
        <f>U74/S74</f>
        <v>1</v>
      </c>
      <c r="W74">
        <v>0</v>
      </c>
      <c r="X74" t="e">
        <f>(E74-K74-P74)/T74</f>
        <v>#DIV/0!</v>
      </c>
      <c r="Y74">
        <f>(D74-J74-O74)/S74</f>
        <v>0</v>
      </c>
      <c r="Z74" t="e">
        <f>(E74-K74-P74)/E74</f>
        <v>#DIV/0!</v>
      </c>
      <c r="AA74" t="e">
        <f>SUM(D74-H74)/D74</f>
        <v>#DIV/0!</v>
      </c>
      <c r="AD74" t="str">
        <v>Hours calc for monthly claims</v>
      </c>
      <c r="AE74">
        <f>AH79</f>
        <v>0</v>
      </c>
      <c r="AH74">
        <f>SUM(T75-T74)</f>
        <v>0</v>
      </c>
      <c r="AI74">
        <f>SUM(K75-K74)</f>
        <v>0</v>
      </c>
    </row>
    <row r="75">
      <c r="C75" t="str">
        <v>Week 1</v>
      </c>
      <c r="D75">
        <v>77166.16</v>
      </c>
      <c r="E75">
        <v>0</v>
      </c>
      <c r="F75">
        <f>D75-E75</f>
        <v>77166.16</v>
      </c>
      <c r="G75">
        <f>F75/D75</f>
        <v>1</v>
      </c>
      <c r="H75">
        <v>54302.66</v>
      </c>
      <c r="I75">
        <v>12474.95</v>
      </c>
      <c r="J75">
        <f>SUM(H75-O75)</f>
        <v>31383.390000000003</v>
      </c>
      <c r="K75">
        <f>SUM(I75-P75)</f>
        <v>12474.95</v>
      </c>
      <c r="L75">
        <f>J75-K75</f>
        <v>18908.440000000002</v>
      </c>
      <c r="M75">
        <f>L75/J75</f>
        <v>0.6024983279371667</v>
      </c>
      <c r="O75">
        <v>22919.27</v>
      </c>
      <c r="P75">
        <v>0</v>
      </c>
      <c r="Q75">
        <f>O75-P75</f>
        <v>22919.27</v>
      </c>
      <c r="R75">
        <f>Q75/O75</f>
        <v>1</v>
      </c>
      <c r="S75">
        <v>470.62</v>
      </c>
      <c r="T75">
        <v>0</v>
      </c>
      <c r="U75">
        <f>S75-T75</f>
        <v>470.62</v>
      </c>
      <c r="V75">
        <f>U75/S75</f>
        <v>1</v>
      </c>
      <c r="W75">
        <v>0</v>
      </c>
      <c r="X75">
        <f>(E75-K75-P75)/T75</f>
        <v>0</v>
      </c>
      <c r="Y75">
        <f>(D75-J75-O75)/S75</f>
        <v>48.58165977967362</v>
      </c>
      <c r="Z75">
        <f>(E75-K75-P75)/E75</f>
        <v>0</v>
      </c>
      <c r="AA75">
        <f>SUM(D75-H75)/D75</f>
        <v>0.2963</v>
      </c>
      <c r="AD75" t="str">
        <v>Materials calc for monthly claims</v>
      </c>
      <c r="AE75">
        <f>AI79</f>
        <v>0</v>
      </c>
      <c r="AH75">
        <f>SUM(T76-T75)</f>
        <v>0</v>
      </c>
      <c r="AI75">
        <f>SUM(K76-K75)</f>
        <v>0</v>
      </c>
    </row>
    <row r="76">
      <c r="C76" t="str">
        <v>Week 2</v>
      </c>
      <c r="D76">
        <v>77166.16</v>
      </c>
      <c r="E76">
        <v>0</v>
      </c>
      <c r="F76">
        <v>77166.16</v>
      </c>
      <c r="G76">
        <v>1</v>
      </c>
      <c r="H76">
        <v>54302.66</v>
      </c>
      <c r="I76">
        <v>12474.95</v>
      </c>
      <c r="J76">
        <v>31383.390000000003</v>
      </c>
      <c r="K76">
        <v>12474.95</v>
      </c>
      <c r="L76">
        <v>18908.440000000002</v>
      </c>
      <c r="M76">
        <v>0.6024983279371667</v>
      </c>
      <c r="O76">
        <v>22919.27</v>
      </c>
      <c r="P76">
        <v>0</v>
      </c>
      <c r="Q76">
        <v>22919.27</v>
      </c>
      <c r="R76">
        <v>1</v>
      </c>
      <c r="S76">
        <v>470.62</v>
      </c>
      <c r="T76">
        <v>0</v>
      </c>
      <c r="U76">
        <v>470.62</v>
      </c>
      <c r="V76">
        <v>1</v>
      </c>
      <c r="X76">
        <v>0</v>
      </c>
      <c r="Y76">
        <v>48.58165977967362</v>
      </c>
      <c r="Z76">
        <v>0</v>
      </c>
      <c r="AA76">
        <v>0.2963</v>
      </c>
      <c r="AH76">
        <f>SUM(T77-T76)</f>
        <v>0</v>
      </c>
      <c r="AI76">
        <f>SUM(K77-K76)</f>
        <v>0</v>
      </c>
    </row>
    <row r="77">
      <c r="C77" t="str">
        <v>Week 3</v>
      </c>
      <c r="AD77" t="str">
        <v>Estimated months claim</v>
      </c>
      <c r="AE77">
        <v>0</v>
      </c>
      <c r="AH77">
        <f>SUM(T78-T77)</f>
        <v>0</v>
      </c>
      <c r="AI77">
        <f>SUM(K78-K77)</f>
        <v>0</v>
      </c>
    </row>
    <row r="78">
      <c r="C78" t="str">
        <v>Week 4</v>
      </c>
      <c r="AH78">
        <f>SUM(T79-T78)</f>
        <v>0</v>
      </c>
      <c r="AI78">
        <f>SUM(K79-K78)</f>
        <v>0</v>
      </c>
    </row>
    <row r="79">
      <c r="C79" t="str">
        <v>Week 5</v>
      </c>
      <c r="AH79">
        <f>SUM(AH74,AH75,AH76,AH77,AH78)</f>
        <v>0</v>
      </c>
      <c r="AI79">
        <f>SUM(AI74,AI75,AI76,AI77,AI78)</f>
        <v>0</v>
      </c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>
        <v>25467.84</v>
      </c>
      <c r="E81">
        <v>13740.86</v>
      </c>
      <c r="F81">
        <f>D81-E81</f>
        <v>11726.98</v>
      </c>
      <c r="G81">
        <f>F81/D81</f>
        <v>0.4604622928367698</v>
      </c>
      <c r="H81">
        <v>16606.83</v>
      </c>
      <c r="I81">
        <v>11056.14</v>
      </c>
      <c r="J81">
        <f>SUM(H81-O81)</f>
        <v>9659.990000000002</v>
      </c>
      <c r="K81">
        <f>SUM(I81-P81)</f>
        <v>6525.889999999999</v>
      </c>
      <c r="L81">
        <f>J81-K81</f>
        <v>3134.100000000002</v>
      </c>
      <c r="M81">
        <f>L81/J81</f>
        <v>0.32444132964940975</v>
      </c>
      <c r="N81">
        <v>0</v>
      </c>
      <c r="O81">
        <v>6946.84</v>
      </c>
      <c r="P81">
        <v>4530.25</v>
      </c>
      <c r="Q81">
        <f>O81-P81</f>
        <v>2416.59</v>
      </c>
      <c r="R81">
        <f>Q81/O81</f>
        <v>0.3478689591238606</v>
      </c>
      <c r="S81">
        <v>139.07</v>
      </c>
      <c r="T81">
        <v>89</v>
      </c>
      <c r="U81">
        <f>S81-T81</f>
        <v>50.06999999999999</v>
      </c>
      <c r="V81">
        <f>U81/S81</f>
        <v>0.3600345149924498</v>
      </c>
      <c r="W81">
        <v>0</v>
      </c>
      <c r="X81">
        <f>(E81-K81-P81)/T81</f>
        <v>30.16539325842698</v>
      </c>
      <c r="Y81">
        <f>(D81-J81-O81)/S81</f>
        <v>63.71618609333429</v>
      </c>
      <c r="Z81">
        <f>(E81-K81-P81)/E81</f>
        <v>0.19538223953959222</v>
      </c>
      <c r="AA81">
        <f>SUM(D81-H81)/D81</f>
        <v>0.3479293885936145</v>
      </c>
      <c r="AD81" t="str">
        <v>Hours calc for monthly claims</v>
      </c>
      <c r="AE81">
        <f>AH86</f>
        <v>54.25</v>
      </c>
      <c r="AH81">
        <f>SUM(T82-T81)</f>
        <v>22.5</v>
      </c>
      <c r="AI81">
        <f>SUM(K82-K81)</f>
        <v>113.97000000000116</v>
      </c>
    </row>
    <row r="82">
      <c r="C82" t="str">
        <v>Week 1</v>
      </c>
      <c r="D82">
        <v>25467.84</v>
      </c>
      <c r="E82">
        <v>19598.41</v>
      </c>
      <c r="F82">
        <f>D82-E82</f>
        <v>5869.43</v>
      </c>
      <c r="G82">
        <f>F82/D82</f>
        <v>0.2304643817457625</v>
      </c>
      <c r="H82">
        <v>16606.83</v>
      </c>
      <c r="I82">
        <v>12729.14</v>
      </c>
      <c r="J82">
        <f>SUM(H82-O82)</f>
        <v>9659.990000000002</v>
      </c>
      <c r="K82">
        <f>SUM(I82-P82)</f>
        <v>5354.119999999999</v>
      </c>
      <c r="L82">
        <f>J82-K82</f>
        <v>4305.870000000003</v>
      </c>
      <c r="M82">
        <f>L82/J82</f>
        <v>0.44574269745620876</v>
      </c>
      <c r="N82">
        <v>0</v>
      </c>
      <c r="O82">
        <v>6946.84</v>
      </c>
      <c r="P82">
        <v>7375.02</v>
      </c>
      <c r="Q82">
        <f>O82-P82</f>
        <v>-428.1800000000003</v>
      </c>
      <c r="R82">
        <f>Q82/O82</f>
        <v>-0.061636657818518965</v>
      </c>
      <c r="S82">
        <v>139.07</v>
      </c>
      <c r="T82">
        <v>143.25</v>
      </c>
      <c r="U82">
        <f>S82-T82</f>
        <v>-4.180000000000007</v>
      </c>
      <c r="V82">
        <f>U82/S82</f>
        <v>-0.030056805925073756</v>
      </c>
      <c r="X82">
        <f>(E82-K82-P82)/T82</f>
        <v>47.95301919720768</v>
      </c>
      <c r="Y82">
        <f>(D82-J82-O82)/S82</f>
        <v>63.7162162306752</v>
      </c>
      <c r="Z82">
        <f>(E82-K82-P82)/E82</f>
        <v>0.3505</v>
      </c>
      <c r="AA82">
        <f>SUM(D82-H82)/D82</f>
        <v>0.3479</v>
      </c>
      <c r="AD82" t="str">
        <v>Materials calc for monthly claims</v>
      </c>
      <c r="AE82">
        <f>AI86</f>
        <v>-956.4099999999999</v>
      </c>
      <c r="AH82">
        <f>SUM(T83-T82)</f>
        <v>23.5</v>
      </c>
      <c r="AI82">
        <f>SUM(K83-K82)</f>
        <v>-1113.13</v>
      </c>
    </row>
    <row r="83">
      <c r="C83" t="str">
        <v>Week 2</v>
      </c>
      <c r="D83">
        <v>25467.84</v>
      </c>
      <c r="E83">
        <v>19598.41</v>
      </c>
      <c r="F83">
        <v>5869.43</v>
      </c>
      <c r="G83">
        <v>0.2304643817457625</v>
      </c>
      <c r="H83">
        <v>16606.83</v>
      </c>
      <c r="I83">
        <v>12729.14</v>
      </c>
      <c r="J83">
        <v>9659.990000000002</v>
      </c>
      <c r="K83">
        <v>5354.119999999999</v>
      </c>
      <c r="L83">
        <v>4305.870000000003</v>
      </c>
      <c r="M83">
        <v>0.44574269745620876</v>
      </c>
      <c r="O83">
        <v>6946.84</v>
      </c>
      <c r="P83">
        <v>7375.02</v>
      </c>
      <c r="Q83">
        <v>-428.1800000000003</v>
      </c>
      <c r="R83">
        <v>-0.061636657818518965</v>
      </c>
      <c r="S83">
        <v>139.07</v>
      </c>
      <c r="T83">
        <v>143.25</v>
      </c>
      <c r="U83">
        <v>-4.180000000000007</v>
      </c>
      <c r="V83">
        <v>-0.030056805925073756</v>
      </c>
      <c r="X83">
        <v>47.95301919720768</v>
      </c>
      <c r="Y83">
        <v>63.7162162306752</v>
      </c>
      <c r="Z83">
        <v>0.3505</v>
      </c>
      <c r="AA83">
        <v>0.3479</v>
      </c>
      <c r="AH83">
        <f>SUM(T84-T83)</f>
        <v>0</v>
      </c>
      <c r="AI83">
        <f>SUM(K84-K83)</f>
        <v>0</v>
      </c>
    </row>
    <row r="84">
      <c r="C84" t="str">
        <v>Week 3</v>
      </c>
      <c r="AD84" t="str">
        <v>Estimated months claim</v>
      </c>
      <c r="AE84">
        <v>0</v>
      </c>
      <c r="AH84">
        <f>SUM(T85-T84)</f>
        <v>0</v>
      </c>
      <c r="AI84">
        <f>SUM(K85-K84)</f>
        <v>0</v>
      </c>
    </row>
    <row r="85">
      <c r="C85" t="str">
        <v>Week 4</v>
      </c>
      <c r="AH85">
        <f>SUM(T86-T85)</f>
        <v>8.25</v>
      </c>
      <c r="AI85">
        <f>SUM(K86-K85)</f>
        <v>42.74999999999909</v>
      </c>
    </row>
    <row r="86">
      <c r="C86" t="str">
        <v>Week 5</v>
      </c>
      <c r="AH86">
        <f>SUM(AH81,AH82,AH83,AH84,AH85)</f>
        <v>54.25</v>
      </c>
      <c r="AI86">
        <f>SUM(AI81,AI82,AI83,AI84,AI85)</f>
        <v>-956.4099999999999</v>
      </c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>
        <v>37083.03</v>
      </c>
      <c r="E88">
        <v>19660.4</v>
      </c>
      <c r="F88">
        <f>D88-E88</f>
        <v>17422.629999999997</v>
      </c>
      <c r="G88">
        <f>F88/D88</f>
        <v>0.46982757342104997</v>
      </c>
      <c r="H88">
        <v>27002.93</v>
      </c>
      <c r="I88">
        <v>14076.05</v>
      </c>
      <c r="J88">
        <f>SUM(H88-O88)</f>
        <v>15440.32</v>
      </c>
      <c r="K88">
        <f>SUM(I88-P88)</f>
        <v>10218.13</v>
      </c>
      <c r="L88">
        <f>J88-K88</f>
        <v>5222.1900000000005</v>
      </c>
      <c r="M88">
        <f>L88/J88</f>
        <v>0.33821773123873083</v>
      </c>
      <c r="N88">
        <v>0</v>
      </c>
      <c r="O88">
        <v>11562.61</v>
      </c>
      <c r="P88">
        <v>3857.92</v>
      </c>
      <c r="Q88">
        <f>O88-P88</f>
        <v>7704.6900000000005</v>
      </c>
      <c r="R88">
        <f>Q88/O88</f>
        <v>0.6663452282832336</v>
      </c>
      <c r="S88">
        <v>231.75</v>
      </c>
      <c r="T88">
        <v>78.5</v>
      </c>
      <c r="U88">
        <f>S88-T88</f>
        <v>153.25</v>
      </c>
      <c r="V88">
        <f>U88/S88</f>
        <v>0.6612729234088457</v>
      </c>
      <c r="W88">
        <v>0</v>
      </c>
      <c r="X88">
        <f>(E88-K88-P88)/T88</f>
        <v>71.13821656050958</v>
      </c>
      <c r="Y88">
        <f>(D88-J88-O88)/S88</f>
        <v>43.49557713052858</v>
      </c>
      <c r="Z88">
        <f>(E88-K88-P88)/E88</f>
        <v>0.28404050782283174</v>
      </c>
      <c r="AA88">
        <f>SUM(D88-H88)/D88</f>
        <v>0.2718251448169149</v>
      </c>
      <c r="AD88" t="str">
        <v>Hours calc for monthly claims</v>
      </c>
      <c r="AE88">
        <f>AH93</f>
        <v>70</v>
      </c>
      <c r="AH88">
        <f>SUM(T89-T88)</f>
        <v>32.25</v>
      </c>
      <c r="AI88">
        <f>SUM(K89-K88)</f>
        <v>1005.7500000000018</v>
      </c>
    </row>
    <row r="89">
      <c r="C89" t="str">
        <v>Week 1</v>
      </c>
      <c r="D89">
        <v>37083.03</v>
      </c>
      <c r="E89">
        <v>33023.07</v>
      </c>
      <c r="F89">
        <f>D89-E89</f>
        <v>4059.959999999999</v>
      </c>
      <c r="G89">
        <f>F89/D89</f>
        <v>0.10948296296176444</v>
      </c>
      <c r="H89">
        <v>27002.93</v>
      </c>
      <c r="I89">
        <v>25023.81</v>
      </c>
      <c r="J89">
        <f>SUM(H89-O89)</f>
        <v>15440.32</v>
      </c>
      <c r="K89">
        <f>SUM(I89-P89)</f>
        <v>15309.990000000002</v>
      </c>
      <c r="L89">
        <f>J89-K89</f>
        <v>130.3299999999981</v>
      </c>
      <c r="M89">
        <f>L89/J89</f>
        <v>0.008440887235497588</v>
      </c>
      <c r="N89">
        <v>0</v>
      </c>
      <c r="O89">
        <v>11562.61</v>
      </c>
      <c r="P89">
        <v>9713.82</v>
      </c>
      <c r="Q89">
        <f>O89-P89</f>
        <v>1848.7900000000009</v>
      </c>
      <c r="R89">
        <f>Q89/O89</f>
        <v>0.15989383019923709</v>
      </c>
      <c r="S89">
        <v>231.75</v>
      </c>
      <c r="T89">
        <v>198.75</v>
      </c>
      <c r="U89">
        <f>S89-T89</f>
        <v>33</v>
      </c>
      <c r="V89">
        <f>U89/S89</f>
        <v>0.1423948220064725</v>
      </c>
      <c r="X89">
        <f>(E89-K89-P89)/T89</f>
        <v>40.247849056603776</v>
      </c>
      <c r="Y89">
        <f>(D89-J89-O89)/S89</f>
        <v>43.49557070636461</v>
      </c>
      <c r="Z89">
        <f>(E89-K89-P89)/E89</f>
        <v>0.2422</v>
      </c>
      <c r="AA89">
        <f>SUM(D89-H89)/D89</f>
        <v>0.2718</v>
      </c>
      <c r="AD89" t="str">
        <v>Materials calc for monthly claims</v>
      </c>
      <c r="AE89">
        <f>AI93</f>
        <v>3925.0599999999995</v>
      </c>
      <c r="AH89">
        <f>SUM(T90-T89)</f>
        <v>29.75</v>
      </c>
      <c r="AI89">
        <f>SUM(K90-K89)</f>
        <v>2919.3099999999977</v>
      </c>
    </row>
    <row r="90">
      <c r="C90" t="str">
        <v>Week 2</v>
      </c>
      <c r="D90">
        <v>37083.03</v>
      </c>
      <c r="E90">
        <v>33023.07</v>
      </c>
      <c r="F90">
        <v>4059.959999999999</v>
      </c>
      <c r="G90">
        <v>0.10948296296176444</v>
      </c>
      <c r="H90">
        <v>27002.93</v>
      </c>
      <c r="I90">
        <v>25023.81</v>
      </c>
      <c r="J90">
        <v>15440.32</v>
      </c>
      <c r="K90">
        <v>15309.990000000002</v>
      </c>
      <c r="L90">
        <v>130.3299999999981</v>
      </c>
      <c r="M90">
        <v>0.008440887235497588</v>
      </c>
      <c r="O90">
        <v>11562.61</v>
      </c>
      <c r="P90">
        <v>9713.82</v>
      </c>
      <c r="Q90">
        <v>1848.7900000000009</v>
      </c>
      <c r="R90">
        <v>0.15989383019923709</v>
      </c>
      <c r="S90">
        <v>231.75</v>
      </c>
      <c r="T90">
        <v>198.75</v>
      </c>
      <c r="U90">
        <v>33</v>
      </c>
      <c r="V90">
        <v>0.1423948220064725</v>
      </c>
      <c r="X90">
        <v>40.247849056603776</v>
      </c>
      <c r="Y90">
        <v>43.49557070636461</v>
      </c>
      <c r="Z90">
        <v>0.2422</v>
      </c>
      <c r="AA90">
        <v>0.2718</v>
      </c>
      <c r="AH90">
        <f>SUM(T91-T90)</f>
        <v>0</v>
      </c>
      <c r="AI90">
        <f>SUM(K91-K90)</f>
        <v>0</v>
      </c>
    </row>
    <row r="91">
      <c r="C91" t="str">
        <v>Week 3</v>
      </c>
      <c r="AD91" t="str">
        <v>Estimated months claim</v>
      </c>
      <c r="AE91">
        <v>0</v>
      </c>
      <c r="AH91">
        <f>SUM(T92-T91)</f>
        <v>0</v>
      </c>
      <c r="AI91">
        <f>SUM(K92-K91)</f>
        <v>0</v>
      </c>
    </row>
    <row r="92">
      <c r="C92" t="str">
        <v>Week 4</v>
      </c>
      <c r="AH92">
        <f>SUM(T93-T92)</f>
        <v>8</v>
      </c>
      <c r="AI92">
        <f>SUM(K93-K92)</f>
        <v>0</v>
      </c>
    </row>
    <row r="93">
      <c r="C93" t="str">
        <v>Week 5</v>
      </c>
      <c r="AH93">
        <f>SUM(AH88,AH89,AH90,AH91,AH92)</f>
        <v>70</v>
      </c>
      <c r="AI93">
        <f>SUM(AI88,AI89,AI90,AI91,AI92)</f>
        <v>3925.0599999999995</v>
      </c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>
        <v>26186.14</v>
      </c>
      <c r="E95">
        <v>5762.27</v>
      </c>
      <c r="F95">
        <f>D95-E95</f>
        <v>20423.87</v>
      </c>
      <c r="G95">
        <f>F95/D95</f>
        <v>0.7799496222047235</v>
      </c>
      <c r="H95">
        <v>19428.98</v>
      </c>
      <c r="I95">
        <v>7925.81</v>
      </c>
      <c r="J95">
        <f>SUM(H95-O95)</f>
        <v>12051.349999999999</v>
      </c>
      <c r="K95">
        <f>SUM(I95-P95)</f>
        <v>7679.910000000001</v>
      </c>
      <c r="L95">
        <f>J95-K95</f>
        <v>4371.439999999998</v>
      </c>
      <c r="M95">
        <f>L95/J95</f>
        <v>0.36273446543333304</v>
      </c>
      <c r="N95">
        <v>0</v>
      </c>
      <c r="O95">
        <v>7377.63</v>
      </c>
      <c r="P95">
        <v>245.9</v>
      </c>
      <c r="Q95">
        <f>O95-P95</f>
        <v>7131.7300000000005</v>
      </c>
      <c r="R95">
        <f>Q95/O95</f>
        <v>0.9666695131092234</v>
      </c>
      <c r="S95">
        <v>147.9</v>
      </c>
      <c r="T95">
        <v>5</v>
      </c>
      <c r="U95">
        <f>S95-T95</f>
        <v>142.9</v>
      </c>
      <c r="V95">
        <f>U95/S95</f>
        <v>0.9661933739012847</v>
      </c>
      <c r="W95">
        <v>0</v>
      </c>
      <c r="X95">
        <f>(E95-K95-P95)/T95</f>
        <v>-432.7080000000001</v>
      </c>
      <c r="Y95">
        <f>(D95-J95-O95)/S95</f>
        <v>45.68735632183908</v>
      </c>
      <c r="Z95">
        <f>(E95-K95-P95)/E95</f>
        <v>-0.37546661298411915</v>
      </c>
      <c r="AA95">
        <f>SUM(D95-H95)/D95</f>
        <v>0.2580433771453143</v>
      </c>
      <c r="AD95" t="str">
        <v>Hours calc for monthly claims</v>
      </c>
      <c r="AE95">
        <f>AH100</f>
        <v>0</v>
      </c>
      <c r="AH95">
        <f>SUM(T96-T95)</f>
        <v>0</v>
      </c>
      <c r="AI95">
        <f>SUM(K96-K95)</f>
        <v>0</v>
      </c>
    </row>
    <row r="96">
      <c r="C96" t="str">
        <v>Week 1</v>
      </c>
      <c r="D96">
        <v>26186.14</v>
      </c>
      <c r="E96">
        <v>5762.27</v>
      </c>
      <c r="F96">
        <f>D96-E96</f>
        <v>20423.87</v>
      </c>
      <c r="G96">
        <f>F96/D96</f>
        <v>0.7799496222047235</v>
      </c>
      <c r="H96">
        <v>19428.98</v>
      </c>
      <c r="I96">
        <v>7925.81</v>
      </c>
      <c r="J96">
        <f>SUM(H96-O96)</f>
        <v>12051.32</v>
      </c>
      <c r="K96">
        <f>SUM(I96-P96)</f>
        <v>7679.910000000001</v>
      </c>
      <c r="L96">
        <f>J96-K96</f>
        <v>4371.409999999999</v>
      </c>
      <c r="M96">
        <f>L96/J96</f>
        <v>0.36273287905391266</v>
      </c>
      <c r="N96">
        <v>0</v>
      </c>
      <c r="O96">
        <v>7377.66</v>
      </c>
      <c r="P96">
        <v>245.9</v>
      </c>
      <c r="Q96">
        <f>O96-P96</f>
        <v>7131.76</v>
      </c>
      <c r="R96">
        <f>Q96/O96</f>
        <v>0.9666696486419813</v>
      </c>
      <c r="S96">
        <v>147.9</v>
      </c>
      <c r="T96">
        <v>5</v>
      </c>
      <c r="U96">
        <f>S96-T96</f>
        <v>142.9</v>
      </c>
      <c r="V96">
        <f>U96/S96</f>
        <v>0.9661933739012847</v>
      </c>
      <c r="X96">
        <f>(E96-K96-P96)/T96</f>
        <v>-432.70799999999997</v>
      </c>
      <c r="Y96">
        <f>(D96-J96-O96)/S96</f>
        <v>45.687352144692355</v>
      </c>
      <c r="Z96">
        <f>(E96-K96-P96)/E96</f>
        <v>-0.37549999999999994</v>
      </c>
      <c r="AA96">
        <f>SUM(D96-H96)/D96</f>
        <v>0.258</v>
      </c>
      <c r="AD96" t="str">
        <v>Materials calc for monthly claims</v>
      </c>
      <c r="AE96">
        <f>AI100</f>
        <v>0</v>
      </c>
      <c r="AH96">
        <f>SUM(T97-T96)</f>
        <v>0</v>
      </c>
      <c r="AI96">
        <f>SUM(K97-K96)</f>
        <v>0</v>
      </c>
    </row>
    <row r="97">
      <c r="C97" t="str">
        <v>Week 2</v>
      </c>
      <c r="D97">
        <v>26186.14</v>
      </c>
      <c r="E97">
        <v>5762.27</v>
      </c>
      <c r="F97">
        <v>20423.87</v>
      </c>
      <c r="G97">
        <v>0.7799496222047235</v>
      </c>
      <c r="H97">
        <v>19428.98</v>
      </c>
      <c r="I97">
        <v>7925.81</v>
      </c>
      <c r="J97">
        <v>12051.32</v>
      </c>
      <c r="K97">
        <v>7679.910000000001</v>
      </c>
      <c r="L97">
        <v>4371.409999999999</v>
      </c>
      <c r="M97">
        <v>0.36273287905391266</v>
      </c>
      <c r="O97">
        <v>7377.66</v>
      </c>
      <c r="P97">
        <v>245.9</v>
      </c>
      <c r="Q97">
        <v>7131.76</v>
      </c>
      <c r="R97">
        <v>0.9666696486419813</v>
      </c>
      <c r="S97">
        <v>147.9</v>
      </c>
      <c r="T97">
        <v>5</v>
      </c>
      <c r="U97">
        <v>142.9</v>
      </c>
      <c r="V97">
        <v>0.9661933739012847</v>
      </c>
      <c r="X97">
        <v>-432.70799999999997</v>
      </c>
      <c r="Y97">
        <v>45.687352144692355</v>
      </c>
      <c r="Z97">
        <v>-0.37549999999999994</v>
      </c>
      <c r="AA97">
        <v>0.258</v>
      </c>
      <c r="AH97">
        <f>SUM(T98-T97)</f>
        <v>0</v>
      </c>
      <c r="AI97">
        <f>SUM(K98-K97)</f>
        <v>0</v>
      </c>
    </row>
    <row r="98">
      <c r="C98" t="str">
        <v>Week 3</v>
      </c>
      <c r="AD98" t="str">
        <v>Estimated months claim</v>
      </c>
      <c r="AE98">
        <v>0</v>
      </c>
      <c r="AH98">
        <f>SUM(T99-T98)</f>
        <v>0</v>
      </c>
      <c r="AI98">
        <f>SUM(K99-K98)</f>
        <v>0</v>
      </c>
    </row>
    <row r="99">
      <c r="C99" t="str">
        <v>Week 4</v>
      </c>
      <c r="AH99">
        <f>SUM(T100-T99)</f>
        <v>0</v>
      </c>
      <c r="AI99">
        <f>SUM(K100-K99)</f>
        <v>0</v>
      </c>
    </row>
    <row r="100">
      <c r="C100" t="str">
        <v>Week 5</v>
      </c>
      <c r="AH100">
        <f>SUM(AH95,AH96,AH97,AH98,AH99)</f>
        <v>0</v>
      </c>
      <c r="AI100">
        <f>SUM(AI95,AI96,AI97,AI98,AI99)</f>
        <v>0</v>
      </c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>
        <v>33188.02</v>
      </c>
      <c r="E102">
        <v>32192.38</v>
      </c>
      <c r="F102">
        <f>D102-E102</f>
        <v>995.6399999999958</v>
      </c>
      <c r="G102">
        <f>F102/D102</f>
        <v>0.0299999819211871</v>
      </c>
      <c r="H102">
        <v>23790.07</v>
      </c>
      <c r="I102">
        <v>28358.52</v>
      </c>
      <c r="J102">
        <f>SUM(H102-O102)</f>
        <v>13406.21</v>
      </c>
      <c r="K102">
        <f>SUM(I102-P102)</f>
        <v>15975.390000000001</v>
      </c>
      <c r="L102">
        <f>J102-K102</f>
        <v>-2569.180000000002</v>
      </c>
      <c r="M102">
        <f>L102/J102</f>
        <v>-0.19164103799657042</v>
      </c>
      <c r="N102">
        <v>0</v>
      </c>
      <c r="O102">
        <v>10383.86</v>
      </c>
      <c r="P102">
        <v>12383.13</v>
      </c>
      <c r="Q102">
        <f>O102-P102</f>
        <v>-1999.2699999999986</v>
      </c>
      <c r="R102">
        <f>Q102/O102</f>
        <v>-0.1925363015294889</v>
      </c>
      <c r="S102">
        <v>208.2</v>
      </c>
      <c r="T102">
        <v>248.75</v>
      </c>
      <c r="U102">
        <f>S102-T102</f>
        <v>-40.55000000000001</v>
      </c>
      <c r="V102">
        <f>U102/S102</f>
        <v>-0.19476464937560045</v>
      </c>
      <c r="X102">
        <f>(E102-K102-P102)/T102</f>
        <v>15.412502512562817</v>
      </c>
      <c r="Y102">
        <f>(D102-J102-O102)/S102</f>
        <v>45.13904899135446</v>
      </c>
      <c r="Z102">
        <f>(E102-K102-P102)/E102</f>
        <v>0.119092157833624</v>
      </c>
      <c r="AA102">
        <f>SUM(D102-H102)/D102</f>
        <v>0.2831729642202216</v>
      </c>
      <c r="AD102" t="str">
        <v>Hours calc for monthly claims</v>
      </c>
      <c r="AE102">
        <f>AH107</f>
        <v>68.5</v>
      </c>
      <c r="AH102">
        <f>SUM(T103-T102)</f>
        <v>0</v>
      </c>
      <c r="AI102">
        <f>SUM(K103-K102)</f>
        <v>0</v>
      </c>
    </row>
    <row r="103">
      <c r="C103" t="str">
        <v>Week 1</v>
      </c>
      <c r="D103">
        <v>32473.02</v>
      </c>
      <c r="E103">
        <v>33188.03</v>
      </c>
      <c r="F103">
        <f>D103-E103</f>
        <v>-715.0099999999984</v>
      </c>
      <c r="G103">
        <f>F103/D103</f>
        <v>-0.022018586506582952</v>
      </c>
      <c r="H103">
        <v>23075.07</v>
      </c>
      <c r="I103">
        <v>30946.57</v>
      </c>
      <c r="J103">
        <f>SUM(H103-O103)</f>
        <v>12691.21</v>
      </c>
      <c r="K103">
        <f>SUM(I103-P103)</f>
        <v>15205.63</v>
      </c>
      <c r="L103">
        <f>J103-K103</f>
        <v>-2514.42</v>
      </c>
      <c r="M103">
        <f>L103/J103</f>
        <v>-0.19812295281537382</v>
      </c>
      <c r="N103">
        <v>0</v>
      </c>
      <c r="O103">
        <v>10383.86</v>
      </c>
      <c r="P103">
        <v>15740.94</v>
      </c>
      <c r="Q103">
        <f>O103-P103</f>
        <v>-5357.08</v>
      </c>
      <c r="R103">
        <f>Q103/O103</f>
        <v>-0.5159044902377343</v>
      </c>
      <c r="S103">
        <v>208.2</v>
      </c>
      <c r="T103">
        <v>317.25</v>
      </c>
      <c r="U103">
        <f>S103-T103</f>
        <v>-109.05000000000001</v>
      </c>
      <c r="V103">
        <f>U103/S103</f>
        <v>-0.5237752161383286</v>
      </c>
      <c r="X103">
        <f>(E103-K103-P103)/T103</f>
        <v>7.065279747832939</v>
      </c>
      <c r="Y103">
        <f>(D103-J103-O103)/S103</f>
        <v>45.139084580403456</v>
      </c>
      <c r="Z103">
        <f>(E103-K103-P103)/E103</f>
        <v>0.0675</v>
      </c>
      <c r="AA103">
        <f>SUM(D103-H103)/D103</f>
        <v>0.2894</v>
      </c>
      <c r="AD103" t="str">
        <v>Materials calc for monthly claims</v>
      </c>
      <c r="AE103">
        <f>AI107</f>
        <v>587.1299999999956</v>
      </c>
      <c r="AH103">
        <f>SUM(T104-T103)</f>
        <v>40.5</v>
      </c>
      <c r="AI103">
        <f>SUM(K104-K103)</f>
        <v>587.1299999999992</v>
      </c>
    </row>
    <row r="104">
      <c r="C104" t="str">
        <v>Week 2</v>
      </c>
      <c r="D104">
        <v>32473.02</v>
      </c>
      <c r="E104">
        <v>33188.03</v>
      </c>
      <c r="F104">
        <v>-715.0099999999984</v>
      </c>
      <c r="G104">
        <v>-0.022018586506582952</v>
      </c>
      <c r="H104">
        <v>23075.07</v>
      </c>
      <c r="I104">
        <v>30946.57</v>
      </c>
      <c r="J104">
        <v>12691.21</v>
      </c>
      <c r="K104">
        <v>15205.63</v>
      </c>
      <c r="L104">
        <v>-2514.42</v>
      </c>
      <c r="M104">
        <v>-0.19812295281537382</v>
      </c>
      <c r="O104">
        <v>10383.86</v>
      </c>
      <c r="P104">
        <v>15740.94</v>
      </c>
      <c r="Q104">
        <v>-5357.08</v>
      </c>
      <c r="R104">
        <v>-0.5159044902377343</v>
      </c>
      <c r="S104">
        <v>208.2</v>
      </c>
      <c r="T104">
        <v>317.25</v>
      </c>
      <c r="U104">
        <v>-109.05000000000001</v>
      </c>
      <c r="V104">
        <v>-0.5237752161383286</v>
      </c>
      <c r="X104">
        <v>7.065279747832939</v>
      </c>
      <c r="Y104">
        <v>45.139084580403456</v>
      </c>
      <c r="Z104">
        <v>0.0675</v>
      </c>
      <c r="AA104">
        <v>0.2894</v>
      </c>
      <c r="AH104">
        <f>SUM(T105-T104)</f>
        <v>0</v>
      </c>
      <c r="AI104">
        <f>SUM(K105-K104)</f>
        <v>0</v>
      </c>
    </row>
    <row r="105">
      <c r="C105" t="str">
        <v>Week 3</v>
      </c>
      <c r="AD105" t="str">
        <v>Estimated months claim</v>
      </c>
      <c r="AE105">
        <v>0</v>
      </c>
      <c r="AH105">
        <f>SUM(T106-T105)</f>
        <v>0</v>
      </c>
      <c r="AI105">
        <f>SUM(K106-K105)</f>
        <v>0</v>
      </c>
    </row>
    <row r="106">
      <c r="C106" t="str">
        <v>Week 4</v>
      </c>
      <c r="AH106">
        <f>SUM(T107-T106)</f>
        <v>28</v>
      </c>
      <c r="AI106">
        <f>SUM(K107-K106)</f>
        <v>-3.637978807091713e-12</v>
      </c>
    </row>
    <row r="107">
      <c r="C107" t="str">
        <v>Week 5</v>
      </c>
      <c r="AH107">
        <f>SUM(AH102,AH103,AH104,AH105,AH106)</f>
        <v>68.5</v>
      </c>
      <c r="AI107">
        <f>SUM(AI102,AI103,AI104,AI105,AI106)</f>
        <v>587.1299999999956</v>
      </c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>
        <v>54687.94</v>
      </c>
      <c r="E109">
        <v>6042.41</v>
      </c>
      <c r="F109">
        <f>D109-E109</f>
        <v>48645.53</v>
      </c>
      <c r="G109">
        <f>F109/D109</f>
        <v>0.8895111061049291</v>
      </c>
      <c r="H109">
        <v>34464.78</v>
      </c>
      <c r="I109">
        <v>9939.86</v>
      </c>
      <c r="J109">
        <f>SUM(H109-O109)</f>
        <v>18667.449999999997</v>
      </c>
      <c r="K109">
        <f>SUM(I109-P109)</f>
        <v>4193.31</v>
      </c>
      <c r="L109">
        <f>J109-K109</f>
        <v>14474.139999999996</v>
      </c>
      <c r="M109">
        <f>L109/J109</f>
        <v>0.7753678193861506</v>
      </c>
      <c r="N109">
        <v>1</v>
      </c>
      <c r="O109">
        <v>15797.33</v>
      </c>
      <c r="P109">
        <v>5746.55</v>
      </c>
      <c r="Q109">
        <f>O109-P109</f>
        <v>10050.779999999999</v>
      </c>
      <c r="R109">
        <f>Q109/O109</f>
        <v>0.6362328317506818</v>
      </c>
      <c r="S109">
        <v>316.34</v>
      </c>
      <c r="T109">
        <v>127.25</v>
      </c>
      <c r="U109">
        <f>S109-T109</f>
        <v>189.08999999999997</v>
      </c>
      <c r="V109">
        <f>U109/S109</f>
        <v>0.597742934816969</v>
      </c>
      <c r="W109">
        <v>1</v>
      </c>
      <c r="X109">
        <f>(E109-K109-P109)/T109</f>
        <v>-30.628290766208256</v>
      </c>
      <c r="Y109">
        <f>(D109-J109-O109)/S109</f>
        <v>63.928557880761225</v>
      </c>
      <c r="Z109">
        <f>(E109-K109-P109)/E109</f>
        <v>-0.6450158132268418</v>
      </c>
      <c r="AA109">
        <f>SUM(D109-H109)/D109</f>
        <v>0.3697919504739071</v>
      </c>
      <c r="AD109" t="str">
        <v>Hours calc for monthly claims</v>
      </c>
      <c r="AE109">
        <f>AH114</f>
        <v>77.5</v>
      </c>
      <c r="AH109">
        <f>SUM(T110-T109)</f>
        <v>45</v>
      </c>
      <c r="AI109">
        <f>SUM(K110-K109)</f>
        <v>4993.359999999998</v>
      </c>
    </row>
    <row r="110">
      <c r="C110" t="str">
        <v>Week 1</v>
      </c>
      <c r="D110">
        <v>58902.56</v>
      </c>
      <c r="E110">
        <v>0</v>
      </c>
      <c r="F110">
        <f>D110-E110</f>
        <v>58902.56</v>
      </c>
      <c r="G110">
        <f>F110/D110</f>
        <v>1</v>
      </c>
      <c r="H110">
        <v>37601.88</v>
      </c>
      <c r="I110">
        <v>34106.92</v>
      </c>
      <c r="J110">
        <f>SUM(H110-O110)</f>
        <v>21415.85</v>
      </c>
      <c r="K110">
        <f>SUM(I110-P110)</f>
        <v>18299.729999999996</v>
      </c>
      <c r="L110">
        <f>J110-K110</f>
        <v>3116.1200000000026</v>
      </c>
      <c r="M110">
        <f>L110/J110</f>
        <v>0.14550531498866506</v>
      </c>
      <c r="N110">
        <v>0</v>
      </c>
      <c r="O110">
        <v>16186.03</v>
      </c>
      <c r="P110">
        <v>15807.19</v>
      </c>
      <c r="Q110">
        <f>O110-P110</f>
        <v>378.84000000000015</v>
      </c>
      <c r="R110">
        <f>Q110/O110</f>
        <v>0.023405368703752566</v>
      </c>
      <c r="S110">
        <v>324.19</v>
      </c>
      <c r="T110">
        <v>342.25</v>
      </c>
      <c r="U110">
        <f>S110-T110</f>
        <v>-18.060000000000002</v>
      </c>
      <c r="V110">
        <f>U110/S110</f>
        <v>-0.05570807242666338</v>
      </c>
      <c r="W110">
        <v>0</v>
      </c>
      <c r="X110">
        <f>(E110-K110-P110)/T110</f>
        <v>3.937209642074507</v>
      </c>
      <c r="Y110">
        <f>(D110-J110-O110)/S110</f>
        <v>65.70431400737223</v>
      </c>
      <c r="Z110">
        <f>(E110-K110-P110)/E110</f>
        <v>0.038</v>
      </c>
      <c r="AA110">
        <f>SUM(D110-H110)/D110</f>
        <v>0.3616</v>
      </c>
      <c r="AD110" t="str">
        <v>Materials calc for monthly claims</v>
      </c>
      <c r="AE110">
        <f>AI114</f>
        <v>7961.96</v>
      </c>
      <c r="AH110">
        <f>SUM(T111-T110)</f>
        <v>13.25</v>
      </c>
      <c r="AI110">
        <f>SUM(K111-K110)</f>
        <v>2633.1100000000024</v>
      </c>
    </row>
    <row r="111">
      <c r="C111" t="str">
        <v>Week 2</v>
      </c>
      <c r="D111">
        <v>58902.56</v>
      </c>
      <c r="E111">
        <v>0</v>
      </c>
      <c r="F111">
        <v>58902.56</v>
      </c>
      <c r="G111">
        <v>1</v>
      </c>
      <c r="H111">
        <v>37601.88</v>
      </c>
      <c r="I111">
        <v>34106.92</v>
      </c>
      <c r="J111">
        <v>21415.85</v>
      </c>
      <c r="K111">
        <v>18299.729999999996</v>
      </c>
      <c r="L111">
        <v>3116.1200000000026</v>
      </c>
      <c r="M111">
        <v>0.14550531498866506</v>
      </c>
      <c r="O111">
        <v>16186.03</v>
      </c>
      <c r="P111">
        <v>15807.19</v>
      </c>
      <c r="Q111">
        <v>378.84000000000015</v>
      </c>
      <c r="R111">
        <v>0.023405368703752566</v>
      </c>
      <c r="S111">
        <v>324.19</v>
      </c>
      <c r="T111">
        <v>342.25</v>
      </c>
      <c r="U111">
        <v>-18.060000000000002</v>
      </c>
      <c r="V111">
        <v>-0.05570807242666338</v>
      </c>
      <c r="X111">
        <v>3.937209642074507</v>
      </c>
      <c r="Y111">
        <v>65.70431400737223</v>
      </c>
      <c r="Z111">
        <v>0.038</v>
      </c>
      <c r="AA111">
        <v>0.3616</v>
      </c>
      <c r="AH111">
        <f>SUM(T112-T111)</f>
        <v>0</v>
      </c>
      <c r="AI111">
        <f>SUM(K112-K111)</f>
        <v>0</v>
      </c>
    </row>
    <row r="112">
      <c r="C112" t="str">
        <v>Week 3</v>
      </c>
      <c r="AD112" t="str">
        <v>Estimated months claim</v>
      </c>
      <c r="AE112">
        <v>0</v>
      </c>
      <c r="AH112">
        <f>SUM(T113-T112)</f>
        <v>0</v>
      </c>
      <c r="AI112">
        <f>SUM(K113-K112)</f>
        <v>0</v>
      </c>
    </row>
    <row r="113">
      <c r="C113" t="str">
        <v>Week 4</v>
      </c>
      <c r="AH113">
        <f>SUM(T114-T113)</f>
        <v>19.25</v>
      </c>
      <c r="AI113">
        <f>SUM(K114-K113)</f>
        <v>335.4899999999998</v>
      </c>
    </row>
    <row r="114">
      <c r="C114" t="str">
        <v>Week 5</v>
      </c>
      <c r="AH114">
        <f>SUM(AH109,AH110,AH111,AH112,AH113)</f>
        <v>77.5</v>
      </c>
      <c r="AI114">
        <f>SUM(AI109,AI110,AI111,AI112,AI113)</f>
        <v>7961.96</v>
      </c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>
        <v>21404.82</v>
      </c>
      <c r="E116">
        <v>0</v>
      </c>
      <c r="F116">
        <v>0</v>
      </c>
      <c r="G116">
        <f>F116/D116</f>
        <v>0</v>
      </c>
      <c r="H116">
        <v>17424.66</v>
      </c>
      <c r="I116">
        <v>0</v>
      </c>
      <c r="J116">
        <f>SUM(H116-O116)</f>
        <v>13229.5</v>
      </c>
      <c r="K116">
        <f>SUM(I116-P116)</f>
        <v>0</v>
      </c>
      <c r="L116">
        <f>J116-K116</f>
        <v>13229.5</v>
      </c>
      <c r="M116">
        <f>L116/J116</f>
        <v>1</v>
      </c>
      <c r="N116">
        <v>0</v>
      </c>
      <c r="O116">
        <v>4195.16</v>
      </c>
      <c r="P116">
        <v>0</v>
      </c>
      <c r="Q116">
        <f>O116-P116</f>
        <v>4195.16</v>
      </c>
      <c r="R116">
        <f>Q116/O116</f>
        <v>1</v>
      </c>
      <c r="S116">
        <v>84.03</v>
      </c>
      <c r="T116">
        <v>0</v>
      </c>
      <c r="U116">
        <f>S116-T116</f>
        <v>84.03</v>
      </c>
      <c r="V116">
        <f>U116/S116</f>
        <v>1</v>
      </c>
      <c r="W116">
        <v>0</v>
      </c>
      <c r="X116" t="e">
        <f>(E116-K116-P116)/T116</f>
        <v>#DIV/0!</v>
      </c>
      <c r="Y116">
        <f>(D116-J116-O116)/S116</f>
        <v>47.36594073545162</v>
      </c>
      <c r="Z116" t="e">
        <f>(E116-K116-P116)/E116</f>
        <v>#DIV/0!</v>
      </c>
      <c r="AA116">
        <f>SUM(D116-H116)/D116</f>
        <v>0.18594690354789248</v>
      </c>
      <c r="AD116" t="str">
        <v>Hours calc for monthly claims</v>
      </c>
      <c r="AE116">
        <f>AH121</f>
        <v>0</v>
      </c>
      <c r="AH116">
        <f>SUM(T117-T116)</f>
        <v>0</v>
      </c>
      <c r="AI116">
        <f>SUM(K117-K116)</f>
        <v>0</v>
      </c>
    </row>
    <row r="117">
      <c r="C117" t="str">
        <v>Week 1</v>
      </c>
      <c r="D117">
        <v>21404.82</v>
      </c>
      <c r="E117">
        <v>0</v>
      </c>
      <c r="F117">
        <f>D117-E117</f>
        <v>21404.82</v>
      </c>
      <c r="G117">
        <f>F117/D117</f>
        <v>1</v>
      </c>
      <c r="H117">
        <v>17514.09</v>
      </c>
      <c r="I117">
        <v>0</v>
      </c>
      <c r="J117">
        <f>SUM(H117-O117)</f>
        <v>13318.880000000001</v>
      </c>
      <c r="K117">
        <f>SUM(I117-P117)</f>
        <v>0</v>
      </c>
      <c r="L117">
        <f>J117-K117</f>
        <v>13318.880000000001</v>
      </c>
      <c r="M117">
        <f>L117/J117</f>
        <v>1</v>
      </c>
      <c r="N117">
        <v>0</v>
      </c>
      <c r="O117">
        <v>4195.21</v>
      </c>
      <c r="P117">
        <v>0</v>
      </c>
      <c r="Q117">
        <f>O117-P117</f>
        <v>4195.21</v>
      </c>
      <c r="R117">
        <f>Q117/O117</f>
        <v>1</v>
      </c>
      <c r="S117">
        <v>84.05</v>
      </c>
      <c r="T117">
        <v>0</v>
      </c>
      <c r="U117">
        <f>S117-T117</f>
        <v>84.05</v>
      </c>
      <c r="V117">
        <f>U117/S117</f>
        <v>1</v>
      </c>
      <c r="W117">
        <v>0</v>
      </c>
      <c r="X117">
        <f>(E117-K117-P117)/T117</f>
        <v>0</v>
      </c>
      <c r="Y117">
        <f>(D117-J117-O117)/S117</f>
        <v>46.29062162403328</v>
      </c>
      <c r="Z117">
        <f>(E117-K117-P117)/E117</f>
        <v>0</v>
      </c>
      <c r="AA117">
        <f>SUM(D117-H117)/D117</f>
        <v>0.1818</v>
      </c>
      <c r="AD117" t="str">
        <v>Materials calc for monthly claims</v>
      </c>
      <c r="AE117">
        <f>AI121</f>
        <v>0</v>
      </c>
      <c r="AH117">
        <f>SUM(T118-T117)</f>
        <v>0</v>
      </c>
      <c r="AI117">
        <f>SUM(K118-K117)</f>
        <v>0</v>
      </c>
    </row>
    <row r="118">
      <c r="C118" t="str">
        <v>Week 2</v>
      </c>
      <c r="D118">
        <v>21404.82</v>
      </c>
      <c r="E118">
        <v>0</v>
      </c>
      <c r="F118">
        <v>21404.82</v>
      </c>
      <c r="G118">
        <v>1</v>
      </c>
      <c r="H118">
        <v>17514.09</v>
      </c>
      <c r="I118">
        <v>0</v>
      </c>
      <c r="J118">
        <v>13318.880000000001</v>
      </c>
      <c r="K118">
        <v>0</v>
      </c>
      <c r="L118">
        <v>13318.880000000001</v>
      </c>
      <c r="M118">
        <v>1</v>
      </c>
      <c r="O118">
        <v>4195.21</v>
      </c>
      <c r="P118">
        <v>0</v>
      </c>
      <c r="Q118">
        <v>4195.21</v>
      </c>
      <c r="R118">
        <v>1</v>
      </c>
      <c r="S118">
        <v>84.05</v>
      </c>
      <c r="T118">
        <v>0</v>
      </c>
      <c r="U118">
        <v>84.05</v>
      </c>
      <c r="V118">
        <v>1</v>
      </c>
      <c r="X118">
        <v>0</v>
      </c>
      <c r="Y118">
        <v>46.29062162403328</v>
      </c>
      <c r="Z118">
        <v>0</v>
      </c>
      <c r="AA118">
        <v>0.1818</v>
      </c>
      <c r="AH118">
        <f>SUM(T119-T118)</f>
        <v>0</v>
      </c>
      <c r="AI118">
        <f>SUM(K119-K118)</f>
        <v>0</v>
      </c>
    </row>
    <row r="119">
      <c r="C119" t="str">
        <v>Week 3</v>
      </c>
      <c r="AD119" t="str">
        <v>Estimated months claim</v>
      </c>
      <c r="AE119">
        <v>0</v>
      </c>
      <c r="AH119">
        <f>SUM(T120-T119)</f>
        <v>0</v>
      </c>
      <c r="AI119">
        <f>SUM(K120-K119)</f>
        <v>0</v>
      </c>
    </row>
    <row r="120">
      <c r="C120" t="str">
        <v>Week 4</v>
      </c>
      <c r="AH120">
        <f>SUM(T121-T120)</f>
        <v>0</v>
      </c>
      <c r="AI120">
        <f>SUM(K121-K120)</f>
        <v>0</v>
      </c>
    </row>
    <row r="121">
      <c r="C121" t="str">
        <v>Week 5</v>
      </c>
      <c r="AH121">
        <f>SUM(AH116,AH117,AH118,AH119,AH120)</f>
        <v>0</v>
      </c>
      <c r="AI121">
        <f>SUM(AI116,AI117,AI118,AI119,AI120)</f>
        <v>0</v>
      </c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>
        <v>96573.02</v>
      </c>
      <c r="E123">
        <v>11044.85</v>
      </c>
      <c r="F123">
        <v>0</v>
      </c>
      <c r="G123">
        <f>F123/D123</f>
        <v>0</v>
      </c>
      <c r="H123">
        <v>79663.86</v>
      </c>
      <c r="I123">
        <v>9198.12</v>
      </c>
      <c r="J123">
        <f>SUM(H123-O123)</f>
        <v>66022</v>
      </c>
      <c r="K123">
        <f>SUM(I123-P123)</f>
        <v>9198.12</v>
      </c>
      <c r="L123">
        <f>J123-K123</f>
        <v>56823.88</v>
      </c>
      <c r="M123">
        <f>L123/J123</f>
        <v>0.86068098512617</v>
      </c>
      <c r="N123">
        <v>0</v>
      </c>
      <c r="O123">
        <v>13641.86</v>
      </c>
      <c r="P123">
        <v>0</v>
      </c>
      <c r="Q123">
        <f>O123-P123</f>
        <v>13641.86</v>
      </c>
      <c r="R123">
        <f>Q123/O123</f>
        <v>1</v>
      </c>
      <c r="S123">
        <v>273.37</v>
      </c>
      <c r="T123">
        <v>0</v>
      </c>
      <c r="U123">
        <f>S123-T123</f>
        <v>273.37</v>
      </c>
      <c r="V123">
        <f>U123/S123</f>
        <v>1</v>
      </c>
      <c r="W123">
        <v>0</v>
      </c>
      <c r="X123" t="e">
        <f>(E123-K123-P123)/T123</f>
        <v>#DIV/0!</v>
      </c>
      <c r="Y123">
        <f>(D123-J123-O123)/S123</f>
        <v>61.85448293521602</v>
      </c>
      <c r="Z123">
        <f>(E123-K123-P123)/E123</f>
        <v>0.1672028139811767</v>
      </c>
      <c r="AA123">
        <f>SUM(D123-H123)/D123</f>
        <v>0.1750919666797207</v>
      </c>
      <c r="AD123" t="str">
        <v>Hours calc for monthly claims</v>
      </c>
      <c r="AE123">
        <f>AH128</f>
        <v>0</v>
      </c>
      <c r="AH123">
        <f>SUM(T124-T123)</f>
        <v>0</v>
      </c>
      <c r="AI123">
        <f>SUM(K124-K123)</f>
        <v>0</v>
      </c>
    </row>
    <row r="124">
      <c r="C124" t="str">
        <v>Week 1</v>
      </c>
      <c r="D124">
        <v>99768.39</v>
      </c>
      <c r="E124">
        <v>15366.74</v>
      </c>
      <c r="F124">
        <f>D124-E124</f>
        <v>84401.65</v>
      </c>
      <c r="G124">
        <f>F124/D124</f>
        <v>0.8459758647002321</v>
      </c>
      <c r="H124">
        <v>81719.58</v>
      </c>
      <c r="I124">
        <v>15861.24</v>
      </c>
      <c r="J124">
        <f>SUM(H124-O124)</f>
        <v>67238.96</v>
      </c>
      <c r="K124">
        <f>SUM(I124-P124)</f>
        <v>13547.18</v>
      </c>
      <c r="L124">
        <f>J124-K124</f>
        <v>53691.780000000006</v>
      </c>
      <c r="M124">
        <f>L124/J124</f>
        <v>0.798521868868882</v>
      </c>
      <c r="O124">
        <v>14480.62</v>
      </c>
      <c r="P124">
        <v>2314.06</v>
      </c>
      <c r="Q124">
        <f>O124-P124</f>
        <v>12166.560000000001</v>
      </c>
      <c r="R124">
        <f>Q124/O124</f>
        <v>0.8401960689528487</v>
      </c>
      <c r="S124">
        <v>290.15</v>
      </c>
      <c r="T124">
        <v>52.5</v>
      </c>
      <c r="U124">
        <f>S124-T124</f>
        <v>237.64999999999998</v>
      </c>
      <c r="V124">
        <f>U124/S124</f>
        <v>0.8190591073582629</v>
      </c>
      <c r="X124">
        <f>(E124-K124-P124)/T124</f>
        <v>-9.41904761904762</v>
      </c>
      <c r="Y124">
        <f>(D124-J124-O124)/S124</f>
        <v>62.2051177714286</v>
      </c>
      <c r="Z124">
        <f>(E124-K124-P124)/E124</f>
        <v>-0.0322</v>
      </c>
      <c r="AA124">
        <f>SUM(D124-H124)/D124</f>
        <v>0.1809</v>
      </c>
      <c r="AD124" t="str">
        <v>Materials calc for monthly claims</v>
      </c>
      <c r="AE124">
        <f>AI128</f>
        <v>2987.959999999999</v>
      </c>
      <c r="AH124">
        <f>SUM(T125-T124)</f>
        <v>0</v>
      </c>
      <c r="AI124">
        <f>SUM(K125-K124)</f>
        <v>2987.959999999999</v>
      </c>
    </row>
    <row r="125">
      <c r="C125" t="str">
        <v>Week 2</v>
      </c>
      <c r="D125">
        <v>99768.39</v>
      </c>
      <c r="E125">
        <v>15366.74</v>
      </c>
      <c r="F125">
        <v>84401.65</v>
      </c>
      <c r="G125">
        <v>0.8459758647002321</v>
      </c>
      <c r="H125">
        <v>81719.58</v>
      </c>
      <c r="I125">
        <v>15861.24</v>
      </c>
      <c r="J125">
        <v>67238.96</v>
      </c>
      <c r="K125">
        <v>13547.18</v>
      </c>
      <c r="L125">
        <v>53691.780000000006</v>
      </c>
      <c r="M125">
        <v>0.798521868868882</v>
      </c>
      <c r="O125">
        <v>14480.62</v>
      </c>
      <c r="P125">
        <v>2314.06</v>
      </c>
      <c r="Q125">
        <v>12166.560000000001</v>
      </c>
      <c r="R125">
        <v>0.8401960689528487</v>
      </c>
      <c r="S125">
        <v>290.15</v>
      </c>
      <c r="T125">
        <v>52.5</v>
      </c>
      <c r="U125">
        <v>237.64999999999998</v>
      </c>
      <c r="V125">
        <v>0.8190591073582629</v>
      </c>
      <c r="X125">
        <v>-9.41904761904762</v>
      </c>
      <c r="Y125">
        <v>62.2051177714286</v>
      </c>
      <c r="Z125">
        <v>-0.0322</v>
      </c>
      <c r="AA125">
        <v>0.1809</v>
      </c>
      <c r="AH125">
        <f>SUM(T126-T125)</f>
        <v>0</v>
      </c>
      <c r="AI125">
        <f>SUM(K126-K125)</f>
        <v>0</v>
      </c>
    </row>
    <row r="126">
      <c r="C126" t="str">
        <v>Week 3</v>
      </c>
      <c r="AD126" t="str">
        <v>Estimated months claim</v>
      </c>
      <c r="AE126">
        <v>0</v>
      </c>
      <c r="AH126">
        <f>SUM(T127-T126)</f>
        <v>0</v>
      </c>
      <c r="AI126">
        <f>SUM(K127-K126)</f>
        <v>0</v>
      </c>
    </row>
    <row r="127">
      <c r="C127" t="str">
        <v>Week 4</v>
      </c>
      <c r="AH127">
        <f>SUM(T128-T127)</f>
        <v>0</v>
      </c>
      <c r="AI127">
        <f>SUM(K128-K127)</f>
        <v>0</v>
      </c>
    </row>
    <row r="128">
      <c r="C128" t="str">
        <v>Week 5</v>
      </c>
      <c r="AH128">
        <f>SUM(AH123,AH124,AH125,AH126,AH127)</f>
        <v>0</v>
      </c>
      <c r="AI128">
        <f>SUM(AI123,AI124,AI125,AI126,AI127)</f>
        <v>2987.959999999999</v>
      </c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>
        <v>31802.41</v>
      </c>
      <c r="E130">
        <v>14370.83</v>
      </c>
      <c r="F130">
        <f>D130-E130</f>
        <v>17431.58</v>
      </c>
      <c r="G130">
        <f>F130/D130</f>
        <v>0.5481213530672676</v>
      </c>
      <c r="H130">
        <v>23448.14</v>
      </c>
      <c r="I130">
        <v>11232.72</v>
      </c>
      <c r="J130">
        <f>SUM(H130-O130)</f>
        <v>15632.029999999999</v>
      </c>
      <c r="K130">
        <f>SUM(I130-P130)</f>
        <v>11154.51</v>
      </c>
      <c r="L130">
        <f>J130-K130</f>
        <v>4477.519999999999</v>
      </c>
      <c r="M130">
        <f>L130/J130</f>
        <v>0.2864324083308437</v>
      </c>
      <c r="N130">
        <v>0</v>
      </c>
      <c r="O130">
        <v>7816.11</v>
      </c>
      <c r="P130">
        <v>78.21</v>
      </c>
      <c r="Q130">
        <f>O130-P130</f>
        <v>7737.9</v>
      </c>
      <c r="R130">
        <f>Q130/O130</f>
        <v>0.9899937436909153</v>
      </c>
      <c r="S130">
        <v>157</v>
      </c>
      <c r="T130">
        <v>2</v>
      </c>
      <c r="U130">
        <f>S130-T130</f>
        <v>155</v>
      </c>
      <c r="V130">
        <f>U130/S130</f>
        <v>0.9872611464968153</v>
      </c>
      <c r="W130">
        <v>0</v>
      </c>
      <c r="X130">
        <f>(E130-K130-P130)/T130</f>
        <v>1569.0549999999998</v>
      </c>
      <c r="Y130">
        <f>(D130-J130-O130)/S130</f>
        <v>53.21191082802548</v>
      </c>
      <c r="Z130">
        <f>(E130-K130-P130)/E130</f>
        <v>0.21836664966463312</v>
      </c>
      <c r="AA130">
        <f>SUM(D130-H130)/D130</f>
        <v>0.26269298458827495</v>
      </c>
      <c r="AD130" t="str">
        <v>Hours calc for monthly claims</v>
      </c>
      <c r="AE130">
        <f>AH135</f>
        <v>0</v>
      </c>
      <c r="AH130">
        <f>SUM(T131-T130)</f>
        <v>0</v>
      </c>
      <c r="AI130">
        <f>SUM(K131-K130)</f>
        <v>0</v>
      </c>
    </row>
    <row r="131">
      <c r="C131" t="str">
        <v>Week 1</v>
      </c>
      <c r="D131">
        <v>31802.41</v>
      </c>
      <c r="E131">
        <v>14370.83</v>
      </c>
      <c r="F131">
        <f>D131-E131</f>
        <v>17431.58</v>
      </c>
      <c r="G131">
        <f>F131/D131</f>
        <v>0.5481213530672676</v>
      </c>
      <c r="H131">
        <v>23448.14</v>
      </c>
      <c r="I131">
        <v>11238.62</v>
      </c>
      <c r="J131">
        <f>SUM(H131-O131)</f>
        <v>15632.029999999999</v>
      </c>
      <c r="K131">
        <f>SUM(I131-P131)</f>
        <v>11154.51</v>
      </c>
      <c r="L131">
        <f>J131-K131</f>
        <v>4477.519999999999</v>
      </c>
      <c r="M131">
        <f>L131/J131</f>
        <v>0.2864324083308437</v>
      </c>
      <c r="O131">
        <v>7816.11</v>
      </c>
      <c r="P131">
        <v>84.11</v>
      </c>
      <c r="Q131">
        <f>O131-P131</f>
        <v>7732</v>
      </c>
      <c r="R131">
        <f>Q131/O131</f>
        <v>0.989238892492557</v>
      </c>
      <c r="S131">
        <v>156.69</v>
      </c>
      <c r="T131">
        <v>2</v>
      </c>
      <c r="U131">
        <f>S131-T131</f>
        <v>154.69</v>
      </c>
      <c r="V131">
        <f>U131/S131</f>
        <v>0.9872359435828706</v>
      </c>
      <c r="W131">
        <v>0</v>
      </c>
      <c r="X131">
        <f>(E131-K131-P131)/T131</f>
        <v>1566.105</v>
      </c>
      <c r="Y131">
        <f>(D131-J131-O131)/S131</f>
        <v>53.31719360265494</v>
      </c>
      <c r="Z131">
        <f>(E131-K131-P131)/E131</f>
        <v>0.218</v>
      </c>
      <c r="AA131">
        <f>SUM(D131-H131)/D131</f>
        <v>0.2627</v>
      </c>
      <c r="AD131" t="str">
        <v>Materials calc for monthly claims</v>
      </c>
      <c r="AE131">
        <f>AI135</f>
        <v>0</v>
      </c>
      <c r="AH131">
        <f>SUM(T132-T131)</f>
        <v>0</v>
      </c>
      <c r="AI131">
        <f>SUM(K132-K131)</f>
        <v>-5.900000000001455</v>
      </c>
    </row>
    <row r="132">
      <c r="C132" t="str">
        <v>Week 2</v>
      </c>
      <c r="D132">
        <v>31802.41</v>
      </c>
      <c r="E132">
        <v>14370.83</v>
      </c>
      <c r="F132">
        <v>17431.58</v>
      </c>
      <c r="G132">
        <v>0.5481213530672676</v>
      </c>
      <c r="H132">
        <v>23448.14</v>
      </c>
      <c r="I132">
        <v>11238.62</v>
      </c>
      <c r="J132">
        <v>15632.029999999999</v>
      </c>
      <c r="K132">
        <v>11154.51</v>
      </c>
      <c r="L132">
        <v>4477.519999999999</v>
      </c>
      <c r="M132">
        <v>0.2864324083308437</v>
      </c>
      <c r="O132">
        <v>7816.11</v>
      </c>
      <c r="P132">
        <v>84.11</v>
      </c>
      <c r="Q132">
        <v>7732</v>
      </c>
      <c r="R132">
        <v>0.989238892492557</v>
      </c>
      <c r="S132">
        <v>156.69</v>
      </c>
      <c r="T132">
        <v>2</v>
      </c>
      <c r="U132">
        <v>154.69</v>
      </c>
      <c r="V132">
        <v>0.9872359435828706</v>
      </c>
      <c r="X132">
        <v>1566.105</v>
      </c>
      <c r="Y132">
        <v>53.31719360265494</v>
      </c>
      <c r="Z132">
        <v>0.218</v>
      </c>
      <c r="AA132">
        <v>0.2627</v>
      </c>
      <c r="AH132">
        <f>SUM(T133-T132)</f>
        <v>0</v>
      </c>
      <c r="AI132">
        <f>SUM(K133-K132)</f>
        <v>0</v>
      </c>
    </row>
    <row r="133">
      <c r="C133" t="str">
        <v>Week 3</v>
      </c>
      <c r="AD133" t="str">
        <v>Estimated months claim</v>
      </c>
      <c r="AE133">
        <v>0</v>
      </c>
      <c r="AH133">
        <f>SUM(T134-T133)</f>
        <v>0</v>
      </c>
      <c r="AI133">
        <f>SUM(K134-K133)</f>
        <v>0</v>
      </c>
    </row>
    <row r="134">
      <c r="C134" t="str">
        <v>Week 4</v>
      </c>
      <c r="AH134">
        <f>SUM(T135-T134)</f>
        <v>0</v>
      </c>
      <c r="AI134">
        <f>SUM(K135-K134)</f>
        <v>5.900000000001455</v>
      </c>
    </row>
    <row r="135">
      <c r="C135" t="str">
        <v>Week 5</v>
      </c>
      <c r="AH135">
        <f>SUM(AH130,AH131,AH132,AH133,AH134)</f>
        <v>0</v>
      </c>
      <c r="AI135">
        <f>SUM(AI130,AI131,AI132,AI133,AI134)</f>
        <v>0</v>
      </c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>
        <v>28626.25</v>
      </c>
      <c r="E137">
        <v>20486.24</v>
      </c>
      <c r="F137">
        <f>D137-E137</f>
        <v>8140.009999999998</v>
      </c>
      <c r="G137">
        <f>F137/D137</f>
        <v>0.28435474433430846</v>
      </c>
      <c r="H137">
        <v>21262.27</v>
      </c>
      <c r="I137">
        <v>21984.81</v>
      </c>
      <c r="J137">
        <f>SUM(H137-O137)</f>
        <v>11588.800000000001</v>
      </c>
      <c r="K137">
        <f>SUM(I137-P137)</f>
        <v>12933.62</v>
      </c>
      <c r="L137">
        <f>J137-K137</f>
        <v>-1344.8199999999997</v>
      </c>
      <c r="M137">
        <f>L137/J137</f>
        <v>-0.11604480187767496</v>
      </c>
      <c r="N137">
        <v>0</v>
      </c>
      <c r="O137">
        <v>9673.47</v>
      </c>
      <c r="P137">
        <v>9051.19</v>
      </c>
      <c r="Q137">
        <f>O137-P137</f>
        <v>622.2799999999988</v>
      </c>
      <c r="R137">
        <f>Q137/O137</f>
        <v>0.06432851913532568</v>
      </c>
      <c r="S137">
        <v>193.82</v>
      </c>
      <c r="T137">
        <v>185</v>
      </c>
      <c r="U137">
        <f>S137-T137</f>
        <v>8.819999999999993</v>
      </c>
      <c r="V137">
        <f>U137/S137</f>
        <v>0.04550613971726341</v>
      </c>
      <c r="W137">
        <v>0</v>
      </c>
      <c r="X137">
        <f>(E137-K137-P137)/T137</f>
        <v>-8.100378378378377</v>
      </c>
      <c r="Y137">
        <f>(D137-J137-O137)/S137</f>
        <v>37.99391187699927</v>
      </c>
      <c r="Z137">
        <f>(E137-K137-P137)/E137</f>
        <v>-0.0731500753676614</v>
      </c>
      <c r="AA137">
        <f>SUM(D137-H137)/D137</f>
        <v>0.2572457097943321</v>
      </c>
      <c r="AD137" t="str">
        <v>Hours calc for monthly claims</v>
      </c>
      <c r="AE137">
        <f>AH142</f>
        <v>81.75</v>
      </c>
      <c r="AH137">
        <f>SUM(T138-T137)</f>
        <v>4</v>
      </c>
      <c r="AI137">
        <f>SUM(K138-K137)</f>
        <v>462.71999999999935</v>
      </c>
    </row>
    <row r="138">
      <c r="C138" t="str">
        <v>Week 1</v>
      </c>
      <c r="D138">
        <v>28626.25</v>
      </c>
      <c r="E138">
        <v>27194.94</v>
      </c>
      <c r="F138">
        <f>D138-E138</f>
        <v>1431.3100000000013</v>
      </c>
      <c r="G138">
        <f>F138/D138</f>
        <v>0.049999912667569146</v>
      </c>
      <c r="H138">
        <v>21262.27</v>
      </c>
      <c r="I138">
        <v>25301.59</v>
      </c>
      <c r="J138">
        <f>SUM(H138-O138)</f>
        <v>11588.800000000001</v>
      </c>
      <c r="K138">
        <f>SUM(I138-P138)</f>
        <v>11737.47</v>
      </c>
      <c r="L138">
        <f>J138-K138</f>
        <v>-148.66999999999825</v>
      </c>
      <c r="M138">
        <f>L138/J138</f>
        <v>-0.012828765704818293</v>
      </c>
      <c r="N138">
        <v>0</v>
      </c>
      <c r="O138">
        <v>9673.47</v>
      </c>
      <c r="P138">
        <v>13564.12</v>
      </c>
      <c r="Q138">
        <f>O138-P138</f>
        <v>-3890.6500000000015</v>
      </c>
      <c r="R138">
        <f>Q138/O138</f>
        <v>-0.40219797032502314</v>
      </c>
      <c r="S138">
        <v>193.82</v>
      </c>
      <c r="T138">
        <v>272.75</v>
      </c>
      <c r="U138">
        <f>S138-T138</f>
        <v>-78.93</v>
      </c>
      <c r="V138">
        <f>U138/S138</f>
        <v>-0.40723351563306165</v>
      </c>
      <c r="X138">
        <f>(E138-K138-P138)/T138</f>
        <v>6.941704857928506</v>
      </c>
      <c r="Y138">
        <f>(D138-J138-O138)/S138</f>
        <v>37.993916491590134</v>
      </c>
      <c r="Z138">
        <f>(E138-K138-P138)/E138</f>
        <v>0.0696</v>
      </c>
      <c r="AA138">
        <f>SUM(D138-H138)/D138</f>
        <v>0.2572</v>
      </c>
      <c r="AD138" t="str">
        <v>Materials calc for monthly claims</v>
      </c>
      <c r="AE138">
        <f>AI142</f>
        <v>-1231.300000000003</v>
      </c>
      <c r="AH138">
        <f>SUM(T139-T138)</f>
        <v>77.75</v>
      </c>
      <c r="AI138">
        <f>SUM(K139-K138)</f>
        <v>-1694.0200000000023</v>
      </c>
    </row>
    <row r="139">
      <c r="C139" t="str">
        <v>Week 2</v>
      </c>
      <c r="D139">
        <v>28626.25</v>
      </c>
      <c r="E139">
        <v>27194.94</v>
      </c>
      <c r="F139">
        <v>1431.3100000000013</v>
      </c>
      <c r="G139">
        <v>0.049999912667569146</v>
      </c>
      <c r="H139">
        <v>21262.27</v>
      </c>
      <c r="I139">
        <v>25301.59</v>
      </c>
      <c r="J139">
        <v>11588.800000000001</v>
      </c>
      <c r="K139">
        <v>11737.47</v>
      </c>
      <c r="L139">
        <v>-148.66999999999825</v>
      </c>
      <c r="M139">
        <v>-0.012828765704818293</v>
      </c>
      <c r="O139">
        <v>9673.47</v>
      </c>
      <c r="P139">
        <v>13564.12</v>
      </c>
      <c r="Q139">
        <v>-3890.6500000000015</v>
      </c>
      <c r="R139">
        <v>-0.40219797032502314</v>
      </c>
      <c r="S139">
        <v>193.82</v>
      </c>
      <c r="T139">
        <v>272.75</v>
      </c>
      <c r="U139">
        <v>-78.93</v>
      </c>
      <c r="V139">
        <v>-0.40723351563306165</v>
      </c>
      <c r="X139">
        <v>6.941704857928506</v>
      </c>
      <c r="Y139">
        <v>37.993916491590134</v>
      </c>
      <c r="Z139">
        <v>0.0696</v>
      </c>
      <c r="AA139">
        <v>0.2572</v>
      </c>
      <c r="AH139">
        <f>SUM(T140-T139)</f>
        <v>0</v>
      </c>
      <c r="AI139">
        <f>SUM(K140-K139)</f>
        <v>0</v>
      </c>
    </row>
    <row r="140">
      <c r="C140" t="str">
        <v>Week 3</v>
      </c>
      <c r="AD140" t="str">
        <v>Estimated months claim</v>
      </c>
      <c r="AE140">
        <v>0</v>
      </c>
      <c r="AH140">
        <f>SUM(T141-T140)</f>
        <v>0</v>
      </c>
      <c r="AI140">
        <f>SUM(K141-K140)</f>
        <v>0</v>
      </c>
    </row>
    <row r="141">
      <c r="C141" t="str">
        <v>Week 4</v>
      </c>
      <c r="AH141">
        <f>SUM(T142-T141)</f>
        <v>0</v>
      </c>
      <c r="AI141">
        <f>SUM(K142-K141)</f>
        <v>0</v>
      </c>
    </row>
    <row r="142">
      <c r="C142" t="str">
        <v>Week 5</v>
      </c>
      <c r="AH142">
        <f>SUM(AH137,AH138,AH139,AH140,AH141)</f>
        <v>81.75</v>
      </c>
      <c r="AI142">
        <f>SUM(AI137,AI138,AI139,AI140,AI141)</f>
        <v>-1231.300000000003</v>
      </c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>
        <v>268228.26</v>
      </c>
      <c r="E144">
        <v>9034.53</v>
      </c>
      <c r="F144">
        <f>D144-E144</f>
        <v>259193.73</v>
      </c>
      <c r="G144">
        <f>F144/D144</f>
        <v>0.9663177548853353</v>
      </c>
      <c r="H144">
        <v>238611.58</v>
      </c>
      <c r="I144">
        <v>6362.08</v>
      </c>
      <c r="J144">
        <f>SUM(H144-O144)</f>
        <v>214154.25999999998</v>
      </c>
      <c r="K144">
        <f>SUM(I144-P144)</f>
        <v>3465.35</v>
      </c>
      <c r="L144">
        <f>J144-K144</f>
        <v>210688.90999999997</v>
      </c>
      <c r="M144">
        <f>L144/J144</f>
        <v>0.9838184400347675</v>
      </c>
      <c r="O144">
        <v>24457.32</v>
      </c>
      <c r="P144">
        <v>2896.73</v>
      </c>
      <c r="Q144">
        <f>O144-P144</f>
        <v>21560.59</v>
      </c>
      <c r="R144">
        <f>Q144/O144</f>
        <v>0.8815597947771874</v>
      </c>
      <c r="S144">
        <v>497.55</v>
      </c>
      <c r="T144">
        <v>49.25</v>
      </c>
      <c r="U144">
        <f>S144-T144</f>
        <v>448.3</v>
      </c>
      <c r="V144">
        <f>U144/S144</f>
        <v>0.9010149733695106</v>
      </c>
      <c r="X144">
        <f>(E144-K144-P144)/T144</f>
        <v>54.262944162436554</v>
      </c>
      <c r="Y144">
        <f>(D144-J144-O144)/S144</f>
        <v>59.52503266003423</v>
      </c>
      <c r="Z144">
        <f>(E144-K144-P144)/E144</f>
        <v>0.2958039875898359</v>
      </c>
      <c r="AA144">
        <f>SUM(D144-H144)/D144</f>
        <v>0.11041595691669484</v>
      </c>
      <c r="AD144" t="str">
        <v>Hours calc for monthly claims</v>
      </c>
      <c r="AE144">
        <f>AH149</f>
        <v>-49.25</v>
      </c>
      <c r="AH144">
        <f>SUM(T145-T144)</f>
        <v>9</v>
      </c>
      <c r="AI144">
        <f>SUM(K145-K144)</f>
        <v>0</v>
      </c>
    </row>
    <row r="145">
      <c r="C145" t="str">
        <v>Week 1</v>
      </c>
      <c r="D145">
        <v>268228.26</v>
      </c>
      <c r="E145">
        <v>9034.53</v>
      </c>
      <c r="F145">
        <f>D145-E145</f>
        <v>259193.73</v>
      </c>
      <c r="G145">
        <f>F145/D145</f>
        <v>0.9663177548853353</v>
      </c>
      <c r="H145">
        <v>238611.58</v>
      </c>
      <c r="I145">
        <v>6362.08</v>
      </c>
      <c r="J145">
        <f>SUM(H145-O145)</f>
        <v>214154.25</v>
      </c>
      <c r="K145">
        <f>SUM(I145-P145)</f>
        <v>3465.35</v>
      </c>
      <c r="L145">
        <f>J145-K145</f>
        <v>210688.9</v>
      </c>
      <c r="M145">
        <f>L145/J145</f>
        <v>0.9838184392791645</v>
      </c>
      <c r="O145">
        <v>24457.33</v>
      </c>
      <c r="P145">
        <v>2896.73</v>
      </c>
      <c r="Q145">
        <f>O145-P145</f>
        <v>21560.600000000002</v>
      </c>
      <c r="R145">
        <f>Q145/O145</f>
        <v>0.8815598432044708</v>
      </c>
      <c r="S145">
        <v>497.55</v>
      </c>
      <c r="T145">
        <v>58.25</v>
      </c>
      <c r="U145">
        <f>S145-T145</f>
        <v>439.3</v>
      </c>
      <c r="V145">
        <f>U145/S145</f>
        <v>0.8829263390614008</v>
      </c>
      <c r="X145">
        <f>(E145-K145-P145)/T145</f>
        <v>45.878969957081544</v>
      </c>
      <c r="Y145">
        <f>(D145-J145-O145)/S145</f>
        <v>59.525035875791396</v>
      </c>
      <c r="Z145">
        <f>(E145-K145-P145)/E145</f>
        <v>0.2958</v>
      </c>
      <c r="AA145">
        <f>SUM(D145-H145)/D145</f>
        <v>0.1104</v>
      </c>
      <c r="AD145" t="str">
        <v>Materials calc for monthly claims</v>
      </c>
      <c r="AE145">
        <f>AI149</f>
        <v>-3465.35</v>
      </c>
      <c r="AH145">
        <f>SUM(T146-T145)</f>
        <v>-58.25</v>
      </c>
      <c r="AI145">
        <f>SUM(K146-K145)</f>
        <v>-3465.35</v>
      </c>
    </row>
    <row r="146">
      <c r="C146" t="str">
        <v>Week 2</v>
      </c>
      <c r="D146">
        <v>268228.26</v>
      </c>
      <c r="E146">
        <v>9034.53</v>
      </c>
      <c r="F146">
        <v>259193.73</v>
      </c>
      <c r="G146">
        <v>0.9663177548853353</v>
      </c>
      <c r="H146">
        <v>238611.58</v>
      </c>
      <c r="I146">
        <v>6362.08</v>
      </c>
      <c r="J146">
        <v>214154.25</v>
      </c>
      <c r="K146">
        <v>3465.35</v>
      </c>
      <c r="L146">
        <v>210688.9</v>
      </c>
      <c r="M146">
        <v>0.9838184392791645</v>
      </c>
      <c r="O146">
        <v>24457.33</v>
      </c>
      <c r="P146">
        <v>2896.73</v>
      </c>
      <c r="Q146">
        <v>21560.600000000002</v>
      </c>
      <c r="R146">
        <v>0.8815598432044708</v>
      </c>
      <c r="S146">
        <v>497.55</v>
      </c>
      <c r="T146">
        <v>58.25</v>
      </c>
      <c r="U146">
        <v>439.3</v>
      </c>
      <c r="V146">
        <v>0.8829263390614008</v>
      </c>
      <c r="X146">
        <v>45.878969957081544</v>
      </c>
      <c r="Y146">
        <v>59.525035875791396</v>
      </c>
      <c r="Z146">
        <v>0.2958</v>
      </c>
      <c r="AA146">
        <v>0.1104</v>
      </c>
      <c r="AH146">
        <f>SUM(T147-T146)</f>
        <v>0</v>
      </c>
      <c r="AI146">
        <f>SUM(K147-K146)</f>
        <v>0</v>
      </c>
    </row>
    <row r="147">
      <c r="C147" t="str">
        <v>Week 3</v>
      </c>
      <c r="AD147" t="str">
        <v>Estimated months claim</v>
      </c>
      <c r="AE147">
        <v>0</v>
      </c>
      <c r="AH147">
        <f>SUM(T148-T147)</f>
        <v>0</v>
      </c>
      <c r="AI147">
        <f>SUM(K148-K147)</f>
        <v>0</v>
      </c>
    </row>
    <row r="148">
      <c r="C148" t="str">
        <v>Week 4</v>
      </c>
      <c r="AH148">
        <f>SUM(T149-T148)</f>
        <v>0</v>
      </c>
      <c r="AI148">
        <f>SUM(K149-K148)</f>
        <v>0</v>
      </c>
    </row>
    <row r="149">
      <c r="C149" t="str">
        <v>Week 5</v>
      </c>
      <c r="AH149">
        <f>SUM(AH144,AH145,AH146,AH147,AH148)</f>
        <v>-49.25</v>
      </c>
      <c r="AI149">
        <f>SUM(AI144,AI145,AI146,AI147,AI148)</f>
        <v>-3465.35</v>
      </c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>
        <v>32773.41</v>
      </c>
      <c r="E151">
        <v>25502.96</v>
      </c>
      <c r="F151">
        <f>D151-E151</f>
        <v>7270.450000000004</v>
      </c>
      <c r="G151">
        <f>F151/D151</f>
        <v>0.2218399000897375</v>
      </c>
      <c r="H151">
        <v>22750.99</v>
      </c>
      <c r="I151">
        <v>21846.04</v>
      </c>
      <c r="J151">
        <f>SUM(H151-O151)</f>
        <v>12243.410000000002</v>
      </c>
      <c r="K151">
        <f>SUM(I151-P151)</f>
        <v>10619.900000000001</v>
      </c>
      <c r="L151">
        <f>J151-K151</f>
        <v>1623.5100000000002</v>
      </c>
      <c r="M151">
        <f>L151/J151</f>
        <v>0.1326027634458047</v>
      </c>
      <c r="O151">
        <v>10507.58</v>
      </c>
      <c r="P151">
        <v>11226.14</v>
      </c>
      <c r="Q151">
        <f>O151-P151</f>
        <v>-718.5599999999995</v>
      </c>
      <c r="R151">
        <f>Q151/O151</f>
        <v>-0.0683849183161108</v>
      </c>
      <c r="S151">
        <v>210.6</v>
      </c>
      <c r="T151">
        <v>226.5</v>
      </c>
      <c r="U151">
        <f>S151-T151</f>
        <v>-15.900000000000006</v>
      </c>
      <c r="V151">
        <f>U151/S151</f>
        <v>-0.07549857549857553</v>
      </c>
      <c r="X151">
        <f>(E151-K151-P151)/T151</f>
        <v>16.1453421633554</v>
      </c>
      <c r="Y151">
        <f>(D151-J151-O151)/S151</f>
        <v>47.58983855650523</v>
      </c>
      <c r="Z151">
        <f>(E151-K151-P151)/E151</f>
        <v>0.14339198273455311</v>
      </c>
      <c r="AA151">
        <f>SUM(D151-H151)/D151</f>
        <v>0.30580949617388004</v>
      </c>
      <c r="AD151" t="str">
        <v>Hours calc for monthly claims</v>
      </c>
      <c r="AE151">
        <f>AH156</f>
        <v>34.25</v>
      </c>
      <c r="AH151">
        <f>SUM(T152-T151)</f>
        <v>0</v>
      </c>
      <c r="AI151">
        <f>SUM(K152-K151)</f>
        <v>0</v>
      </c>
    </row>
    <row r="152">
      <c r="C152" t="str">
        <v>Week 1</v>
      </c>
      <c r="D152">
        <v>32773.41</v>
      </c>
      <c r="E152">
        <v>32773.41</v>
      </c>
      <c r="F152">
        <f>D152-E152</f>
        <v>0</v>
      </c>
      <c r="G152">
        <f>F152/D152</f>
        <v>0</v>
      </c>
      <c r="H152">
        <v>22750.99</v>
      </c>
      <c r="I152">
        <v>22254.11</v>
      </c>
      <c r="J152">
        <f>SUM(H152-O152)</f>
        <v>12243.410000000002</v>
      </c>
      <c r="K152">
        <f>SUM(I152-P152)</f>
        <v>9324.41</v>
      </c>
      <c r="L152">
        <f>J152-K152</f>
        <v>2919.000000000002</v>
      </c>
      <c r="M152">
        <f>L152/J152</f>
        <v>0.23841397127107575</v>
      </c>
      <c r="O152">
        <v>10507.58</v>
      </c>
      <c r="P152">
        <v>12929.7</v>
      </c>
      <c r="Q152">
        <f>O152-P152</f>
        <v>-2422.120000000001</v>
      </c>
      <c r="R152">
        <f>Q152/O152</f>
        <v>-0.23051168775303169</v>
      </c>
      <c r="S152">
        <v>210.6</v>
      </c>
      <c r="T152">
        <v>260.75</v>
      </c>
      <c r="U152">
        <f>S152-T152</f>
        <v>-50.150000000000006</v>
      </c>
      <c r="V152">
        <f>U152/S152</f>
        <v>-0.2381291547958215</v>
      </c>
      <c r="X152">
        <f>(E152-K152-P152)/T152</f>
        <v>40.342473633748796</v>
      </c>
      <c r="Y152">
        <f>(D152-J152-O152)/S152</f>
        <v>47.58984852136751</v>
      </c>
      <c r="Z152">
        <f>(E152-K152-P152)/E152</f>
        <v>0.321</v>
      </c>
      <c r="AA152">
        <f>SUM(D152-H152)/D152</f>
        <v>0.3058</v>
      </c>
      <c r="AD152" t="str">
        <v>Materials calc for monthly claims</v>
      </c>
      <c r="AE152">
        <f>AI156</f>
        <v>-1295.4900000000016</v>
      </c>
      <c r="AH152">
        <f>SUM(T153-T152)</f>
        <v>34.25</v>
      </c>
      <c r="AI152">
        <f>SUM(K153-K152)</f>
        <v>-1295.4900000000016</v>
      </c>
    </row>
    <row r="153">
      <c r="C153" t="str">
        <v>Week 2</v>
      </c>
      <c r="D153">
        <v>32773.41</v>
      </c>
      <c r="E153">
        <v>32773.41</v>
      </c>
      <c r="F153">
        <v>0</v>
      </c>
      <c r="G153">
        <v>0</v>
      </c>
      <c r="H153">
        <v>22750.99</v>
      </c>
      <c r="I153">
        <v>22254.11</v>
      </c>
      <c r="J153">
        <v>12243.410000000002</v>
      </c>
      <c r="K153">
        <v>9324.41</v>
      </c>
      <c r="L153">
        <v>2919.000000000002</v>
      </c>
      <c r="M153">
        <v>0.23841397127107575</v>
      </c>
      <c r="O153">
        <v>10507.58</v>
      </c>
      <c r="P153">
        <v>12929.7</v>
      </c>
      <c r="Q153">
        <v>-2422.120000000001</v>
      </c>
      <c r="R153">
        <v>-0.23051168775303169</v>
      </c>
      <c r="S153">
        <v>210.6</v>
      </c>
      <c r="T153">
        <v>260.75</v>
      </c>
      <c r="U153">
        <v>-50.150000000000006</v>
      </c>
      <c r="V153">
        <v>-0.2381291547958215</v>
      </c>
      <c r="X153">
        <v>40.342473633748796</v>
      </c>
      <c r="Y153">
        <v>47.58984852136751</v>
      </c>
      <c r="Z153">
        <v>0.321</v>
      </c>
      <c r="AA153">
        <v>0.3058</v>
      </c>
      <c r="AH153">
        <f>SUM(T154-T153)</f>
        <v>0</v>
      </c>
      <c r="AI153">
        <f>SUM(K154-K153)</f>
        <v>0</v>
      </c>
    </row>
    <row r="154">
      <c r="C154" t="str">
        <v>Week 3</v>
      </c>
      <c r="AD154" t="str">
        <v>Estimated months claim</v>
      </c>
      <c r="AE154">
        <v>0</v>
      </c>
      <c r="AH154">
        <f>SUM(T155-T154)</f>
        <v>0</v>
      </c>
      <c r="AI154">
        <f>SUM(K155-K154)</f>
        <v>0</v>
      </c>
    </row>
    <row r="155">
      <c r="C155" t="str">
        <v>Week 4</v>
      </c>
      <c r="AH155">
        <f>SUM(T156-T155)</f>
        <v>0</v>
      </c>
      <c r="AI155">
        <f>SUM(K156-K155)</f>
        <v>0</v>
      </c>
    </row>
    <row r="156">
      <c r="C156" t="str">
        <v>Week 5</v>
      </c>
      <c r="AH156">
        <f>SUM(AH151,AH152,AH153,AH154,AH155)</f>
        <v>34.25</v>
      </c>
      <c r="AI156">
        <f>SUM(AI151,AI152,AI153,AI154,AI155)</f>
        <v>-1295.4900000000016</v>
      </c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>
        <v>17899.33</v>
      </c>
      <c r="E158">
        <v>0</v>
      </c>
      <c r="F158">
        <f>D158-E158</f>
        <v>17899.33</v>
      </c>
      <c r="G158">
        <f>F158/D158</f>
        <v>1</v>
      </c>
      <c r="H158">
        <v>13691.44</v>
      </c>
      <c r="I158">
        <v>7562.12</v>
      </c>
      <c r="J158">
        <v>0</v>
      </c>
      <c r="K158">
        <v>0</v>
      </c>
      <c r="L158">
        <f>J158-K158</f>
        <v>0</v>
      </c>
      <c r="M158" t="e">
        <f>L158/J158</f>
        <v>#DIV/0!</v>
      </c>
      <c r="O158">
        <v>5458.47</v>
      </c>
      <c r="P158">
        <v>2298.36</v>
      </c>
      <c r="Q158">
        <f>O158-P158</f>
        <v>3160.11</v>
      </c>
      <c r="R158">
        <f>Q158/O158</f>
        <v>0.5789369548609775</v>
      </c>
      <c r="S158">
        <v>109</v>
      </c>
      <c r="T158">
        <v>0</v>
      </c>
      <c r="U158">
        <f>S158-T158</f>
        <v>109</v>
      </c>
      <c r="V158">
        <f>U158/S158</f>
        <v>1</v>
      </c>
      <c r="X158" t="e">
        <f>(E158-K158-P158)/T158</f>
        <v>#DIV/0!</v>
      </c>
      <c r="Y158">
        <f>(D158-J158-O158)/S158</f>
        <v>114.13633027522937</v>
      </c>
      <c r="Z158" t="e">
        <f>(E158-K158-P158)/E158</f>
        <v>#DIV/0!</v>
      </c>
      <c r="AA158">
        <f>SUM(D158-H158)/D158</f>
        <v>0.2350864529566191</v>
      </c>
      <c r="AD158" t="str">
        <v>Hours calc for monthly claims</v>
      </c>
      <c r="AE158">
        <f>AH163</f>
        <v>44.75</v>
      </c>
      <c r="AH158">
        <f>SUM(T159-T158)</f>
        <v>0</v>
      </c>
      <c r="AI158">
        <f>SUM(K159-K158)</f>
        <v>0</v>
      </c>
    </row>
    <row r="159">
      <c r="C159" t="str">
        <v>Week 1</v>
      </c>
      <c r="D159">
        <v>17899.33</v>
      </c>
      <c r="E159">
        <v>13424.5</v>
      </c>
      <c r="F159">
        <f>D159-E159</f>
        <v>4474.830000000002</v>
      </c>
      <c r="G159">
        <f>F159/D159</f>
        <v>0.24999986032996774</v>
      </c>
      <c r="H159">
        <v>13919.4</v>
      </c>
      <c r="I159">
        <v>10424.13</v>
      </c>
      <c r="J159">
        <v>8410.93</v>
      </c>
      <c r="K159">
        <v>7300.139999999999</v>
      </c>
      <c r="L159">
        <f>J159-K159</f>
        <v>1110.7900000000009</v>
      </c>
      <c r="M159">
        <f>L159/J159</f>
        <v>0.13206506295974416</v>
      </c>
      <c r="O159">
        <v>5508.47</v>
      </c>
      <c r="P159">
        <v>3123.99</v>
      </c>
      <c r="Q159">
        <f>O159-P159</f>
        <v>2384.4800000000005</v>
      </c>
      <c r="R159">
        <f>Q159/O159</f>
        <v>0.43287519038861977</v>
      </c>
      <c r="S159">
        <v>110.44</v>
      </c>
      <c r="T159">
        <v>60.75</v>
      </c>
      <c r="U159">
        <f>S159-T159</f>
        <v>49.69</v>
      </c>
      <c r="V159">
        <f>U159/S159</f>
        <v>0.44992756247736326</v>
      </c>
      <c r="X159">
        <f>(E159-K159-P159)/T159</f>
        <v>49.388806584362136</v>
      </c>
      <c r="Y159">
        <f>(D159-J159-O159)/S159</f>
        <v>36.03704967040926</v>
      </c>
      <c r="Z159">
        <f>(E159-K159-P159)/E159</f>
        <v>0.2235</v>
      </c>
      <c r="AA159">
        <f>SUM(D159-H159)/D159</f>
        <v>0.2224</v>
      </c>
      <c r="AD159" t="str">
        <v>Materials calc for monthly claims</v>
      </c>
      <c r="AE159">
        <f>AI163</f>
        <v>5263.76</v>
      </c>
      <c r="AH159">
        <f>SUM(T160-T159)</f>
        <v>0</v>
      </c>
      <c r="AI159">
        <f>SUM(K160-K159)</f>
        <v>5263.76</v>
      </c>
    </row>
    <row r="160">
      <c r="C160" t="str">
        <v>Week 2</v>
      </c>
      <c r="D160">
        <v>17899.33</v>
      </c>
      <c r="E160">
        <v>13424.5</v>
      </c>
      <c r="F160">
        <v>4474.830000000002</v>
      </c>
      <c r="G160">
        <v>0.24999986032996774</v>
      </c>
      <c r="H160">
        <v>13919.4</v>
      </c>
      <c r="I160">
        <v>10424.13</v>
      </c>
      <c r="J160">
        <v>8410.93</v>
      </c>
      <c r="K160">
        <v>7300.139999999999</v>
      </c>
      <c r="L160">
        <v>1110.7900000000009</v>
      </c>
      <c r="M160">
        <v>0.13206506295974416</v>
      </c>
      <c r="O160">
        <v>5508.47</v>
      </c>
      <c r="P160">
        <v>3123.99</v>
      </c>
      <c r="Q160">
        <v>2384.4800000000005</v>
      </c>
      <c r="R160">
        <v>0.43287519038861977</v>
      </c>
      <c r="S160">
        <v>110.44</v>
      </c>
      <c r="T160">
        <v>60.75</v>
      </c>
      <c r="U160">
        <v>49.69</v>
      </c>
      <c r="V160">
        <v>0.44992756247736326</v>
      </c>
      <c r="X160">
        <v>49.388806584362136</v>
      </c>
      <c r="Y160">
        <v>36.03704967040926</v>
      </c>
      <c r="Z160">
        <v>0.2235</v>
      </c>
      <c r="AA160">
        <v>0.2224</v>
      </c>
      <c r="AH160">
        <f>SUM(T161-T160)</f>
        <v>44.75</v>
      </c>
      <c r="AI160">
        <f>SUM(K161-K160)</f>
        <v>0</v>
      </c>
    </row>
    <row r="161">
      <c r="C161" t="str">
        <v>Week 3</v>
      </c>
      <c r="AD161" t="str">
        <v>Estimated months claim</v>
      </c>
      <c r="AE161">
        <v>0</v>
      </c>
      <c r="AH161">
        <f>SUM(T162-T161)</f>
        <v>0</v>
      </c>
      <c r="AI161">
        <f>SUM(K162-K161)</f>
        <v>0</v>
      </c>
    </row>
    <row r="162">
      <c r="C162" t="str">
        <v>Week 4</v>
      </c>
      <c r="AH162">
        <f>SUM(T163-T162)</f>
        <v>0</v>
      </c>
      <c r="AI162">
        <f>SUM(K163-K162)</f>
        <v>0</v>
      </c>
    </row>
    <row r="163">
      <c r="C163" t="str">
        <v>Week 5</v>
      </c>
      <c r="AH163">
        <f>SUM(AH158,AH159,AH160,AH161,AH162)</f>
        <v>44.75</v>
      </c>
      <c r="AI163">
        <f>SUM(AI158,AI159,AI160,AI161,AI162)</f>
        <v>5263.76</v>
      </c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>
        <v>10827.2</v>
      </c>
      <c r="F165">
        <f>D165-E165</f>
        <v>10827.2</v>
      </c>
      <c r="G165">
        <f>F165/D165</f>
        <v>1</v>
      </c>
      <c r="H165">
        <v>7619.53</v>
      </c>
      <c r="J165">
        <f>SUM(H165-O165)</f>
        <v>4388.87</v>
      </c>
      <c r="K165">
        <f>SUM(I165-P165)</f>
        <v>0</v>
      </c>
      <c r="L165">
        <f>J165-K165</f>
        <v>4388.87</v>
      </c>
      <c r="M165">
        <f>L165/J165</f>
        <v>1</v>
      </c>
      <c r="O165">
        <v>3230.66</v>
      </c>
      <c r="Q165">
        <f>O165-P165</f>
        <v>3230.66</v>
      </c>
      <c r="R165">
        <f>Q165/O165</f>
        <v>1</v>
      </c>
      <c r="S165">
        <v>64.71</v>
      </c>
      <c r="U165">
        <f>S165-T165</f>
        <v>64.71</v>
      </c>
      <c r="V165">
        <f>U165/S165</f>
        <v>1</v>
      </c>
      <c r="X165" t="e">
        <f>(E165-K165-P165)/T165</f>
        <v>#DIV/0!</v>
      </c>
      <c r="Y165">
        <f>(D165-J165-O165)/S165</f>
        <v>49.569927368258405</v>
      </c>
      <c r="Z165" t="e">
        <f>(E165-K165-P165)/E165</f>
        <v>#DIV/0!</v>
      </c>
      <c r="AA165">
        <f>SUM(D165-H165)/D165</f>
        <v>0.29626034431801396</v>
      </c>
      <c r="AD165" t="str">
        <v>Hours calc for monthly claims</v>
      </c>
      <c r="AE165">
        <f>AH170</f>
        <v>0</v>
      </c>
      <c r="AH165">
        <f>SUM(T166-T165)</f>
        <v>0</v>
      </c>
      <c r="AI165">
        <f>SUM(K166-K165)</f>
        <v>0</v>
      </c>
    </row>
    <row r="166">
      <c r="C166" t="str">
        <v>Week 1</v>
      </c>
      <c r="D166">
        <v>10827.2</v>
      </c>
      <c r="F166">
        <f>D166-E166</f>
        <v>10827.2</v>
      </c>
      <c r="G166">
        <f>F166/D166</f>
        <v>1</v>
      </c>
      <c r="H166">
        <v>7619.53</v>
      </c>
      <c r="J166">
        <f>SUM(H166-O166)</f>
        <v>4388.87</v>
      </c>
      <c r="K166">
        <f>SUM(I166-P166)</f>
        <v>0</v>
      </c>
      <c r="L166">
        <f>J166-K166</f>
        <v>4388.87</v>
      </c>
      <c r="M166">
        <f>L166/J166</f>
        <v>1</v>
      </c>
      <c r="O166">
        <v>3230.66</v>
      </c>
      <c r="Q166">
        <f>O166-P166</f>
        <v>3230.66</v>
      </c>
      <c r="R166">
        <f>Q166/O166</f>
        <v>1</v>
      </c>
      <c r="S166">
        <v>64.71</v>
      </c>
      <c r="U166">
        <f>S166-T166</f>
        <v>64.71</v>
      </c>
      <c r="V166">
        <f>U166/S166</f>
        <v>1</v>
      </c>
      <c r="X166" t="e">
        <f>(E166-K166-P166)/T166</f>
        <v>#DIV/0!</v>
      </c>
      <c r="Y166">
        <f>(D166-J166-O166)/S166</f>
        <v>49.569927368258405</v>
      </c>
      <c r="Z166" t="e">
        <f>(E166-K166-P166)/E166</f>
        <v>#DIV/0!</v>
      </c>
      <c r="AA166">
        <f>SUM(D166-H166)/D166</f>
        <v>0.29626034431801396</v>
      </c>
      <c r="AD166" t="str">
        <v>Materials calc for monthly claims</v>
      </c>
      <c r="AE166">
        <f>AI170</f>
        <v>0</v>
      </c>
      <c r="AH166">
        <f>SUM(T167-T166)</f>
        <v>0</v>
      </c>
      <c r="AI166">
        <f>SUM(K167-K166)</f>
        <v>0</v>
      </c>
    </row>
    <row r="167">
      <c r="C167" t="str">
        <v>Week 2</v>
      </c>
      <c r="AH167">
        <f>SUM(T168-T167)</f>
        <v>0</v>
      </c>
      <c r="AI167">
        <f>SUM(K168-K167)</f>
        <v>0</v>
      </c>
    </row>
    <row r="168">
      <c r="C168" t="str">
        <v>Week 3</v>
      </c>
      <c r="AD168" t="str">
        <v>Estimated months claim</v>
      </c>
      <c r="AE168">
        <v>0</v>
      </c>
      <c r="AH168">
        <f>SUM(T169-T168)</f>
        <v>0</v>
      </c>
      <c r="AI168">
        <f>SUM(K169-K168)</f>
        <v>0</v>
      </c>
    </row>
    <row r="169">
      <c r="C169" t="str">
        <v>Week 4</v>
      </c>
      <c r="AH169">
        <f>SUM(T170-T169)</f>
        <v>0</v>
      </c>
      <c r="AI169">
        <f>SUM(K170-K169)</f>
        <v>0</v>
      </c>
    </row>
    <row r="170">
      <c r="C170" t="str">
        <v>Week 5</v>
      </c>
      <c r="AH170">
        <f>SUM(AH165,AH166,AH167,AH168,AH169)</f>
        <v>0</v>
      </c>
      <c r="AI170">
        <f>SUM(AI165,AI166,AI167,AI168,AI169)</f>
        <v>0</v>
      </c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>
        <v>146237.11</v>
      </c>
      <c r="E172">
        <v>70638.78</v>
      </c>
      <c r="F172">
        <f>D172-E172</f>
        <v>75598.32999999999</v>
      </c>
      <c r="G172">
        <f>F172/D172</f>
        <v>0.5169572210501151</v>
      </c>
      <c r="H172">
        <v>114651.89</v>
      </c>
      <c r="I172">
        <v>71934.44</v>
      </c>
      <c r="J172">
        <f>SUM(H172-O172)</f>
        <v>82888.16</v>
      </c>
      <c r="K172">
        <v>0</v>
      </c>
      <c r="L172">
        <f>J172-K172</f>
        <v>82888.16</v>
      </c>
      <c r="M172">
        <f>L172/J172</f>
        <v>1</v>
      </c>
      <c r="O172">
        <v>31763.73</v>
      </c>
      <c r="P172">
        <v>12578.31</v>
      </c>
      <c r="Q172">
        <f>O172-P172</f>
        <v>19185.42</v>
      </c>
      <c r="R172">
        <f>Q172/O172</f>
        <v>0.6040040007895797</v>
      </c>
      <c r="S172">
        <v>659.73</v>
      </c>
      <c r="T172">
        <v>245.25</v>
      </c>
      <c r="U172">
        <f>S172-T172</f>
        <v>414.48</v>
      </c>
      <c r="V172">
        <f>U172/S172</f>
        <v>0.6282570142330953</v>
      </c>
      <c r="X172">
        <f>(E172-K172-P172)/T172</f>
        <v>236.7399388379205</v>
      </c>
      <c r="Y172">
        <f>(D172-J172-O172)/S172</f>
        <v>47.87597956739876</v>
      </c>
      <c r="Z172">
        <f>(E172-K172-P172)/E172</f>
        <v>0.8219347786017822</v>
      </c>
      <c r="AA172">
        <f>SUM(D172-H172)/D172</f>
        <v>0.21598635257493798</v>
      </c>
      <c r="AD172" t="str">
        <v>Hours calc for monthly claims</v>
      </c>
      <c r="AE172">
        <f>AH177</f>
        <v>59.5</v>
      </c>
      <c r="AH172">
        <f>SUM(T173-T172)</f>
        <v>32</v>
      </c>
      <c r="AI172">
        <f>SUM(K173-K172)</f>
        <v>0</v>
      </c>
    </row>
    <row r="173">
      <c r="C173" t="str">
        <v>Week 1</v>
      </c>
      <c r="D173">
        <v>146237.11</v>
      </c>
      <c r="E173">
        <v>94266.45</v>
      </c>
      <c r="F173">
        <v>51970.65999999999</v>
      </c>
      <c r="G173">
        <f>F173/D173</f>
        <v>0.355386262761894</v>
      </c>
      <c r="H173">
        <v>114651.87</v>
      </c>
      <c r="I173">
        <v>91824.39</v>
      </c>
      <c r="J173">
        <f>SUM(H173-O173)</f>
        <v>82888.07999999999</v>
      </c>
      <c r="K173">
        <v>73131.34</v>
      </c>
      <c r="L173">
        <f>J173-K173</f>
        <v>9756.73999999999</v>
      </c>
      <c r="M173">
        <f>L173/J173</f>
        <v>0.11770980821367792</v>
      </c>
      <c r="O173">
        <v>31763.79</v>
      </c>
      <c r="P173">
        <v>18693.05</v>
      </c>
      <c r="Q173">
        <f>O173-P173</f>
        <v>13070.740000000002</v>
      </c>
      <c r="R173">
        <f>Q173/O173</f>
        <v>0.41149812412183817</v>
      </c>
      <c r="S173">
        <v>659.73</v>
      </c>
      <c r="T173">
        <v>378</v>
      </c>
      <c r="U173">
        <f>S173-T173</f>
        <v>281.73</v>
      </c>
      <c r="V173">
        <f>U173/S173</f>
        <v>0.4270383338638534</v>
      </c>
      <c r="X173">
        <f>(E173-K173-P173)/T173</f>
        <v>6.46047619047619</v>
      </c>
      <c r="Y173">
        <f>(D173-J173-O173)/S173</f>
        <v>47.87601261940491</v>
      </c>
      <c r="Z173">
        <f>(E173-K173-P173)/E173</f>
        <v>0.0259</v>
      </c>
      <c r="AA173">
        <f>SUM(D173-H173)/D173</f>
        <v>0.216</v>
      </c>
      <c r="AD173" t="str">
        <v>Materials calc for monthly claims</v>
      </c>
      <c r="AE173">
        <f>AI177</f>
        <v>60408.100000000006</v>
      </c>
      <c r="AH173">
        <f>SUM(T174-T173)</f>
        <v>0.5</v>
      </c>
      <c r="AI173">
        <f>SUM(K174-K173)</f>
        <v>59720.630000000005</v>
      </c>
    </row>
    <row r="174">
      <c r="C174" t="str">
        <v>Week 2</v>
      </c>
      <c r="D174">
        <v>146237.11</v>
      </c>
      <c r="E174">
        <v>94266.45</v>
      </c>
      <c r="F174">
        <v>51970.65999999999</v>
      </c>
      <c r="G174">
        <v>0.355386262761894</v>
      </c>
      <c r="H174">
        <v>114651.87</v>
      </c>
      <c r="I174">
        <v>91824.39</v>
      </c>
      <c r="J174">
        <v>82888.07999999999</v>
      </c>
      <c r="K174">
        <v>73131.34</v>
      </c>
      <c r="L174">
        <v>9756.73999999999</v>
      </c>
      <c r="M174">
        <v>0.11770980821367792</v>
      </c>
      <c r="O174">
        <v>31763.79</v>
      </c>
      <c r="P174">
        <v>18693.05</v>
      </c>
      <c r="Q174">
        <v>13070.740000000002</v>
      </c>
      <c r="R174">
        <v>0.41149812412183817</v>
      </c>
      <c r="S174">
        <v>659.73</v>
      </c>
      <c r="T174">
        <v>378</v>
      </c>
      <c r="U174">
        <v>281.73</v>
      </c>
      <c r="V174">
        <v>0.4270383338638534</v>
      </c>
      <c r="X174">
        <v>6.46047619047619</v>
      </c>
      <c r="Y174">
        <v>47.87601261940491</v>
      </c>
      <c r="Z174">
        <v>0.0259</v>
      </c>
      <c r="AA174">
        <v>0.216</v>
      </c>
      <c r="AH174">
        <f>SUM(T175-T174)</f>
        <v>0</v>
      </c>
      <c r="AI174">
        <f>SUM(K175-K174)</f>
        <v>0</v>
      </c>
    </row>
    <row r="175">
      <c r="C175" t="str">
        <v>Week 3</v>
      </c>
      <c r="AD175" t="str">
        <v>Estimated months claim</v>
      </c>
      <c r="AE175">
        <v>0</v>
      </c>
      <c r="AH175">
        <f>SUM(T176-T175)</f>
        <v>0</v>
      </c>
      <c r="AI175">
        <f>SUM(K176-K175)</f>
        <v>0</v>
      </c>
    </row>
    <row r="176">
      <c r="C176" t="str">
        <v>Week 4</v>
      </c>
      <c r="AH176">
        <f>SUM(T177-T176)</f>
        <v>27</v>
      </c>
      <c r="AI176">
        <f>SUM(K177-K176)</f>
        <v>687.4700000000012</v>
      </c>
    </row>
    <row r="177">
      <c r="C177" t="str">
        <v>Week 5</v>
      </c>
      <c r="AH177">
        <f>SUM(AH172,AH173,AH174,AH175,AH176)</f>
        <v>59.5</v>
      </c>
      <c r="AI177">
        <f>SUM(AI172,AI173,AI174,AI175,AI176)</f>
        <v>60408.100000000006</v>
      </c>
    </row>
    <row r="178">
      <c r="A178">
        <v>0</v>
      </c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>
        <v>22013.44</v>
      </c>
      <c r="E179">
        <v>0</v>
      </c>
      <c r="F179">
        <f>D179-E179</f>
        <v>22013.44</v>
      </c>
      <c r="G179">
        <f>F179/D179</f>
        <v>1</v>
      </c>
      <c r="H179">
        <v>11868.76</v>
      </c>
      <c r="I179">
        <v>2282.63</v>
      </c>
      <c r="J179">
        <f>SUM(H179-O179)</f>
        <v>3458.6000000000004</v>
      </c>
      <c r="K179">
        <f>SUM(I179-P179)</f>
        <v>2282.63</v>
      </c>
      <c r="L179">
        <f>J179-K179</f>
        <v>1175.9700000000003</v>
      </c>
      <c r="M179">
        <f>L179/J179</f>
        <v>0.34001330017926334</v>
      </c>
      <c r="O179">
        <v>8410.16</v>
      </c>
      <c r="P179">
        <v>0</v>
      </c>
      <c r="Q179">
        <f>O179-P179</f>
        <v>8410.16</v>
      </c>
      <c r="R179">
        <f>Q179/O179</f>
        <v>1</v>
      </c>
      <c r="S179">
        <v>168.44</v>
      </c>
      <c r="T179">
        <v>0</v>
      </c>
      <c r="U179">
        <f>S179-T179</f>
        <v>168.44</v>
      </c>
      <c r="V179">
        <f>U179/S179</f>
        <v>1</v>
      </c>
      <c r="X179" t="e">
        <f>(E179-K179-P179)/T179</f>
        <v>#DIV/0!</v>
      </c>
      <c r="Y179">
        <f>(D179-J179-O179)/S179</f>
        <v>60.227261933032516</v>
      </c>
      <c r="Z179" t="e">
        <f>(E179-K179-P179)/E179</f>
        <v>#DIV/0!</v>
      </c>
      <c r="AA179">
        <f>SUM(D179-H179)/D179</f>
        <v>0.46084028666123966</v>
      </c>
      <c r="AD179" t="str">
        <v>Hours calc for monthly claims</v>
      </c>
      <c r="AE179">
        <f>AH184</f>
        <v>11.25</v>
      </c>
      <c r="AH179">
        <f>SUM(T180-T179)</f>
        <v>11.25</v>
      </c>
      <c r="AI179">
        <f>SUM(K180-K179)</f>
        <v>16.079999999999927</v>
      </c>
    </row>
    <row r="180">
      <c r="C180" t="str">
        <v>Week 1</v>
      </c>
      <c r="D180">
        <v>16897.53</v>
      </c>
      <c r="E180">
        <v>5491.7</v>
      </c>
      <c r="F180">
        <f>D180-E180</f>
        <v>11405.829999999998</v>
      </c>
      <c r="G180">
        <f>F180/D180</f>
        <v>0.6749998372543206</v>
      </c>
      <c r="H180">
        <v>9226.27</v>
      </c>
      <c r="I180">
        <v>3702.78</v>
      </c>
      <c r="J180">
        <f>SUM(H180-O180)</f>
        <v>2977.1100000000006</v>
      </c>
      <c r="K180">
        <f>SUM(I180-P180)</f>
        <v>2335.9700000000003</v>
      </c>
      <c r="L180">
        <f>J180-K180</f>
        <v>641.1400000000003</v>
      </c>
      <c r="M180">
        <f>L180/J180</f>
        <v>0.2153565034546927</v>
      </c>
      <c r="O180">
        <v>6249.16</v>
      </c>
      <c r="P180">
        <v>1366.81</v>
      </c>
      <c r="Q180">
        <f>O180-P180</f>
        <v>4882.35</v>
      </c>
      <c r="R180">
        <f>Q180/O180</f>
        <v>0.7812810041669601</v>
      </c>
      <c r="S180">
        <v>125.17</v>
      </c>
      <c r="T180">
        <v>23.75</v>
      </c>
      <c r="U180">
        <f>S180-T180</f>
        <v>101.42</v>
      </c>
      <c r="V180">
        <f>U180/S180</f>
        <v>0.8102580490532876</v>
      </c>
      <c r="X180">
        <f>(E180-K180-P180)/T180</f>
        <v>75.32294736842105</v>
      </c>
      <c r="Y180">
        <f>(D180-J180-O180)/S180</f>
        <v>61.286703843093385</v>
      </c>
      <c r="Z180">
        <f>(E180-K180-P180)/E180</f>
        <v>0.3257</v>
      </c>
      <c r="AA180">
        <f>SUM(D180-H180)/D180</f>
        <v>0.454</v>
      </c>
      <c r="AD180" t="str">
        <v>Materials calc for monthly claims</v>
      </c>
      <c r="AE180">
        <f>AI184</f>
        <v>16.079999999999927</v>
      </c>
      <c r="AH180">
        <f>SUM(T181-T180)</f>
        <v>0</v>
      </c>
      <c r="AI180">
        <f>SUM(K181-K180)</f>
        <v>0</v>
      </c>
    </row>
    <row r="181">
      <c r="C181" t="str">
        <v>Week 2</v>
      </c>
      <c r="D181">
        <v>16897.53</v>
      </c>
      <c r="E181">
        <v>5491.7</v>
      </c>
      <c r="F181">
        <v>11405.829999999998</v>
      </c>
      <c r="G181">
        <v>0.6749998372543206</v>
      </c>
      <c r="H181">
        <v>9226.27</v>
      </c>
      <c r="I181">
        <v>3702.78</v>
      </c>
      <c r="J181">
        <v>2977.1100000000006</v>
      </c>
      <c r="K181">
        <v>2335.9700000000003</v>
      </c>
      <c r="L181">
        <v>641.1400000000003</v>
      </c>
      <c r="M181">
        <v>0.2153565034546927</v>
      </c>
      <c r="O181">
        <v>6249.16</v>
      </c>
      <c r="P181">
        <v>1366.81</v>
      </c>
      <c r="Q181">
        <v>4882.35</v>
      </c>
      <c r="R181">
        <v>0.7812810041669601</v>
      </c>
      <c r="S181">
        <v>125.17</v>
      </c>
      <c r="T181">
        <v>23.75</v>
      </c>
      <c r="U181">
        <v>101.42</v>
      </c>
      <c r="V181">
        <v>0.8102580490532876</v>
      </c>
      <c r="X181">
        <v>75.32294736842105</v>
      </c>
      <c r="Y181">
        <v>61.286703843093385</v>
      </c>
      <c r="Z181">
        <v>0.3257</v>
      </c>
      <c r="AA181">
        <v>0.454</v>
      </c>
      <c r="AH181">
        <f>SUM(T182-T181)</f>
        <v>0</v>
      </c>
      <c r="AI181">
        <f>SUM(K182-K181)</f>
        <v>0</v>
      </c>
    </row>
    <row r="182">
      <c r="C182" t="str">
        <v>Week 3</v>
      </c>
      <c r="AD182" t="str">
        <v>Estimated months claim</v>
      </c>
      <c r="AE182">
        <v>0</v>
      </c>
      <c r="AH182">
        <f>SUM(T183-T182)</f>
        <v>0</v>
      </c>
      <c r="AI182">
        <f>SUM(K183-K182)</f>
        <v>0</v>
      </c>
    </row>
    <row r="183">
      <c r="C183" t="str">
        <v>Week 4</v>
      </c>
      <c r="AH183">
        <f>SUM(T184-T183)</f>
        <v>0</v>
      </c>
      <c r="AI183">
        <f>SUM(K184-K183)</f>
        <v>0</v>
      </c>
    </row>
    <row r="184">
      <c r="C184" t="str">
        <v>Week 5</v>
      </c>
      <c r="AH184">
        <f>SUM(AH179,AH180,AH181,AH182,AH183)</f>
        <v>11.25</v>
      </c>
      <c r="AI184">
        <f>SUM(AI179,AI180,AI181,AI182,AI183)</f>
        <v>16.079999999999927</v>
      </c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>
        <v>17608.26</v>
      </c>
      <c r="E186">
        <v>1232.58</v>
      </c>
      <c r="F186">
        <f>D186-E186</f>
        <v>16375.679999999998</v>
      </c>
      <c r="G186">
        <f>F186/D186</f>
        <v>0.9299998977752486</v>
      </c>
      <c r="H186">
        <v>14076.97</v>
      </c>
      <c r="I186">
        <v>1028</v>
      </c>
      <c r="J186">
        <f>SUM(H186-O186)</f>
        <v>8286.46</v>
      </c>
      <c r="K186">
        <v>0</v>
      </c>
      <c r="L186">
        <f>J186-K186</f>
        <v>8286.46</v>
      </c>
      <c r="M186">
        <f>L186/J186</f>
        <v>1</v>
      </c>
      <c r="O186">
        <v>5790.51</v>
      </c>
      <c r="P186">
        <v>0</v>
      </c>
      <c r="Q186">
        <f>O186-P186</f>
        <v>5790.51</v>
      </c>
      <c r="R186">
        <f>Q186/O186</f>
        <v>1</v>
      </c>
      <c r="S186">
        <v>116.13</v>
      </c>
      <c r="T186">
        <v>0</v>
      </c>
      <c r="U186">
        <f>S186-T186</f>
        <v>116.13</v>
      </c>
      <c r="V186">
        <f>U186/S186</f>
        <v>1</v>
      </c>
      <c r="X186" t="e">
        <f>(E186-K186-P186)/T186</f>
        <v>#DIV/0!</v>
      </c>
      <c r="Y186">
        <f>(D186-J186-O186)/S186</f>
        <v>30.40807715491259</v>
      </c>
      <c r="Z186">
        <f>(E186-K186-P186)/E186</f>
        <v>1</v>
      </c>
      <c r="AA186">
        <f>SUM(D186-H186)/D186</f>
        <v>0.200547356751888</v>
      </c>
      <c r="AD186" t="str">
        <v>Hours calc for monthly claims</v>
      </c>
      <c r="AE186">
        <f>AH191</f>
        <v>32.25</v>
      </c>
      <c r="AH186">
        <f>SUM(T187-T186)</f>
        <v>0</v>
      </c>
      <c r="AI186">
        <f>SUM(K187-K186)</f>
        <v>0</v>
      </c>
    </row>
    <row r="187">
      <c r="C187" t="str">
        <v>Week 1</v>
      </c>
      <c r="D187">
        <v>20992.12</v>
      </c>
      <c r="E187">
        <v>14169.68</v>
      </c>
      <c r="F187">
        <f>D187-E187</f>
        <v>6822.439999999999</v>
      </c>
      <c r="G187">
        <f>F187/D187</f>
        <v>0.32500004763692275</v>
      </c>
      <c r="H187">
        <v>16299.09</v>
      </c>
      <c r="I187">
        <v>9755.47</v>
      </c>
      <c r="J187">
        <f>SUM(H187-O187)</f>
        <v>9784.33</v>
      </c>
      <c r="K187">
        <v>8193.84</v>
      </c>
      <c r="L187">
        <f>J187-K187</f>
        <v>1590.4899999999998</v>
      </c>
      <c r="M187">
        <f>L187/J187</f>
        <v>0.16255481979859632</v>
      </c>
      <c r="O187">
        <v>6514.76</v>
      </c>
      <c r="P187">
        <v>1561.63</v>
      </c>
      <c r="Q187">
        <f>O187-P187</f>
        <v>4953.13</v>
      </c>
      <c r="R187">
        <f>Q187/O187</f>
        <v>0.7602935488030257</v>
      </c>
      <c r="S187">
        <v>130.62</v>
      </c>
      <c r="T187">
        <v>34.75</v>
      </c>
      <c r="U187">
        <f>S187-T187</f>
        <v>95.87</v>
      </c>
      <c r="V187">
        <f>U187/S187</f>
        <v>0.7339611085591793</v>
      </c>
      <c r="X187">
        <f>(E187-K187-P187)/T187</f>
        <v>127.02762589928058</v>
      </c>
      <c r="Y187">
        <f>(D187-J187-O187)/S187</f>
        <v>35.92887828502527</v>
      </c>
      <c r="Z187">
        <f>(E187-K187-P187)/E187</f>
        <v>0.3115</v>
      </c>
      <c r="AA187">
        <f>SUM(D187-H187)/D187</f>
        <v>0.2236</v>
      </c>
      <c r="AD187" t="str">
        <v>Materials calc for monthly claims</v>
      </c>
      <c r="AE187">
        <f>AI191</f>
        <v>3461.1499999999996</v>
      </c>
      <c r="AH187">
        <f>SUM(T188-T187)</f>
        <v>32.25</v>
      </c>
      <c r="AI187">
        <f>SUM(K188-K187)</f>
        <v>3461.1499999999996</v>
      </c>
    </row>
    <row r="188">
      <c r="C188" t="str">
        <v>Week 2</v>
      </c>
      <c r="D188">
        <v>20992.12</v>
      </c>
      <c r="E188">
        <v>14169.68</v>
      </c>
      <c r="F188">
        <v>6822.439999999999</v>
      </c>
      <c r="G188">
        <v>0.32500004763692275</v>
      </c>
      <c r="H188">
        <v>16299.09</v>
      </c>
      <c r="I188">
        <v>9755.47</v>
      </c>
      <c r="J188">
        <v>9784.33</v>
      </c>
      <c r="K188">
        <v>8193.84</v>
      </c>
      <c r="L188">
        <v>1590.4899999999998</v>
      </c>
      <c r="M188">
        <v>0.16255481979859632</v>
      </c>
      <c r="O188">
        <v>6514.76</v>
      </c>
      <c r="P188">
        <v>1561.63</v>
      </c>
      <c r="Q188">
        <v>4953.13</v>
      </c>
      <c r="R188">
        <v>0.7602935488030257</v>
      </c>
      <c r="S188">
        <v>130.62</v>
      </c>
      <c r="T188">
        <v>34.75</v>
      </c>
      <c r="U188">
        <v>95.87</v>
      </c>
      <c r="V188">
        <v>0.7339611085591793</v>
      </c>
      <c r="X188">
        <v>127.02762589928058</v>
      </c>
      <c r="Y188">
        <v>35.92887828502527</v>
      </c>
      <c r="Z188">
        <v>0.3115</v>
      </c>
      <c r="AA188">
        <v>0.2236</v>
      </c>
      <c r="AH188">
        <f>SUM(T189-T188)</f>
        <v>0</v>
      </c>
      <c r="AI188">
        <f>SUM(K189-K188)</f>
        <v>0</v>
      </c>
    </row>
    <row r="189">
      <c r="C189" t="str">
        <v>Week 3</v>
      </c>
      <c r="AD189" t="str">
        <v>Estimated months claim</v>
      </c>
      <c r="AE189">
        <v>0</v>
      </c>
      <c r="AH189">
        <f>SUM(T190-T189)</f>
        <v>0</v>
      </c>
      <c r="AI189">
        <f>SUM(K190-K189)</f>
        <v>0</v>
      </c>
    </row>
    <row r="190">
      <c r="C190" t="str">
        <v>Week 4</v>
      </c>
      <c r="AH190">
        <f>SUM(T191-T190)</f>
        <v>0</v>
      </c>
      <c r="AI190">
        <f>SUM(K191-K190)</f>
        <v>0</v>
      </c>
    </row>
    <row r="191">
      <c r="C191" t="str">
        <v>Week 5</v>
      </c>
      <c r="AH191">
        <f>SUM(AH186,AH187,AH188,AH189,AH190)</f>
        <v>32.25</v>
      </c>
      <c r="AI191">
        <f>SUM(AI186,AI187,AI188,AI189,AI190)</f>
        <v>3461.1499999999996</v>
      </c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>
        <v>39559.62</v>
      </c>
      <c r="E193">
        <v>0</v>
      </c>
      <c r="F193">
        <f>D193-E193</f>
        <v>39559.62</v>
      </c>
      <c r="G193">
        <f>F193/D193</f>
        <v>1</v>
      </c>
      <c r="H193">
        <v>29401.08</v>
      </c>
      <c r="I193">
        <v>0</v>
      </c>
      <c r="J193">
        <f>SUM(H193-O193)</f>
        <v>22999.49</v>
      </c>
      <c r="K193">
        <v>0</v>
      </c>
      <c r="L193">
        <f>J193-K193</f>
        <v>22999.49</v>
      </c>
      <c r="M193">
        <f>L193/J193</f>
        <v>1</v>
      </c>
      <c r="N193">
        <v>0</v>
      </c>
      <c r="O193">
        <v>6401.59</v>
      </c>
      <c r="P193">
        <v>0</v>
      </c>
      <c r="Q193">
        <f>O193-P193</f>
        <v>6401.59</v>
      </c>
      <c r="R193">
        <f>Q193/O193</f>
        <v>1</v>
      </c>
      <c r="S193">
        <v>129.75</v>
      </c>
      <c r="T193">
        <v>0</v>
      </c>
      <c r="U193">
        <f>S193-T193</f>
        <v>129.75</v>
      </c>
      <c r="V193">
        <f>U193/S193</f>
        <v>1</v>
      </c>
      <c r="W193">
        <v>0</v>
      </c>
      <c r="X193" t="e">
        <f>(E193-K193-P193)/T193</f>
        <v>#DIV/0!</v>
      </c>
      <c r="Y193">
        <f>(D193-J193-O193)/S193</f>
        <v>78.29317919075145</v>
      </c>
      <c r="Z193" t="e">
        <f>(E193-K193-P193)/E193</f>
        <v>#DIV/0!</v>
      </c>
      <c r="AA193">
        <f>SUM(D193-H193)/D193</f>
        <v>0.2567906365126864</v>
      </c>
      <c r="AD193" t="str">
        <v>Hours calc for monthly claims</v>
      </c>
      <c r="AE193">
        <f>AH198</f>
        <v>0</v>
      </c>
      <c r="AH193">
        <f>SUM(T194-T193)</f>
        <v>0</v>
      </c>
      <c r="AI193">
        <f>SUM(K194-K193)</f>
        <v>0</v>
      </c>
    </row>
    <row r="194">
      <c r="C194" t="str">
        <v>Week 1</v>
      </c>
      <c r="D194">
        <v>23770.95</v>
      </c>
      <c r="E194">
        <v>0</v>
      </c>
      <c r="F194">
        <f>D194-E194</f>
        <v>23770.95</v>
      </c>
      <c r="G194">
        <f>F194/D194</f>
        <v>1</v>
      </c>
      <c r="H194">
        <v>14310.96</v>
      </c>
      <c r="I194">
        <v>7180.07</v>
      </c>
      <c r="J194">
        <f>SUM(H194-O194)</f>
        <v>7389.339999999999</v>
      </c>
      <c r="K194">
        <v>6849.16</v>
      </c>
      <c r="L194">
        <f>J194-K194</f>
        <v>540.1799999999994</v>
      </c>
      <c r="M194">
        <f>L194/J194</f>
        <v>0.07310260456278903</v>
      </c>
      <c r="O194">
        <v>6921.62</v>
      </c>
      <c r="P194">
        <v>330.91</v>
      </c>
      <c r="Q194">
        <f>O194-P194</f>
        <v>6590.71</v>
      </c>
      <c r="R194">
        <f>Q194/O194</f>
        <v>0.9521918279246766</v>
      </c>
      <c r="S194">
        <v>140.15</v>
      </c>
      <c r="T194">
        <v>5.75</v>
      </c>
      <c r="U194">
        <f>S194-T194</f>
        <v>134.4</v>
      </c>
      <c r="V194">
        <f>U194/S194</f>
        <v>0.9589725294327506</v>
      </c>
      <c r="X194">
        <f>(E194-K194-P194)/T194</f>
        <v>-1248.7078260869564</v>
      </c>
      <c r="Y194">
        <f>(D194-J194-O194)/S194</f>
        <v>67.49902570438813</v>
      </c>
      <c r="Z194">
        <f>(E194-K194-P194)/E194</f>
        <v>0</v>
      </c>
      <c r="AA194">
        <f>SUM(D194-H194)/D194</f>
        <v>0.398</v>
      </c>
      <c r="AD194" t="str">
        <v>Materials calc for monthly claims</v>
      </c>
      <c r="AE194">
        <f>AI198</f>
        <v>0</v>
      </c>
      <c r="AH194">
        <f>SUM(T195-T194)</f>
        <v>5.75</v>
      </c>
      <c r="AI194">
        <f>SUM(K195-K194)</f>
        <v>0</v>
      </c>
    </row>
    <row r="195">
      <c r="C195" t="str">
        <v>Week 2</v>
      </c>
      <c r="D195">
        <v>23770.95</v>
      </c>
      <c r="E195">
        <v>0</v>
      </c>
      <c r="F195">
        <v>23770.95</v>
      </c>
      <c r="G195">
        <v>1</v>
      </c>
      <c r="H195">
        <v>14310.96</v>
      </c>
      <c r="I195">
        <v>7180.07</v>
      </c>
      <c r="J195">
        <v>7389.339999999999</v>
      </c>
      <c r="K195">
        <v>6849.16</v>
      </c>
      <c r="L195">
        <v>540.1799999999994</v>
      </c>
      <c r="M195">
        <v>0.07310260456278903</v>
      </c>
      <c r="O195">
        <v>6921.62</v>
      </c>
      <c r="P195">
        <v>330.91</v>
      </c>
      <c r="Q195">
        <v>6590.71</v>
      </c>
      <c r="R195">
        <v>0.9521918279246766</v>
      </c>
      <c r="S195">
        <v>140.15</v>
      </c>
      <c r="T195">
        <v>5.75</v>
      </c>
      <c r="U195">
        <v>134.4</v>
      </c>
      <c r="V195">
        <v>0.9589725294327506</v>
      </c>
      <c r="X195">
        <v>-1248.7078260869564</v>
      </c>
      <c r="Y195">
        <v>67.49902570438813</v>
      </c>
      <c r="Z195">
        <v>0</v>
      </c>
      <c r="AA195">
        <v>0.398</v>
      </c>
      <c r="AH195">
        <f>SUM(T196-T195)</f>
        <v>0</v>
      </c>
      <c r="AI195">
        <f>SUM(K196-K195)</f>
        <v>0</v>
      </c>
    </row>
    <row r="196">
      <c r="C196" t="str">
        <v>Week 3</v>
      </c>
      <c r="AD196" t="str">
        <v>Estimated months claim</v>
      </c>
      <c r="AE196">
        <v>0</v>
      </c>
      <c r="AH196">
        <f>SUM(T197-T196)</f>
        <v>0</v>
      </c>
      <c r="AI196">
        <f>SUM(K197-K196)</f>
        <v>0</v>
      </c>
    </row>
    <row r="197">
      <c r="C197" t="str">
        <v>Week 4</v>
      </c>
      <c r="AH197">
        <f>SUM(T198-T197)</f>
        <v>-5.75</v>
      </c>
      <c r="AI197">
        <f>SUM(K198-K197)</f>
        <v>0</v>
      </c>
    </row>
    <row r="198">
      <c r="C198" t="str">
        <v>Week 5</v>
      </c>
      <c r="AH198">
        <f>SUM(AH193,AH194,AH195,AH196,AH197)</f>
        <v>0</v>
      </c>
      <c r="AI198">
        <f>SUM(AI193,AI194,AI195,AI196,AI197)</f>
        <v>0</v>
      </c>
    </row>
    <row r="200">
      <c r="A200">
        <f>'Main Sheet'!A60</f>
        <v>0</v>
      </c>
      <c r="B200">
        <f>'Main Sheet'!B60</f>
        <v>0</v>
      </c>
      <c r="C200" t="str">
        <v>Start of month</v>
      </c>
      <c r="D200">
        <v>0</v>
      </c>
      <c r="E200">
        <v>0</v>
      </c>
      <c r="F200">
        <f>D200-E200</f>
        <v>0</v>
      </c>
      <c r="G200" t="e">
        <f>F200/D200</f>
        <v>#DIV/0!</v>
      </c>
      <c r="H200">
        <v>0</v>
      </c>
      <c r="I200">
        <v>0</v>
      </c>
      <c r="J200">
        <v>0</v>
      </c>
      <c r="K200">
        <v>0</v>
      </c>
      <c r="L200">
        <f>J200-K200</f>
        <v>0</v>
      </c>
      <c r="M200" t="e">
        <f>L200/J200</f>
        <v>#DIV/0!</v>
      </c>
      <c r="O200">
        <v>0</v>
      </c>
      <c r="P200">
        <v>0</v>
      </c>
      <c r="Q200">
        <f>O200-P200</f>
        <v>0</v>
      </c>
      <c r="R200" t="e">
        <f>Q200/O200</f>
        <v>#DIV/0!</v>
      </c>
      <c r="S200">
        <v>0</v>
      </c>
      <c r="T200">
        <v>0</v>
      </c>
      <c r="U200">
        <f>S200-T200</f>
        <v>0</v>
      </c>
      <c r="V200" t="e">
        <f>U200/S200</f>
        <v>#DIV/0!</v>
      </c>
      <c r="X200" t="e">
        <f>(E200-K200-P200)/T200</f>
        <v>#DIV/0!</v>
      </c>
      <c r="Y200" t="e">
        <f>(D200-J200-O200)/S200</f>
        <v>#DIV/0!</v>
      </c>
      <c r="Z200" t="e">
        <f>(E200-K200-P200)/E200</f>
        <v>#DIV/0!</v>
      </c>
      <c r="AA200" t="e">
        <f>SUM(D200-H200)/D200</f>
        <v>#DIV/0!</v>
      </c>
      <c r="AD200" t="str">
        <v>Hours calc for monthly claims</v>
      </c>
      <c r="AE200">
        <f>AH205</f>
        <v>0</v>
      </c>
      <c r="AH200">
        <f>SUM(T201-T200)</f>
        <v>0</v>
      </c>
      <c r="AI200">
        <f>SUM(K201-K200)</f>
        <v>0</v>
      </c>
    </row>
    <row r="201">
      <c r="C201" t="str">
        <v>Week 1</v>
      </c>
      <c r="D201">
        <v>0</v>
      </c>
      <c r="E201">
        <v>0</v>
      </c>
      <c r="F201">
        <v>0</v>
      </c>
      <c r="G201" t="e">
        <f>F201/D201</f>
        <v>#DIV/0!</v>
      </c>
      <c r="H201">
        <v>0</v>
      </c>
      <c r="I201">
        <v>0</v>
      </c>
      <c r="J201">
        <v>0</v>
      </c>
      <c r="K201">
        <v>0</v>
      </c>
      <c r="L201">
        <f>J201-K201</f>
        <v>0</v>
      </c>
      <c r="M201" t="e">
        <f>L201/J201</f>
        <v>#DIV/0!</v>
      </c>
      <c r="O201">
        <v>0</v>
      </c>
      <c r="P201">
        <v>0</v>
      </c>
      <c r="Q201">
        <f>O201-P201</f>
        <v>0</v>
      </c>
      <c r="R201" t="e">
        <f>Q201/O201</f>
        <v>#DIV/0!</v>
      </c>
      <c r="S201">
        <v>0</v>
      </c>
      <c r="T201">
        <v>0</v>
      </c>
      <c r="U201">
        <f>S201-T201</f>
        <v>0</v>
      </c>
      <c r="V201" t="e">
        <f>U201/S201</f>
        <v>#DIV/0!</v>
      </c>
      <c r="X201" t="e">
        <f>(E201-K201-P201)/T201</f>
        <v>#DIV/0!</v>
      </c>
      <c r="Y201" t="e">
        <f>(D201-J201-O201)/S201</f>
        <v>#DIV/0!</v>
      </c>
      <c r="Z201" t="e">
        <f>(E201-K201-P201)/E201</f>
        <v>#DIV/0!</v>
      </c>
      <c r="AA201" t="e">
        <f>SUM(D201-H201)/D201</f>
        <v>#DIV/0!</v>
      </c>
      <c r="AD201" t="str">
        <v>Materials calc for monthly claims</v>
      </c>
      <c r="AE201">
        <f>AI205</f>
        <v>0</v>
      </c>
      <c r="AH201">
        <f>SUM(T202-T201)</f>
        <v>0</v>
      </c>
      <c r="AI201">
        <f>SUM(K202-K201)</f>
        <v>0</v>
      </c>
    </row>
    <row r="202">
      <c r="C202" t="str">
        <v>Week 2</v>
      </c>
      <c r="D202">
        <v>0</v>
      </c>
      <c r="E202">
        <v>0</v>
      </c>
      <c r="F202">
        <f>D202-E202</f>
        <v>0</v>
      </c>
      <c r="G202" t="e">
        <f>F202/D202</f>
        <v>#DIV/0!</v>
      </c>
      <c r="H202">
        <v>0</v>
      </c>
      <c r="I202">
        <v>0</v>
      </c>
      <c r="J202">
        <f>SUM(H202-O202)</f>
        <v>0</v>
      </c>
      <c r="K202">
        <f>SUM(I202-P202)</f>
        <v>0</v>
      </c>
      <c r="L202">
        <f>J202-K202</f>
        <v>0</v>
      </c>
      <c r="M202" t="e">
        <f>L202/J202</f>
        <v>#DIV/0!</v>
      </c>
      <c r="O202">
        <v>0</v>
      </c>
      <c r="P202">
        <v>0</v>
      </c>
      <c r="Q202">
        <f>O202-P202</f>
        <v>0</v>
      </c>
      <c r="R202" t="e">
        <f>Q202/O202</f>
        <v>#DIV/0!</v>
      </c>
      <c r="S202">
        <v>0</v>
      </c>
      <c r="T202">
        <v>0</v>
      </c>
      <c r="U202">
        <f>S202-T202</f>
        <v>0</v>
      </c>
      <c r="V202" t="e">
        <f>U202/S202</f>
        <v>#DIV/0!</v>
      </c>
      <c r="X202" t="e">
        <f>(E202-K202-P202)/T202</f>
        <v>#DIV/0!</v>
      </c>
      <c r="Y202" t="e">
        <f>(D202-J202-O202)/S202</f>
        <v>#DIV/0!</v>
      </c>
      <c r="Z202" t="e">
        <f>(E202-K202-P202)/E202</f>
        <v>#DIV/0!</v>
      </c>
      <c r="AA202" t="e">
        <f>SUM(D202-H202)/D202</f>
        <v>#DIV/0!</v>
      </c>
      <c r="AH202">
        <f>SUM(T203-T202)</f>
        <v>0</v>
      </c>
      <c r="AI202">
        <f>SUM(K203-K202)</f>
        <v>0</v>
      </c>
    </row>
    <row r="203">
      <c r="C203" t="str">
        <v>Week 3</v>
      </c>
      <c r="D203">
        <v>0</v>
      </c>
      <c r="E203">
        <v>0</v>
      </c>
      <c r="F203">
        <f>D203-E203</f>
        <v>0</v>
      </c>
      <c r="G203" t="e">
        <f>F203/D203</f>
        <v>#DIV/0!</v>
      </c>
      <c r="H203">
        <v>0</v>
      </c>
      <c r="I203">
        <v>0</v>
      </c>
      <c r="J203">
        <f>SUM(H203-O203)</f>
        <v>0</v>
      </c>
      <c r="K203">
        <f>SUM(I203-P203)</f>
        <v>0</v>
      </c>
      <c r="L203">
        <f>J203-K203</f>
        <v>0</v>
      </c>
      <c r="M203" t="e">
        <f>L203/J203</f>
        <v>#DIV/0!</v>
      </c>
      <c r="O203">
        <v>0</v>
      </c>
      <c r="P203">
        <v>0</v>
      </c>
      <c r="Q203">
        <f>O203-P203</f>
        <v>0</v>
      </c>
      <c r="R203" t="e">
        <f>Q203/O203</f>
        <v>#DIV/0!</v>
      </c>
      <c r="S203">
        <v>0</v>
      </c>
      <c r="T203">
        <v>0</v>
      </c>
      <c r="U203">
        <f>S203-T203</f>
        <v>0</v>
      </c>
      <c r="V203" t="e">
        <f>U203/S203</f>
        <v>#DIV/0!</v>
      </c>
      <c r="X203" t="e">
        <f>(E203-K203-P203)/T203</f>
        <v>#DIV/0!</v>
      </c>
      <c r="Y203" t="e">
        <f>(D203-J203-O203)/S203</f>
        <v>#DIV/0!</v>
      </c>
      <c r="Z203" t="e">
        <f>(E203-K203-P203)/E203</f>
        <v>#DIV/0!</v>
      </c>
      <c r="AA203" t="e">
        <f>SUM(D203-H203)/D203</f>
        <v>#DIV/0!</v>
      </c>
      <c r="AD203" t="str">
        <v>Estimated months claim</v>
      </c>
      <c r="AE203">
        <v>0</v>
      </c>
      <c r="AH203">
        <f>SUM(T204-T203)</f>
        <v>0</v>
      </c>
      <c r="AI203">
        <f>SUM(K204-K203)</f>
        <v>0</v>
      </c>
    </row>
    <row r="204">
      <c r="C204" t="str">
        <v>Week 4</v>
      </c>
      <c r="D204">
        <v>0</v>
      </c>
      <c r="E204">
        <v>0</v>
      </c>
      <c r="F204">
        <f>D204-E204</f>
        <v>0</v>
      </c>
      <c r="G204" t="e">
        <f>F204/D204</f>
        <v>#DIV/0!</v>
      </c>
      <c r="H204">
        <v>0</v>
      </c>
      <c r="I204">
        <v>0</v>
      </c>
      <c r="J204">
        <f>SUM(H204-O204)</f>
        <v>0</v>
      </c>
      <c r="K204">
        <f>SUM(I204-P204)</f>
        <v>0</v>
      </c>
      <c r="L204">
        <f>J204-K204</f>
        <v>0</v>
      </c>
      <c r="M204" t="e">
        <f>L204/J204</f>
        <v>#DIV/0!</v>
      </c>
      <c r="O204">
        <v>0</v>
      </c>
      <c r="P204">
        <v>0</v>
      </c>
      <c r="Q204">
        <f>O204-P204</f>
        <v>0</v>
      </c>
      <c r="R204" t="e">
        <f>Q204/O204</f>
        <v>#DIV/0!</v>
      </c>
      <c r="S204">
        <v>0</v>
      </c>
      <c r="T204">
        <v>0</v>
      </c>
      <c r="U204">
        <f>S204-T204</f>
        <v>0</v>
      </c>
      <c r="V204" t="e">
        <f>U204/S204</f>
        <v>#DIV/0!</v>
      </c>
      <c r="X204" t="e">
        <f>(E204-K204-P204)/T204</f>
        <v>#DIV/0!</v>
      </c>
      <c r="Y204" t="e">
        <f>(D204-J204-O204)/S204</f>
        <v>#DIV/0!</v>
      </c>
      <c r="Z204" t="e">
        <f>(E204-K204-P204)/E204</f>
        <v>#DIV/0!</v>
      </c>
      <c r="AA204" t="e">
        <f>SUM(D204-H204)/D204</f>
        <v>#DIV/0!</v>
      </c>
      <c r="AH204">
        <f>SUM(T205-T204)</f>
        <v>0</v>
      </c>
      <c r="AI204">
        <f>SUM(K205-K204)</f>
        <v>0</v>
      </c>
    </row>
    <row r="205">
      <c r="C205" t="str">
        <v>Week 5</v>
      </c>
      <c r="D205">
        <v>0</v>
      </c>
      <c r="E205">
        <v>0</v>
      </c>
      <c r="F205">
        <f>D205-E205</f>
        <v>0</v>
      </c>
      <c r="G205" t="e">
        <f>F205/D205</f>
        <v>#DIV/0!</v>
      </c>
      <c r="H205">
        <v>0</v>
      </c>
      <c r="I205">
        <v>0</v>
      </c>
      <c r="J205">
        <f>SUM(H205-O205)</f>
        <v>0</v>
      </c>
      <c r="K205">
        <f>SUM(I205-P205)</f>
        <v>0</v>
      </c>
      <c r="L205">
        <f>J205-K205</f>
        <v>0</v>
      </c>
      <c r="M205" t="e">
        <f>L205/J205</f>
        <v>#DIV/0!</v>
      </c>
      <c r="O205">
        <v>0</v>
      </c>
      <c r="P205">
        <v>0</v>
      </c>
      <c r="Q205">
        <f>O205-P205</f>
        <v>0</v>
      </c>
      <c r="R205" t="e">
        <f>Q205/O205</f>
        <v>#DIV/0!</v>
      </c>
      <c r="S205">
        <v>0</v>
      </c>
      <c r="T205">
        <v>0</v>
      </c>
      <c r="U205">
        <f>S205-T205</f>
        <v>0</v>
      </c>
      <c r="V205" t="e">
        <f>U205/S205</f>
        <v>#DIV/0!</v>
      </c>
      <c r="X205" t="e">
        <f>(E205-K205-P205)/T205</f>
        <v>#DIV/0!</v>
      </c>
      <c r="Y205" t="e">
        <f>(D205-J205-O205)/S205</f>
        <v>#DIV/0!</v>
      </c>
      <c r="Z205" t="e">
        <f>(E205-K205-P205)/E205</f>
        <v>#DIV/0!</v>
      </c>
      <c r="AA205" t="e">
        <f>SUM(D205-H205)/D205</f>
        <v>#DIV/0!</v>
      </c>
      <c r="AH205">
        <f>SUM(AH200,AH201,AH202,AH203,AH204)</f>
        <v>0</v>
      </c>
      <c r="AI205">
        <f>SUM(AI200,AI201,AI202,AI203,AI204)</f>
        <v>0</v>
      </c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F207">
        <f>D207-E207</f>
        <v>0</v>
      </c>
      <c r="G207" t="e">
        <f>F207/D207</f>
        <v>#DIV/0!</v>
      </c>
      <c r="J207">
        <v>0</v>
      </c>
      <c r="K207">
        <v>0</v>
      </c>
      <c r="L207">
        <f>J207-K207</f>
        <v>0</v>
      </c>
      <c r="M207" t="e">
        <f>L207/J207</f>
        <v>#DIV/0!</v>
      </c>
      <c r="Q207">
        <f>O207-P207</f>
        <v>0</v>
      </c>
      <c r="R207" t="e">
        <f>Q207/O207</f>
        <v>#DIV/0!</v>
      </c>
      <c r="U207">
        <f>S207-T207</f>
        <v>0</v>
      </c>
      <c r="V207" t="e">
        <f>U207/S207</f>
        <v>#DIV/0!</v>
      </c>
      <c r="X207" t="e">
        <f>(E207-K207-P207)/T207</f>
        <v>#DIV/0!</v>
      </c>
      <c r="Y207" t="e">
        <f>(D207-J207-O207)/S207</f>
        <v>#DIV/0!</v>
      </c>
      <c r="Z207" t="e">
        <f>(E207-K207-P207)/E207</f>
        <v>#DIV/0!</v>
      </c>
      <c r="AA207" t="e">
        <f>SUM(D207-H207)/D207</f>
        <v>#DIV/0!</v>
      </c>
      <c r="AD207" t="str">
        <v>Hours calc for monthly claims</v>
      </c>
      <c r="AE207">
        <f>AH212</f>
        <v>0</v>
      </c>
      <c r="AH207">
        <f>SUM(T208-T207)</f>
        <v>0</v>
      </c>
      <c r="AI207">
        <f>SUM(K208-K207)</f>
        <v>0</v>
      </c>
    </row>
    <row r="208">
      <c r="C208" t="str">
        <v>Week 1</v>
      </c>
      <c r="F208">
        <f>D208-E208</f>
        <v>0</v>
      </c>
      <c r="G208" t="e">
        <f>F208/D208</f>
        <v>#DIV/0!</v>
      </c>
      <c r="J208">
        <v>0</v>
      </c>
      <c r="K208">
        <v>0</v>
      </c>
      <c r="L208">
        <f>J208-K208</f>
        <v>0</v>
      </c>
      <c r="M208" t="e">
        <f>L208/J208</f>
        <v>#DIV/0!</v>
      </c>
      <c r="Q208">
        <f>O208-P208</f>
        <v>0</v>
      </c>
      <c r="R208" t="e">
        <f>Q208/O208</f>
        <v>#DIV/0!</v>
      </c>
      <c r="U208">
        <f>S208-T208</f>
        <v>0</v>
      </c>
      <c r="V208" t="e">
        <f>U208/S208</f>
        <v>#DIV/0!</v>
      </c>
      <c r="X208" t="e">
        <f>(E208-K208-P208)/T208</f>
        <v>#DIV/0!</v>
      </c>
      <c r="Y208" t="e">
        <f>(D208-J208-O208)/S208</f>
        <v>#DIV/0!</v>
      </c>
      <c r="Z208" t="e">
        <f>(E208-K208-P208)/E208</f>
        <v>#DIV/0!</v>
      </c>
      <c r="AA208" t="e">
        <f>SUM(D208-H208)/D208</f>
        <v>#DIV/0!</v>
      </c>
      <c r="AD208" t="str">
        <v>Materials calc for monthly claims</v>
      </c>
      <c r="AE208">
        <f>AI212</f>
        <v>0</v>
      </c>
      <c r="AH208">
        <f>SUM(T209-T208)</f>
        <v>0</v>
      </c>
      <c r="AI208">
        <f>SUM(K209-K208)</f>
        <v>0</v>
      </c>
    </row>
    <row r="209">
      <c r="C209" t="str">
        <v>Week 2</v>
      </c>
      <c r="F209">
        <f>D209-E209</f>
        <v>0</v>
      </c>
      <c r="G209" t="e">
        <f>F209/D209</f>
        <v>#DIV/0!</v>
      </c>
      <c r="J209">
        <f>SUM(H209-O209)</f>
        <v>0</v>
      </c>
      <c r="K209">
        <f>SUM(I209-P209)</f>
        <v>0</v>
      </c>
      <c r="L209">
        <f>J209-K209</f>
        <v>0</v>
      </c>
      <c r="M209" t="e">
        <f>L209/J209</f>
        <v>#DIV/0!</v>
      </c>
      <c r="Q209">
        <f>O209-P209</f>
        <v>0</v>
      </c>
      <c r="R209" t="e">
        <f>Q209/O209</f>
        <v>#DIV/0!</v>
      </c>
      <c r="U209">
        <f>S209-T209</f>
        <v>0</v>
      </c>
      <c r="V209" t="e">
        <f>U209/S209</f>
        <v>#DIV/0!</v>
      </c>
      <c r="X209" t="e">
        <f>(E209-K209-P209)/T209</f>
        <v>#DIV/0!</v>
      </c>
      <c r="Y209" t="e">
        <f>(D209-J209-O209)/S209</f>
        <v>#DIV/0!</v>
      </c>
      <c r="Z209" t="e">
        <f>(E209-K209-P209)/E209</f>
        <v>#DIV/0!</v>
      </c>
      <c r="AA209" t="e">
        <f>SUM(D209-H209)/D209</f>
        <v>#DIV/0!</v>
      </c>
      <c r="AH209">
        <f>SUM(T210-T209)</f>
        <v>0</v>
      </c>
      <c r="AI209">
        <f>SUM(K210-K209)</f>
        <v>0</v>
      </c>
    </row>
    <row r="210">
      <c r="C210" t="str">
        <v>Week 3</v>
      </c>
      <c r="F210">
        <f>D210-E210</f>
        <v>0</v>
      </c>
      <c r="G210" t="e">
        <f>F210/D210</f>
        <v>#DIV/0!</v>
      </c>
      <c r="J210">
        <f>SUM(H210-O210)</f>
        <v>0</v>
      </c>
      <c r="K210">
        <f>SUM(I210-P210)</f>
        <v>0</v>
      </c>
      <c r="L210">
        <f>J210-K210</f>
        <v>0</v>
      </c>
      <c r="M210" t="e">
        <f>L210/J210</f>
        <v>#DIV/0!</v>
      </c>
      <c r="Q210">
        <f>O210-P210</f>
        <v>0</v>
      </c>
      <c r="R210" t="e">
        <f>Q210/O210</f>
        <v>#DIV/0!</v>
      </c>
      <c r="U210">
        <f>S210-T210</f>
        <v>0</v>
      </c>
      <c r="V210" t="e">
        <f>U210/S210</f>
        <v>#DIV/0!</v>
      </c>
      <c r="X210" t="e">
        <f>(E210-K210-P210)/T210</f>
        <v>#DIV/0!</v>
      </c>
      <c r="Y210" t="e">
        <f>(D210-J210-O210)/S210</f>
        <v>#DIV/0!</v>
      </c>
      <c r="Z210" t="e">
        <f>(E210-K210-P210)/E210</f>
        <v>#DIV/0!</v>
      </c>
      <c r="AA210" t="e">
        <f>SUM(D210-H210)/D210</f>
        <v>#DIV/0!</v>
      </c>
      <c r="AD210" t="str">
        <v>Estimated months claim</v>
      </c>
      <c r="AE210">
        <v>0</v>
      </c>
      <c r="AH210">
        <f>SUM(T211-T210)</f>
        <v>0</v>
      </c>
      <c r="AI210">
        <f>SUM(K211-K210)</f>
        <v>0</v>
      </c>
    </row>
    <row r="211">
      <c r="C211" t="str">
        <v>Week 4</v>
      </c>
      <c r="F211">
        <f>D211-E211</f>
        <v>0</v>
      </c>
      <c r="G211" t="e">
        <f>F211/D211</f>
        <v>#DIV/0!</v>
      </c>
      <c r="J211">
        <f>SUM(H211-O211)</f>
        <v>0</v>
      </c>
      <c r="K211">
        <f>SUM(I211-P211)</f>
        <v>0</v>
      </c>
      <c r="L211">
        <f>J211-K211</f>
        <v>0</v>
      </c>
      <c r="M211" t="e">
        <f>L211/J211</f>
        <v>#DIV/0!</v>
      </c>
      <c r="Q211">
        <f>O211-P211</f>
        <v>0</v>
      </c>
      <c r="R211" t="e">
        <f>Q211/O211</f>
        <v>#DIV/0!</v>
      </c>
      <c r="U211">
        <f>S211-T211</f>
        <v>0</v>
      </c>
      <c r="V211" t="e">
        <f>U211/S211</f>
        <v>#DIV/0!</v>
      </c>
      <c r="X211" t="e">
        <f>(E211-K211-P211)/T211</f>
        <v>#DIV/0!</v>
      </c>
      <c r="Y211" t="e">
        <f>(D211-J211-O211)/S211</f>
        <v>#DIV/0!</v>
      </c>
      <c r="Z211" t="e">
        <f>(E211-K211-P211)/E211</f>
        <v>#DIV/0!</v>
      </c>
      <c r="AA211" t="e">
        <f>SUM(D211-H211)/D211</f>
        <v>#DIV/0!</v>
      </c>
      <c r="AH211">
        <f>SUM(T212-T211)</f>
        <v>0</v>
      </c>
      <c r="AI211">
        <f>SUM(K212-K211)</f>
        <v>0</v>
      </c>
    </row>
    <row r="212">
      <c r="C212" t="str">
        <v>Week 5</v>
      </c>
      <c r="F212">
        <f>D212-E212</f>
        <v>0</v>
      </c>
      <c r="G212" t="e">
        <f>F212/D212</f>
        <v>#DIV/0!</v>
      </c>
      <c r="J212">
        <f>SUM(H212-O212)</f>
        <v>0</v>
      </c>
      <c r="K212">
        <f>SUM(I212-P212)</f>
        <v>0</v>
      </c>
      <c r="L212">
        <f>J212-K212</f>
        <v>0</v>
      </c>
      <c r="M212" t="e">
        <f>L212/J212</f>
        <v>#DIV/0!</v>
      </c>
      <c r="Q212">
        <f>O212-P212</f>
        <v>0</v>
      </c>
      <c r="R212" t="e">
        <f>Q212/O212</f>
        <v>#DIV/0!</v>
      </c>
      <c r="U212">
        <f>S212-T212</f>
        <v>0</v>
      </c>
      <c r="V212" t="e">
        <f>U212/S212</f>
        <v>#DIV/0!</v>
      </c>
      <c r="X212" t="e">
        <f>(E212-K212-P212)/T212</f>
        <v>#DIV/0!</v>
      </c>
      <c r="Y212" t="e">
        <f>(D212-J212-O212)/S212</f>
        <v>#DIV/0!</v>
      </c>
      <c r="Z212" t="e">
        <f>(E212-K212-P212)/E212</f>
        <v>#DIV/0!</v>
      </c>
      <c r="AA212" t="e">
        <f>SUM(D212-H212)/D212</f>
        <v>#DIV/0!</v>
      </c>
      <c r="AH212">
        <f>SUM(AH207,AH208,AH209,AH210,AH211)</f>
        <v>0</v>
      </c>
      <c r="AI212">
        <f>SUM(AI207,AI208,AI209,AI210,AI211)</f>
        <v>0</v>
      </c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>
        <v>137109.56</v>
      </c>
      <c r="E214">
        <v>0</v>
      </c>
      <c r="F214">
        <f>D214-E214</f>
        <v>137109.56</v>
      </c>
      <c r="G214">
        <f>F214/D214</f>
        <v>1</v>
      </c>
      <c r="H214">
        <v>117394.57</v>
      </c>
      <c r="I214">
        <v>0</v>
      </c>
      <c r="J214">
        <f>SUM(H214-O214)</f>
        <v>99479.62000000001</v>
      </c>
      <c r="K214">
        <f>SUM(I214-P214)</f>
        <v>0</v>
      </c>
      <c r="L214">
        <f>J214-K214</f>
        <v>99479.62000000001</v>
      </c>
      <c r="M214">
        <f>L214/J214</f>
        <v>1</v>
      </c>
      <c r="O214">
        <v>17914.95</v>
      </c>
      <c r="P214">
        <v>0</v>
      </c>
      <c r="Q214">
        <f>O214-P214</f>
        <v>17914.95</v>
      </c>
      <c r="R214">
        <f>Q214/O214</f>
        <v>1</v>
      </c>
      <c r="S214">
        <v>358.86</v>
      </c>
      <c r="T214">
        <v>0</v>
      </c>
      <c r="U214">
        <f>S214-T214</f>
        <v>358.86</v>
      </c>
      <c r="V214">
        <f>U214/S214</f>
        <v>1</v>
      </c>
      <c r="X214" t="e">
        <f>(E214-K214-P214)/T214</f>
        <v>#DIV/0!</v>
      </c>
      <c r="Y214">
        <f>(D214-J214-O214)/S214</f>
        <v>54.93783090898954</v>
      </c>
      <c r="Z214" t="e">
        <f>(E214-K214-P214)/E214</f>
        <v>#DIV/0!</v>
      </c>
      <c r="AA214">
        <f>SUM(D214-H214)/D214</f>
        <v>0.14379004644169227</v>
      </c>
      <c r="AD214" t="str">
        <v>Hours calc for monthly claims</v>
      </c>
      <c r="AE214">
        <f>AH219</f>
        <v>0</v>
      </c>
      <c r="AH214">
        <f>SUM(T215-T214)</f>
        <v>0</v>
      </c>
      <c r="AI214">
        <f>SUM(K215-K214)</f>
        <v>0</v>
      </c>
    </row>
    <row r="215">
      <c r="C215" t="str">
        <v>Week 1</v>
      </c>
      <c r="D215">
        <v>137109.56</v>
      </c>
      <c r="E215">
        <v>0</v>
      </c>
      <c r="F215">
        <f>D215-E215</f>
        <v>137109.56</v>
      </c>
      <c r="G215">
        <f>F215/D215</f>
        <v>1</v>
      </c>
      <c r="H215">
        <v>117394.57</v>
      </c>
      <c r="I215">
        <v>1749.8</v>
      </c>
      <c r="J215">
        <f>SUM(H215-O215)</f>
        <v>99479.62000000001</v>
      </c>
      <c r="K215">
        <f>SUM(I215-P215)</f>
        <v>1749.8</v>
      </c>
      <c r="L215">
        <f>J215-K215</f>
        <v>97729.82</v>
      </c>
      <c r="M215">
        <f>L215/J215</f>
        <v>0.9824104675912513</v>
      </c>
      <c r="O215">
        <v>17914.95</v>
      </c>
      <c r="P215">
        <v>0</v>
      </c>
      <c r="Q215">
        <f>O215-P215</f>
        <v>17914.95</v>
      </c>
      <c r="R215">
        <f>Q215/O215</f>
        <v>1</v>
      </c>
      <c r="S215">
        <v>358.86</v>
      </c>
      <c r="T215">
        <v>0</v>
      </c>
      <c r="U215">
        <f>S215-T215</f>
        <v>358.86</v>
      </c>
      <c r="V215">
        <f>U215/S215</f>
        <v>1</v>
      </c>
      <c r="X215">
        <f>(E215-K215-P215)/T215</f>
        <v>0</v>
      </c>
      <c r="Y215">
        <f>(D215-J215-O215)/S215</f>
        <v>54.93783457863793</v>
      </c>
      <c r="Z215">
        <f>(E215-K215-P215)/E215</f>
        <v>0</v>
      </c>
      <c r="AA215">
        <f>SUM(D215-H215)/D215</f>
        <v>0.1438</v>
      </c>
      <c r="AD215" t="str">
        <v>Materials calc for monthly claims</v>
      </c>
      <c r="AE215">
        <f>AI219</f>
        <v>0</v>
      </c>
      <c r="AH215">
        <f>SUM(T216-T215)</f>
        <v>0</v>
      </c>
      <c r="AI215">
        <f>SUM(K216-K215)</f>
        <v>0</v>
      </c>
    </row>
    <row r="216">
      <c r="C216" t="str">
        <v>Week 2</v>
      </c>
      <c r="D216">
        <v>137109.56</v>
      </c>
      <c r="E216">
        <v>0</v>
      </c>
      <c r="F216">
        <v>137109.56</v>
      </c>
      <c r="G216">
        <v>1</v>
      </c>
      <c r="H216">
        <v>117394.57</v>
      </c>
      <c r="I216">
        <v>1749.8</v>
      </c>
      <c r="J216">
        <v>99479.62000000001</v>
      </c>
      <c r="K216">
        <v>1749.8</v>
      </c>
      <c r="L216">
        <v>97729.82</v>
      </c>
      <c r="M216">
        <v>0.9824104675912513</v>
      </c>
      <c r="O216">
        <v>17914.95</v>
      </c>
      <c r="P216">
        <v>0</v>
      </c>
      <c r="Q216">
        <v>17914.95</v>
      </c>
      <c r="R216">
        <v>1</v>
      </c>
      <c r="S216">
        <v>358.86</v>
      </c>
      <c r="T216">
        <v>0</v>
      </c>
      <c r="U216">
        <v>358.86</v>
      </c>
      <c r="V216">
        <v>1</v>
      </c>
      <c r="X216">
        <v>0</v>
      </c>
      <c r="Y216">
        <v>54.93783457863793</v>
      </c>
      <c r="Z216">
        <v>0</v>
      </c>
      <c r="AA216">
        <v>0.1438</v>
      </c>
      <c r="AH216">
        <f>SUM(T217-T216)</f>
        <v>0</v>
      </c>
      <c r="AI216">
        <f>SUM(K217-K216)</f>
        <v>0</v>
      </c>
    </row>
    <row r="217">
      <c r="C217" t="str">
        <v>Week 3</v>
      </c>
      <c r="AD217" t="str">
        <v>Estimated months claim</v>
      </c>
      <c r="AE217">
        <v>0</v>
      </c>
      <c r="AH217">
        <f>SUM(T218-T217)</f>
        <v>0</v>
      </c>
      <c r="AI217">
        <f>SUM(K218-K217)</f>
        <v>0</v>
      </c>
    </row>
    <row r="218">
      <c r="C218" t="str">
        <v>Week 4</v>
      </c>
      <c r="AH218">
        <f>SUM(T219-T218)</f>
        <v>0</v>
      </c>
      <c r="AI218">
        <f>SUM(K219-K218)</f>
        <v>0</v>
      </c>
    </row>
    <row r="219">
      <c r="C219" t="str">
        <v>Week 5</v>
      </c>
      <c r="AH219">
        <f>SUM(AH214,AH215,AH216,AH217,AH218)</f>
        <v>0</v>
      </c>
      <c r="AI219">
        <f>SUM(AI214,AI215,AI216,AI217,AI218)</f>
        <v>0</v>
      </c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>
        <v>389318.35</v>
      </c>
      <c r="E221">
        <v>206944.06</v>
      </c>
      <c r="F221">
        <f>D221-E221</f>
        <v>182374.28999999998</v>
      </c>
      <c r="G221">
        <f>F221/D221</f>
        <v>0.46844514264483034</v>
      </c>
      <c r="H221">
        <v>289549.48</v>
      </c>
      <c r="I221">
        <v>176095.03</v>
      </c>
      <c r="J221">
        <v>0</v>
      </c>
      <c r="K221">
        <v>0</v>
      </c>
      <c r="L221">
        <f>J221-K221</f>
        <v>0</v>
      </c>
      <c r="M221" t="e">
        <f>L221/J221</f>
        <v>#DIV/0!</v>
      </c>
      <c r="O221">
        <v>115269.5</v>
      </c>
      <c r="P221">
        <v>19280.83</v>
      </c>
      <c r="Q221">
        <f>O221-P221</f>
        <v>95988.67</v>
      </c>
      <c r="R221">
        <f>Q221/O221</f>
        <v>0.8327325962201623</v>
      </c>
      <c r="S221">
        <v>2312.68</v>
      </c>
      <c r="T221">
        <v>414.25</v>
      </c>
      <c r="U221">
        <f>S221-T221</f>
        <v>1898.4299999999998</v>
      </c>
      <c r="V221">
        <f>U221/S221</f>
        <v>0.8208788072712178</v>
      </c>
      <c r="X221">
        <f>(E221-K221-P221)/T221</f>
        <v>453.0192637296318</v>
      </c>
      <c r="Y221">
        <f>(D221-J221-O221)/S221</f>
        <v>118.49838715256759</v>
      </c>
      <c r="Z221">
        <f>(E221-K221-P221)/E221</f>
        <v>0.9068307155083358</v>
      </c>
      <c r="AA221">
        <f>SUM(D221-H221)/D221</f>
        <v>0.25626552151985643</v>
      </c>
      <c r="AD221" t="str">
        <v>Hours calc for monthly claims</v>
      </c>
      <c r="AE221">
        <f>AH226</f>
        <v>600</v>
      </c>
      <c r="AH221">
        <f>SUM(T222-T221)</f>
        <v>299.5</v>
      </c>
      <c r="AI221">
        <f>SUM(K222-K221)</f>
        <v>0</v>
      </c>
    </row>
    <row r="222">
      <c r="C222" t="str">
        <v>Week 1</v>
      </c>
      <c r="D222">
        <v>389318.35</v>
      </c>
      <c r="E222">
        <v>271388.15</v>
      </c>
      <c r="F222">
        <v>117930.19999999995</v>
      </c>
      <c r="G222">
        <f>F222/D222</f>
        <v>0.3029145685015874</v>
      </c>
      <c r="H222">
        <v>289549.48</v>
      </c>
      <c r="I222">
        <v>224459.32</v>
      </c>
      <c r="J222">
        <v>174279.97999999998</v>
      </c>
      <c r="K222">
        <v>176149.13</v>
      </c>
      <c r="L222">
        <f>J222-K222</f>
        <v>-1869.1500000000233</v>
      </c>
      <c r="M222">
        <f>L222/J222</f>
        <v>-0.010724984017097221</v>
      </c>
      <c r="O222">
        <v>115269.5</v>
      </c>
      <c r="P222">
        <v>48310.19</v>
      </c>
      <c r="Q222">
        <f>O222-P222</f>
        <v>66959.31</v>
      </c>
      <c r="R222">
        <f>Q222/O222</f>
        <v>0.5808935581398375</v>
      </c>
      <c r="S222">
        <v>2312.68</v>
      </c>
      <c r="T222">
        <v>1014.25</v>
      </c>
      <c r="U222">
        <f>S222-T222</f>
        <v>1298.4299999999998</v>
      </c>
      <c r="V222">
        <f>U222/S222</f>
        <v>0.561439542003217</v>
      </c>
      <c r="X222">
        <f>(E222-K222-P222)/T222</f>
        <v>46.26948977076659</v>
      </c>
      <c r="Y222">
        <f>(D222-J222-O222)/S222</f>
        <v>43.139937215697806</v>
      </c>
      <c r="Z222">
        <f>(E222-K222-P222)/E222</f>
        <v>0.17292144111671792</v>
      </c>
      <c r="AA222">
        <f>SUM(D222-H222)/D222</f>
        <v>0.25626552151985643</v>
      </c>
      <c r="AD222" t="str">
        <v>Materials calc for monthly claims</v>
      </c>
      <c r="AE222">
        <f>AI226</f>
        <v>176149.13</v>
      </c>
      <c r="AH222">
        <f>SUM(T223-T222)</f>
        <v>193.25</v>
      </c>
      <c r="AI222">
        <f>SUM(K223-K222)</f>
        <v>174116.21</v>
      </c>
    </row>
    <row r="223">
      <c r="C223" t="str">
        <v>Week 2</v>
      </c>
      <c r="AH223">
        <f>SUM(T224-T223)</f>
        <v>0</v>
      </c>
      <c r="AI223">
        <f>SUM(K224-K223)</f>
        <v>0</v>
      </c>
    </row>
    <row r="224">
      <c r="C224" t="str">
        <v>Week 3</v>
      </c>
      <c r="AD224" t="str">
        <v>Estimated months claim</v>
      </c>
      <c r="AE224">
        <v>0</v>
      </c>
      <c r="AH224">
        <f>SUM(T225-T224)</f>
        <v>0</v>
      </c>
      <c r="AI224">
        <f>SUM(K225-K224)</f>
        <v>0</v>
      </c>
    </row>
    <row r="225">
      <c r="C225" t="str">
        <v>Week 4</v>
      </c>
      <c r="AH225">
        <f>SUM(T226-T225)</f>
        <v>107.25</v>
      </c>
      <c r="AI225">
        <f>SUM(K226-K225)</f>
        <v>2032.9200000000128</v>
      </c>
    </row>
    <row r="226">
      <c r="C226" t="str">
        <v>Week 5</v>
      </c>
      <c r="AH226">
        <f>SUM(AH221,AH222,AH223,AH224,AH225)</f>
        <v>600</v>
      </c>
      <c r="AI226">
        <f>SUM(AI221,AI222,AI223,AI224,AI225)</f>
        <v>176149.13</v>
      </c>
    </row>
  </sheetData>
  <mergeCells count="58">
    <mergeCell ref="A1:AA1"/>
    <mergeCell ref="D2:D3"/>
    <mergeCell ref="E2:E3"/>
    <mergeCell ref="F2:F3"/>
    <mergeCell ref="G2:G3"/>
    <mergeCell ref="J2:J3"/>
    <mergeCell ref="K2:K3"/>
    <mergeCell ref="M2:M3"/>
    <mergeCell ref="N2:N3"/>
    <mergeCell ref="O2:O3"/>
    <mergeCell ref="Z2:Z3"/>
    <mergeCell ref="AA2:AA3"/>
    <mergeCell ref="B2:B3"/>
    <mergeCell ref="A2:A3"/>
    <mergeCell ref="P2:P3"/>
    <mergeCell ref="R2:R3"/>
    <mergeCell ref="S2:S3"/>
    <mergeCell ref="T2:T3"/>
    <mergeCell ref="V2:V3"/>
    <mergeCell ref="W2:W3"/>
    <mergeCell ref="A10:AA10"/>
    <mergeCell ref="L2:L3"/>
    <mergeCell ref="Q2:Q3"/>
    <mergeCell ref="U2:U3"/>
    <mergeCell ref="X2:X3"/>
    <mergeCell ref="Y2:Y3"/>
    <mergeCell ref="C2:C3"/>
    <mergeCell ref="H2:H3"/>
    <mergeCell ref="I2:I3"/>
    <mergeCell ref="A66:AA66"/>
    <mergeCell ref="A73:AA73"/>
    <mergeCell ref="A17:AA17"/>
    <mergeCell ref="A24:AA24"/>
    <mergeCell ref="A31:AA31"/>
    <mergeCell ref="A38:AA38"/>
    <mergeCell ref="A45:AA45"/>
    <mergeCell ref="A52:AA52"/>
    <mergeCell ref="A59:AA59"/>
    <mergeCell ref="A150:AA150"/>
    <mergeCell ref="A122:AA122"/>
    <mergeCell ref="A129:AA129"/>
    <mergeCell ref="A136:AA136"/>
    <mergeCell ref="A143:AA143"/>
    <mergeCell ref="A80:AA80"/>
    <mergeCell ref="A87:AA87"/>
    <mergeCell ref="A94:AA94"/>
    <mergeCell ref="A101:AA101"/>
    <mergeCell ref="A108:AA108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pageMargins left="0.7" right="0.7" top="0.75" bottom="0.75" header="0.3" footer="0.3"/>
  <ignoredErrors>
    <ignoredError numberStoredAsText="1" sqref="A1:AI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0"/>
  <sheetViews>
    <sheetView workbookViewId="0" rightToLeft="0"/>
  </sheetViews>
  <sheetData>
    <row r="1">
      <c r="A1" t="str">
        <v xml:space="preserve">                        Updated Job Spreadsheet</v>
      </c>
    </row>
    <row r="2">
      <c r="A2" t="str">
        <v>Job Number</v>
      </c>
      <c r="B2" t="str">
        <v>Job Name</v>
      </c>
      <c r="C2" t="str">
        <v>Claim</v>
      </c>
      <c r="D2" t="str">
        <v>Costs</v>
      </c>
      <c r="E2" t="str">
        <v>Profit</v>
      </c>
      <c r="F2" t="str">
        <v>Retention</v>
      </c>
      <c r="G2" t="str">
        <v>Margin</v>
      </c>
      <c r="H2" t="str">
        <v>Quoted Margin</v>
      </c>
      <c r="I2" t="str">
        <v>Hours to complete before E.O.M</v>
      </c>
      <c r="J2" t="str">
        <v>Costs to come before E.O.M</v>
      </c>
      <c r="K2" t="str">
        <v>Total cost to come before E.O.M</v>
      </c>
      <c r="L2" t="str">
        <v>Estimated margin E.O.M</v>
      </c>
      <c r="M2" t="str">
        <v>GP End of month</v>
      </c>
      <c r="N2" t="str">
        <v>Hours this month</v>
      </c>
      <c r="O2" t="str">
        <v>GP $ per hour this month</v>
      </c>
    </row>
    <row r="4">
      <c r="A4">
        <f>'Main Sheet'!A4</f>
        <v>7658</v>
      </c>
      <c r="B4" t="str">
        <f>'Main Sheet'!B4</f>
        <v>Charity Hospital</v>
      </c>
      <c r="C4">
        <v>20000</v>
      </c>
      <c r="D4">
        <v>10272.17</v>
      </c>
      <c r="E4">
        <f>C4-D4</f>
        <v>9727.83</v>
      </c>
      <c r="F4">
        <v>0</v>
      </c>
      <c r="G4">
        <f>(E4+F4)/C4</f>
        <v>0.4863915</v>
      </c>
      <c r="H4">
        <v>0.2149</v>
      </c>
      <c r="I4">
        <v>0</v>
      </c>
      <c r="J4">
        <v>90</v>
      </c>
      <c r="K4">
        <f>(I4*40)+J4</f>
        <v>90</v>
      </c>
      <c r="L4">
        <f>((E4-K4)+F4)/C4</f>
        <v>0.4818915</v>
      </c>
      <c r="M4">
        <f>SUM(E4:F4)-K4</f>
        <v>9637.83</v>
      </c>
      <c r="N4">
        <v>20</v>
      </c>
      <c r="O4">
        <f>SUM(M4/(N4+I4))</f>
        <v>481.8915</v>
      </c>
    </row>
    <row r="6">
      <c r="A6">
        <f>'Main Sheet'!A6</f>
        <v>8142</v>
      </c>
      <c r="B6" t="str">
        <f>'Main Sheet'!B6</f>
        <v>Fisher Developements</v>
      </c>
      <c r="C6">
        <v>0</v>
      </c>
      <c r="D6">
        <v>3968.93</v>
      </c>
      <c r="E6">
        <f>C6-D6</f>
        <v>-3968.93</v>
      </c>
      <c r="F6">
        <v>0</v>
      </c>
      <c r="G6" t="e">
        <f>(E6+F6)/C6</f>
        <v>#DIV/0!</v>
      </c>
      <c r="H6">
        <f>'Deliverables Sheet'!AA11</f>
        <v>0.23921458561763742</v>
      </c>
      <c r="I6">
        <v>16</v>
      </c>
      <c r="J6">
        <v>272.6</v>
      </c>
      <c r="K6">
        <f>(I6*40)+J6</f>
        <v>912.6</v>
      </c>
      <c r="L6" t="e">
        <f>((E6-K6)+F6)/C6</f>
        <v>#DIV/0!</v>
      </c>
      <c r="M6">
        <f>SUM(E6:F6)-K6</f>
        <v>-4881.53</v>
      </c>
      <c r="N6">
        <f>'Deliverables Sheet'!AE11</f>
        <v>7</v>
      </c>
      <c r="O6">
        <f>SUM(M6/(N6+I6))</f>
        <v>-212.24043478260867</v>
      </c>
      <c r="Q6" t="str">
        <v>14 Mirrors and 49 Downlights have been ordered</v>
      </c>
    </row>
    <row r="8">
      <c r="A8">
        <f>'Main Sheet'!A8</f>
        <v>8824</v>
      </c>
      <c r="B8" t="str">
        <f>'Main Sheet'!B8</f>
        <v>3 Innovation Road</v>
      </c>
      <c r="C8">
        <v>6999.08</v>
      </c>
      <c r="D8">
        <v>4771.92</v>
      </c>
      <c r="E8">
        <f>C8-D8</f>
        <v>2227.16</v>
      </c>
      <c r="G8">
        <f>(E8+F8)/C8</f>
        <v>0.3182075358475685</v>
      </c>
      <c r="H8">
        <f>'Deliverables Sheet'!AA18</f>
        <v>0.28852355172594346</v>
      </c>
      <c r="I8">
        <v>16</v>
      </c>
      <c r="K8">
        <f>(I8*40)+J8</f>
        <v>640</v>
      </c>
      <c r="L8">
        <f>((E8-K8)+F8)/C8</f>
        <v>0.22676694651297025</v>
      </c>
      <c r="M8">
        <f>SUM(E8:F8)-K8</f>
        <v>1587.1599999999999</v>
      </c>
      <c r="N8">
        <f>'Deliverables Sheet'!AE18</f>
        <v>3</v>
      </c>
      <c r="O8">
        <f>SUM(M8/(N8+I8))</f>
        <v>83.53473684210526</v>
      </c>
    </row>
    <row r="10">
      <c r="A10">
        <f>'Main Sheet'!A10</f>
        <v>8127</v>
      </c>
      <c r="B10" t="str">
        <f>'Main Sheet'!B10</f>
        <v>Rolly Autowash</v>
      </c>
      <c r="C10">
        <v>53231</v>
      </c>
      <c r="D10">
        <v>33984.22</v>
      </c>
      <c r="E10">
        <f>C10-D10</f>
        <v>19246.78</v>
      </c>
      <c r="F10">
        <v>0</v>
      </c>
      <c r="G10">
        <f>(E10+F10)/C10</f>
        <v>0.3615708891435441</v>
      </c>
      <c r="H10">
        <f>'Deliverables Sheet'!AA25</f>
        <v>0.32265253844824976</v>
      </c>
      <c r="I10">
        <v>48</v>
      </c>
      <c r="J10">
        <v>3000</v>
      </c>
      <c r="K10">
        <v>1000</v>
      </c>
      <c r="L10">
        <f>((E10-K10)+F10)/C10</f>
        <v>0.34278484341830884</v>
      </c>
      <c r="M10">
        <f>SUM(E10:F10)-K10</f>
        <v>18246.78</v>
      </c>
      <c r="N10">
        <f>'Deliverables Sheet'!AE25</f>
        <v>227.5</v>
      </c>
      <c r="O10">
        <f>SUM(M10/(N10+I10))</f>
        <v>66.23150635208711</v>
      </c>
    </row>
    <row r="12">
      <c r="A12">
        <v>8183</v>
      </c>
      <c r="B12" t="str">
        <v>Murney Custodian - 1 Freight Drive</v>
      </c>
      <c r="C12">
        <v>20350</v>
      </c>
      <c r="D12">
        <v>13205.66</v>
      </c>
      <c r="E12">
        <f>C12-D12</f>
        <v>7144.34</v>
      </c>
      <c r="G12">
        <f>(E12+F12)/C12</f>
        <v>0.35107321867321867</v>
      </c>
      <c r="H12">
        <f>'Deliverables Sheet'!AA32</f>
        <v>0.17600034923475294</v>
      </c>
      <c r="I12">
        <v>16</v>
      </c>
      <c r="J12">
        <v>2000</v>
      </c>
      <c r="K12">
        <f>(I12*40)+J12</f>
        <v>2640</v>
      </c>
      <c r="L12">
        <f>((E12-K12)+F12)/C12</f>
        <v>0.22134348894348896</v>
      </c>
      <c r="M12">
        <f>SUM(E12:F12)-K12</f>
        <v>4504.34</v>
      </c>
      <c r="N12">
        <v>53</v>
      </c>
      <c r="O12">
        <f>SUM(M12/(N12+I12))</f>
        <v>65.28028985507247</v>
      </c>
      <c r="Q12" t="str">
        <v>Couldnt get this rite because of ers but they re claiming 30%</v>
      </c>
    </row>
    <row r="14">
      <c r="A14">
        <f>'Main Sheet'!A14</f>
        <v>8886</v>
      </c>
      <c r="B14" t="str">
        <f>'Main Sheet'!B14</f>
        <v>Monkey Toe - Fisher fit out</v>
      </c>
      <c r="C14">
        <v>10100</v>
      </c>
      <c r="D14">
        <v>6684.89</v>
      </c>
      <c r="E14">
        <f>C14-D14</f>
        <v>3415.1099999999997</v>
      </c>
      <c r="F14">
        <v>0</v>
      </c>
      <c r="G14">
        <f>(E14+F14)/C14</f>
        <v>0.338129702970297</v>
      </c>
      <c r="H14">
        <f>'Deliverables Sheet'!AA39</f>
        <v>0.26633852727109697</v>
      </c>
      <c r="I14">
        <v>0</v>
      </c>
      <c r="J14">
        <v>3000</v>
      </c>
      <c r="K14">
        <v>0</v>
      </c>
      <c r="L14">
        <f>((E14-K14)+F14)/C14</f>
        <v>0.338129702970297</v>
      </c>
      <c r="M14">
        <f>SUM(E14:F14)-K14</f>
        <v>3415.1099999999997</v>
      </c>
      <c r="N14">
        <f>'Deliverables Sheet'!AE39</f>
        <v>104</v>
      </c>
      <c r="O14">
        <f>SUM(M14/(N14+I14))</f>
        <v>32.83759615384615</v>
      </c>
    </row>
    <row r="16">
      <c r="A16">
        <f>'Main Sheet'!A16</f>
        <v>8887</v>
      </c>
      <c r="B16" t="str">
        <f>'Main Sheet'!B16</f>
        <v>Tenancy 2 - Fisher Fit out</v>
      </c>
      <c r="C16">
        <v>10500</v>
      </c>
      <c r="D16">
        <v>4840</v>
      </c>
      <c r="E16">
        <f>C16-D16</f>
        <v>5660</v>
      </c>
      <c r="G16">
        <f>(E16+F16)/C16</f>
        <v>0.539047619047619</v>
      </c>
      <c r="H16">
        <f>'Deliverables Sheet'!AA46</f>
        <v>0.22635382109785498</v>
      </c>
      <c r="I16">
        <v>0</v>
      </c>
      <c r="J16">
        <v>3000</v>
      </c>
      <c r="K16">
        <f>(I16*40)+J16</f>
        <v>3000</v>
      </c>
      <c r="L16">
        <f>((E16-K16)+F16)/C16</f>
        <v>0.25333333333333335</v>
      </c>
      <c r="M16">
        <f>SUM(E16:F16)-K16</f>
        <v>2660</v>
      </c>
      <c r="N16">
        <f>'Deliverables Sheet'!AE46</f>
        <v>80.25</v>
      </c>
      <c r="O16">
        <f>SUM(M16/(N16+I16))</f>
        <v>33.14641744548287</v>
      </c>
    </row>
    <row r="18">
      <c r="A18">
        <f>'Main Sheet'!A18</f>
        <v>8670</v>
      </c>
      <c r="B18" t="str">
        <f>'Main Sheet'!B18</f>
        <v>Studio DB - tautara fit out</v>
      </c>
      <c r="C18">
        <v>37161.1</v>
      </c>
      <c r="D18">
        <v>21086</v>
      </c>
      <c r="E18">
        <f>C18-D18</f>
        <v>16075.099999999999</v>
      </c>
      <c r="F18">
        <v>0</v>
      </c>
      <c r="G18">
        <f>(E18+F18)/C18</f>
        <v>0.4325786911582273</v>
      </c>
      <c r="H18">
        <f>'Deliverables Sheet'!AA53</f>
        <v>0.2921793041428904</v>
      </c>
      <c r="I18">
        <v>80</v>
      </c>
      <c r="J18">
        <v>5000</v>
      </c>
      <c r="K18">
        <f>(I18*40)+J18</f>
        <v>8200</v>
      </c>
      <c r="L18">
        <f>((E18-K18)+F18)/C18</f>
        <v>0.21191783881532028</v>
      </c>
      <c r="M18">
        <f>SUM(E18:F18)-K18</f>
        <v>7875.0999999999985</v>
      </c>
      <c r="N18">
        <f>'Deliverables Sheet'!AE53</f>
        <v>231</v>
      </c>
      <c r="O18">
        <f>SUM(M18/(N18+I18))</f>
        <v>25.321864951768482</v>
      </c>
      <c r="Q18" t="str">
        <v>48 Hours need to be made non Billable</v>
      </c>
    </row>
    <row r="20">
      <c r="A20">
        <f>'Main Sheet'!A20</f>
        <v>8907</v>
      </c>
      <c r="B20" t="str">
        <f>'Main Sheet'!B20</f>
        <v>35 Mania</v>
      </c>
      <c r="C20">
        <v>0</v>
      </c>
      <c r="D20">
        <v>0</v>
      </c>
      <c r="E20">
        <f>C20-D20</f>
        <v>0</v>
      </c>
      <c r="G20" t="e">
        <f>(E20+F20)/C20</f>
        <v>#DIV/0!</v>
      </c>
      <c r="H20">
        <f>'Deliverables Sheet'!AA60</f>
        <v>0.2233474498250783</v>
      </c>
      <c r="K20">
        <f>(I20*40)+J20</f>
        <v>0</v>
      </c>
      <c r="L20" t="e">
        <f>((E20-K20)+F20)/C20</f>
        <v>#DIV/0!</v>
      </c>
      <c r="M20">
        <f>SUM(E20:F20)-K20</f>
        <v>0</v>
      </c>
      <c r="O20" t="e">
        <f>SUM(M20/(N20+I20))</f>
        <v>#DIV/0!</v>
      </c>
    </row>
    <row r="22">
      <c r="A22">
        <f>'Main Sheet'!A22</f>
        <v>9065</v>
      </c>
      <c r="B22" t="str">
        <f>'Main Sheet'!B22</f>
        <v>Cooltranz stage 4</v>
      </c>
      <c r="C22">
        <v>0</v>
      </c>
      <c r="D22">
        <v>0</v>
      </c>
      <c r="E22">
        <f>C22-D22</f>
        <v>0</v>
      </c>
      <c r="F22">
        <v>0</v>
      </c>
      <c r="G22" t="e">
        <f>(E22+F22)/C22</f>
        <v>#DIV/0!</v>
      </c>
      <c r="H22">
        <f>'Deliverables Sheet'!AA67</f>
        <v>0.25248825682723763</v>
      </c>
      <c r="K22">
        <f>(I22*40)+J22</f>
        <v>0</v>
      </c>
      <c r="L22" t="e">
        <f>((E22-K22)+F22)/C22</f>
        <v>#DIV/0!</v>
      </c>
      <c r="M22">
        <f>SUM(E22:F22)-K22</f>
        <v>0</v>
      </c>
      <c r="N22">
        <f>'Deliverables Sheet'!AE67</f>
        <v>0</v>
      </c>
      <c r="O22" t="e">
        <f>SUM(M22/(N22+I22))</f>
        <v>#DIV/0!</v>
      </c>
    </row>
    <row r="24">
      <c r="A24">
        <f>'Main Sheet'!A24</f>
        <v>9259</v>
      </c>
      <c r="B24" t="str">
        <f>'Main Sheet'!B24</f>
        <v>Andrew Reeve Stage 2</v>
      </c>
      <c r="C24">
        <v>0</v>
      </c>
      <c r="D24">
        <v>0</v>
      </c>
      <c r="E24">
        <f>C24-D24</f>
        <v>0</v>
      </c>
      <c r="G24" t="e">
        <f>(E24+F24)/C24</f>
        <v>#DIV/0!</v>
      </c>
      <c r="H24" t="e">
        <f>'Deliverables Sheet'!AA74</f>
        <v>#DIV/0!</v>
      </c>
      <c r="K24">
        <f>(I24*40)+J24</f>
        <v>0</v>
      </c>
      <c r="L24" t="e">
        <f>((E24-K24)+F24)/C24</f>
        <v>#DIV/0!</v>
      </c>
      <c r="M24">
        <f>SUM(E24:F24)-K24</f>
        <v>0</v>
      </c>
      <c r="N24">
        <f>'Deliverables Sheet'!AE74</f>
        <v>0</v>
      </c>
      <c r="O24" t="e">
        <f>SUM(M24/(N24+I24))</f>
        <v>#DIV/0!</v>
      </c>
    </row>
    <row r="26">
      <c r="A26">
        <f>'Main Sheet'!A26</f>
        <v>8352</v>
      </c>
      <c r="B26" t="str">
        <f>'Main Sheet'!B26</f>
        <v>5 Sanscrit Place</v>
      </c>
      <c r="E26">
        <f>C26-D26</f>
        <v>0</v>
      </c>
      <c r="F26">
        <v>0</v>
      </c>
      <c r="G26" t="e">
        <f>(E26+F26)/C26</f>
        <v>#DIV/0!</v>
      </c>
      <c r="H26">
        <f>'Deliverables Sheet'!AA81</f>
        <v>0.3479293885936145</v>
      </c>
      <c r="J26">
        <v>0</v>
      </c>
      <c r="K26">
        <f>(I26*40)+J26</f>
        <v>0</v>
      </c>
      <c r="L26" t="e">
        <f>((E26-K26)+F26)/C26</f>
        <v>#DIV/0!</v>
      </c>
      <c r="M26">
        <f>SUM(E26:F26)-K26</f>
        <v>0</v>
      </c>
      <c r="N26">
        <f>'Deliverables Sheet'!AE81</f>
        <v>54.25</v>
      </c>
      <c r="O26">
        <f>SUM(M26/(N26+I26))</f>
        <v>0</v>
      </c>
    </row>
    <row r="28">
      <c r="A28">
        <f>'Main Sheet'!A28</f>
        <v>8234</v>
      </c>
      <c r="B28" t="str">
        <f>'Main Sheet'!B28</f>
        <v>Melhuish House</v>
      </c>
      <c r="C28">
        <v>6681.34</v>
      </c>
      <c r="D28">
        <v>4367.65</v>
      </c>
      <c r="E28">
        <f>C28-D28</f>
        <v>2313.6900000000005</v>
      </c>
      <c r="F28">
        <v>0</v>
      </c>
      <c r="G28">
        <f>(E28+F28)/C28</f>
        <v>0.3462913128204822</v>
      </c>
      <c r="H28">
        <f>'Deliverables Sheet'!AA88</f>
        <v>0.2718251448169149</v>
      </c>
      <c r="K28">
        <f>(I28*40)+J28</f>
        <v>0</v>
      </c>
      <c r="L28">
        <f>((E28-K28)+F28)/C28</f>
        <v>0.3462913128204822</v>
      </c>
      <c r="M28">
        <f>SUM(E28:F28)-K28</f>
        <v>2313.6900000000005</v>
      </c>
      <c r="N28">
        <f>'Deliverables Sheet'!AE88</f>
        <v>70</v>
      </c>
      <c r="O28">
        <f>SUM(M28/(N28+I28))</f>
        <v>33.052714285714295</v>
      </c>
    </row>
    <row r="30">
      <c r="A30">
        <f>'Main Sheet'!A30</f>
        <v>8214</v>
      </c>
      <c r="B30" t="str">
        <f>'Main Sheet'!B30</f>
        <v>6 Tiroroa Lane</v>
      </c>
      <c r="E30">
        <f>C30-D30</f>
        <v>0</v>
      </c>
      <c r="F30">
        <v>0</v>
      </c>
      <c r="G30" t="e">
        <f>(E30+F30)/C30</f>
        <v>#DIV/0!</v>
      </c>
      <c r="H30">
        <f>'Deliverables Sheet'!AA95</f>
        <v>0.2580433771453143</v>
      </c>
      <c r="K30">
        <f>(I30*40)+J30</f>
        <v>0</v>
      </c>
      <c r="L30" t="e">
        <f>((E30-K30)+F30)/C30</f>
        <v>#DIV/0!</v>
      </c>
      <c r="M30">
        <f>SUM(E30:F30)-K30</f>
        <v>0</v>
      </c>
      <c r="N30">
        <f>'Deliverables Sheet'!AE95</f>
        <v>0</v>
      </c>
      <c r="O30" t="e">
        <f>SUM(M30/(N30+I30))</f>
        <v>#DIV/0!</v>
      </c>
    </row>
    <row r="32">
      <c r="A32">
        <f>'Main Sheet'!A32</f>
        <v>6792</v>
      </c>
      <c r="B32" t="str">
        <f>'Main Sheet'!B32</f>
        <v xml:space="preserve">Major Hornbrook </v>
      </c>
      <c r="C32">
        <v>6250</v>
      </c>
      <c r="D32">
        <v>1922.47</v>
      </c>
      <c r="E32">
        <f>C32-D32</f>
        <v>4327.53</v>
      </c>
      <c r="F32">
        <v>0</v>
      </c>
      <c r="G32">
        <f>(E32+F32)/C32</f>
        <v>0.6924047999999999</v>
      </c>
      <c r="H32">
        <f>'Deliverables Sheet'!AA102</f>
        <v>0.2831729642202216</v>
      </c>
      <c r="I32">
        <v>64</v>
      </c>
      <c r="J32">
        <v>0</v>
      </c>
      <c r="K32">
        <f>(I32*40)+J32</f>
        <v>2560</v>
      </c>
      <c r="L32">
        <f>((E32-K32)+F32)/C32</f>
        <v>0.28280479999999997</v>
      </c>
      <c r="M32">
        <f>SUM(E32:F32)-K32</f>
        <v>1767.5299999999997</v>
      </c>
      <c r="N32">
        <f>'Deliverables Sheet'!AE102</f>
        <v>68.5</v>
      </c>
      <c r="O32">
        <f>SUM(M32/(N32+I32))</f>
        <v>13.339849056603772</v>
      </c>
    </row>
    <row r="34">
      <c r="A34">
        <f>'Main Sheet'!A34</f>
        <v>8840</v>
      </c>
      <c r="B34" t="str">
        <f>'Main Sheet'!B34</f>
        <v>Inline Architecture</v>
      </c>
      <c r="E34">
        <f>C34-D34</f>
        <v>0</v>
      </c>
      <c r="F34">
        <v>0</v>
      </c>
      <c r="G34" t="e">
        <f>(E34+F34)/C34</f>
        <v>#DIV/0!</v>
      </c>
      <c r="H34">
        <f>'Deliverables Sheet'!AA109</f>
        <v>0.3697919504739071</v>
      </c>
      <c r="J34">
        <v>0</v>
      </c>
      <c r="K34">
        <f>(I34*40)+J34</f>
        <v>0</v>
      </c>
      <c r="L34" t="e">
        <f>((E34-K34)+F34)/C34</f>
        <v>#DIV/0!</v>
      </c>
      <c r="M34">
        <f>SUM(E34:F34)-K34</f>
        <v>0</v>
      </c>
      <c r="N34">
        <f>'Deliverables Sheet'!AE109</f>
        <v>77.5</v>
      </c>
      <c r="O34">
        <f>SUM(M34/(N34+I34))</f>
        <v>0</v>
      </c>
    </row>
    <row r="36">
      <c r="A36">
        <f>'Main Sheet'!A36</f>
        <v>8769</v>
      </c>
      <c r="B36" t="str">
        <f>'Main Sheet'!B36</f>
        <v>Percival Bach</v>
      </c>
      <c r="C36">
        <v>21632.1</v>
      </c>
      <c r="D36">
        <v>10930</v>
      </c>
      <c r="E36">
        <f>C36-D36</f>
        <v>10702.099999999999</v>
      </c>
      <c r="F36">
        <v>0</v>
      </c>
      <c r="G36">
        <f>(E36+F36)/C36</f>
        <v>0.4947323653274531</v>
      </c>
      <c r="H36">
        <f>'Deliverables Sheet'!AA116</f>
        <v>0.18594690354789248</v>
      </c>
      <c r="I36">
        <v>80</v>
      </c>
      <c r="J36">
        <v>0</v>
      </c>
      <c r="K36">
        <f>(I36*40)+J36</f>
        <v>3200</v>
      </c>
      <c r="L36">
        <f>((E36-K36)+F36)/C36</f>
        <v>0.3468040550848045</v>
      </c>
      <c r="M36">
        <f>SUM(E36:F36)-K36</f>
        <v>7502.0999999999985</v>
      </c>
      <c r="N36">
        <f>'Deliverables Sheet'!AE116</f>
        <v>0</v>
      </c>
      <c r="O36">
        <f>SUM(M36/(N36+I36))</f>
        <v>93.77624999999998</v>
      </c>
    </row>
    <row r="38">
      <c r="A38">
        <f>'Main Sheet'!A38</f>
        <v>7901</v>
      </c>
      <c r="B38" t="str">
        <f>'Main Sheet'!B38</f>
        <v>St Albans Street</v>
      </c>
      <c r="E38">
        <f>C38-D38</f>
        <v>0</v>
      </c>
      <c r="F38">
        <v>0</v>
      </c>
      <c r="G38" t="e">
        <f>(E38+F38)/C38</f>
        <v>#DIV/0!</v>
      </c>
      <c r="H38">
        <f>'Deliverables Sheet'!AA123</f>
        <v>0.1750919666797207</v>
      </c>
      <c r="K38">
        <f>(I38*40)+J38</f>
        <v>0</v>
      </c>
      <c r="L38" t="e">
        <f>((E38-K38)+F38)/C38</f>
        <v>#DIV/0!</v>
      </c>
      <c r="M38">
        <f>SUM(E38:F38)-K38</f>
        <v>0</v>
      </c>
      <c r="N38">
        <f>'Deliverables Sheet'!AE123</f>
        <v>0</v>
      </c>
      <c r="O38" t="e">
        <f>SUM(M38/(N38+I38))</f>
        <v>#DIV/0!</v>
      </c>
    </row>
    <row r="40">
      <c r="A40">
        <f>'Main Sheet'!A40</f>
        <v>8923</v>
      </c>
      <c r="B40" t="str">
        <f>'Main Sheet'!B40</f>
        <v>4 Perry St</v>
      </c>
      <c r="E40">
        <f>C40-D40</f>
        <v>0</v>
      </c>
      <c r="F40">
        <v>0</v>
      </c>
      <c r="G40" t="e">
        <f>(E40+F40)/C40</f>
        <v>#DIV/0!</v>
      </c>
      <c r="H40">
        <f>'Deliverables Sheet'!AA130</f>
        <v>0.26269298458827495</v>
      </c>
      <c r="J40">
        <v>0</v>
      </c>
      <c r="K40">
        <f>(I40*40)+J40</f>
        <v>0</v>
      </c>
      <c r="L40" t="e">
        <f>((E40-K40)+F40)/C40</f>
        <v>#DIV/0!</v>
      </c>
      <c r="M40">
        <f>SUM(E40:F40)-K40</f>
        <v>0</v>
      </c>
      <c r="N40">
        <f>'Deliverables Sheet'!AE130</f>
        <v>0</v>
      </c>
      <c r="O40" t="e">
        <f>SUM(M40/(N40+I40))</f>
        <v>#DIV/0!</v>
      </c>
    </row>
    <row r="42">
      <c r="A42">
        <f>'Main Sheet'!A42</f>
        <v>7864</v>
      </c>
      <c r="B42" t="str">
        <f>'Main Sheet'!B42</f>
        <v>Ryans House</v>
      </c>
      <c r="C42">
        <v>6708.7</v>
      </c>
      <c r="D42">
        <v>6814.9</v>
      </c>
      <c r="E42">
        <f>C42-D42</f>
        <v>-106.19999999999982</v>
      </c>
      <c r="G42">
        <f>(E42+F42)/C42</f>
        <v>-0.015830190647964558</v>
      </c>
      <c r="H42">
        <f>'Deliverables Sheet'!AA137</f>
        <v>0.2572457097943321</v>
      </c>
      <c r="I42">
        <v>0</v>
      </c>
      <c r="K42">
        <f>(I42*40)+J42</f>
        <v>0</v>
      </c>
      <c r="L42">
        <f>((E42-K42)+F42)/C42</f>
        <v>-0.015830190647964558</v>
      </c>
      <c r="M42">
        <f>SUM(E42:F42)-K42</f>
        <v>-106.19999999999982</v>
      </c>
      <c r="N42">
        <f>'Deliverables Sheet'!AE137</f>
        <v>81.75</v>
      </c>
      <c r="O42">
        <f>SUM(M42/(N42+I42))</f>
        <v>-1.2990825688073373</v>
      </c>
    </row>
    <row r="44">
      <c r="A44">
        <f>'Main Sheet'!A44</f>
        <v>7912</v>
      </c>
      <c r="B44" t="str">
        <f>'Main Sheet'!B44</f>
        <v xml:space="preserve">71A Fendalton Road </v>
      </c>
      <c r="C44">
        <v>6377.31</v>
      </c>
      <c r="D44">
        <v>4386</v>
      </c>
      <c r="E44">
        <f>C44-D44</f>
        <v>1991.3100000000004</v>
      </c>
      <c r="G44">
        <f>(E44+F44)/C44</f>
        <v>0.3122492085220885</v>
      </c>
      <c r="H44">
        <f>'Deliverables Sheet'!AA144</f>
        <v>0.11041595691669484</v>
      </c>
      <c r="K44">
        <f>(I44*40)+J44</f>
        <v>0</v>
      </c>
      <c r="L44">
        <f>((E44-K44)+F44)/C44</f>
        <v>0.3122492085220885</v>
      </c>
      <c r="M44">
        <f>SUM(E44:F44)-K44</f>
        <v>1991.3100000000004</v>
      </c>
      <c r="N44">
        <f>'Deliverables Sheet'!AE144</f>
        <v>-49.25</v>
      </c>
      <c r="O44">
        <f>SUM(M44/(N44+I44))</f>
        <v>-40.43269035532996</v>
      </c>
    </row>
    <row r="46">
      <c r="A46">
        <f>'Main Sheet'!A46</f>
        <v>8360</v>
      </c>
      <c r="B46" t="str">
        <f>'Main Sheet'!B46</f>
        <v>Dixon House</v>
      </c>
      <c r="C46">
        <v>5089.31</v>
      </c>
      <c r="D46">
        <v>4437.9</v>
      </c>
      <c r="E46">
        <f>C46-D46</f>
        <v>651.4100000000008</v>
      </c>
      <c r="G46">
        <f>(E46+F46)/C46</f>
        <v>0.12799574009050357</v>
      </c>
      <c r="H46">
        <f>'Deliverables Sheet'!AA151</f>
        <v>0.30580949617388004</v>
      </c>
      <c r="K46">
        <f>(I46*40)+J46</f>
        <v>0</v>
      </c>
      <c r="L46">
        <f>((E46-K46)+F46)/C46</f>
        <v>0.12799574009050357</v>
      </c>
      <c r="M46">
        <f>SUM(E46:F46)-K46</f>
        <v>651.4100000000008</v>
      </c>
      <c r="N46">
        <f>'Deliverables Sheet'!AE151</f>
        <v>34.25</v>
      </c>
      <c r="O46">
        <f>SUM(M46/(N46+I46))</f>
        <v>19.01927007299272</v>
      </c>
    </row>
    <row r="48">
      <c r="A48">
        <f>'Main Sheet'!A48</f>
        <v>8337</v>
      </c>
      <c r="B48" t="str">
        <f>'Main Sheet'!B48</f>
        <v xml:space="preserve">Waimak Dairys </v>
      </c>
      <c r="C48">
        <v>13424.5</v>
      </c>
      <c r="D48">
        <v>7562.1</v>
      </c>
      <c r="E48">
        <f>C48-D48</f>
        <v>5862.4</v>
      </c>
      <c r="G48">
        <f>(E48+F48)/C48</f>
        <v>0.43669410406346604</v>
      </c>
      <c r="H48">
        <f>'Deliverables Sheet'!AA158</f>
        <v>0.2350864529566191</v>
      </c>
      <c r="J48">
        <v>2530</v>
      </c>
      <c r="K48">
        <f>(I48*40)+J48</f>
        <v>2530</v>
      </c>
      <c r="L48">
        <f>((E48-K48)+F48)/C48</f>
        <v>0.2482327088532161</v>
      </c>
      <c r="M48">
        <f>SUM(E48:F48)-K48</f>
        <v>3332.3999999999996</v>
      </c>
      <c r="N48">
        <f>'Deliverables Sheet'!AE158</f>
        <v>44.75</v>
      </c>
      <c r="O48">
        <f>SUM(M48/(N48+I48))</f>
        <v>74.46703910614524</v>
      </c>
    </row>
    <row r="50">
      <c r="A50">
        <f>'Main Sheet'!A50</f>
        <v>9240</v>
      </c>
      <c r="B50" t="str">
        <f>'Main Sheet'!B50</f>
        <v>Daves Twizel Shack</v>
      </c>
      <c r="E50">
        <f>C50-D50</f>
        <v>0</v>
      </c>
      <c r="G50" t="e">
        <f>(E50+F50)/C50</f>
        <v>#DIV/0!</v>
      </c>
      <c r="H50">
        <f>'Deliverables Sheet'!AA165</f>
        <v>0.29626034431801396</v>
      </c>
      <c r="I50">
        <v>0</v>
      </c>
      <c r="K50">
        <f>(I50*40)+J50</f>
        <v>0</v>
      </c>
      <c r="L50" t="e">
        <f>((E50-K50)+F50)/C50</f>
        <v>#DIV/0!</v>
      </c>
      <c r="M50">
        <f>SUM(E50:F50)-K50</f>
        <v>0</v>
      </c>
      <c r="N50">
        <f>'Deliverables Sheet'!AE165</f>
        <v>0</v>
      </c>
      <c r="O50" t="e">
        <f>SUM(M50/(N50+I50))</f>
        <v>#DIV/0!</v>
      </c>
      <c r="Q50" t="str">
        <v>$18627.12 from Sharp Electrical</v>
      </c>
    </row>
    <row r="52">
      <c r="A52">
        <f>'Main Sheet'!A52</f>
        <v>7428</v>
      </c>
      <c r="B52" t="str">
        <f>'Main Sheet'!B52</f>
        <v>FAB Pegasus Lakeside</v>
      </c>
      <c r="C52">
        <v>4702.15</v>
      </c>
      <c r="D52">
        <v>2018.57</v>
      </c>
      <c r="E52">
        <f>C52-D52</f>
        <v>2683.58</v>
      </c>
      <c r="G52">
        <f>(E52+F52)/C52</f>
        <v>0.5707133970630457</v>
      </c>
      <c r="H52">
        <f>'Deliverables Sheet'!AA172</f>
        <v>0.21598635257493798</v>
      </c>
      <c r="I52">
        <v>32</v>
      </c>
      <c r="J52">
        <v>0</v>
      </c>
      <c r="K52">
        <f>(I52*40)+J52</f>
        <v>1280</v>
      </c>
      <c r="L52">
        <f>((E52-K52)+F52)/C52</f>
        <v>0.2984974958263773</v>
      </c>
      <c r="M52">
        <f>SUM(E52:F52)-K52</f>
        <v>1403.58</v>
      </c>
      <c r="N52">
        <f>'Deliverables Sheet'!AE172</f>
        <v>59.5</v>
      </c>
      <c r="O52">
        <f>SUM(M52/(N52+I52))</f>
        <v>15.339672131147541</v>
      </c>
    </row>
    <row r="54">
      <c r="A54">
        <f>'Main Sheet'!A54</f>
        <v>9351</v>
      </c>
      <c r="B54" t="str">
        <f>'Main Sheet'!B54</f>
        <v>Harewood Golf Club</v>
      </c>
      <c r="C54">
        <v>5491.7</v>
      </c>
      <c r="D54">
        <v>2946.15</v>
      </c>
      <c r="E54">
        <f>C54-D54</f>
        <v>2545.5499999999997</v>
      </c>
      <c r="G54">
        <f>(E54+F54)/C54</f>
        <v>0.4635267767722199</v>
      </c>
      <c r="H54">
        <f>'Deliverables Sheet'!AA179</f>
        <v>0.46084028666123966</v>
      </c>
      <c r="I54">
        <v>16</v>
      </c>
      <c r="J54">
        <v>0</v>
      </c>
      <c r="K54">
        <f>(I54*40)+J54</f>
        <v>640</v>
      </c>
      <c r="L54">
        <f>((E54-K54)+F54)/C54</f>
        <v>0.34698727170093047</v>
      </c>
      <c r="M54">
        <f>SUM(E54:F54)-K54</f>
        <v>1905.5499999999997</v>
      </c>
      <c r="N54">
        <f>'Deliverables Sheet'!AE179</f>
        <v>11.25</v>
      </c>
      <c r="O54">
        <f>SUM(M54/(N54+I54))</f>
        <v>69.92844036697247</v>
      </c>
    </row>
    <row r="56">
      <c r="A56">
        <f>'Main Sheet'!A56</f>
        <v>7429</v>
      </c>
      <c r="B56" t="str">
        <f>'Main Sheet'!B56</f>
        <v>Taggart House</v>
      </c>
      <c r="C56">
        <v>12937.1</v>
      </c>
      <c r="D56">
        <v>3877.27</v>
      </c>
      <c r="E56">
        <f>C56-D56</f>
        <v>9059.83</v>
      </c>
      <c r="G56">
        <f>(E56+F56)/C56</f>
        <v>0.7002983667127872</v>
      </c>
      <c r="H56">
        <f>'Deliverables Sheet'!AA186</f>
        <v>0.200547356751888</v>
      </c>
      <c r="I56">
        <v>10</v>
      </c>
      <c r="J56">
        <v>5000</v>
      </c>
      <c r="K56">
        <f>(I56*40)+J56</f>
        <v>5400</v>
      </c>
      <c r="L56">
        <f>((E56-K56)+F56)/C56</f>
        <v>0.28289415711403637</v>
      </c>
      <c r="M56">
        <f>SUM(E56:F56)-K56</f>
        <v>3659.83</v>
      </c>
      <c r="N56">
        <f>'Deliverables Sheet'!AE186</f>
        <v>32.25</v>
      </c>
      <c r="O56">
        <f>SUM(M56/(N56+I56))</f>
        <v>86.62319526627219</v>
      </c>
    </row>
    <row r="58">
      <c r="A58">
        <f>'Main Sheet'!A58</f>
        <v>9508</v>
      </c>
      <c r="B58" t="str">
        <f>'Main Sheet'!B58</f>
        <v>St Barnabas Church</v>
      </c>
      <c r="E58">
        <f>C58-D58</f>
        <v>0</v>
      </c>
      <c r="G58" t="e">
        <f>(E58+F58)/C58</f>
        <v>#DIV/0!</v>
      </c>
      <c r="H58">
        <f>'Deliverables Sheet'!AA193</f>
        <v>0.2567906365126864</v>
      </c>
      <c r="K58">
        <f>(I58*40)+J58</f>
        <v>0</v>
      </c>
      <c r="L58" t="e">
        <f>((E58-K58)+F58)/C58</f>
        <v>#DIV/0!</v>
      </c>
      <c r="M58">
        <f>SUM(E58:F58)-K58</f>
        <v>0</v>
      </c>
      <c r="N58">
        <f>'Deliverables Sheet'!AE193</f>
        <v>0</v>
      </c>
      <c r="O58" t="e">
        <f>SUM(M58/(N58+I58))</f>
        <v>#DIV/0!</v>
      </c>
    </row>
    <row r="60">
      <c r="A60">
        <f>'Main Sheet'!A60</f>
        <v>0</v>
      </c>
      <c r="B60">
        <f>'Main Sheet'!B60</f>
        <v>0</v>
      </c>
      <c r="E60">
        <f>C60-D60</f>
        <v>0</v>
      </c>
      <c r="G60" t="e">
        <f>(E60+F60)/C60</f>
        <v>#DIV/0!</v>
      </c>
      <c r="H60" t="e">
        <f>'Deliverables Sheet'!AA200</f>
        <v>#DIV/0!</v>
      </c>
      <c r="K60">
        <f>(I60*40)+J60</f>
        <v>0</v>
      </c>
      <c r="L60" t="e">
        <f>((E60-K60)+F60)/C60</f>
        <v>#DIV/0!</v>
      </c>
      <c r="M60">
        <f>SUM(E60:F60)-K60</f>
        <v>0</v>
      </c>
      <c r="N60">
        <f>'Deliverables Sheet'!AE200</f>
        <v>0</v>
      </c>
      <c r="O60" t="e">
        <f>SUM(M60/(N60+I60))</f>
        <v>#DIV/0!</v>
      </c>
    </row>
    <row r="62">
      <c r="A62">
        <f>'Main Sheet'!A62</f>
        <v>0</v>
      </c>
      <c r="B62" t="str">
        <f>'Main Sheet'!B62</f>
        <v>Contracting</v>
      </c>
      <c r="E62">
        <f>C62-D62</f>
        <v>0</v>
      </c>
      <c r="G62" t="e">
        <f>(E62+F62)/C62</f>
        <v>#DIV/0!</v>
      </c>
      <c r="H62" t="e">
        <f>'Deliverables Sheet'!AA207</f>
        <v>#DIV/0!</v>
      </c>
      <c r="I62">
        <v>0</v>
      </c>
      <c r="K62">
        <f>(I62*40)+J62</f>
        <v>0</v>
      </c>
      <c r="L62" t="e">
        <f>((E62-K62)+F62)/C62</f>
        <v>#DIV/0!</v>
      </c>
      <c r="M62">
        <f>SUM(E62:F62)-K62</f>
        <v>0</v>
      </c>
      <c r="N62">
        <f>'Deliverables Sheet'!AE207</f>
        <v>0</v>
      </c>
      <c r="O62" t="e">
        <f>SUM(M62/(N62+I62))</f>
        <v>#DIV/0!</v>
      </c>
    </row>
    <row r="64">
      <c r="A64">
        <f>'Main Sheet'!A64</f>
        <v>8946</v>
      </c>
      <c r="B64" t="str">
        <f>'Main Sheet'!B64</f>
        <v>Westcoast Vaults</v>
      </c>
      <c r="E64">
        <f>C64-D64</f>
        <v>0</v>
      </c>
      <c r="G64" t="e">
        <f>(E64+F64)/C64</f>
        <v>#DIV/0!</v>
      </c>
      <c r="H64">
        <f>'Deliverables Sheet'!AA214</f>
        <v>0.14379004644169227</v>
      </c>
      <c r="J64">
        <v>1750</v>
      </c>
      <c r="K64">
        <f>(I64*40)+J64</f>
        <v>1750</v>
      </c>
      <c r="L64" t="e">
        <f>((E64-K64)+F64)/C64</f>
        <v>#DIV/0!</v>
      </c>
      <c r="M64">
        <f>SUM(E64:F64)-K64</f>
        <v>-1750</v>
      </c>
      <c r="N64">
        <f>'Deliverables Sheet'!AE214</f>
        <v>0</v>
      </c>
      <c r="O64" t="e">
        <f>SUM(M64/(N64+I64))</f>
        <v>#DIV/0!</v>
      </c>
    </row>
    <row r="66">
      <c r="A66">
        <v>8308</v>
      </c>
      <c r="B66" t="str">
        <f>'Main Sheet'!B66</f>
        <v>Roydvale</v>
      </c>
      <c r="C66">
        <v>30500</v>
      </c>
      <c r="D66">
        <v>19018</v>
      </c>
      <c r="E66">
        <f>C66-D66</f>
        <v>11482</v>
      </c>
      <c r="G66">
        <f>(E66+F66)/C66</f>
        <v>0.37645901639344265</v>
      </c>
      <c r="H66">
        <f>'Deliverables Sheet'!AA221</f>
        <v>0.25626552151985643</v>
      </c>
      <c r="I66">
        <v>80</v>
      </c>
      <c r="J66">
        <v>0</v>
      </c>
      <c r="K66">
        <f>(I66*40)+J66</f>
        <v>3200</v>
      </c>
      <c r="L66">
        <f>((E66-K66)+F66)/C66</f>
        <v>0.2715409836065574</v>
      </c>
      <c r="M66">
        <f>SUM(E66:F66)-K66</f>
        <v>8282</v>
      </c>
      <c r="N66">
        <f>'Deliverables Sheet'!AE221</f>
        <v>600</v>
      </c>
      <c r="O66">
        <f>SUM(M66/(N66+I66))</f>
        <v>12.179411764705883</v>
      </c>
    </row>
    <row r="69">
      <c r="A69" t="str">
        <v>Totals</v>
      </c>
      <c r="B69" t="str">
        <v>Commercial</v>
      </c>
      <c r="C69">
        <f>SUM(C4,C6,C8,C10,C12,C14,C16,C18,C20,C22,C24)</f>
        <v>158341.18</v>
      </c>
      <c r="D69">
        <f>SUM(D4,D6,D8,D10,D12,D14,D16,D18,D20,D22,D24)</f>
        <v>98813.79000000001</v>
      </c>
      <c r="E69">
        <f>SUM(E4,E6,E8,E10,E12,E14,E16,E18,E20,E22,E24)</f>
        <v>59527.38999999999</v>
      </c>
      <c r="F69" t="str">
        <v>GP%</v>
      </c>
      <c r="G69">
        <f>SUM(E69/C69)</f>
        <v>0.3759438321730329</v>
      </c>
      <c r="H69" t="str">
        <v>E.O.M GP%</v>
      </c>
      <c r="I69">
        <f>(E69-(K4+K6+K8+K10+K12+K14+K16+K18+K20+K22+K24))/C69</f>
        <v>0.2718483593465705</v>
      </c>
    </row>
    <row r="70">
      <c r="B70" t="str">
        <v>Residential</v>
      </c>
      <c r="C70">
        <f>SUM(C26,C28,C30,C32,C34,C36,C38,C40,C42,C44,C46)</f>
        <v>52738.759999999995</v>
      </c>
      <c r="D70">
        <f>SUM(D26,D28,D30,D32,D34,D36,D38,D40,D42,D44,D46)</f>
        <v>32858.92</v>
      </c>
      <c r="E70">
        <f>SUM(E26,E28,E30,E32,E34,E36,E38,E40,E42,E44,E46)</f>
        <v>19879.84</v>
      </c>
      <c r="F70" t="str">
        <v>GP%</v>
      </c>
      <c r="G70">
        <f>SUM(E70/C70)</f>
        <v>0.3769493253159536</v>
      </c>
      <c r="H70" t="str">
        <v>E.O.M GP%</v>
      </c>
      <c r="I70">
        <f>(E70-(K26+K28+K30+K32+K34+K36+K38+K40+K42+K44+K46))/C70</f>
        <v>0.2677317403746315</v>
      </c>
    </row>
  </sheetData>
  <mergeCells count="17">
    <mergeCell ref="L2:L3"/>
    <mergeCell ref="A1:O1"/>
    <mergeCell ref="N2:N3"/>
    <mergeCell ref="O2:O3"/>
    <mergeCell ref="P2:P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J2:J3"/>
    <mergeCell ref="K2:K3"/>
  </mergeCells>
  <pageMargins left="0.7" right="0.7" top="0.75" bottom="0.75" header="0.3" footer="0.3"/>
  <ignoredErrors>
    <ignoredError numberStoredAsText="1" sqref="A1:R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9"/>
  <sheetViews>
    <sheetView workbookViewId="0" rightToLeft="0"/>
  </sheetViews>
  <sheetData>
    <row r="1">
      <c r="A1" t="str">
        <v xml:space="preserve">                        Updated Job Spreadsheet</v>
      </c>
    </row>
    <row r="2">
      <c r="B2" t="str">
        <v>Job</v>
      </c>
      <c r="C2" t="str">
        <v>Quoted Hours</v>
      </c>
      <c r="D2" t="str">
        <v>Hours Used</v>
      </c>
      <c r="E2" t="str">
        <v>Hours Remaining</v>
      </c>
      <c r="F2" t="str">
        <v>January</v>
      </c>
      <c r="G2" t="str">
        <v>February</v>
      </c>
      <c r="H2" t="str">
        <v>March</v>
      </c>
      <c r="I2" t="str">
        <v>April</v>
      </c>
      <c r="J2" t="str">
        <v>May</v>
      </c>
      <c r="K2" t="str">
        <v>June</v>
      </c>
      <c r="L2" t="str">
        <v>July</v>
      </c>
      <c r="M2" t="str">
        <v>August</v>
      </c>
      <c r="N2" t="str">
        <v>September</v>
      </c>
      <c r="O2" t="str">
        <v>October</v>
      </c>
      <c r="P2" t="str">
        <v>November</v>
      </c>
      <c r="Q2" t="str">
        <v>December</v>
      </c>
    </row>
    <row r="3">
      <c r="A3" t="str">
        <v>Servicing</v>
      </c>
      <c r="B3" t="str">
        <v>Servicing work any job under 30 hours</v>
      </c>
      <c r="F3">
        <v>500</v>
      </c>
      <c r="G3">
        <v>700</v>
      </c>
      <c r="H3">
        <v>700</v>
      </c>
      <c r="I3">
        <v>700</v>
      </c>
      <c r="J3">
        <v>700</v>
      </c>
      <c r="K3">
        <v>700</v>
      </c>
      <c r="L3">
        <v>700</v>
      </c>
      <c r="M3">
        <v>700</v>
      </c>
      <c r="N3">
        <v>700</v>
      </c>
      <c r="O3">
        <v>700</v>
      </c>
      <c r="P3">
        <v>700</v>
      </c>
      <c r="Q3">
        <v>500</v>
      </c>
    </row>
    <row r="4">
      <c r="A4">
        <f>'Main Sheet'!A4</f>
        <v>7658</v>
      </c>
      <c r="B4" t="str">
        <f>'Main Sheet'!B4</f>
        <v>Charity Hospital</v>
      </c>
      <c r="C4" cm="1">
        <f t="array" ref="C4">LOOKUP(2,1/('Deliverables Sheet'!S4:S9&lt;&gt;0),'Deliverables Sheet'!S4:S9)</f>
        <v>530.95</v>
      </c>
      <c r="D4" cm="1">
        <f t="array" ref="D4">LOOKUP(2,1/('Deliverables Sheet'!T4:T9&lt;&gt;0),'Deliverables Sheet'!T4:T9)</f>
        <v>418</v>
      </c>
      <c r="E4" cm="1">
        <f t="array" ref="E4">LOOKUP(2,1/('Deliverables Sheet'!U4:U9&lt;&gt;0),'Deliverables Sheet'!U4:U9)</f>
        <v>112.95000000000005</v>
      </c>
      <c r="M4">
        <v>80</v>
      </c>
      <c r="S4" t="str">
        <v>Programme Checked 24/03/26</v>
      </c>
    </row>
    <row r="6">
      <c r="A6">
        <f>'Main Sheet'!A6</f>
        <v>8142</v>
      </c>
      <c r="B6" t="str">
        <f>'Main Sheet'!B6</f>
        <v>Fisher Developements</v>
      </c>
      <c r="C6" cm="1">
        <f t="array" ref="C6">LOOKUP(2,1/('Deliverables Sheet'!S11:S16&lt;&gt;0),'Deliverables Sheet'!S11:S16)</f>
        <v>311.89</v>
      </c>
      <c r="D6" cm="1">
        <f t="array" ref="D6">LOOKUP(2,1/('Deliverables Sheet'!T11:T16&lt;&gt;0),'Deliverables Sheet'!T11:T16)</f>
        <v>52.5</v>
      </c>
      <c r="E6" cm="1">
        <f t="array" ref="E6">LOOKUP(2,1/('Deliverables Sheet'!U11:U16&lt;&gt;0),'Deliverables Sheet'!U11:U16)</f>
        <v>259.39</v>
      </c>
      <c r="N6">
        <v>80</v>
      </c>
      <c r="S6" t="str">
        <v>Cant find a Programme for this.</v>
      </c>
    </row>
    <row r="8">
      <c r="A8">
        <f>'Main Sheet'!A8</f>
        <v>8824</v>
      </c>
      <c r="B8" t="str">
        <f>'Main Sheet'!B8</f>
        <v>3 Innovation Road</v>
      </c>
      <c r="C8" cm="1">
        <f t="array" ref="C8">LOOKUP(2,1/('Deliverables Sheet'!S18:S23&lt;&gt;0),'Deliverables Sheet'!S18:S23)</f>
        <v>125.39</v>
      </c>
      <c r="D8" cm="1">
        <f t="array" ref="D8">LOOKUP(2,1/('Deliverables Sheet'!T18:T23&lt;&gt;0),'Deliverables Sheet'!T18:T23)</f>
        <v>34.75</v>
      </c>
      <c r="E8" cm="1">
        <f t="array" ref="E8">LOOKUP(2,1/('Deliverables Sheet'!U18:U23&lt;&gt;0),'Deliverables Sheet'!U18:U23)</f>
        <v>90.64</v>
      </c>
      <c r="N8">
        <v>90</v>
      </c>
      <c r="S8" t="str">
        <v>Programme Checked 24/03/26</v>
      </c>
    </row>
    <row r="10">
      <c r="A10">
        <f>'Main Sheet'!A10</f>
        <v>8127</v>
      </c>
      <c r="B10" t="str">
        <f>'Main Sheet'!B10</f>
        <v>Rolly Autowash</v>
      </c>
      <c r="C10" cm="1">
        <f t="array" ref="C10">LOOKUP(2,1/('Deliverables Sheet'!S25:S30&lt;&gt;0),'Deliverables Sheet'!S25:S30)</f>
        <v>795.22</v>
      </c>
      <c r="D10" cm="1">
        <f t="array" ref="D10">LOOKUP(2,1/('Deliverables Sheet'!T25:T30&lt;&gt;0),'Deliverables Sheet'!T25:T30)</f>
        <v>388.25</v>
      </c>
      <c r="E10" cm="1">
        <f t="array" ref="E10">LOOKUP(2,1/('Deliverables Sheet'!U25:U30&lt;&gt;0),'Deliverables Sheet'!U25:U30)</f>
        <v>406.97</v>
      </c>
      <c r="M10">
        <v>200</v>
      </c>
      <c r="N10">
        <v>80</v>
      </c>
      <c r="S10" t="str">
        <v>Programme Checked 24/03/26</v>
      </c>
    </row>
    <row r="12">
      <c r="A12">
        <v>8183</v>
      </c>
      <c r="B12" t="str">
        <v>Murney Custodian - 1 Freight Drive</v>
      </c>
      <c r="C12">
        <f>'Deliverables Sheet'!S32</f>
        <v>1114.27</v>
      </c>
      <c r="D12">
        <f>'Deliverables Sheet'!T32</f>
        <v>223.25</v>
      </c>
      <c r="E12" cm="1">
        <f t="array" ref="E12">LOOKUP(2,1/('Deliverables Sheet'!U32:U37&lt;&gt;0),'Deliverables Sheet'!U32:U37)</f>
        <v>732.77</v>
      </c>
      <c r="M12">
        <v>160</v>
      </c>
      <c r="N12">
        <v>320</v>
      </c>
      <c r="O12">
        <v>80</v>
      </c>
      <c r="S12" t="str">
        <v>Programme Checked 24/03/26</v>
      </c>
    </row>
    <row r="14">
      <c r="A14">
        <f>'Main Sheet'!A14</f>
        <v>8886</v>
      </c>
      <c r="B14" t="str">
        <f>'Main Sheet'!B14</f>
        <v>Monkey Toe - Fisher fit out</v>
      </c>
      <c r="C14">
        <f>'Deliverables Sheet'!S39</f>
        <v>501.83</v>
      </c>
      <c r="D14">
        <f>'Deliverables Sheet'!T39</f>
        <v>8</v>
      </c>
      <c r="E14" cm="1">
        <f t="array" ref="E14">LOOKUP(2,1/('Deliverables Sheet'!U39:U44&lt;&gt;0),'Deliverables Sheet'!U39:U44)</f>
        <v>389</v>
      </c>
      <c r="L14">
        <v>0</v>
      </c>
      <c r="M14">
        <v>80</v>
      </c>
      <c r="N14">
        <v>300</v>
      </c>
      <c r="S14" t="str">
        <v>Programme Checked 24/03/26</v>
      </c>
    </row>
    <row r="16">
      <c r="A16">
        <f>'Main Sheet'!A16</f>
        <v>8887</v>
      </c>
      <c r="B16" t="str">
        <f>'Main Sheet'!B16</f>
        <v>Tenancy 2 - Fisher Fit out</v>
      </c>
      <c r="C16" cm="1">
        <f t="array" ref="C16">LOOKUP(2,1/('Deliverables Sheet'!S46:S51&lt;&gt;0),'Deliverables Sheet'!S46:S51)</f>
        <v>212.3</v>
      </c>
      <c r="D16" cm="1">
        <f t="array" ref="D16">LOOKUP(2,1/('Deliverables Sheet'!T46:T51&lt;&gt;0),'Deliverables Sheet'!T46:T51)</f>
        <v>86.75</v>
      </c>
      <c r="E16" cm="1">
        <f t="array" ref="E16">LOOKUP(2,1/('Deliverables Sheet'!U46:U51&lt;&gt;0),'Deliverables Sheet'!U46:U51)</f>
        <v>125.55000000000001</v>
      </c>
      <c r="M16">
        <v>16</v>
      </c>
      <c r="N16">
        <v>110</v>
      </c>
    </row>
    <row r="18">
      <c r="A18">
        <f>'Main Sheet'!A18</f>
        <v>8670</v>
      </c>
      <c r="B18" t="str">
        <f>'Main Sheet'!B18</f>
        <v>Studio DB - tautara fit out</v>
      </c>
      <c r="C18" cm="1">
        <f t="array" ref="C18">LOOKUP(2,1/('Deliverables Sheet'!S53:S58&lt;&gt;0),'Deliverables Sheet'!S53:S58)</f>
        <v>668.92</v>
      </c>
      <c r="D18" cm="1">
        <f t="array" ref="D18">LOOKUP(2,1/('Deliverables Sheet'!T53:T58&lt;&gt;0),'Deliverables Sheet'!T53:T58)</f>
        <v>269</v>
      </c>
      <c r="E18" cm="1">
        <f t="array" ref="E18">LOOKUP(2,1/('Deliverables Sheet'!U53:U58&lt;&gt;0),'Deliverables Sheet'!U53:U58)</f>
        <v>399.91999999999996</v>
      </c>
      <c r="M18">
        <v>240</v>
      </c>
      <c r="N18">
        <v>160</v>
      </c>
    </row>
    <row r="20">
      <c r="A20">
        <f>'Main Sheet'!A20</f>
        <v>8907</v>
      </c>
      <c r="B20" t="str">
        <f>'Main Sheet'!B20</f>
        <v>35 Mania</v>
      </c>
      <c r="C20" cm="1">
        <f t="array" ref="C20">LOOKUP(2,1/('Deliverables Sheet'!S60:S65&lt;&gt;0),'Deliverables Sheet'!S60:S65)</f>
        <v>63.5</v>
      </c>
      <c r="D20" cm="1">
        <f t="array" ref="D20">LOOKUP(2,1/('Deliverables Sheet'!T60:T65&lt;&gt;0),'Deliverables Sheet'!T60:T65)</f>
        <v>26.75</v>
      </c>
      <c r="E20" cm="1">
        <f t="array" ref="E20">LOOKUP(2,1/('Deliverables Sheet'!U60:U65&lt;&gt;0),'Deliverables Sheet'!U60:U65)</f>
        <v>36.75</v>
      </c>
      <c r="M20">
        <v>36</v>
      </c>
    </row>
    <row r="22">
      <c r="A22">
        <f>'Main Sheet'!A22</f>
        <v>9065</v>
      </c>
      <c r="B22" t="str">
        <f>'Main Sheet'!B22</f>
        <v>Cooltranz stage 4</v>
      </c>
      <c r="C22" cm="1">
        <f t="array" ref="C22">LOOKUP(2,1/('Deliverables Sheet'!S67:S72&lt;&gt;0),'Deliverables Sheet'!S67:S72)</f>
        <v>160.82</v>
      </c>
      <c r="D22" t="e" cm="1">
        <f t="array" ref="D22">LOOKUP(2,1/('Deliverables Sheet'!T67:T72&lt;&gt;0),'Deliverables Sheet'!T67:T72)</f>
        <v>#N/A</v>
      </c>
      <c r="E22" cm="1">
        <f t="array" ref="E22">LOOKUP(2,1/('Deliverables Sheet'!U67:U72&lt;&gt;0),'Deliverables Sheet'!U67:U72)</f>
        <v>160.82</v>
      </c>
      <c r="M22">
        <v>20</v>
      </c>
      <c r="N22">
        <v>80</v>
      </c>
      <c r="O22">
        <v>60</v>
      </c>
    </row>
    <row r="24">
      <c r="A24">
        <f>'Main Sheet'!A24</f>
        <v>9259</v>
      </c>
      <c r="B24" t="str">
        <f>'Main Sheet'!B24</f>
        <v>Andrew Reeve Stage 2</v>
      </c>
      <c r="E24" cm="1">
        <f t="array" ref="E24">LOOKUP(2,1/('Deliverables Sheet'!U69:U74&lt;&gt;0),'Deliverables Sheet'!U69:U74)</f>
        <v>470.3</v>
      </c>
      <c r="M24">
        <v>188</v>
      </c>
      <c r="N24">
        <v>282</v>
      </c>
    </row>
    <row r="26">
      <c r="A26">
        <f>'Main Sheet'!A26</f>
        <v>8352</v>
      </c>
      <c r="B26" t="str">
        <f>'Main Sheet'!B26</f>
        <v>5 Sanscrit Place</v>
      </c>
      <c r="C26" cm="1">
        <f t="array" ref="C26">LOOKUP(2,1/('Deliverables Sheet'!S81:S86&lt;&gt;0),'Deliverables Sheet'!S81:S86)</f>
        <v>139.07</v>
      </c>
      <c r="D26" cm="1">
        <f t="array" ref="D26">LOOKUP(2,1/('Deliverables Sheet'!T81:T86&lt;&gt;0),'Deliverables Sheet'!T81:T86)</f>
        <v>143.25</v>
      </c>
      <c r="E26" cm="1">
        <f t="array" ref="E26">LOOKUP(2,1/('Deliverables Sheet'!U81:U86&lt;&gt;0),'Deliverables Sheet'!U81:U86)</f>
        <v>-4.180000000000007</v>
      </c>
      <c r="M26">
        <v>48</v>
      </c>
    </row>
    <row r="28">
      <c r="A28">
        <f>'Main Sheet'!A28</f>
        <v>8234</v>
      </c>
      <c r="B28" t="str">
        <f>'Main Sheet'!B28</f>
        <v>Melhuish House</v>
      </c>
      <c r="C28" cm="1">
        <f t="array" ref="C28">LOOKUP(2,1/('Deliverables Sheet'!S88:S93&lt;&gt;0),'Deliverables Sheet'!S88:S93)</f>
        <v>231.75</v>
      </c>
      <c r="D28" cm="1">
        <f t="array" ref="D28">LOOKUP(2,1/('Deliverables Sheet'!T88:T93&lt;&gt;0),'Deliverables Sheet'!T88:T93)</f>
        <v>148.5</v>
      </c>
      <c r="E28" cm="1">
        <f t="array" ref="E28">LOOKUP(2,1/('Deliverables Sheet'!U88:U93&lt;&gt;0),'Deliverables Sheet'!U88:U93)</f>
        <v>83.25</v>
      </c>
      <c r="M28">
        <v>32</v>
      </c>
    </row>
    <row r="30">
      <c r="A30">
        <f>'Main Sheet'!A30</f>
        <v>8214</v>
      </c>
      <c r="B30" t="str">
        <f>'Main Sheet'!B30</f>
        <v>6 Tiroroa Lane</v>
      </c>
      <c r="C30" cm="1">
        <f t="array" ref="C30">LOOKUP(2,1/('Deliverables Sheet'!S95:S100&lt;&gt;0),'Deliverables Sheet'!S95:S100)</f>
        <v>147.9</v>
      </c>
      <c r="D30" cm="1">
        <f t="array" ref="D30">LOOKUP(2,1/('Deliverables Sheet'!T95:T100&lt;&gt;0),'Deliverables Sheet'!T95:T100)</f>
        <v>5</v>
      </c>
      <c r="E30" cm="1">
        <f t="array" ref="E30">LOOKUP(2,1/('Deliverables Sheet'!U95:U100&lt;&gt;0),'Deliverables Sheet'!U95:U100)</f>
        <v>142.9</v>
      </c>
      <c r="N30">
        <v>48</v>
      </c>
      <c r="O30">
        <v>16</v>
      </c>
      <c r="P30">
        <v>64</v>
      </c>
    </row>
    <row r="32">
      <c r="A32">
        <f>'Main Sheet'!A32</f>
        <v>6792</v>
      </c>
      <c r="B32" t="str">
        <f>'Main Sheet'!B32</f>
        <v xml:space="preserve">Major Hornbrook </v>
      </c>
      <c r="C32" cm="1">
        <f t="array" ref="C32">LOOKUP(2,1/('Deliverables Sheet'!S102:S107&lt;&gt;0),'Deliverables Sheet'!S102:S107)</f>
        <v>208.2</v>
      </c>
      <c r="D32" cm="1">
        <f t="array" ref="D32">LOOKUP(2,1/('Deliverables Sheet'!T102:T107&lt;&gt;0),'Deliverables Sheet'!T102:T107)</f>
        <v>317.25</v>
      </c>
      <c r="E32" cm="1">
        <f t="array" ref="E32">LOOKUP(2,1/('Deliverables Sheet'!U102:U107&lt;&gt;0),'Deliverables Sheet'!U102:U107)</f>
        <v>-109.05000000000001</v>
      </c>
    </row>
    <row r="34">
      <c r="A34">
        <f>'Main Sheet'!A34</f>
        <v>8840</v>
      </c>
      <c r="B34" t="str">
        <f>'Main Sheet'!B34</f>
        <v>Inline Architecture</v>
      </c>
      <c r="C34" cm="1">
        <f t="array" ref="C34">LOOKUP(2,1/('Deliverables Sheet'!S109:S114&lt;&gt;0),'Deliverables Sheet'!S109:S114)</f>
        <v>316.34</v>
      </c>
      <c r="D34" cm="1">
        <f t="array" ref="D34">LOOKUP(2,1/('Deliverables Sheet'!T109:T114&lt;&gt;0),'Deliverables Sheet'!T109:T114)</f>
        <v>204.75</v>
      </c>
      <c r="E34" cm="1">
        <f t="array" ref="E34">LOOKUP(2,1/('Deliverables Sheet'!U109:U114&lt;&gt;0),'Deliverables Sheet'!U109:U114)</f>
        <v>111.58999999999997</v>
      </c>
      <c r="M34">
        <v>130</v>
      </c>
    </row>
    <row r="36">
      <c r="A36">
        <f>'Main Sheet'!A36</f>
        <v>8769</v>
      </c>
      <c r="B36" t="str">
        <f>'Main Sheet'!B36</f>
        <v>Percival Bach</v>
      </c>
      <c r="C36" cm="1">
        <f t="array" ref="C36">LOOKUP(2,1/('Deliverables Sheet'!S116:S121&lt;&gt;0),'Deliverables Sheet'!S116:S121)</f>
        <v>84.03</v>
      </c>
      <c r="D36" t="e" cm="1">
        <f t="array" ref="D36">LOOKUP(2,1/('Deliverables Sheet'!T116:T121&lt;&gt;0),'Deliverables Sheet'!T116:T121)</f>
        <v>#N/A</v>
      </c>
      <c r="E36" cm="1">
        <f t="array" ref="E36">LOOKUP(2,1/('Deliverables Sheet'!U116:U121&lt;&gt;0),'Deliverables Sheet'!U116:U121)</f>
        <v>84.03</v>
      </c>
      <c r="M36">
        <v>30</v>
      </c>
      <c r="N36">
        <v>50</v>
      </c>
    </row>
    <row r="38">
      <c r="A38">
        <f>'Main Sheet'!A38</f>
        <v>7901</v>
      </c>
      <c r="B38" t="str">
        <f>'Main Sheet'!B38</f>
        <v>St Albans Street</v>
      </c>
      <c r="C38" cm="1">
        <f t="array" ref="C38">LOOKUP(2,1/('Deliverables Sheet'!S123:S128&lt;&gt;0),'Deliverables Sheet'!S123:S128)</f>
        <v>273.37</v>
      </c>
      <c r="D38" t="e" cm="1">
        <f t="array" ref="D38">LOOKUP(2,1/('Deliverables Sheet'!T123:T128&lt;&gt;0),'Deliverables Sheet'!T123:T128)</f>
        <v>#N/A</v>
      </c>
      <c r="E38" cm="1">
        <f t="array" ref="E38">LOOKUP(2,1/('Deliverables Sheet'!U123:U128&lt;&gt;0),'Deliverables Sheet'!U123:U128)</f>
        <v>273.37</v>
      </c>
      <c r="M38">
        <v>80</v>
      </c>
      <c r="N38">
        <v>40</v>
      </c>
      <c r="O38">
        <v>160</v>
      </c>
    </row>
    <row r="40">
      <c r="A40">
        <f>'Main Sheet'!A40</f>
        <v>8923</v>
      </c>
      <c r="B40" t="str">
        <f>'Main Sheet'!B40</f>
        <v>4 Perry St</v>
      </c>
      <c r="C40" cm="1">
        <f t="array" ref="C40">LOOKUP(2,1/('Deliverables Sheet'!S130:S135&lt;&gt;0),'Deliverables Sheet'!S130:S135)</f>
        <v>157</v>
      </c>
      <c r="D40" cm="1">
        <f t="array" ref="D40">LOOKUP(2,1/('Deliverables Sheet'!T130:T135&lt;&gt;0),'Deliverables Sheet'!T130:T135)</f>
        <v>2</v>
      </c>
      <c r="E40" cm="1">
        <f t="array" ref="E40">LOOKUP(2,1/('Deliverables Sheet'!U130:U135&lt;&gt;0),'Deliverables Sheet'!U130:U135)</f>
        <v>155</v>
      </c>
      <c r="F40">
        <v>60</v>
      </c>
      <c r="G40">
        <v>15</v>
      </c>
      <c r="H40">
        <v>90</v>
      </c>
    </row>
    <row r="42">
      <c r="A42">
        <f>'Main Sheet'!A42</f>
        <v>7864</v>
      </c>
      <c r="B42" t="str">
        <f>'Main Sheet'!B42</f>
        <v>Ryans House</v>
      </c>
      <c r="C42" cm="1">
        <f t="array" ref="C42">LOOKUP(2,1/('Deliverables Sheet'!S137:S142&lt;&gt;0),'Deliverables Sheet'!S137:S142)</f>
        <v>193.82</v>
      </c>
      <c r="D42" cm="1">
        <f t="array" ref="D42">LOOKUP(2,1/('Deliverables Sheet'!T137:T142&lt;&gt;0),'Deliverables Sheet'!T137:T142)</f>
        <v>266.75</v>
      </c>
      <c r="E42" cm="1">
        <f t="array" ref="E42">LOOKUP(2,1/('Deliverables Sheet'!U137:U142&lt;&gt;0),'Deliverables Sheet'!U137:U142)</f>
        <v>-72.93</v>
      </c>
    </row>
    <row r="44">
      <c r="A44">
        <f>'Main Sheet'!A44</f>
        <v>7912</v>
      </c>
      <c r="B44" t="str">
        <f>'Main Sheet'!B44</f>
        <v xml:space="preserve">71A Fendalton Road </v>
      </c>
      <c r="C44" cm="1">
        <f t="array" ref="C44">LOOKUP(2,1/('Deliverables Sheet'!S144:S149&lt;&gt;0),'Deliverables Sheet'!S144:S149)</f>
        <v>497.55</v>
      </c>
      <c r="D44" cm="1">
        <f t="array" ref="D44">LOOKUP(2,1/('Deliverables Sheet'!T144:T149&lt;&gt;0),'Deliverables Sheet'!T144:T149)</f>
        <v>58.25</v>
      </c>
      <c r="E44" cm="1">
        <f t="array" ref="E44">LOOKUP(2,1/('Deliverables Sheet'!U144:U149&lt;&gt;0),'Deliverables Sheet'!U144:U149)</f>
        <v>439.3</v>
      </c>
      <c r="F44">
        <v>80</v>
      </c>
      <c r="N44">
        <v>40</v>
      </c>
      <c r="O44">
        <v>300</v>
      </c>
      <c r="P44">
        <v>150</v>
      </c>
      <c r="Q44">
        <v>150</v>
      </c>
    </row>
    <row r="46">
      <c r="A46">
        <f>'Main Sheet'!A46</f>
        <v>8360</v>
      </c>
      <c r="B46" t="str">
        <f>'Main Sheet'!B46</f>
        <v>Dixon House</v>
      </c>
      <c r="C46" cm="1">
        <f t="array" ref="C46">LOOKUP(2,1/('Deliverables Sheet'!S151:S156&lt;&gt;0),'Deliverables Sheet'!S151:S156)</f>
        <v>210.6</v>
      </c>
      <c r="D46" cm="1">
        <f t="array" ref="D46">LOOKUP(2,1/('Deliverables Sheet'!T151:T156&lt;&gt;0),'Deliverables Sheet'!T151:T156)</f>
        <v>260.75</v>
      </c>
      <c r="E46" cm="1">
        <f t="array" ref="E46">LOOKUP(2,1/('Deliverables Sheet'!U151:U156&lt;&gt;0),'Deliverables Sheet'!U151:U156)</f>
        <v>-50.150000000000006</v>
      </c>
    </row>
    <row r="48">
      <c r="A48">
        <f>'Main Sheet'!A48</f>
        <v>8337</v>
      </c>
      <c r="B48" t="str">
        <f>'Main Sheet'!B48</f>
        <v xml:space="preserve">Waimak Dairys </v>
      </c>
      <c r="C48" cm="1">
        <f t="array" ref="C48">LOOKUP(2,1/('Deliverables Sheet'!S158:S163&lt;&gt;0),'Deliverables Sheet'!S158:S163)</f>
        <v>110.44</v>
      </c>
      <c r="D48" cm="1">
        <f t="array" ref="D48">LOOKUP(2,1/('Deliverables Sheet'!T158:T163&lt;&gt;0),'Deliverables Sheet'!T158:T163)</f>
        <v>44.75</v>
      </c>
      <c r="E48" cm="1">
        <f t="array" ref="E48">LOOKUP(2,1/('Deliverables Sheet'!U158:U163&lt;&gt;0),'Deliverables Sheet'!U158:U163)</f>
        <v>65.69</v>
      </c>
      <c r="M48">
        <v>16</v>
      </c>
      <c r="N48">
        <v>32</v>
      </c>
    </row>
    <row r="50">
      <c r="A50">
        <f>'Main Sheet'!A50</f>
        <v>9240</v>
      </c>
      <c r="B50" t="str">
        <f>'Main Sheet'!B50</f>
        <v>Daves Twizel Shack</v>
      </c>
      <c r="C50" cm="1">
        <f t="array" ref="C50">LOOKUP(2,1/('Deliverables Sheet'!S165:S170&lt;&gt;0),'Deliverables Sheet'!S165:S170)</f>
        <v>64.71</v>
      </c>
      <c r="D50" t="e" cm="1">
        <f t="array" ref="D50">LOOKUP(2,1/('Deliverables Sheet'!T165:T170&lt;&gt;0),'Deliverables Sheet'!T165:T170)</f>
        <v>#N/A</v>
      </c>
      <c r="E50" cm="1">
        <f t="array" ref="E50">LOOKUP(2,1/('Deliverables Sheet'!U165:U170&lt;&gt;0),'Deliverables Sheet'!U165:U170)</f>
        <v>64.71</v>
      </c>
      <c r="M50">
        <v>16</v>
      </c>
      <c r="N50">
        <v>40</v>
      </c>
    </row>
    <row r="52">
      <c r="A52">
        <f>'Main Sheet'!A52</f>
        <v>7428</v>
      </c>
      <c r="B52" t="str">
        <f>'Main Sheet'!B52</f>
        <v>FAB Pegasus Lakeside</v>
      </c>
      <c r="C52" cm="1">
        <f t="array" ref="C52">LOOKUP(2,1/('Deliverables Sheet'!S172:S177&lt;&gt;0),'Deliverables Sheet'!S172:S177)</f>
        <v>659.73</v>
      </c>
      <c r="D52" cm="1">
        <f t="array" ref="D52">LOOKUP(2,1/('Deliverables Sheet'!T172:T177&lt;&gt;0),'Deliverables Sheet'!T172:T177)</f>
        <v>304.75</v>
      </c>
      <c r="E52" cm="1">
        <f t="array" ref="E52">LOOKUP(2,1/('Deliverables Sheet'!U172:U177&lt;&gt;0),'Deliverables Sheet'!U172:U177)</f>
        <v>354.98</v>
      </c>
      <c r="M52">
        <v>80</v>
      </c>
      <c r="N52">
        <v>80</v>
      </c>
      <c r="O52">
        <v>180</v>
      </c>
    </row>
    <row r="54">
      <c r="A54">
        <f>'Main Sheet'!A54</f>
        <v>9351</v>
      </c>
      <c r="B54" t="str">
        <f>'Main Sheet'!B54</f>
        <v>Harewood Golf Club</v>
      </c>
      <c r="C54" cm="1">
        <f t="array" ref="C54">LOOKUP(2,1/('Deliverables Sheet'!S179:S184&lt;&gt;0),'Deliverables Sheet'!S179:S184)</f>
        <v>125.17</v>
      </c>
      <c r="D54" cm="1">
        <f t="array" ref="D54">LOOKUP(2,1/('Deliverables Sheet'!T179:T184&lt;&gt;0),'Deliverables Sheet'!T179:T184)</f>
        <v>11.25</v>
      </c>
      <c r="E54" cm="1">
        <f t="array" ref="E54">LOOKUP(2,1/('Deliverables Sheet'!U179:U184&lt;&gt;0),'Deliverables Sheet'!U179:U184)</f>
        <v>113.92</v>
      </c>
      <c r="L54">
        <v>16</v>
      </c>
      <c r="M54">
        <v>32</v>
      </c>
      <c r="N54">
        <v>65</v>
      </c>
    </row>
    <row r="56">
      <c r="A56">
        <f>'Main Sheet'!A56</f>
        <v>7429</v>
      </c>
      <c r="B56" t="str">
        <f>'Main Sheet'!B56</f>
        <v>Taggart House</v>
      </c>
      <c r="C56" cm="1">
        <f t="array" ref="C56">LOOKUP(2,1/('Deliverables Sheet'!S186:S191&lt;&gt;0),'Deliverables Sheet'!S186:S191)</f>
        <v>130.62</v>
      </c>
      <c r="D56" cm="1">
        <f t="array" ref="D56">LOOKUP(2,1/('Deliverables Sheet'!T186:T191&lt;&gt;0),'Deliverables Sheet'!T186:T191)</f>
        <v>32.25</v>
      </c>
      <c r="E56" cm="1">
        <f t="array" ref="E56">LOOKUP(2,1/('Deliverables Sheet'!U186:U191&lt;&gt;0),'Deliverables Sheet'!U186:U191)</f>
        <v>98.37</v>
      </c>
      <c r="M56">
        <v>16</v>
      </c>
      <c r="N56">
        <v>70</v>
      </c>
    </row>
    <row r="58">
      <c r="A58">
        <f>'Main Sheet'!A58</f>
        <v>9508</v>
      </c>
      <c r="B58" t="str">
        <f>'Main Sheet'!B58</f>
        <v>St Barnabas Church</v>
      </c>
      <c r="C58" cm="1">
        <f t="array" ref="C58">LOOKUP(2,1/('Deliverables Sheet'!S193:S198&lt;&gt;0),'Deliverables Sheet'!S193:S198)</f>
        <v>140.15</v>
      </c>
      <c r="D58" cm="1">
        <f t="array" ref="D58">LOOKUP(2,1/('Deliverables Sheet'!T193:T198&lt;&gt;0),'Deliverables Sheet'!T193:T198)</f>
        <v>5.75</v>
      </c>
      <c r="E58" cm="1">
        <f t="array" ref="E58">LOOKUP(2,1/('Deliverables Sheet'!U193:U198&lt;&gt;0),'Deliverables Sheet'!U193:U198)</f>
        <v>134.4</v>
      </c>
      <c r="O58">
        <v>52</v>
      </c>
      <c r="P58">
        <v>13</v>
      </c>
      <c r="Q58">
        <v>69</v>
      </c>
    </row>
    <row r="60">
      <c r="A60">
        <f>'Main Sheet'!A60</f>
        <v>0</v>
      </c>
      <c r="B60">
        <f>'Main Sheet'!B60</f>
        <v>0</v>
      </c>
      <c r="C60" t="e" cm="1">
        <f t="array" ref="C60">LOOKUP(2,1/('Deliverables Sheet'!S200:S205&lt;&gt;0),'Deliverables Sheet'!S200:S205)</f>
        <v>#N/A</v>
      </c>
      <c r="D60" t="e" cm="1">
        <f t="array" ref="D60">LOOKUP(2,1/('Deliverables Sheet'!T200:T205&lt;&gt;0),'Deliverables Sheet'!T200:T205)</f>
        <v>#N/A</v>
      </c>
      <c r="E60" t="e" cm="1">
        <f t="array" ref="E60">LOOKUP(2,1/('Deliverables Sheet'!U200:U205&lt;&gt;0),'Deliverables Sheet'!U200:U205)</f>
        <v>#N/A</v>
      </c>
    </row>
    <row r="62">
      <c r="A62">
        <f>'Main Sheet'!A62</f>
        <v>0</v>
      </c>
      <c r="B62" t="str">
        <f>'Main Sheet'!B62</f>
        <v>Contracting</v>
      </c>
      <c r="C62" t="e" cm="1">
        <f t="array" ref="C62">LOOKUP(2,1/('Deliverables Sheet'!S207:S212&lt;&gt;0),'Deliverables Sheet'!S207:S212)</f>
        <v>#N/A</v>
      </c>
      <c r="D62" t="e" cm="1">
        <f t="array" ref="D62">LOOKUP(2,1/('Deliverables Sheet'!T207:T212&lt;&gt;0),'Deliverables Sheet'!T207:T212)</f>
        <v>#N/A</v>
      </c>
      <c r="E62" t="e" cm="1">
        <f t="array" ref="E62">LOOKUP(2,1/('Deliverables Sheet'!U207:U212&lt;&gt;0),'Deliverables Sheet'!U207:U212)</f>
        <v>#N/A</v>
      </c>
    </row>
    <row r="64">
      <c r="A64">
        <f>'Main Sheet'!A64</f>
        <v>8946</v>
      </c>
      <c r="B64" t="str">
        <f>'Main Sheet'!B64</f>
        <v>Westcoast Vaults</v>
      </c>
      <c r="C64" cm="1">
        <f t="array" ref="C64">LOOKUP(2,1/('Deliverables Sheet'!S214:S219&lt;&gt;0),'Deliverables Sheet'!S214:S219)</f>
        <v>358.86</v>
      </c>
      <c r="D64" t="e" cm="1">
        <f t="array" ref="D64">LOOKUP(2,1/('Deliverables Sheet'!T214:T219&lt;&gt;0),'Deliverables Sheet'!T214:T219)</f>
        <v>#N/A</v>
      </c>
      <c r="E64" cm="1">
        <f t="array" ref="E64">LOOKUP(2,1/('Deliverables Sheet'!U214:U219&lt;&gt;0),'Deliverables Sheet'!U214:U219)</f>
        <v>358.86</v>
      </c>
      <c r="N64">
        <v>143</v>
      </c>
      <c r="P64">
        <v>215</v>
      </c>
    </row>
    <row r="66">
      <c r="A66">
        <f>'Main Sheet'!A66</f>
        <v>8308</v>
      </c>
      <c r="B66" t="str">
        <f>'Main Sheet'!B66</f>
        <v>Roydvale</v>
      </c>
      <c r="C66" cm="1">
        <f t="array" ref="C66">LOOKUP(2,1/('Deliverables Sheet'!S221:S226&lt;&gt;0),'Deliverables Sheet'!S221:S226)</f>
        <v>2312.68</v>
      </c>
      <c r="D66" cm="1">
        <f t="array" ref="D66">LOOKUP(2,1/('Deliverables Sheet'!T221:T226&lt;&gt;0),'Deliverables Sheet'!T221:T226)</f>
        <v>1014.25</v>
      </c>
      <c r="E66" cm="1">
        <f t="array" ref="E66">LOOKUP(2,1/('Deliverables Sheet'!U221:U226&lt;&gt;0),'Deliverables Sheet'!U221:U226)</f>
        <v>1298.4299999999998</v>
      </c>
      <c r="M66">
        <v>320</v>
      </c>
      <c r="N66">
        <v>250</v>
      </c>
      <c r="O66">
        <v>250</v>
      </c>
      <c r="P66">
        <v>240</v>
      </c>
      <c r="Q66">
        <v>80</v>
      </c>
    </row>
    <row r="70">
      <c r="B70" t="str">
        <v>Total Hours</v>
      </c>
      <c r="C70">
        <f>C3+C71+C72</f>
        <v>6944.719999999999</v>
      </c>
      <c r="D70" t="e">
        <f>D3+D71+D72</f>
        <v>#N/A</v>
      </c>
      <c r="E70">
        <f>E3+E71+E72</f>
        <v>4238.1900000000005</v>
      </c>
      <c r="F70">
        <f>F3+F71+F72</f>
        <v>640</v>
      </c>
      <c r="G70">
        <f>G3+G71+G72</f>
        <v>715</v>
      </c>
      <c r="H70">
        <f>H3+H71+H72</f>
        <v>790</v>
      </c>
      <c r="I70">
        <f>I3+I71+I72</f>
        <v>700</v>
      </c>
      <c r="J70">
        <f>J3+J71+J72</f>
        <v>700</v>
      </c>
      <c r="K70">
        <f>K3+K71+K72</f>
        <v>700</v>
      </c>
      <c r="L70">
        <f>L3+L71+L72</f>
        <v>716</v>
      </c>
      <c r="M70">
        <f>M3+M71+M72</f>
        <v>2520</v>
      </c>
      <c r="N70">
        <f>N3+N71+N72</f>
        <v>3060</v>
      </c>
      <c r="O70">
        <f>O3+O71+O72</f>
        <v>1316</v>
      </c>
      <c r="P70">
        <f>P3+P71+P72</f>
        <v>914</v>
      </c>
      <c r="Q70">
        <f>Q3+Q71+Q72</f>
        <v>650</v>
      </c>
    </row>
    <row r="71">
      <c r="B71" t="str">
        <v>Residential Hours</v>
      </c>
      <c r="C71">
        <f>SUM(C26:C46)</f>
        <v>2459.6299999999997</v>
      </c>
      <c r="D71" t="e">
        <f>SUM(D26:D46)</f>
        <v>#N/A</v>
      </c>
      <c r="E71">
        <f>SUM(E26:E46)</f>
        <v>1053.1299999999999</v>
      </c>
      <c r="F71">
        <f>SUM(F26:F46)</f>
        <v>140</v>
      </c>
      <c r="G71">
        <f>SUM(G26:G46)</f>
        <v>15</v>
      </c>
      <c r="H71">
        <f>SUM(H26:H46)</f>
        <v>90</v>
      </c>
      <c r="I71">
        <f>SUM(I26:I66)</f>
        <v>0</v>
      </c>
      <c r="J71">
        <f>SUM(J26:J66)</f>
        <v>0</v>
      </c>
      <c r="K71">
        <f>SUM(K26:K66)</f>
        <v>0</v>
      </c>
      <c r="L71">
        <f>SUM(L26:L66)</f>
        <v>16</v>
      </c>
      <c r="M71">
        <f>SUM(M26:M66)</f>
        <v>800</v>
      </c>
      <c r="N71">
        <f>SUM(N26:N66)</f>
        <v>858</v>
      </c>
      <c r="O71">
        <f>SUM(O26:O46)</f>
        <v>476</v>
      </c>
      <c r="P71">
        <f>SUM(P26:P46)</f>
        <v>214</v>
      </c>
      <c r="Q71">
        <f>SUM(Q26:Q46)</f>
        <v>150</v>
      </c>
    </row>
    <row r="72">
      <c r="B72" t="str">
        <v>Commercial Hours</v>
      </c>
      <c r="C72">
        <f>SUM(C4:C24)</f>
        <v>4485.09</v>
      </c>
      <c r="D72" t="e">
        <f>SUM(D4:D24)</f>
        <v>#N/A</v>
      </c>
      <c r="E72">
        <f>SUM(E4:E24)</f>
        <v>3185.0600000000004</v>
      </c>
      <c r="F72">
        <f>SUM(F4:F24)</f>
        <v>0</v>
      </c>
      <c r="G72">
        <f>SUM(G4:G24)</f>
        <v>0</v>
      </c>
      <c r="H72">
        <f>SUM(H4:H24)</f>
        <v>0</v>
      </c>
      <c r="I72">
        <f>SUM(I4:I24)</f>
        <v>0</v>
      </c>
      <c r="J72">
        <f>SUM(J4:J24)</f>
        <v>0</v>
      </c>
      <c r="K72">
        <f>SUM(K4:K24)</f>
        <v>0</v>
      </c>
      <c r="L72">
        <f>SUM(L4:L24)</f>
        <v>0</v>
      </c>
      <c r="M72">
        <f>SUM(M4:M24)</f>
        <v>1020</v>
      </c>
      <c r="N72">
        <f>SUM(N4:N24)</f>
        <v>1502</v>
      </c>
      <c r="O72">
        <f>SUM(O4:O24)</f>
        <v>140</v>
      </c>
      <c r="P72">
        <f>SUM(P4:P24)</f>
        <v>0</v>
      </c>
      <c r="Q72">
        <f>SUM(Q4:Q24)</f>
        <v>0</v>
      </c>
    </row>
    <row r="73">
      <c r="B73" t="str">
        <v>Hours Available</v>
      </c>
      <c r="F73">
        <f>F77*F76*8*0.8</f>
        <v>1488</v>
      </c>
      <c r="G73">
        <f>G77*G76*8*0.8</f>
        <v>2112</v>
      </c>
      <c r="H73">
        <f>H77*H76*8*0.8</f>
        <v>1984</v>
      </c>
      <c r="I73">
        <f>I77*I76*8*0.8</f>
        <v>1884.8000000000002</v>
      </c>
      <c r="J73">
        <f>J77*J76*8*0.8</f>
        <v>1948.8000000000002</v>
      </c>
      <c r="K73">
        <f>K77*K76*8*0.8</f>
        <v>2083.2000000000003</v>
      </c>
      <c r="L73">
        <f>L77*L76*8*0.8</f>
        <v>2604.8</v>
      </c>
      <c r="M73">
        <f>M77*M76*8*0.8</f>
        <v>2486.4</v>
      </c>
      <c r="N73">
        <f>N77*N76*8*0.8</f>
        <v>2604.8</v>
      </c>
      <c r="O73">
        <f>O77*O76*8*0.8</f>
        <v>2217.6</v>
      </c>
      <c r="P73">
        <f>P77*P76*8*0.8</f>
        <v>2112</v>
      </c>
      <c r="Q73">
        <f>Q77*Q76*8*0.8</f>
        <v>1478.4</v>
      </c>
    </row>
    <row r="74">
      <c r="B74" t="str">
        <v>Balance Hours</v>
      </c>
      <c r="F74">
        <f>F70-F73</f>
        <v>-848</v>
      </c>
      <c r="G74">
        <f>G70-G73</f>
        <v>-1397</v>
      </c>
      <c r="H74">
        <f>H70-H73</f>
        <v>-1194</v>
      </c>
      <c r="I74">
        <f>I70-I73</f>
        <v>-1184.8000000000002</v>
      </c>
      <c r="J74">
        <f>J70-J73</f>
        <v>-1248.8000000000002</v>
      </c>
      <c r="K74">
        <f>K70-K73</f>
        <v>-1383.2000000000003</v>
      </c>
      <c r="L74">
        <f>L70-L73</f>
        <v>-1888.8000000000002</v>
      </c>
      <c r="M74">
        <f>M70-M73</f>
        <v>33.59999999999991</v>
      </c>
      <c r="N74">
        <f>N70-N73</f>
        <v>455.1999999999998</v>
      </c>
      <c r="O74">
        <f>O70-O73</f>
        <v>-901.5999999999999</v>
      </c>
      <c r="P74">
        <f>P70-P73</f>
        <v>-1198</v>
      </c>
      <c r="Q74">
        <f>Q70-Q73</f>
        <v>-828.4000000000001</v>
      </c>
    </row>
    <row r="76">
      <c r="B76" t="str">
        <v>Working Days In Month</v>
      </c>
      <c r="C76" t="str">
        <v>Check Staff Numbers</v>
      </c>
      <c r="F76">
        <v>15</v>
      </c>
      <c r="G76">
        <v>20</v>
      </c>
      <c r="H76">
        <v>20</v>
      </c>
      <c r="I76">
        <v>19</v>
      </c>
      <c r="J76">
        <v>21</v>
      </c>
      <c r="K76">
        <v>21</v>
      </c>
      <c r="L76">
        <v>22</v>
      </c>
      <c r="M76">
        <v>21</v>
      </c>
      <c r="N76">
        <v>22</v>
      </c>
      <c r="O76">
        <v>21</v>
      </c>
      <c r="P76">
        <v>20</v>
      </c>
      <c r="Q76">
        <v>14</v>
      </c>
    </row>
    <row r="77">
      <c r="B77" t="str">
        <v>No - Staff On Tools</v>
      </c>
      <c r="F77">
        <v>15.5</v>
      </c>
      <c r="G77">
        <v>16.5</v>
      </c>
      <c r="H77">
        <v>15.5</v>
      </c>
      <c r="I77">
        <v>15.5</v>
      </c>
      <c r="J77">
        <v>14.5</v>
      </c>
      <c r="K77">
        <v>15.5</v>
      </c>
      <c r="L77">
        <v>18.5</v>
      </c>
      <c r="M77">
        <v>18.5</v>
      </c>
      <c r="N77">
        <v>18.5</v>
      </c>
      <c r="O77">
        <v>16.5</v>
      </c>
      <c r="P77">
        <v>16.5</v>
      </c>
      <c r="Q77">
        <v>16.5</v>
      </c>
    </row>
    <row r="79">
      <c r="B79" t="str">
        <v>Staff</v>
      </c>
      <c r="L79" t="str">
        <v>2 x PPLguys here for July and August</v>
      </c>
    </row>
    <row r="80">
      <c r="B80" t="str">
        <v>Turbo</v>
      </c>
      <c r="C80">
        <v>1</v>
      </c>
    </row>
    <row r="81">
      <c r="B81" t="str">
        <v>Sean</v>
      </c>
      <c r="C81">
        <v>1</v>
      </c>
    </row>
    <row r="82">
      <c r="B82" t="str">
        <v>Jacob</v>
      </c>
      <c r="C82">
        <v>1</v>
      </c>
    </row>
    <row r="83">
      <c r="B83" t="str">
        <v>Hayden</v>
      </c>
      <c r="C83">
        <v>1</v>
      </c>
    </row>
    <row r="84">
      <c r="B84" t="str">
        <v>Doug</v>
      </c>
      <c r="C84">
        <v>1</v>
      </c>
    </row>
    <row r="85">
      <c r="B85" t="str">
        <v>Kyle</v>
      </c>
      <c r="C85">
        <v>0.5</v>
      </c>
    </row>
    <row r="86">
      <c r="B86" t="str">
        <v>Jack</v>
      </c>
      <c r="C86">
        <v>1</v>
      </c>
    </row>
    <row r="87">
      <c r="B87" t="str">
        <v xml:space="preserve">Andy </v>
      </c>
      <c r="C87">
        <v>1</v>
      </c>
    </row>
    <row r="88">
      <c r="B88" t="str">
        <v>Ben Ruffles</v>
      </c>
      <c r="C88">
        <v>1</v>
      </c>
    </row>
    <row r="89">
      <c r="B89" t="str">
        <v>Ben Dyer</v>
      </c>
      <c r="C89">
        <v>0</v>
      </c>
    </row>
    <row r="90">
      <c r="B90" t="str">
        <v xml:space="preserve">Jake </v>
      </c>
      <c r="C90">
        <v>1</v>
      </c>
    </row>
    <row r="91">
      <c r="C91">
        <v>0</v>
      </c>
    </row>
    <row r="92">
      <c r="C92">
        <v>0</v>
      </c>
    </row>
    <row r="93">
      <c r="C93">
        <v>0</v>
      </c>
    </row>
    <row r="94">
      <c r="C94">
        <v>0</v>
      </c>
    </row>
    <row r="95">
      <c r="C95">
        <v>0</v>
      </c>
    </row>
    <row r="96">
      <c r="C96">
        <v>0</v>
      </c>
    </row>
    <row r="97">
      <c r="C97">
        <v>0</v>
      </c>
    </row>
    <row r="98">
      <c r="B98" t="str">
        <v>Ethan</v>
      </c>
      <c r="C98">
        <v>1</v>
      </c>
    </row>
    <row r="99">
      <c r="B99" t="str">
        <v>Rhod</v>
      </c>
      <c r="C99">
        <v>1</v>
      </c>
    </row>
    <row r="100">
      <c r="B100" t="str">
        <v>George</v>
      </c>
      <c r="C100">
        <v>1</v>
      </c>
    </row>
    <row r="101">
      <c r="B101" t="str">
        <v>Jasper</v>
      </c>
      <c r="C101">
        <v>1</v>
      </c>
    </row>
    <row r="102">
      <c r="B102" t="str">
        <v>Logan</v>
      </c>
      <c r="C102">
        <v>1</v>
      </c>
    </row>
    <row r="103">
      <c r="B103" t="str">
        <v>Quin</v>
      </c>
      <c r="C103">
        <v>1</v>
      </c>
    </row>
    <row r="104">
      <c r="B104" t="str">
        <v>Regan</v>
      </c>
      <c r="C104">
        <v>1</v>
      </c>
    </row>
    <row r="109">
      <c r="B109" t="str">
        <v>Total Staff (enter in above spreadsheet)</v>
      </c>
      <c r="C109">
        <f>SUM(C80:C108)</f>
        <v>16.5</v>
      </c>
    </row>
  </sheetData>
  <mergeCells count="33">
    <mergeCell ref="C76:E77"/>
    <mergeCell ref="A41:Q41"/>
    <mergeCell ref="A43:Q43"/>
    <mergeCell ref="A45:Q45"/>
    <mergeCell ref="A21:Q21"/>
    <mergeCell ref="A25:Q25"/>
    <mergeCell ref="A27:Q27"/>
    <mergeCell ref="A29:Q29"/>
    <mergeCell ref="A31:Q31"/>
    <mergeCell ref="A35:Q35"/>
    <mergeCell ref="A37:Q37"/>
    <mergeCell ref="A39:Q39"/>
    <mergeCell ref="A69:Q69"/>
    <mergeCell ref="A47:Q47"/>
    <mergeCell ref="A49:Q49"/>
    <mergeCell ref="A61:Q61"/>
    <mergeCell ref="A15:Q15"/>
    <mergeCell ref="A1:Q1"/>
    <mergeCell ref="A17:Q17"/>
    <mergeCell ref="A19:Q19"/>
    <mergeCell ref="A33:Q33"/>
    <mergeCell ref="A5:Q5"/>
    <mergeCell ref="A7:Q7"/>
    <mergeCell ref="A9:Q9"/>
    <mergeCell ref="A11:Q11"/>
    <mergeCell ref="A13:Q13"/>
    <mergeCell ref="A63:Q63"/>
    <mergeCell ref="A65:Q65"/>
    <mergeCell ref="A51:Q51"/>
    <mergeCell ref="A53:Q53"/>
    <mergeCell ref="A55:Q55"/>
    <mergeCell ref="A57:Q57"/>
    <mergeCell ref="A59:Q59"/>
  </mergeCells>
  <pageMargins left="0.7" right="0.7" top="0.75" bottom="0.75" header="0.3" footer="0.3"/>
  <ignoredErrors>
    <ignoredError numberStoredAsText="1" sqref="A1:AB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C56"/>
  <sheetViews>
    <sheetView workbookViewId="0" rightToLeft="0"/>
  </sheetViews>
  <sheetData>
    <row r="2">
      <c r="A2" t="str">
        <v>Cams Notes</v>
      </c>
    </row>
    <row r="3">
      <c r="A3" t="str">
        <v>Koawa:</v>
      </c>
    </row>
    <row r="4">
      <c r="A4" t="str">
        <v>New job meeting set up for 8am wednesday - Tim, Dylan, VD, Cam - Perhaps bring in Jacob once back from leave??</v>
      </c>
    </row>
    <row r="5">
      <c r="A5" t="str">
        <v>Tray shop drawings into engineers - waiting on geoff to send back multidraw drawings.</v>
      </c>
    </row>
    <row r="6">
      <c r="A6" t="str">
        <v>DB dates for sites (livening 11 July)</v>
      </c>
    </row>
    <row r="7">
      <c r="A7" t="str">
        <v>Confirm Warrenties agreement</v>
      </c>
    </row>
    <row r="8">
      <c r="A8" t="str">
        <v>Go to tech submissions meeting on Wednesday 12th March</v>
      </c>
    </row>
    <row r="9">
      <c r="A9" t="str">
        <v>Start getting orders in, (so far PDL gear ordered through rads)  need to look at lights beign ordered that we can - confirm process.</v>
      </c>
    </row>
    <row r="12">
      <c r="A12" t="str">
        <v>Tru Hire:</v>
      </c>
    </row>
    <row r="13">
      <c r="A13" t="str">
        <v>Temp should be on Monday morning 14.04.25</v>
      </c>
    </row>
    <row r="14">
      <c r="A14" t="str">
        <v>Craig would like an export/list for me please mate that captures all of the costs to date from you guys and ILS?</v>
      </c>
    </row>
    <row r="15">
      <c r="A15" t="str">
        <v>Riccarton High:</v>
      </c>
    </row>
    <row r="16">
      <c r="A16" t="str">
        <v>1x pits to repair</v>
      </c>
    </row>
    <row r="17">
      <c r="A17" t="str">
        <v xml:space="preserve">Follow up VO’s (Light pole to loop off date TBC, </v>
      </c>
    </row>
    <row r="18">
      <c r="A18" t="str">
        <v>Arrange PS3 &amp; PS4 (PS3 filled in)</v>
      </c>
    </row>
    <row r="19">
      <c r="A19" t="str">
        <v>Start O&amp;M manuals early - started; PS3 and board schedule in.</v>
      </c>
    </row>
    <row r="20">
      <c r="A20" t="str">
        <v>Check Strawberry sound hardware in swbd – report back to pete</v>
      </c>
    </row>
    <row r="21">
      <c r="A21" t="str">
        <v xml:space="preserve">From southbase deliverables register - Provide lifting handles for pits, </v>
      </c>
    </row>
    <row r="22">
      <c r="A22" t="str">
        <v>Missing 3x J lights (external wall lights)</v>
      </c>
    </row>
    <row r="23">
      <c r="A23" t="str">
        <v>EM's only have lights no drivers/batteries?</v>
      </c>
    </row>
    <row r="24">
      <c r="A24" t="str">
        <v>Strip light for under cabinets 2520mm</v>
      </c>
    </row>
    <row r="25">
      <c r="A25" t="str">
        <v>Spare light pole and head on site,was deleted from scope when landscaping changed</v>
      </c>
    </row>
    <row r="26">
      <c r="A26" t="str">
        <v>Gills:</v>
      </c>
    </row>
    <row r="27">
      <c r="A27" t="str">
        <v>Follow up sensor return/outcome (waiting to hear back)</v>
      </c>
    </row>
    <row r="28">
      <c r="A28" t="str">
        <v>Lunns:</v>
      </c>
    </row>
    <row r="29">
      <c r="A29" t="str">
        <v>Tidy up mains/ conduits coming out building</v>
      </c>
    </row>
    <row r="30">
      <c r="A30" t="str">
        <v>finish external lights (tuesday 15.04.25)</v>
      </c>
    </row>
    <row r="31">
      <c r="A31" t="str">
        <v>Unit 2 roller door no limits (V.O)</v>
      </c>
    </row>
    <row r="32">
      <c r="A32" t="str">
        <v>Rosiez unhappy with level of tidy up and removal of old cables, need to clarify what we actually scoped to what we did.</v>
      </c>
    </row>
    <row r="35">
      <c r="A35" t="str">
        <v>Kingsford Smith Drive</v>
      </c>
    </row>
    <row r="36">
      <c r="A36" t="str">
        <v xml:space="preserve">Main 100A unit 1 approved, ready for livening date. - Had a phone call from genesis regarding wheather this would need CT's? </v>
      </c>
    </row>
    <row r="37">
      <c r="A37" t="str">
        <v>Mains 2nd application is on hold until we get load breakdown for 160A - probably need to sort this asap.</v>
      </c>
    </row>
    <row r="38">
      <c r="A38" t="str">
        <v>Confirm start date with Wolfy, and order materials lifter</v>
      </c>
    </row>
    <row r="39">
      <c r="A39" t="str">
        <v>Te Aratai</v>
      </c>
    </row>
    <row r="41">
      <c r="A41" t="str">
        <v>Ellesmere College (Temp power)</v>
      </c>
    </row>
    <row r="42">
      <c r="A42" t="str">
        <v>Live</v>
      </c>
    </row>
    <row r="43">
      <c r="A43" t="str">
        <v>Cooltranz</v>
      </c>
    </row>
    <row r="44">
      <c r="A44" t="str">
        <v>Confirm correct data logger, depending on incoming size 1500A or 6kA then confirm price with cooltranz for hire rates etc.</v>
      </c>
    </row>
    <row r="49">
      <c r="A49" t="str">
        <v>Other:</v>
      </c>
    </row>
    <row r="50">
      <c r="A50" t="str">
        <v>Comes up with hours tracking solution</v>
      </c>
    </row>
  </sheetData>
  <mergeCells count="55">
    <mergeCell ref="A34:AB34"/>
    <mergeCell ref="A23:AB23"/>
    <mergeCell ref="A25:AB25"/>
    <mergeCell ref="A31:AB31"/>
    <mergeCell ref="A32:AB32"/>
    <mergeCell ref="A33:AB33"/>
    <mergeCell ref="A52:AB52"/>
    <mergeCell ref="A53:AB53"/>
    <mergeCell ref="A54:AB54"/>
    <mergeCell ref="A55:AB55"/>
    <mergeCell ref="A56:AB56"/>
    <mergeCell ref="A51:AB51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39:AB39"/>
    <mergeCell ref="A18:AB18"/>
    <mergeCell ref="A19:AB19"/>
    <mergeCell ref="A20:AB20"/>
    <mergeCell ref="A26:AB26"/>
    <mergeCell ref="A27:AB27"/>
    <mergeCell ref="A28:AB28"/>
    <mergeCell ref="A29:AB29"/>
    <mergeCell ref="A30:AB30"/>
    <mergeCell ref="A35:AB35"/>
    <mergeCell ref="A36:AB36"/>
    <mergeCell ref="A37:AB37"/>
    <mergeCell ref="A21:AB21"/>
    <mergeCell ref="A38:AB38"/>
    <mergeCell ref="A22:AB22"/>
    <mergeCell ref="A24:AB24"/>
    <mergeCell ref="A17:AB17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2:AB12"/>
    <mergeCell ref="A13:AB13"/>
    <mergeCell ref="A15:AB15"/>
    <mergeCell ref="A16:AB16"/>
    <mergeCell ref="A11:AB11"/>
    <mergeCell ref="A14:AB14"/>
  </mergeCells>
  <pageMargins left="0.7" right="0.7" top="0.75" bottom="0.75" header="0.3" footer="0.3"/>
  <ignoredErrors>
    <ignoredError numberStoredAsText="1" sqref="A2:A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C45"/>
  <sheetViews>
    <sheetView workbookViewId="0" rightToLeft="0"/>
  </sheetViews>
  <sheetData>
    <row r="2">
      <c r="A2" t="str">
        <v>Tom's Notes:</v>
      </c>
    </row>
    <row r="38">
      <c r="A38" t="str">
        <v>Other:</v>
      </c>
    </row>
    <row r="39">
      <c r="A39" t="str">
        <v>Comes up with hours tracking solution</v>
      </c>
    </row>
  </sheetData>
  <mergeCells count="44">
    <mergeCell ref="A44:AB44"/>
    <mergeCell ref="A45:AB45"/>
    <mergeCell ref="A38:AB38"/>
    <mergeCell ref="A39:AB39"/>
    <mergeCell ref="A40:AB40"/>
    <mergeCell ref="A41:AB41"/>
    <mergeCell ref="A42:AB42"/>
    <mergeCell ref="A43:AB43"/>
    <mergeCell ref="A37:AB37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25:AB25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13:AB13"/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</mergeCells>
  <pageMargins left="0.7" right="0.7" top="0.75" bottom="0.75" header="0.3" footer="0.3"/>
  <ignoredErrors>
    <ignoredError numberStoredAsText="1" sqref="A2:AC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26"/>
  <sheetViews>
    <sheetView workbookViewId="0" rightToLeft="0"/>
  </sheetViews>
  <sheetData>
    <row r="1">
      <c r="A1" t="str">
        <v xml:space="preserve">                        Updated Job Spreadsheet</v>
      </c>
    </row>
    <row r="2" xml:space="preserve">
      <c r="A2" t="str" xml:space="preserve">
        <v xml:space="preserve">Job
Number</v>
      </c>
      <c r="B2" t="str" xml:space="preserve">
        <v xml:space="preserve">Job
Name</v>
      </c>
      <c r="C2" t="str">
        <v>Week</v>
      </c>
      <c r="D2" t="str">
        <v>Quoted Price</v>
      </c>
      <c r="E2" t="str">
        <v>Claim to date</v>
      </c>
      <c r="F2" t="str">
        <v>Remaining to claim</v>
      </c>
      <c r="G2" t="str">
        <v>% Claim remaining</v>
      </c>
      <c r="H2" t="str">
        <v>Total quoted cost</v>
      </c>
      <c r="I2" t="str">
        <v>Total actual cost</v>
      </c>
      <c r="J2" t="str">
        <v>Quoted material cost</v>
      </c>
      <c r="K2" t="str">
        <v>Actual material cost</v>
      </c>
      <c r="L2" t="str">
        <v>Material cost remaining</v>
      </c>
      <c r="M2" t="str">
        <v>Material % remaining</v>
      </c>
      <c r="N2" t="str">
        <v>Estimated % of materials recieved</v>
      </c>
      <c r="O2" t="str">
        <v>Contractor Quoted Cost</v>
      </c>
      <c r="P2" t="str">
        <v>Contractor Actual Cost</v>
      </c>
      <c r="Q2" t="str">
        <v>Contractor Balance</v>
      </c>
      <c r="R2" t="str">
        <v>Quoted labour cost</v>
      </c>
      <c r="S2" t="str">
        <v>Actual labour cost</v>
      </c>
      <c r="T2" t="str">
        <v>Labour  cost remaining</v>
      </c>
      <c r="U2" t="str">
        <v>Labour cost % remaining</v>
      </c>
      <c r="V2" t="str">
        <v>Quoted labour hours</v>
      </c>
      <c r="W2" t="str">
        <v>Actual labour hours</v>
      </c>
      <c r="X2" t="str">
        <v>Labour hours remaining</v>
      </c>
      <c r="Y2" t="str">
        <v>Labour hour % remaining</v>
      </c>
      <c r="Z2" t="str">
        <v>Estimated % of job complete</v>
      </c>
      <c r="AA2" t="str">
        <v>GP $ Per Hour</v>
      </c>
      <c r="AB2" t="str">
        <v>Quoted GP $ Per Hour</v>
      </c>
      <c r="AC2" t="str">
        <v>Margin to date</v>
      </c>
      <c r="AD2" t="str">
        <v>Quoted margin</v>
      </c>
    </row>
    <row r="3">
      <c r="AK3" t="str">
        <v>Hours calcs</v>
      </c>
      <c r="AL3" t="str">
        <v>Materials calcs</v>
      </c>
    </row>
    <row r="4">
      <c r="A4">
        <f>'Main Sheet'!A4</f>
        <v>7658</v>
      </c>
      <c r="B4" t="str">
        <f>'Main Sheet'!B4</f>
        <v>Charity Hospital</v>
      </c>
      <c r="C4" t="str">
        <v>Start of month</v>
      </c>
      <c r="D4">
        <v>1914143.52</v>
      </c>
      <c r="E4">
        <v>1667392.4</v>
      </c>
      <c r="F4">
        <f>D4-E4</f>
        <v>246751.1200000001</v>
      </c>
      <c r="G4">
        <f>F4/D4</f>
        <v>0.12890941427422334</v>
      </c>
      <c r="H4">
        <v>1675577.99</v>
      </c>
      <c r="I4">
        <v>1406264.78</v>
      </c>
      <c r="J4">
        <f>SUM(H4-(R4+O4))</f>
        <v>1511021.45</v>
      </c>
      <c r="K4">
        <f>SUM(I4-(S4+P4))</f>
        <v>1215391.45</v>
      </c>
      <c r="L4">
        <f>J4-K4</f>
        <v>295630</v>
      </c>
      <c r="M4">
        <f>L4/J4</f>
        <v>0.19564910875355213</v>
      </c>
      <c r="O4">
        <v>5</v>
      </c>
      <c r="P4">
        <v>4</v>
      </c>
      <c r="Q4">
        <f>O4-P4</f>
        <v>1</v>
      </c>
      <c r="R4">
        <v>164551.54</v>
      </c>
      <c r="S4">
        <v>190869.33</v>
      </c>
      <c r="T4">
        <f>R4-S4</f>
        <v>-26317.78999999998</v>
      </c>
      <c r="U4">
        <f>T4/R4</f>
        <v>-0.15993645516778499</v>
      </c>
      <c r="V4">
        <v>3296.1</v>
      </c>
      <c r="W4">
        <v>4599</v>
      </c>
      <c r="X4">
        <f>V4-W4</f>
        <v>-1302.9</v>
      </c>
      <c r="Y4">
        <f>X4/V4</f>
        <v>-0.3952853372167107</v>
      </c>
      <c r="AA4">
        <f>(E4-K4-S4)/W4</f>
        <v>56.780086975429434</v>
      </c>
      <c r="AB4">
        <f>(D4-J4-R4)/V4</f>
        <v>72.37963957404207</v>
      </c>
      <c r="AC4">
        <f>(E4-K4-S4)/E4</f>
        <v>0.1566107774030876</v>
      </c>
      <c r="AD4">
        <f>SUM(D4-H4)/D4</f>
        <v>0.12463304214513655</v>
      </c>
      <c r="AG4" t="str">
        <v>Hours calc for monthly claims</v>
      </c>
      <c r="AH4">
        <f>AK9</f>
        <v>-4599</v>
      </c>
      <c r="AK4">
        <f>SUM(W5-W4)</f>
        <v>415.4899999999998</v>
      </c>
      <c r="AL4">
        <f>SUM(K5-K4)</f>
        <v>48650.8899999999</v>
      </c>
    </row>
    <row r="5">
      <c r="C5" t="str">
        <v>Week 1</v>
      </c>
      <c r="D5">
        <v>1922479.92</v>
      </c>
      <c r="E5">
        <v>1667392.4</v>
      </c>
      <c r="F5">
        <f>D5-E5</f>
        <v>255087.52000000002</v>
      </c>
      <c r="G5">
        <f>F5/D5</f>
        <v>0.13268670187202788</v>
      </c>
      <c r="H5">
        <v>1681960.61</v>
      </c>
      <c r="I5">
        <v>1474477.14</v>
      </c>
      <c r="J5">
        <f>SUM(H5-R5)</f>
        <v>1516687.4300000002</v>
      </c>
      <c r="K5">
        <f>SUM(I5-S5)</f>
        <v>1264042.3399999999</v>
      </c>
      <c r="L5">
        <f>J5-K5</f>
        <v>252645.09000000032</v>
      </c>
      <c r="M5">
        <f>L5/J5</f>
        <v>0.16657689976371748</v>
      </c>
      <c r="R5">
        <v>165273.18</v>
      </c>
      <c r="S5">
        <v>210434.8</v>
      </c>
      <c r="T5">
        <f>R5-S5</f>
        <v>-45161.619999999995</v>
      </c>
      <c r="U5">
        <f>T5/R5</f>
        <v>-0.27325437799405805</v>
      </c>
      <c r="V5">
        <v>3312.1</v>
      </c>
      <c r="W5">
        <v>5014.49</v>
      </c>
      <c r="X5">
        <f>V5-W5</f>
        <v>-1702.3899999999999</v>
      </c>
      <c r="Y5">
        <f>X5/V5</f>
        <v>-0.5139911234564174</v>
      </c>
      <c r="AA5">
        <f>(E5-K5-S5)/W5</f>
        <v>38.47156141501929</v>
      </c>
      <c r="AB5">
        <f>(D5-J5-R5)/V5</f>
        <v>72.61837202982994</v>
      </c>
      <c r="AC5">
        <f>(E5-K5-S5)/E5</f>
        <v>0.11569877612492421</v>
      </c>
      <c r="AD5">
        <f>SUM(D5-H5)/D5</f>
        <v>0.1251088802009437</v>
      </c>
      <c r="AG5" t="str">
        <v>Materials calc for monthly claims</v>
      </c>
      <c r="AH5">
        <f>AL9</f>
        <v>-1215391.45</v>
      </c>
      <c r="AK5">
        <f>SUM(W6-W5)</f>
        <v>134.5</v>
      </c>
      <c r="AL5">
        <f>SUM(K6-K5)</f>
        <v>24752.67000000016</v>
      </c>
    </row>
    <row r="6">
      <c r="C6" t="str">
        <v>Week 2</v>
      </c>
      <c r="D6">
        <v>1922479.92</v>
      </c>
      <c r="E6">
        <v>1667392.4</v>
      </c>
      <c r="F6">
        <f>D6-E6</f>
        <v>255087.52000000002</v>
      </c>
      <c r="G6">
        <f>F6/D6</f>
        <v>0.13268670187202788</v>
      </c>
      <c r="H6">
        <v>1681960.61</v>
      </c>
      <c r="I6">
        <v>1505572.21</v>
      </c>
      <c r="J6">
        <f>SUM(H6-R6)</f>
        <v>1516687.4300000002</v>
      </c>
      <c r="K6">
        <f>SUM(I6-S6)</f>
        <v>1288795.01</v>
      </c>
      <c r="L6">
        <f>J6-K6</f>
        <v>227892.42000000016</v>
      </c>
      <c r="M6">
        <f>L6/J6</f>
        <v>0.15025668143105803</v>
      </c>
      <c r="N6">
        <v>0.9</v>
      </c>
      <c r="R6">
        <v>165273.18</v>
      </c>
      <c r="S6">
        <v>216777.2</v>
      </c>
      <c r="T6">
        <f>R6-S6</f>
        <v>-51504.02000000002</v>
      </c>
      <c r="U6">
        <f>T6/R6</f>
        <v>-0.3116296304094834</v>
      </c>
      <c r="V6">
        <v>3312.1</v>
      </c>
      <c r="W6">
        <v>5148.99</v>
      </c>
      <c r="X6">
        <f>V6-W6</f>
        <v>-1836.8899999999999</v>
      </c>
      <c r="Y6">
        <f>X6/V6</f>
        <v>-0.5545998007306543</v>
      </c>
      <c r="Z6">
        <v>0.9</v>
      </c>
      <c r="AA6">
        <f>(E6-K6-S6)/W6</f>
        <v>31.427559579645695</v>
      </c>
      <c r="AB6">
        <f>(D6-J6-R6)/V6</f>
        <v>72.61837202982994</v>
      </c>
      <c r="AC6">
        <f>(E6-K6-S6)/E6</f>
        <v>0.097049854611308</v>
      </c>
      <c r="AD6">
        <f>SUM(D6-H6)/D6</f>
        <v>0.1251088802009437</v>
      </c>
      <c r="AK6">
        <f>SUM(W7-W6)</f>
        <v>-5148.99</v>
      </c>
      <c r="AL6">
        <f>SUM(K7-K6)</f>
        <v>-1288795.01</v>
      </c>
    </row>
    <row r="7">
      <c r="C7" t="str">
        <v>Week 3</v>
      </c>
      <c r="F7">
        <f>D7-E7</f>
        <v>0</v>
      </c>
      <c r="G7" t="e">
        <f>F7/D7</f>
        <v>#DIV/0!</v>
      </c>
      <c r="J7">
        <f>SUM(H7-R7)</f>
        <v>0</v>
      </c>
      <c r="K7">
        <f>SUM(I7-S7)</f>
        <v>0</v>
      </c>
      <c r="L7">
        <f>J7-K7</f>
        <v>0</v>
      </c>
      <c r="M7" t="e">
        <f>L7/J7</f>
        <v>#DIV/0!</v>
      </c>
      <c r="T7">
        <f>R7-S7</f>
        <v>0</v>
      </c>
      <c r="U7" t="e">
        <f>T7/R7</f>
        <v>#DIV/0!</v>
      </c>
      <c r="X7">
        <f>V7-W7</f>
        <v>0</v>
      </c>
      <c r="Y7" t="e">
        <f>X7/V7</f>
        <v>#DIV/0!</v>
      </c>
      <c r="AA7" t="e">
        <f>(E7-K7-S7)/W7</f>
        <v>#DIV/0!</v>
      </c>
      <c r="AB7" t="e">
        <f>(D7-J7-R7)/V7</f>
        <v>#DIV/0!</v>
      </c>
      <c r="AC7" t="e">
        <f>(E7-K7-S7)/E7</f>
        <v>#DIV/0!</v>
      </c>
      <c r="AD7" t="e">
        <f>SUM(D7-H7)/D7</f>
        <v>#DIV/0!</v>
      </c>
      <c r="AG7" t="str">
        <v>Estimated months claim</v>
      </c>
      <c r="AH7">
        <v>0</v>
      </c>
      <c r="AK7">
        <f>SUM(W8-W7)</f>
        <v>0</v>
      </c>
      <c r="AL7">
        <f>SUM(K8-K7)</f>
        <v>0</v>
      </c>
    </row>
    <row r="8">
      <c r="C8" t="str">
        <v>Week 4</v>
      </c>
      <c r="F8">
        <f>D8-E8</f>
        <v>0</v>
      </c>
      <c r="G8" t="e">
        <f>F8/D8</f>
        <v>#DIV/0!</v>
      </c>
      <c r="J8">
        <f>SUM(H8-R8)</f>
        <v>0</v>
      </c>
      <c r="K8">
        <f>SUM(I8-S8)</f>
        <v>0</v>
      </c>
      <c r="L8">
        <f>J8-K8</f>
        <v>0</v>
      </c>
      <c r="M8" t="e">
        <f>L8/J8</f>
        <v>#DIV/0!</v>
      </c>
      <c r="T8">
        <f>R8-S8</f>
        <v>0</v>
      </c>
      <c r="U8" t="e">
        <f>T8/R8</f>
        <v>#DIV/0!</v>
      </c>
      <c r="X8">
        <f>V8-W8</f>
        <v>0</v>
      </c>
      <c r="Y8" t="e">
        <f>X8/V8</f>
        <v>#DIV/0!</v>
      </c>
      <c r="AA8" t="e">
        <f>(E8-K8-S8)/W8</f>
        <v>#DIV/0!</v>
      </c>
      <c r="AB8" t="e">
        <f>(D8-J8-R8)/V8</f>
        <v>#DIV/0!</v>
      </c>
      <c r="AC8" t="e">
        <f>(E8-K8-S8)/E8</f>
        <v>#DIV/0!</v>
      </c>
      <c r="AD8" t="e">
        <f>SUM(D8-H8)/D8</f>
        <v>#DIV/0!</v>
      </c>
      <c r="AK8">
        <f>SUM(W9-W8)</f>
        <v>0</v>
      </c>
      <c r="AL8">
        <f>SUM(K9-K8)</f>
        <v>0</v>
      </c>
    </row>
    <row r="9">
      <c r="C9" t="str">
        <v>Week 5</v>
      </c>
      <c r="F9">
        <f>D9-E9</f>
        <v>0</v>
      </c>
      <c r="G9" t="e">
        <f>F9/D9</f>
        <v>#DIV/0!</v>
      </c>
      <c r="J9">
        <f>SUM(H9-R9)</f>
        <v>0</v>
      </c>
      <c r="K9">
        <f>SUM(I9-S9)</f>
        <v>0</v>
      </c>
      <c r="L9">
        <f>J9-K9</f>
        <v>0</v>
      </c>
      <c r="M9" t="e">
        <f>L9/J9</f>
        <v>#DIV/0!</v>
      </c>
      <c r="T9">
        <f>R9-S9</f>
        <v>0</v>
      </c>
      <c r="U9" t="e">
        <f>T9/R9</f>
        <v>#DIV/0!</v>
      </c>
      <c r="X9">
        <f>V9-W9</f>
        <v>0</v>
      </c>
      <c r="Y9" t="e">
        <f>X9/V9</f>
        <v>#DIV/0!</v>
      </c>
      <c r="AA9" t="e">
        <f>(E9-K9-S9)/W9</f>
        <v>#DIV/0!</v>
      </c>
      <c r="AB9" t="e">
        <f>(D9-J9-R9)/V9</f>
        <v>#DIV/0!</v>
      </c>
      <c r="AC9" t="e">
        <f>(E9-K9-S9)/E9</f>
        <v>#DIV/0!</v>
      </c>
      <c r="AD9" t="e">
        <f>SUM(D9-H9)/D9</f>
        <v>#DIV/0!</v>
      </c>
      <c r="AK9">
        <f>SUM(AK4,AK5,AK6,AK7,AK8)</f>
        <v>-4599</v>
      </c>
      <c r="AL9">
        <f>SUM(AL4,AL5,AL6,AL7,AL8)</f>
        <v>-1215391.45</v>
      </c>
    </row>
    <row r="11">
      <c r="A11">
        <f>'Main Sheet'!A6</f>
        <v>8142</v>
      </c>
      <c r="B11" t="str">
        <f>'Main Sheet'!B6</f>
        <v>Fisher Developements</v>
      </c>
      <c r="C11" t="str">
        <v>Start of month</v>
      </c>
      <c r="D11">
        <v>381671.63</v>
      </c>
      <c r="E11">
        <v>144223.4</v>
      </c>
      <c r="F11">
        <f>D11-E11</f>
        <v>237448.23</v>
      </c>
      <c r="G11">
        <f>F11/D11</f>
        <v>0.6221270100688385</v>
      </c>
      <c r="H11">
        <v>329257.09</v>
      </c>
      <c r="I11">
        <v>168819.17</v>
      </c>
      <c r="J11">
        <f>SUM(H11-R11)</f>
        <v>288248.16000000003</v>
      </c>
      <c r="K11">
        <f>SUM(I11-S11)</f>
        <v>158648.53000000003</v>
      </c>
      <c r="L11">
        <f>J11-K11</f>
        <v>129599.63</v>
      </c>
      <c r="M11">
        <f>L11/J11</f>
        <v>0.44961130020743234</v>
      </c>
      <c r="R11">
        <v>41008.93</v>
      </c>
      <c r="S11">
        <v>10170.64</v>
      </c>
      <c r="T11">
        <f>R11-S11</f>
        <v>30838.29</v>
      </c>
      <c r="U11">
        <f>T11/R11</f>
        <v>0.7519896276250075</v>
      </c>
      <c r="V11">
        <v>821.2</v>
      </c>
      <c r="W11">
        <v>241</v>
      </c>
      <c r="X11">
        <f>V11-W11</f>
        <v>580.2</v>
      </c>
      <c r="Y11">
        <f>X11/V11</f>
        <v>0.7065270336093522</v>
      </c>
      <c r="AA11">
        <f>(E11-K11-S11)/W11</f>
        <v>-102.05713692946073</v>
      </c>
      <c r="AB11">
        <f>(D11-J11-R11)/V11</f>
        <v>63.82676570871891</v>
      </c>
      <c r="AC11">
        <f>(E11-K11-S11)/E11</f>
        <v>-0.17053938542566624</v>
      </c>
      <c r="AD11">
        <f>SUM(D11-H11)/D11</f>
        <v>0.13732888661386747</v>
      </c>
      <c r="AG11" t="str">
        <v>Hours calc for monthly claims</v>
      </c>
      <c r="AH11">
        <f>AK16</f>
        <v>-241</v>
      </c>
      <c r="AK11">
        <f>SUM(W12-W11)</f>
        <v>96.25</v>
      </c>
      <c r="AL11">
        <f>SUM(K12-K11)</f>
        <v>30474.419999999984</v>
      </c>
    </row>
    <row r="12">
      <c r="C12" t="str">
        <v>Week 1</v>
      </c>
      <c r="D12">
        <v>382219.49</v>
      </c>
      <c r="E12">
        <v>240065.55</v>
      </c>
      <c r="F12">
        <f>D12-E12</f>
        <v>142153.94</v>
      </c>
      <c r="G12">
        <f>F12/D12</f>
        <v>0.371917036465095</v>
      </c>
      <c r="H12">
        <v>329585.81</v>
      </c>
      <c r="I12">
        <v>202828.2</v>
      </c>
      <c r="J12">
        <f>SUM(H12-R12)</f>
        <v>288352.94</v>
      </c>
      <c r="K12">
        <f>SUM(I12-S12)</f>
        <v>189122.95</v>
      </c>
      <c r="L12">
        <f>J12-K12</f>
        <v>99229.98999999999</v>
      </c>
      <c r="M12">
        <f>L12/J12</f>
        <v>0.34412685370920787</v>
      </c>
      <c r="R12">
        <v>41232.87</v>
      </c>
      <c r="S12">
        <v>13705.25</v>
      </c>
      <c r="T12">
        <f>R12-S12</f>
        <v>27527.620000000003</v>
      </c>
      <c r="U12">
        <f>T12/R12</f>
        <v>0.6676134840965473</v>
      </c>
      <c r="V12">
        <v>825.68</v>
      </c>
      <c r="W12">
        <v>337.25</v>
      </c>
      <c r="X12">
        <f>V12-W12</f>
        <v>488.42999999999995</v>
      </c>
      <c r="Y12">
        <f>X12/V12</f>
        <v>0.591548784032555</v>
      </c>
      <c r="AA12">
        <f>(E12-K12-S12)/W12</f>
        <v>110.41467753891764</v>
      </c>
      <c r="AB12">
        <f>(D12-J12-R12)/V12</f>
        <v>63.745857959500036</v>
      </c>
      <c r="AC12">
        <f>(E12-K12-S12)/E12</f>
        <v>0.15511325969094683</v>
      </c>
      <c r="AD12">
        <f>SUM(D12-H12)/D12</f>
        <v>0.13770537970211827</v>
      </c>
      <c r="AG12" t="str">
        <v>Materials calc for monthly claims</v>
      </c>
      <c r="AH12">
        <f>AL16</f>
        <v>-158648.53000000003</v>
      </c>
      <c r="AK12">
        <f>SUM(W13-W12)</f>
        <v>101.75</v>
      </c>
      <c r="AL12">
        <f>SUM(K13-K12)</f>
        <v>7119.320000000007</v>
      </c>
    </row>
    <row r="13">
      <c r="C13" t="str">
        <v>Week 2</v>
      </c>
      <c r="D13">
        <v>382219.49</v>
      </c>
      <c r="E13">
        <v>240065.55</v>
      </c>
      <c r="F13">
        <f>D13-E13</f>
        <v>142153.94</v>
      </c>
      <c r="G13">
        <f>F13/D13</f>
        <v>0.371917036465095</v>
      </c>
      <c r="H13">
        <v>329585.81</v>
      </c>
      <c r="I13">
        <v>213730.54</v>
      </c>
      <c r="J13">
        <f>SUM(H13-R13)</f>
        <v>288352.94</v>
      </c>
      <c r="K13">
        <f>SUM(I13-S13)</f>
        <v>196242.27000000002</v>
      </c>
      <c r="L13">
        <f>J13-K13</f>
        <v>92110.66999999998</v>
      </c>
      <c r="M13">
        <f>L13/J13</f>
        <v>0.319437249365309</v>
      </c>
      <c r="R13">
        <v>41232.87</v>
      </c>
      <c r="S13">
        <v>17488.27</v>
      </c>
      <c r="T13">
        <f>R13-S13</f>
        <v>23744.600000000002</v>
      </c>
      <c r="U13">
        <f>T13/R13</f>
        <v>0.5758658080313109</v>
      </c>
      <c r="V13">
        <v>825.68</v>
      </c>
      <c r="W13">
        <v>439</v>
      </c>
      <c r="X13">
        <f>V13-W13</f>
        <v>386.67999999999995</v>
      </c>
      <c r="Y13">
        <f>X13/V13</f>
        <v>0.46831702354423016</v>
      </c>
      <c r="AA13">
        <f>(E13-K13-S13)/W13</f>
        <v>59.988633257403116</v>
      </c>
      <c r="AB13">
        <f>(D13-J13-R13)/V13</f>
        <v>63.745857959500036</v>
      </c>
      <c r="AC13">
        <f>(E13-K13-S13)/E13</f>
        <v>0.10969924672657101</v>
      </c>
      <c r="AD13">
        <f>SUM(D13-H13)/D13</f>
        <v>0.13770537970211827</v>
      </c>
      <c r="AK13">
        <f>SUM(W14-W13)</f>
        <v>-439</v>
      </c>
      <c r="AL13">
        <f>SUM(K14-K13)</f>
        <v>23227.99999999997</v>
      </c>
    </row>
    <row r="14">
      <c r="C14" t="str">
        <v>Week 3</v>
      </c>
      <c r="D14">
        <v>383409.63</v>
      </c>
      <c r="E14">
        <v>240065.55</v>
      </c>
      <c r="F14">
        <f>D14-E14</f>
        <v>143344.08000000002</v>
      </c>
      <c r="G14">
        <f>F14/D14</f>
        <v>0.3738666657903194</v>
      </c>
      <c r="H14">
        <v>330537</v>
      </c>
      <c r="I14">
        <v>246817.11</v>
      </c>
      <c r="J14">
        <v>289155.03</v>
      </c>
      <c r="K14">
        <v>219470.27</v>
      </c>
      <c r="L14">
        <f>J14-K14</f>
        <v>69684.76000000004</v>
      </c>
      <c r="M14">
        <f>L14/J14</f>
        <v>0.24099445892398977</v>
      </c>
      <c r="N14">
        <v>0.75</v>
      </c>
      <c r="T14">
        <f>R14-S14</f>
        <v>0</v>
      </c>
      <c r="U14" t="e">
        <f>T14/R14</f>
        <v>#DIV/0!</v>
      </c>
      <c r="X14">
        <f>V14-W14</f>
        <v>0</v>
      </c>
      <c r="Y14" t="e">
        <f>X14/V14</f>
        <v>#DIV/0!</v>
      </c>
      <c r="AA14" t="e">
        <f>(E14-K14-S14)/W14</f>
        <v>#DIV/0!</v>
      </c>
      <c r="AB14" t="e">
        <f>(D16-J14-R14)/V14</f>
        <v>#DIV/0!</v>
      </c>
      <c r="AC14">
        <f>(E14-K14-S14)/E14</f>
        <v>0.08579023520867529</v>
      </c>
      <c r="AD14">
        <f>SUM(D16-H14)/D16</f>
        <v>0.13790115287401625</v>
      </c>
      <c r="AG14" t="str">
        <v>Estimated months claim</v>
      </c>
      <c r="AH14">
        <v>0</v>
      </c>
      <c r="AK14">
        <f>SUM(W15-W14)</f>
        <v>0</v>
      </c>
      <c r="AL14">
        <f>SUM(K15-K14)</f>
        <v>-219470.27</v>
      </c>
    </row>
    <row r="15">
      <c r="C15" t="str">
        <v>Week 4</v>
      </c>
      <c r="D15">
        <v>383409.63</v>
      </c>
      <c r="F15">
        <f>D15-E15</f>
        <v>383409.63</v>
      </c>
      <c r="G15">
        <f>F15/D15</f>
        <v>1</v>
      </c>
      <c r="J15">
        <f>SUM(H15-R15)</f>
        <v>0</v>
      </c>
      <c r="K15">
        <f>SUM(I15-S15)</f>
        <v>0</v>
      </c>
      <c r="L15">
        <f>J15-K15</f>
        <v>0</v>
      </c>
      <c r="M15" t="e">
        <f>L15/J15</f>
        <v>#DIV/0!</v>
      </c>
      <c r="T15">
        <f>R15-S15</f>
        <v>0</v>
      </c>
      <c r="U15" t="e">
        <f>T15/R15</f>
        <v>#DIV/0!</v>
      </c>
      <c r="X15">
        <f>V15-W15</f>
        <v>0</v>
      </c>
      <c r="Y15" t="e">
        <f>X15/V15</f>
        <v>#DIV/0!</v>
      </c>
      <c r="AA15" t="e">
        <f>(E15-K15-S15)/W15</f>
        <v>#DIV/0!</v>
      </c>
      <c r="AB15" t="e">
        <f>(D15-J15-R15)/V15</f>
        <v>#DIV/0!</v>
      </c>
      <c r="AC15" t="e">
        <f>(E15-K15-S15)/E15</f>
        <v>#DIV/0!</v>
      </c>
      <c r="AD15">
        <f>SUM(D15-H15)/D15</f>
        <v>1</v>
      </c>
      <c r="AK15">
        <f>SUM(W16-W15)</f>
        <v>0</v>
      </c>
      <c r="AL15">
        <f>SUM(K16-K15)</f>
        <v>0</v>
      </c>
    </row>
    <row r="16">
      <c r="C16" t="str">
        <v>Week 5</v>
      </c>
      <c r="D16">
        <v>383409.63</v>
      </c>
      <c r="F16">
        <f>D16-E16</f>
        <v>383409.63</v>
      </c>
      <c r="G16">
        <f>F16/D16</f>
        <v>1</v>
      </c>
      <c r="J16">
        <f>SUM(H16-R16)</f>
        <v>0</v>
      </c>
      <c r="K16">
        <f>SUM(I16-S16)</f>
        <v>0</v>
      </c>
      <c r="L16">
        <f>J16-K16</f>
        <v>0</v>
      </c>
      <c r="M16" t="e">
        <f>L16/J16</f>
        <v>#DIV/0!</v>
      </c>
      <c r="N16">
        <v>0.55</v>
      </c>
      <c r="T16">
        <f>R16-S16</f>
        <v>0</v>
      </c>
      <c r="U16" t="e">
        <f>T16/R16</f>
        <v>#DIV/0!</v>
      </c>
      <c r="X16">
        <f>V16-W16</f>
        <v>0</v>
      </c>
      <c r="Y16" t="e">
        <f>X16/V16</f>
        <v>#DIV/0!</v>
      </c>
      <c r="Z16">
        <v>0.35</v>
      </c>
      <c r="AA16" t="e">
        <f>(E16-K16-S16)/W16</f>
        <v>#DIV/0!</v>
      </c>
      <c r="AB16" t="e">
        <f>(#REF!-J16-R16)/V16</f>
        <v>#REF!</v>
      </c>
      <c r="AC16" t="e">
        <f>(E16-K16-S16)/E16</f>
        <v>#DIV/0!</v>
      </c>
      <c r="AD16" t="e">
        <f>SUM(#REF!-H16)/#REF!</f>
        <v>#REF!</v>
      </c>
      <c r="AK16">
        <f>SUM(AK11,AK12,AK13,AK14,AK15)</f>
        <v>-241</v>
      </c>
      <c r="AL16">
        <f>SUM(AL11,AL12,AL13,AL14,AL15)</f>
        <v>-158648.53000000003</v>
      </c>
    </row>
    <row r="18">
      <c r="A18">
        <v>7104</v>
      </c>
      <c r="B18" t="str">
        <f>'Main Sheet'!B8</f>
        <v>3 Innovation Road</v>
      </c>
      <c r="C18" t="str">
        <v>Start of month</v>
      </c>
      <c r="D18">
        <v>449818.08</v>
      </c>
      <c r="E18">
        <v>246538.95</v>
      </c>
      <c r="F18">
        <f>D18-E18</f>
        <v>203279.13</v>
      </c>
      <c r="G18">
        <f>F18/D18</f>
        <v>0.45191409380432196</v>
      </c>
      <c r="H18">
        <v>329858.1</v>
      </c>
      <c r="I18">
        <v>251921.97</v>
      </c>
      <c r="J18">
        <f>SUM(H18-R18)</f>
        <v>255282.18999999997</v>
      </c>
      <c r="K18">
        <f>SUM(I18-S18)</f>
        <v>219103.38</v>
      </c>
      <c r="L18">
        <f>J18-K18</f>
        <v>36178.80999999997</v>
      </c>
      <c r="M18">
        <f>L18/J18</f>
        <v>0.14172085408700064</v>
      </c>
      <c r="N18">
        <v>0</v>
      </c>
      <c r="R18">
        <v>74575.91</v>
      </c>
      <c r="S18">
        <v>32818.59</v>
      </c>
      <c r="T18">
        <f>R18-S18</f>
        <v>41757.32000000001</v>
      </c>
      <c r="U18">
        <f>T18/R18</f>
        <v>0.5599304118447902</v>
      </c>
      <c r="V18">
        <v>1493.36</v>
      </c>
      <c r="W18">
        <v>799.5</v>
      </c>
      <c r="X18">
        <f>V18-W18</f>
        <v>693.8599999999999</v>
      </c>
      <c r="Y18">
        <f>X18/V18</f>
        <v>0.4646300958911448</v>
      </c>
      <c r="Z18">
        <v>0</v>
      </c>
      <c r="AA18">
        <f>(E18-K18-S18)/W18</f>
        <v>-6.732983114446516</v>
      </c>
      <c r="AB18">
        <f>(D18-J18-R18)/V18</f>
        <v>80.328909305191</v>
      </c>
      <c r="AC18">
        <f>(E18-K18-S18)/E18</f>
        <v>-0.021834359236136882</v>
      </c>
      <c r="AD18">
        <f>SUM(D18-H18)/D18</f>
        <v>0.2666855454098244</v>
      </c>
      <c r="AG18" t="str">
        <v>Hours calc for monthly claims</v>
      </c>
      <c r="AH18">
        <f>AK23</f>
        <v>-799.5</v>
      </c>
      <c r="AK18">
        <f>SUM(W19-W18)</f>
        <v>57.75</v>
      </c>
      <c r="AL18">
        <f>SUM(K19-K18)</f>
        <v>-918.2599999999802</v>
      </c>
    </row>
    <row r="19">
      <c r="C19" t="str">
        <v>Week 1</v>
      </c>
      <c r="D19">
        <v>449818.08</v>
      </c>
      <c r="E19">
        <v>364039.73</v>
      </c>
      <c r="F19">
        <f>D19-E19</f>
        <v>85778.35000000003</v>
      </c>
      <c r="G19">
        <f>F19/D19</f>
        <v>0.1906956474492978</v>
      </c>
      <c r="H19">
        <v>329858.1</v>
      </c>
      <c r="I19">
        <v>253347.64</v>
      </c>
      <c r="J19">
        <f>SUM(H19-R19)</f>
        <v>255282.18999999997</v>
      </c>
      <c r="K19">
        <f>SUM(I19-S19)</f>
        <v>218185.12000000002</v>
      </c>
      <c r="L19">
        <f>J19-K19</f>
        <v>37097.06999999995</v>
      </c>
      <c r="M19">
        <f>L19/J19</f>
        <v>0.1453178931127156</v>
      </c>
      <c r="R19">
        <v>74575.91</v>
      </c>
      <c r="S19">
        <v>35162.52</v>
      </c>
      <c r="T19">
        <f>R19-S19</f>
        <v>39413.39000000001</v>
      </c>
      <c r="U19">
        <f>T19/R19</f>
        <v>0.528500289168446</v>
      </c>
      <c r="V19">
        <v>1493.36</v>
      </c>
      <c r="W19">
        <v>857.25</v>
      </c>
      <c r="X19">
        <f>V19-W19</f>
        <v>636.1099999999999</v>
      </c>
      <c r="Y19">
        <f>X19/V19</f>
        <v>0.4259589114480098</v>
      </c>
      <c r="Z19">
        <v>0.1</v>
      </c>
      <c r="AA19">
        <f>(E19-K19-S19)/W19</f>
        <v>129.12463108778064</v>
      </c>
      <c r="AB19">
        <f>(D19-J19-R19)/V19</f>
        <v>80.328909305191</v>
      </c>
      <c r="AC19">
        <f>(E19-K19-S19)/E19</f>
        <v>0.3040659600533161</v>
      </c>
      <c r="AD19">
        <f>SUM(D19-H19)/D19</f>
        <v>0.2666855454098244</v>
      </c>
      <c r="AG19" t="str">
        <v>Materials calc for monthly claims</v>
      </c>
      <c r="AH19">
        <f>AL23</f>
        <v>-219103.38</v>
      </c>
      <c r="AK19">
        <f>SUM(W20-W19)</f>
        <v>93.75</v>
      </c>
      <c r="AL19">
        <f>SUM(K20-K19)</f>
        <v>5813.690000000002</v>
      </c>
    </row>
    <row r="20">
      <c r="C20" t="str">
        <v>Week 2</v>
      </c>
      <c r="D20">
        <v>449818.08</v>
      </c>
      <c r="E20">
        <v>364039.73</v>
      </c>
      <c r="F20">
        <f>D20-E20</f>
        <v>85778.35000000003</v>
      </c>
      <c r="G20">
        <f>F20/D20</f>
        <v>0.1906956474492978</v>
      </c>
      <c r="H20">
        <v>329858.1</v>
      </c>
      <c r="I20">
        <v>262942.02</v>
      </c>
      <c r="J20">
        <f>SUM(H20-R20)</f>
        <v>255282.18999999997</v>
      </c>
      <c r="K20">
        <f>SUM(I20-S20)</f>
        <v>223998.81000000003</v>
      </c>
      <c r="L20">
        <f>J20-K20</f>
        <v>31283.379999999946</v>
      </c>
      <c r="M20">
        <f>L20/J20</f>
        <v>0.12254431067047783</v>
      </c>
      <c r="R20">
        <v>74575.91</v>
      </c>
      <c r="S20">
        <v>38943.21</v>
      </c>
      <c r="T20">
        <f>R20-S20</f>
        <v>35632.700000000004</v>
      </c>
      <c r="U20">
        <f>T20/R20</f>
        <v>0.4778044277300807</v>
      </c>
      <c r="V20">
        <v>1493.36</v>
      </c>
      <c r="W20">
        <v>951</v>
      </c>
      <c r="X20">
        <f>V20-W20</f>
        <v>542.3599999999999</v>
      </c>
      <c r="Y20">
        <f>X20/V20</f>
        <v>0.3631810146247388</v>
      </c>
      <c r="Z20">
        <v>0.15</v>
      </c>
      <c r="AA20">
        <f>(E20-K20-S20)/W20</f>
        <v>106.30674027339639</v>
      </c>
      <c r="AB20">
        <f>(D20-J20-R20)/V20</f>
        <v>80.328909305191</v>
      </c>
      <c r="AC20">
        <f>(E20-K20-S20)/E20</f>
        <v>0.277710649878792</v>
      </c>
      <c r="AD20">
        <f>SUM(D20-H20)/D20</f>
        <v>0.2666855454098244</v>
      </c>
      <c r="AK20">
        <f>SUM(W21-W20)</f>
        <v>-951</v>
      </c>
      <c r="AL20">
        <f>SUM(K21-K20)</f>
        <v>-223998.81000000003</v>
      </c>
    </row>
    <row r="21">
      <c r="C21" t="str">
        <v>Week 3</v>
      </c>
      <c r="F21">
        <f>D21-E21</f>
        <v>0</v>
      </c>
      <c r="G21" t="e">
        <f>F21/D21</f>
        <v>#DIV/0!</v>
      </c>
      <c r="J21">
        <f>SUM(H21-R21)</f>
        <v>0</v>
      </c>
      <c r="K21">
        <f>SUM(I21-S21)</f>
        <v>0</v>
      </c>
      <c r="L21">
        <f>J21-K21</f>
        <v>0</v>
      </c>
      <c r="M21" t="e">
        <f>L21/J21</f>
        <v>#DIV/0!</v>
      </c>
      <c r="T21">
        <f>R21-S21</f>
        <v>0</v>
      </c>
      <c r="U21" t="e">
        <f>T21/R21</f>
        <v>#DIV/0!</v>
      </c>
      <c r="X21">
        <f>V21-W21</f>
        <v>0</v>
      </c>
      <c r="Y21" t="e">
        <f>X21/V21</f>
        <v>#DIV/0!</v>
      </c>
      <c r="Z21">
        <v>0.03</v>
      </c>
      <c r="AA21" t="e">
        <f>(E21-K21-S21)/W21</f>
        <v>#DIV/0!</v>
      </c>
      <c r="AB21" t="e">
        <f>(D21-J21-R21)/V21</f>
        <v>#DIV/0!</v>
      </c>
      <c r="AC21" t="e">
        <f>(E21-K21-S21)/E21</f>
        <v>#DIV/0!</v>
      </c>
      <c r="AD21" t="e">
        <f>SUM(D21-H21)/D21</f>
        <v>#DIV/0!</v>
      </c>
      <c r="AG21" t="str">
        <v>Estimated months claim</v>
      </c>
      <c r="AH21">
        <v>0</v>
      </c>
      <c r="AK21">
        <f>SUM(W22-W21)</f>
        <v>0</v>
      </c>
      <c r="AL21">
        <f>SUM(K22-K21)</f>
        <v>0</v>
      </c>
    </row>
    <row r="22">
      <c r="C22" t="str">
        <v>Week 4</v>
      </c>
      <c r="F22">
        <f>D22-E22</f>
        <v>0</v>
      </c>
      <c r="G22" t="e">
        <f>F22/D22</f>
        <v>#DIV/0!</v>
      </c>
      <c r="J22">
        <f>SUM(H22-R22)</f>
        <v>0</v>
      </c>
      <c r="K22">
        <f>SUM(I22-S22)</f>
        <v>0</v>
      </c>
      <c r="L22">
        <f>J22-K22</f>
        <v>0</v>
      </c>
      <c r="M22" t="e">
        <f>L22/J22</f>
        <v>#DIV/0!</v>
      </c>
      <c r="T22">
        <f>R22-S22</f>
        <v>0</v>
      </c>
      <c r="U22" t="e">
        <f>T22/R22</f>
        <v>#DIV/0!</v>
      </c>
      <c r="X22">
        <f>V22-W22</f>
        <v>0</v>
      </c>
      <c r="Y22" t="e">
        <f>X22/V22</f>
        <v>#DIV/0!</v>
      </c>
      <c r="Z22">
        <v>0.03</v>
      </c>
      <c r="AA22" t="e">
        <f>(E22-K22-S22)/W22</f>
        <v>#DIV/0!</v>
      </c>
      <c r="AB22" t="e">
        <f>(D22-J22-R22)/V22</f>
        <v>#DIV/0!</v>
      </c>
      <c r="AC22" t="e">
        <f>(E22-K22-S22)/E22</f>
        <v>#DIV/0!</v>
      </c>
      <c r="AD22" t="e">
        <f>SUM(D22-H22)/D22</f>
        <v>#DIV/0!</v>
      </c>
      <c r="AK22">
        <f>SUM(W23-W22)</f>
        <v>0</v>
      </c>
      <c r="AL22">
        <f>SUM(K23-K22)</f>
        <v>0</v>
      </c>
    </row>
    <row r="23">
      <c r="C23" t="str">
        <v>Week 5</v>
      </c>
      <c r="F23">
        <f>D23-E23</f>
        <v>0</v>
      </c>
      <c r="G23" t="e">
        <f>F23/D23</f>
        <v>#DIV/0!</v>
      </c>
      <c r="J23">
        <f>SUM(H23-R23)</f>
        <v>0</v>
      </c>
      <c r="K23">
        <f>SUM(I23-S23)</f>
        <v>0</v>
      </c>
      <c r="L23">
        <f>J23-K23</f>
        <v>0</v>
      </c>
      <c r="M23" t="e">
        <f>L23/J23</f>
        <v>#DIV/0!</v>
      </c>
      <c r="N23">
        <v>0.9</v>
      </c>
      <c r="T23">
        <f>R23-S23</f>
        <v>0</v>
      </c>
      <c r="U23" t="e">
        <f>T23/R23</f>
        <v>#DIV/0!</v>
      </c>
      <c r="X23">
        <f>V23-W23</f>
        <v>0</v>
      </c>
      <c r="Y23" t="e">
        <f>X23/V23</f>
        <v>#DIV/0!</v>
      </c>
      <c r="Z23">
        <v>0.65</v>
      </c>
      <c r="AA23" t="e">
        <f>(E23-K23-S23)/W23</f>
        <v>#DIV/0!</v>
      </c>
      <c r="AB23" t="e">
        <f>(D23-J23-R23)/V23</f>
        <v>#DIV/0!</v>
      </c>
      <c r="AC23" t="e">
        <f>(E23-K23-S23)/E23</f>
        <v>#DIV/0!</v>
      </c>
      <c r="AD23" t="e">
        <f>SUM(D23-H23)/D23</f>
        <v>#DIV/0!</v>
      </c>
      <c r="AK23">
        <f>SUM(AK18,AK19,AK20,AK21,AK22)</f>
        <v>-799.5</v>
      </c>
      <c r="AL23">
        <f>SUM(AL18,AL19,AL20,AL21,AL22)</f>
        <v>-219103.38</v>
      </c>
    </row>
    <row r="25">
      <c r="A25">
        <f>'Main Sheet'!A10</f>
        <v>8127</v>
      </c>
      <c r="B25" t="str">
        <f>'Main Sheet'!B10</f>
        <v>Rolly Autowash</v>
      </c>
      <c r="C25" t="str">
        <v>Start of month</v>
      </c>
      <c r="D25">
        <v>38856.96</v>
      </c>
      <c r="E25">
        <v>0</v>
      </c>
      <c r="F25">
        <f>D25-E25</f>
        <v>38856.96</v>
      </c>
      <c r="G25">
        <f>F25/D25</f>
        <v>1</v>
      </c>
      <c r="H25">
        <v>27050.88</v>
      </c>
      <c r="I25">
        <v>1129.12</v>
      </c>
      <c r="J25">
        <f>SUM(H25-R25)</f>
        <v>16492.08</v>
      </c>
      <c r="K25">
        <f>SUM(I25-S25)</f>
        <v>1129.12</v>
      </c>
      <c r="L25">
        <f>J25-K25</f>
        <v>15362.960000000003</v>
      </c>
      <c r="M25">
        <f>L25/J25</f>
        <v>0.9315356219470194</v>
      </c>
      <c r="N25">
        <v>0</v>
      </c>
      <c r="R25">
        <v>10558.8</v>
      </c>
      <c r="S25">
        <v>0</v>
      </c>
      <c r="T25">
        <f>R25-S25</f>
        <v>10558.8</v>
      </c>
      <c r="U25">
        <f>T25/R25</f>
        <v>1</v>
      </c>
      <c r="V25">
        <v>213</v>
      </c>
      <c r="W25">
        <v>0</v>
      </c>
      <c r="X25">
        <f>V25-W25</f>
        <v>213</v>
      </c>
      <c r="Y25">
        <f>X25/V25</f>
        <v>1</v>
      </c>
      <c r="Z25">
        <v>0</v>
      </c>
      <c r="AA25" t="e">
        <f>(E25-K25-S25)/W25</f>
        <v>#DIV/0!</v>
      </c>
      <c r="AB25">
        <f>(D25-J25-R25)/V25</f>
        <v>55.427605633802806</v>
      </c>
      <c r="AC25" t="e">
        <f>(E25-K25-S25)/E25</f>
        <v>#DIV/0!</v>
      </c>
      <c r="AD25">
        <f>SUM(D25-H25)/D25</f>
        <v>0.30383437098527516</v>
      </c>
      <c r="AG25" t="str">
        <v>Hours calc for monthly claims</v>
      </c>
      <c r="AH25">
        <f>AK30</f>
        <v>0</v>
      </c>
      <c r="AK25">
        <f>SUM(W26-W25)</f>
        <v>9.25</v>
      </c>
      <c r="AL25">
        <f>SUM(K26-K25)</f>
        <v>5779.58</v>
      </c>
    </row>
    <row r="26">
      <c r="C26" t="str">
        <v>Week 1</v>
      </c>
      <c r="D26">
        <v>38856.96</v>
      </c>
      <c r="E26">
        <v>0</v>
      </c>
      <c r="F26">
        <f>D26-E26</f>
        <v>38856.96</v>
      </c>
      <c r="G26">
        <f>F26/D26</f>
        <v>1</v>
      </c>
      <c r="H26">
        <v>27050.88</v>
      </c>
      <c r="I26">
        <v>7293.59</v>
      </c>
      <c r="J26">
        <f>SUM(H26-R26)</f>
        <v>16492.08</v>
      </c>
      <c r="K26">
        <f>SUM(I26-S26)</f>
        <v>6908.7</v>
      </c>
      <c r="L26">
        <f>J26-K26</f>
        <v>9583.380000000001</v>
      </c>
      <c r="M26">
        <f>L26/J26</f>
        <v>0.58108983221037</v>
      </c>
      <c r="N26">
        <v>0</v>
      </c>
      <c r="R26">
        <v>10558.8</v>
      </c>
      <c r="S26">
        <v>384.89</v>
      </c>
      <c r="T26">
        <f>R26-S26</f>
        <v>10173.91</v>
      </c>
      <c r="U26">
        <f>T26/R26</f>
        <v>0.9635479410539077</v>
      </c>
      <c r="V26">
        <v>213.13</v>
      </c>
      <c r="W26">
        <v>9.25</v>
      </c>
      <c r="X26">
        <f>V26-W26</f>
        <v>203.88</v>
      </c>
      <c r="Y26">
        <f>X26/V26</f>
        <v>0.9565992586684183</v>
      </c>
      <c r="Z26">
        <v>0</v>
      </c>
      <c r="AA26">
        <f>(E26-K26-S26)/W26</f>
        <v>-788.4962162162162</v>
      </c>
      <c r="AB26">
        <f>(D26-J26-R26)/V26</f>
        <v>55.3937972129686</v>
      </c>
      <c r="AC26" t="e">
        <f>(E26-K26-S26)/E26</f>
        <v>#DIV/0!</v>
      </c>
      <c r="AD26">
        <f>SUM(D26-H26)/D26</f>
        <v>0.30383437098527516</v>
      </c>
      <c r="AG26" t="str">
        <v>Materials calc for monthly claims</v>
      </c>
      <c r="AH26">
        <f>AL30</f>
        <v>-1129.119999999999</v>
      </c>
      <c r="AK26">
        <f>SUM(W27-W26)</f>
        <v>101.75</v>
      </c>
      <c r="AL26">
        <f>SUM(K27-K26)</f>
        <v>6796.129999999998</v>
      </c>
    </row>
    <row r="27">
      <c r="C27" t="str">
        <v>Week 2</v>
      </c>
      <c r="D27">
        <v>38856.96</v>
      </c>
      <c r="E27">
        <v>0</v>
      </c>
      <c r="F27">
        <f>D27-E27</f>
        <v>38856.96</v>
      </c>
      <c r="G27">
        <f>F27/D27</f>
        <v>1</v>
      </c>
      <c r="H27">
        <v>27050.88</v>
      </c>
      <c r="I27">
        <v>18431.21</v>
      </c>
      <c r="J27">
        <f>SUM(H27-R27)</f>
        <v>16492.08</v>
      </c>
      <c r="K27">
        <f>SUM(I27-S27)</f>
        <v>13704.829999999998</v>
      </c>
      <c r="L27">
        <f>J27-K27</f>
        <v>2787.2500000000036</v>
      </c>
      <c r="M27">
        <f>L27/J27</f>
        <v>0.16900536499944235</v>
      </c>
      <c r="N27">
        <v>0</v>
      </c>
      <c r="R27">
        <v>10558.8</v>
      </c>
      <c r="S27">
        <v>4726.38</v>
      </c>
      <c r="T27">
        <f>R27-S27</f>
        <v>5832.419999999999</v>
      </c>
      <c r="U27">
        <f>T27/R27</f>
        <v>0.552375269917036</v>
      </c>
      <c r="V27">
        <v>213.13</v>
      </c>
      <c r="W27">
        <v>111</v>
      </c>
      <c r="X27">
        <f>V27-W27</f>
        <v>102.13</v>
      </c>
      <c r="Y27">
        <f>X27/V27</f>
        <v>0.47919110402102</v>
      </c>
      <c r="Z27">
        <v>0</v>
      </c>
      <c r="AA27">
        <f>(E27-K27-S27)/W27</f>
        <v>-166.04693693693693</v>
      </c>
      <c r="AB27">
        <f>(D27-J27-R27)/V27</f>
        <v>55.3937972129686</v>
      </c>
      <c r="AC27" t="e">
        <f>(E27-K27-S27)/E27</f>
        <v>#DIV/0!</v>
      </c>
      <c r="AD27">
        <f>SUM(D27-H27)/D27</f>
        <v>0.30383437098527516</v>
      </c>
      <c r="AK27">
        <f>SUM(W28-W27)</f>
        <v>-111</v>
      </c>
      <c r="AL27">
        <f>SUM(K28-K27)</f>
        <v>-13704.829999999998</v>
      </c>
    </row>
    <row r="28">
      <c r="C28" t="str">
        <v>Week 3</v>
      </c>
      <c r="E28">
        <v>0</v>
      </c>
      <c r="F28">
        <f>D28-E28</f>
        <v>0</v>
      </c>
      <c r="G28" t="e">
        <f>F28/D28</f>
        <v>#DIV/0!</v>
      </c>
      <c r="J28">
        <f>SUM(H28-R28)</f>
        <v>0</v>
      </c>
      <c r="K28">
        <f>SUM(I28-S28)</f>
        <v>0</v>
      </c>
      <c r="L28">
        <f>J28-K28</f>
        <v>0</v>
      </c>
      <c r="M28" t="e">
        <f>L28/J28</f>
        <v>#DIV/0!</v>
      </c>
      <c r="N28">
        <v>0</v>
      </c>
      <c r="S28">
        <v>0</v>
      </c>
      <c r="T28">
        <f>R28-S28</f>
        <v>0</v>
      </c>
      <c r="U28" t="e">
        <f>T28/R28</f>
        <v>#DIV/0!</v>
      </c>
      <c r="W28">
        <v>0</v>
      </c>
      <c r="X28">
        <f>V28-W28</f>
        <v>0</v>
      </c>
      <c r="Y28" t="e">
        <f>X28/V28</f>
        <v>#DIV/0!</v>
      </c>
      <c r="Z28">
        <v>0</v>
      </c>
      <c r="AA28" t="e">
        <f>(E28-K28-S28)/W28</f>
        <v>#DIV/0!</v>
      </c>
      <c r="AB28" t="e">
        <f>(D28-J28-R28)/V28</f>
        <v>#DIV/0!</v>
      </c>
      <c r="AC28" t="e">
        <f>(E28-K28-S28)/E28</f>
        <v>#DIV/0!</v>
      </c>
      <c r="AD28" t="e">
        <f>SUM(D28-H28)/D28</f>
        <v>#DIV/0!</v>
      </c>
      <c r="AG28" t="str">
        <v>Estimated months claim</v>
      </c>
      <c r="AH28">
        <v>0</v>
      </c>
      <c r="AK28">
        <f>SUM(W29-W28)</f>
        <v>0</v>
      </c>
      <c r="AL28">
        <f>SUM(K29-K28)</f>
        <v>0</v>
      </c>
    </row>
    <row r="29">
      <c r="C29" t="str">
        <v>Week 4</v>
      </c>
      <c r="E29">
        <v>0</v>
      </c>
      <c r="F29">
        <f>D29-E29</f>
        <v>0</v>
      </c>
      <c r="G29" t="e">
        <f>F29/D29</f>
        <v>#DIV/0!</v>
      </c>
      <c r="J29">
        <f>SUM(H29-R29)</f>
        <v>0</v>
      </c>
      <c r="K29">
        <f>SUM(I29-S29)</f>
        <v>0</v>
      </c>
      <c r="L29">
        <f>J29-K29</f>
        <v>0</v>
      </c>
      <c r="M29" t="e">
        <f>L29/J29</f>
        <v>#DIV/0!</v>
      </c>
      <c r="N29">
        <v>0</v>
      </c>
      <c r="S29">
        <v>0</v>
      </c>
      <c r="T29">
        <f>R29-S29</f>
        <v>0</v>
      </c>
      <c r="U29" t="e">
        <f>T29/R29</f>
        <v>#DIV/0!</v>
      </c>
      <c r="W29">
        <v>0</v>
      </c>
      <c r="X29">
        <f>V29-W29</f>
        <v>0</v>
      </c>
      <c r="Y29" t="e">
        <f>X29/V29</f>
        <v>#DIV/0!</v>
      </c>
      <c r="Z29">
        <v>0</v>
      </c>
      <c r="AA29" t="e">
        <f>(E29-K29-S29)/W29</f>
        <v>#DIV/0!</v>
      </c>
      <c r="AB29" t="e">
        <f>(D29-J29-R29)/V29</f>
        <v>#DIV/0!</v>
      </c>
      <c r="AC29" t="e">
        <f>(E29-K29-S29)/E29</f>
        <v>#DIV/0!</v>
      </c>
      <c r="AD29" t="e">
        <f>SUM(D29-H29)/D29</f>
        <v>#DIV/0!</v>
      </c>
      <c r="AK29">
        <f>SUM(W30-W29)</f>
        <v>0</v>
      </c>
      <c r="AL29">
        <f>SUM(K30-K29)</f>
        <v>0</v>
      </c>
    </row>
    <row r="30">
      <c r="C30" t="str">
        <v>Week 5</v>
      </c>
      <c r="E30">
        <v>0</v>
      </c>
      <c r="F30">
        <f>D30-E30</f>
        <v>0</v>
      </c>
      <c r="G30" t="e">
        <f>F30/D30</f>
        <v>#DIV/0!</v>
      </c>
      <c r="J30">
        <f>SUM(H30-R30)</f>
        <v>0</v>
      </c>
      <c r="K30">
        <f>SUM(I30-S30)</f>
        <v>0</v>
      </c>
      <c r="L30">
        <f>J30-K30</f>
        <v>0</v>
      </c>
      <c r="M30" t="e">
        <f>L30/J30</f>
        <v>#DIV/0!</v>
      </c>
      <c r="N30">
        <v>0</v>
      </c>
      <c r="S30">
        <v>0</v>
      </c>
      <c r="T30">
        <f>R30-S30</f>
        <v>0</v>
      </c>
      <c r="U30" t="e">
        <f>T30/R30</f>
        <v>#DIV/0!</v>
      </c>
      <c r="W30">
        <v>0</v>
      </c>
      <c r="X30">
        <f>V30-W30</f>
        <v>0</v>
      </c>
      <c r="Y30" t="e">
        <f>X30/V30</f>
        <v>#DIV/0!</v>
      </c>
      <c r="Z30">
        <v>0</v>
      </c>
      <c r="AA30" t="e">
        <f>(E30-K30-S30)/W30</f>
        <v>#DIV/0!</v>
      </c>
      <c r="AB30" t="e">
        <f>(D30-J30-R30)/V30</f>
        <v>#DIV/0!</v>
      </c>
      <c r="AC30" t="e">
        <f>(E30-K30-S30)/E30</f>
        <v>#DIV/0!</v>
      </c>
      <c r="AD30" t="e">
        <f>SUM(D30-H30)/D30</f>
        <v>#DIV/0!</v>
      </c>
      <c r="AK30">
        <f>SUM(AK25,AK26,AK27,AK28,AK29)</f>
        <v>0</v>
      </c>
      <c r="AL30">
        <f>SUM(AL25,AL26,AL27,AL28,AL29)</f>
        <v>-1129.119999999999</v>
      </c>
    </row>
    <row r="32">
      <c r="A32">
        <f>'Main Sheet'!A12</f>
        <v>8183</v>
      </c>
      <c r="B32" t="str">
        <f>'Main Sheet'!B12</f>
        <v>Murney - 1 Freight Drive + 109 Iport</v>
      </c>
      <c r="C32" t="str">
        <v>Start of month</v>
      </c>
      <c r="D32">
        <v>69191.71</v>
      </c>
      <c r="E32">
        <v>0</v>
      </c>
      <c r="F32">
        <f>D32-E32</f>
        <v>69191.71</v>
      </c>
      <c r="G32">
        <f>F32/D32</f>
        <v>1</v>
      </c>
      <c r="H32">
        <v>53243.87</v>
      </c>
      <c r="I32">
        <v>641.28</v>
      </c>
      <c r="J32">
        <f>SUM(H32-R32)</f>
        <v>41588.94</v>
      </c>
      <c r="K32">
        <f>SUM(I32-S32)</f>
        <v>171.83999999999997</v>
      </c>
      <c r="L32">
        <f>J32-K32</f>
        <v>41417.100000000006</v>
      </c>
      <c r="M32">
        <f>L32/J32</f>
        <v>0.9958681322486219</v>
      </c>
      <c r="R32">
        <v>11654.93</v>
      </c>
      <c r="S32">
        <v>469.44</v>
      </c>
      <c r="T32">
        <f>R32-S32</f>
        <v>11185.49</v>
      </c>
      <c r="U32">
        <f>T32/R32</f>
        <v>0.9597217658106912</v>
      </c>
      <c r="V32">
        <v>233.59</v>
      </c>
      <c r="W32">
        <v>12.5</v>
      </c>
      <c r="X32">
        <f>V32-W32</f>
        <v>221.09</v>
      </c>
      <c r="Y32">
        <f>X32/V32</f>
        <v>0.9464874352497966</v>
      </c>
      <c r="Z32">
        <v>0</v>
      </c>
      <c r="AA32">
        <f>(E32-K32-S32)/W32</f>
        <v>-51.3024</v>
      </c>
      <c r="AB32">
        <f>(D32-J32-R32)/V32</f>
        <v>68.27278565007065</v>
      </c>
      <c r="AC32" t="e">
        <f>(E32-K32-S32)/E32</f>
        <v>#DIV/0!</v>
      </c>
      <c r="AD32">
        <f>SUM(D32-H32)/D32</f>
        <v>0.2304877275037718</v>
      </c>
      <c r="AG32" t="str">
        <v>Hours calc for monthly claims</v>
      </c>
      <c r="AH32">
        <f>AK37</f>
        <v>-12.5</v>
      </c>
      <c r="AK32">
        <f>SUM(W33-W32)</f>
        <v>4.5</v>
      </c>
      <c r="AL32">
        <f>SUM(K33-K32)</f>
        <v>13.949999999999989</v>
      </c>
    </row>
    <row r="33">
      <c r="C33" t="str">
        <v>Week 1</v>
      </c>
      <c r="D33">
        <v>69191.71</v>
      </c>
      <c r="E33">
        <v>1364.78</v>
      </c>
      <c r="F33">
        <f>D33-E33</f>
        <v>67826.93000000001</v>
      </c>
      <c r="G33">
        <f>F33/D33</f>
        <v>0.9802753827011935</v>
      </c>
      <c r="H33">
        <v>53243.87</v>
      </c>
      <c r="I33">
        <v>844.77</v>
      </c>
      <c r="J33">
        <f>SUM(H33-R33)</f>
        <v>41588.94</v>
      </c>
      <c r="K33">
        <f>SUM(I33-S33)</f>
        <v>185.78999999999996</v>
      </c>
      <c r="L33">
        <f>J33-K33</f>
        <v>41403.15</v>
      </c>
      <c r="M33">
        <f>L33/J33</f>
        <v>0.9955327065320732</v>
      </c>
      <c r="R33">
        <v>11654.93</v>
      </c>
      <c r="S33">
        <v>658.98</v>
      </c>
      <c r="T33">
        <f>R33-S33</f>
        <v>10995.95</v>
      </c>
      <c r="U33">
        <f>T33/R33</f>
        <v>0.9434591198745939</v>
      </c>
      <c r="V33">
        <v>233.59</v>
      </c>
      <c r="W33">
        <v>17</v>
      </c>
      <c r="X33">
        <f>V33-W33</f>
        <v>216.59</v>
      </c>
      <c r="Y33">
        <f>X33/V33</f>
        <v>0.9272229119397234</v>
      </c>
      <c r="AA33">
        <f>(E33-K33-S33)/W33</f>
        <v>30.588823529411766</v>
      </c>
      <c r="AB33">
        <f>(D33-J33-R33)/V33</f>
        <v>68.27278565007065</v>
      </c>
      <c r="AC33">
        <f>(E33-K33-S33)/E33</f>
        <v>0.3810211169565791</v>
      </c>
      <c r="AD33">
        <f>SUM(D33-H33)/D33</f>
        <v>0.2304877275037718</v>
      </c>
      <c r="AG33" t="str">
        <v>Materials calc for monthly claims</v>
      </c>
      <c r="AH33">
        <f>AL37</f>
        <v>-171.84000000000015</v>
      </c>
      <c r="AK33">
        <f>SUM(W34-W33)</f>
        <v>3</v>
      </c>
      <c r="AL33">
        <f>SUM(K34-K33)</f>
        <v>3907.37</v>
      </c>
    </row>
    <row r="34">
      <c r="C34" t="str">
        <v>Week 2</v>
      </c>
      <c r="D34">
        <v>69191.71</v>
      </c>
      <c r="E34">
        <v>1364.78</v>
      </c>
      <c r="F34">
        <f>D34-E34</f>
        <v>67826.93000000001</v>
      </c>
      <c r="G34">
        <f>F34/D34</f>
        <v>0.9802753827011935</v>
      </c>
      <c r="H34">
        <v>53243.87</v>
      </c>
      <c r="I34">
        <v>4850.24</v>
      </c>
      <c r="J34">
        <f>SUM(H34-R34)</f>
        <v>41588.94</v>
      </c>
      <c r="K34">
        <f>SUM(I34-S34)</f>
        <v>4093.16</v>
      </c>
      <c r="L34">
        <f>J34-K34</f>
        <v>37495.78</v>
      </c>
      <c r="M34">
        <f>L34/J34</f>
        <v>0.901580564448144</v>
      </c>
      <c r="R34">
        <v>11654.93</v>
      </c>
      <c r="S34">
        <v>757.08</v>
      </c>
      <c r="T34">
        <f>R34-S34</f>
        <v>10897.85</v>
      </c>
      <c r="U34">
        <f>T34/R34</f>
        <v>0.9350420809048188</v>
      </c>
      <c r="V34">
        <v>233.59</v>
      </c>
      <c r="W34">
        <v>20</v>
      </c>
      <c r="X34">
        <f>V34-W34</f>
        <v>213.59</v>
      </c>
      <c r="Y34">
        <f>X34/V34</f>
        <v>0.9143798963996747</v>
      </c>
      <c r="AA34">
        <f>(E34-K34-S34)/W34</f>
        <v>-174.273</v>
      </c>
      <c r="AB34">
        <f>(D34-J34-R34)/V34</f>
        <v>68.27278565007065</v>
      </c>
      <c r="AC34">
        <f>(E34-K34-S34)/E34</f>
        <v>-2.5538621609343632</v>
      </c>
      <c r="AD34">
        <f>SUM(D34-H34)/D34</f>
        <v>0.2304877275037718</v>
      </c>
      <c r="AK34">
        <f>SUM(W35-W34)</f>
        <v>-20</v>
      </c>
      <c r="AL34">
        <f>SUM(K35-K34)</f>
        <v>-4093.16</v>
      </c>
    </row>
    <row r="35">
      <c r="C35" t="str">
        <v>Week 3</v>
      </c>
      <c r="F35">
        <f>D35-E35</f>
        <v>0</v>
      </c>
      <c r="G35" t="e">
        <f>F35/D35</f>
        <v>#DIV/0!</v>
      </c>
      <c r="J35">
        <f>SUM(H35-R35)</f>
        <v>0</v>
      </c>
      <c r="K35">
        <f>SUM(I35-S35)</f>
        <v>0</v>
      </c>
      <c r="L35">
        <f>J35-K35</f>
        <v>0</v>
      </c>
      <c r="M35" t="e">
        <f>L35/J35</f>
        <v>#DIV/0!</v>
      </c>
      <c r="T35">
        <f>R35-S35</f>
        <v>0</v>
      </c>
      <c r="U35" t="e">
        <f>T35/R35</f>
        <v>#DIV/0!</v>
      </c>
      <c r="X35">
        <f>V35-W35</f>
        <v>0</v>
      </c>
      <c r="Y35" t="e">
        <f>X35/V35</f>
        <v>#DIV/0!</v>
      </c>
      <c r="AA35" t="e">
        <f>(E35-K35-S35)/W35</f>
        <v>#DIV/0!</v>
      </c>
      <c r="AB35" t="e">
        <f>(D35-J35-R35)/V35</f>
        <v>#DIV/0!</v>
      </c>
      <c r="AC35" t="e">
        <f>(E35-K35-S35)/E35</f>
        <v>#DIV/0!</v>
      </c>
      <c r="AD35" t="e">
        <f>SUM(D35-H35)/D35</f>
        <v>#DIV/0!</v>
      </c>
      <c r="AG35" t="str">
        <v>Estimated months claim</v>
      </c>
      <c r="AH35">
        <v>0</v>
      </c>
      <c r="AK35">
        <f>SUM(W36-W35)</f>
        <v>0</v>
      </c>
      <c r="AL35">
        <f>SUM(K36-K35)</f>
        <v>0</v>
      </c>
    </row>
    <row r="36">
      <c r="C36" t="str">
        <v>Week 4</v>
      </c>
      <c r="F36">
        <f>D36-E36</f>
        <v>0</v>
      </c>
      <c r="G36" t="e">
        <f>F36/D36</f>
        <v>#DIV/0!</v>
      </c>
      <c r="J36">
        <f>SUM(H36-R36)</f>
        <v>0</v>
      </c>
      <c r="K36">
        <f>SUM(I36-S36)</f>
        <v>0</v>
      </c>
      <c r="L36">
        <f>J36-K36</f>
        <v>0</v>
      </c>
      <c r="M36" t="e">
        <f>L36/J36</f>
        <v>#DIV/0!</v>
      </c>
      <c r="T36">
        <f>R36-S36</f>
        <v>0</v>
      </c>
      <c r="U36" t="e">
        <f>T36/R36</f>
        <v>#DIV/0!</v>
      </c>
      <c r="X36">
        <f>V36-W36</f>
        <v>0</v>
      </c>
      <c r="Y36" t="e">
        <f>X36/V36</f>
        <v>#DIV/0!</v>
      </c>
      <c r="AA36" t="e">
        <f>(E36-K36-S36)/W36</f>
        <v>#DIV/0!</v>
      </c>
      <c r="AB36" t="e">
        <f>(D36-J36-R36)/V36</f>
        <v>#DIV/0!</v>
      </c>
      <c r="AC36" t="e">
        <f>(E36-K36-S36)/E36</f>
        <v>#DIV/0!</v>
      </c>
      <c r="AD36" t="e">
        <f>SUM(D36-H36)/D36</f>
        <v>#DIV/0!</v>
      </c>
      <c r="AK36">
        <f>SUM(W37-W36)</f>
        <v>0</v>
      </c>
      <c r="AL36">
        <f>SUM(K37-K36)</f>
        <v>0</v>
      </c>
    </row>
    <row r="37">
      <c r="C37" t="str">
        <v>Week 5</v>
      </c>
      <c r="F37">
        <f>D37-E37</f>
        <v>0</v>
      </c>
      <c r="G37" t="e">
        <f>F37/D37</f>
        <v>#DIV/0!</v>
      </c>
      <c r="J37">
        <f>SUM(H37-R37)</f>
        <v>0</v>
      </c>
      <c r="K37">
        <f>SUM(I37-S37)</f>
        <v>0</v>
      </c>
      <c r="L37">
        <f>J37-K37</f>
        <v>0</v>
      </c>
      <c r="M37" t="e">
        <f>L37/J37</f>
        <v>#DIV/0!</v>
      </c>
      <c r="T37">
        <f>R37-S37</f>
        <v>0</v>
      </c>
      <c r="U37" t="e">
        <f>T37/R37</f>
        <v>#DIV/0!</v>
      </c>
      <c r="X37">
        <f>V37-W37</f>
        <v>0</v>
      </c>
      <c r="Y37" t="e">
        <f>X37/V37</f>
        <v>#DIV/0!</v>
      </c>
      <c r="AA37" t="e">
        <f>(E37-K37-S37)/W37</f>
        <v>#DIV/0!</v>
      </c>
      <c r="AB37" t="e">
        <f>(D37-J37-R37)/V37</f>
        <v>#DIV/0!</v>
      </c>
      <c r="AC37" t="e">
        <f>(E37-K37-S37)/E37</f>
        <v>#DIV/0!</v>
      </c>
      <c r="AD37" t="e">
        <f>SUM(D37-H37)/D37</f>
        <v>#DIV/0!</v>
      </c>
      <c r="AK37">
        <f>SUM(AK32,AK33,AK34,AK35,AK36)</f>
        <v>-12.5</v>
      </c>
      <c r="AL37">
        <f>SUM(AL32,AL33,AL34,AL35,AL36)</f>
        <v>-171.84000000000015</v>
      </c>
    </row>
    <row r="39">
      <c r="A39">
        <f>'Main Sheet'!A14</f>
        <v>8886</v>
      </c>
      <c r="B39" t="str">
        <f>'Main Sheet'!B14</f>
        <v>Monkey Toe - Fisher fit out</v>
      </c>
      <c r="C39" t="str">
        <v>Start of month</v>
      </c>
      <c r="D39">
        <v>44956.29</v>
      </c>
      <c r="F39">
        <f>D39-E39</f>
        <v>44956.29</v>
      </c>
      <c r="G39">
        <f>F39/D39</f>
        <v>1</v>
      </c>
      <c r="H39">
        <v>30585.67</v>
      </c>
      <c r="I39">
        <v>0</v>
      </c>
      <c r="J39">
        <f>SUM(H39-R39)</f>
        <v>19268.79</v>
      </c>
      <c r="K39">
        <f>SUM(I39-S39)</f>
        <v>0</v>
      </c>
      <c r="L39">
        <f>J39-K39</f>
        <v>19268.79</v>
      </c>
      <c r="M39">
        <f>L39/J39</f>
        <v>1</v>
      </c>
      <c r="R39">
        <v>11316.88</v>
      </c>
      <c r="T39">
        <f>R39-S39</f>
        <v>11316.88</v>
      </c>
      <c r="U39">
        <f>T39/R39</f>
        <v>1</v>
      </c>
      <c r="V39">
        <v>234.28</v>
      </c>
      <c r="W39">
        <v>0</v>
      </c>
      <c r="X39">
        <f>V39-W39</f>
        <v>234.28</v>
      </c>
      <c r="Y39">
        <f>X39/V39</f>
        <v>1</v>
      </c>
      <c r="Z39">
        <v>0.8</v>
      </c>
      <c r="AA39" t="e">
        <f>(E39-K39-S39)/W39</f>
        <v>#DIV/0!</v>
      </c>
      <c r="AB39">
        <f>(D39-J39-R39)/V39</f>
        <v>61.33950828068978</v>
      </c>
      <c r="AC39" t="e">
        <f>(E39-K39-S39)/E39</f>
        <v>#DIV/0!</v>
      </c>
      <c r="AD39">
        <f>SUM(D39-H39)/D39</f>
        <v>0.3196576051982938</v>
      </c>
      <c r="AG39" t="str">
        <v>Hours calc for monthly claims</v>
      </c>
      <c r="AH39">
        <f>AK44</f>
        <v>0</v>
      </c>
      <c r="AK39">
        <f>SUM(W40-W39)</f>
        <v>0</v>
      </c>
      <c r="AL39">
        <f>SUM(K40-K39)</f>
        <v>0</v>
      </c>
    </row>
    <row r="40">
      <c r="C40" t="str">
        <v>Week 1</v>
      </c>
      <c r="D40">
        <v>44956.29</v>
      </c>
      <c r="F40">
        <f>D40-E40</f>
        <v>44956.29</v>
      </c>
      <c r="G40">
        <f>F40/D40</f>
        <v>1</v>
      </c>
      <c r="H40">
        <v>30585.67</v>
      </c>
      <c r="J40">
        <f>SUM(H40-R40)</f>
        <v>19268.79</v>
      </c>
      <c r="K40">
        <f>SUM(I40-S40)</f>
        <v>0</v>
      </c>
      <c r="L40">
        <f>J40-K40</f>
        <v>19268.79</v>
      </c>
      <c r="M40">
        <f>L40/J40</f>
        <v>1</v>
      </c>
      <c r="R40">
        <v>11316.88</v>
      </c>
      <c r="T40">
        <f>R40-S40</f>
        <v>11316.88</v>
      </c>
      <c r="U40">
        <f>T40/R40</f>
        <v>1</v>
      </c>
      <c r="V40">
        <v>234.28</v>
      </c>
      <c r="W40">
        <v>0</v>
      </c>
      <c r="X40">
        <f>V40-W40</f>
        <v>234.28</v>
      </c>
      <c r="Y40">
        <f>X40/V40</f>
        <v>1</v>
      </c>
      <c r="Z40">
        <v>0.95</v>
      </c>
      <c r="AA40" t="e">
        <f>(E40-K40-S40)/W40</f>
        <v>#DIV/0!</v>
      </c>
      <c r="AB40">
        <f>(D40-J40-R40)/V40</f>
        <v>61.33950828068978</v>
      </c>
      <c r="AC40" t="e">
        <f>(E40-K40-S40)/E40</f>
        <v>#DIV/0!</v>
      </c>
      <c r="AD40">
        <f>SUM(D40-H40)/D40</f>
        <v>0.3196576051982938</v>
      </c>
      <c r="AG40" t="str">
        <v>Materials calc for monthly claims</v>
      </c>
      <c r="AH40">
        <f>AL44</f>
        <v>0</v>
      </c>
      <c r="AK40">
        <f>SUM(W41-W40)</f>
        <v>2.5</v>
      </c>
      <c r="AL40">
        <f>SUM(K41-K40)</f>
        <v>0</v>
      </c>
    </row>
    <row r="41">
      <c r="C41" t="str">
        <v>Week 2</v>
      </c>
      <c r="D41">
        <v>44956.29</v>
      </c>
      <c r="F41">
        <f>D41-E41</f>
        <v>44956.29</v>
      </c>
      <c r="G41">
        <f>F41/D41</f>
        <v>1</v>
      </c>
      <c r="H41">
        <v>30585.67</v>
      </c>
      <c r="I41">
        <v>112.35</v>
      </c>
      <c r="J41">
        <f>SUM(H41-R41)</f>
        <v>19268.79</v>
      </c>
      <c r="K41">
        <f>SUM(I41-S41)</f>
        <v>0</v>
      </c>
      <c r="L41">
        <f>J41-K41</f>
        <v>19268.79</v>
      </c>
      <c r="M41">
        <f>L41/J41</f>
        <v>1</v>
      </c>
      <c r="R41">
        <v>11316.88</v>
      </c>
      <c r="S41">
        <v>112.35</v>
      </c>
      <c r="T41">
        <f>R41-S41</f>
        <v>11204.529999999999</v>
      </c>
      <c r="U41">
        <f>T41/R41</f>
        <v>0.9900723520970444</v>
      </c>
      <c r="V41">
        <v>234.28</v>
      </c>
      <c r="W41">
        <v>2.5</v>
      </c>
      <c r="X41">
        <f>V41-W41</f>
        <v>231.78</v>
      </c>
      <c r="Y41">
        <f>X41/V41</f>
        <v>0.989329008024586</v>
      </c>
      <c r="Z41">
        <v>0.98</v>
      </c>
      <c r="AA41">
        <f>(E41-K41-S41)/W41</f>
        <v>-44.94</v>
      </c>
      <c r="AB41">
        <f>(D41-J41-R41)/V41</f>
        <v>61.33950828068978</v>
      </c>
      <c r="AC41" t="e">
        <f>(E41-K41-S41)/E41</f>
        <v>#DIV/0!</v>
      </c>
      <c r="AD41">
        <f>SUM(D41-H41)/D41</f>
        <v>0.3196576051982938</v>
      </c>
      <c r="AK41">
        <f>SUM(W42-W41)</f>
        <v>-2.5</v>
      </c>
      <c r="AL41">
        <f>SUM(K42-K41)</f>
        <v>0</v>
      </c>
    </row>
    <row r="42">
      <c r="C42" t="str">
        <v>Week 3</v>
      </c>
      <c r="F42">
        <f>D42-E42</f>
        <v>0</v>
      </c>
      <c r="G42" t="e">
        <f>F42/D42</f>
        <v>#DIV/0!</v>
      </c>
      <c r="J42">
        <f>SUM(H42-R42)</f>
        <v>0</v>
      </c>
      <c r="K42">
        <f>SUM(I42-S42)</f>
        <v>0</v>
      </c>
      <c r="L42">
        <f>J42-K42</f>
        <v>0</v>
      </c>
      <c r="M42" t="e">
        <f>L42/J42</f>
        <v>#DIV/0!</v>
      </c>
      <c r="T42">
        <f>R42-S42</f>
        <v>0</v>
      </c>
      <c r="U42" t="e">
        <f>T42/R42</f>
        <v>#DIV/0!</v>
      </c>
      <c r="W42">
        <v>0</v>
      </c>
      <c r="X42">
        <f>V42-W42</f>
        <v>0</v>
      </c>
      <c r="Y42">
        <f>X42/V41</f>
        <v>0</v>
      </c>
      <c r="Z42">
        <v>1</v>
      </c>
      <c r="AA42" t="e">
        <f>(E42-K42-S42)/W42</f>
        <v>#DIV/0!</v>
      </c>
      <c r="AB42">
        <f>(D42-J42-R42)/V41</f>
        <v>0</v>
      </c>
      <c r="AC42" t="e">
        <f>(E42-K42-S42)/E42</f>
        <v>#DIV/0!</v>
      </c>
      <c r="AD42" t="e">
        <f>SUM(D42-H42)/D42</f>
        <v>#DIV/0!</v>
      </c>
      <c r="AG42" t="str">
        <v>Estimated months claim</v>
      </c>
      <c r="AH42">
        <v>0</v>
      </c>
      <c r="AK42">
        <f>SUM(W43-W42)</f>
        <v>0</v>
      </c>
      <c r="AL42">
        <f>SUM(K43-K42)</f>
        <v>0</v>
      </c>
    </row>
    <row r="43">
      <c r="C43" t="str">
        <v>Week 4</v>
      </c>
      <c r="F43">
        <f>D43-E43</f>
        <v>0</v>
      </c>
      <c r="G43" t="e">
        <f>F43/D43</f>
        <v>#DIV/0!</v>
      </c>
      <c r="J43">
        <f>SUM(H43-R43)</f>
        <v>0</v>
      </c>
      <c r="K43">
        <f>SUM(I43-S43)</f>
        <v>0</v>
      </c>
      <c r="L43">
        <f>J43-K43</f>
        <v>0</v>
      </c>
      <c r="M43" t="e">
        <f>L43/J43</f>
        <v>#DIV/0!</v>
      </c>
      <c r="T43">
        <f>R43-S43</f>
        <v>0</v>
      </c>
      <c r="U43" t="e">
        <f>T43/R43</f>
        <v>#DIV/0!</v>
      </c>
      <c r="W43">
        <v>0</v>
      </c>
      <c r="X43">
        <f>V43-W43</f>
        <v>0</v>
      </c>
      <c r="Y43" t="e">
        <f>X43/V43</f>
        <v>#DIV/0!</v>
      </c>
      <c r="Z43">
        <v>1</v>
      </c>
      <c r="AA43" t="e">
        <f>(E43-K43-S43)/W43</f>
        <v>#DIV/0!</v>
      </c>
      <c r="AB43" t="e">
        <f>(D43-J43-R43)/V43</f>
        <v>#DIV/0!</v>
      </c>
      <c r="AC43" t="e">
        <f>(E43-K43-S43)/E43</f>
        <v>#DIV/0!</v>
      </c>
      <c r="AD43" t="e">
        <f>SUM(D43-H43)/D43</f>
        <v>#DIV/0!</v>
      </c>
      <c r="AK43">
        <f>SUM(W44-W43)</f>
        <v>0</v>
      </c>
      <c r="AL43">
        <f>SUM(K44-K43)</f>
        <v>0</v>
      </c>
    </row>
    <row r="44">
      <c r="C44" t="str">
        <v>Week 5</v>
      </c>
      <c r="F44">
        <f>D44-E44</f>
        <v>0</v>
      </c>
      <c r="G44" t="e">
        <f>F44/D44</f>
        <v>#DIV/0!</v>
      </c>
      <c r="J44">
        <f>SUM(H44-R44)</f>
        <v>0</v>
      </c>
      <c r="K44">
        <f>SUM(I44-S44)</f>
        <v>0</v>
      </c>
      <c r="L44">
        <f>J44-K44</f>
        <v>0</v>
      </c>
      <c r="M44" t="e">
        <f>L44/J44</f>
        <v>#DIV/0!</v>
      </c>
      <c r="T44">
        <f>R44-S44</f>
        <v>0</v>
      </c>
      <c r="U44" t="e">
        <f>T44/R44</f>
        <v>#DIV/0!</v>
      </c>
      <c r="W44">
        <v>0</v>
      </c>
      <c r="X44">
        <f>V44-W44</f>
        <v>0</v>
      </c>
      <c r="Y44" t="e">
        <f>X44/V44</f>
        <v>#DIV/0!</v>
      </c>
      <c r="Z44">
        <v>1</v>
      </c>
      <c r="AA44" t="e">
        <f>(E44-K44-S44)/W44</f>
        <v>#DIV/0!</v>
      </c>
      <c r="AB44" t="e">
        <f>(D44-J44-R44)/V44</f>
        <v>#DIV/0!</v>
      </c>
      <c r="AC44" t="e">
        <f>(E44-K44-S44)/E44</f>
        <v>#DIV/0!</v>
      </c>
      <c r="AD44" t="e">
        <f>SUM(D44-H44)/D44</f>
        <v>#DIV/0!</v>
      </c>
      <c r="AK44">
        <f>SUM(AK39,AK40,AK41,AK42,AK43)</f>
        <v>0</v>
      </c>
      <c r="AL44">
        <f>SUM(AL39,AL40,AL41,AL42,AL43)</f>
        <v>0</v>
      </c>
    </row>
    <row r="46">
      <c r="A46">
        <f>'Main Sheet'!A16</f>
        <v>8887</v>
      </c>
      <c r="B46" t="str">
        <f>'Main Sheet'!B16</f>
        <v>Tenancy 2 - Fisher Fit out</v>
      </c>
      <c r="C46" t="str">
        <v>Start of month</v>
      </c>
      <c r="D46">
        <v>7495.54</v>
      </c>
      <c r="E46">
        <v>0</v>
      </c>
      <c r="F46">
        <f>D46-E46</f>
        <v>7495.54</v>
      </c>
      <c r="G46">
        <f>F46/D46</f>
        <v>1</v>
      </c>
      <c r="H46">
        <v>5659.85</v>
      </c>
      <c r="I46">
        <v>0</v>
      </c>
      <c r="J46">
        <f>SUM(H46-R46)</f>
        <v>3768.0300000000007</v>
      </c>
      <c r="K46">
        <f>SUM(I46-S46)</f>
        <v>0</v>
      </c>
      <c r="L46">
        <f>J46-K46</f>
        <v>3768.0300000000007</v>
      </c>
      <c r="M46">
        <f>L46/J46</f>
        <v>1</v>
      </c>
      <c r="N46">
        <v>0</v>
      </c>
      <c r="R46">
        <v>1891.82</v>
      </c>
      <c r="S46">
        <v>0</v>
      </c>
      <c r="T46">
        <f>R46-S46</f>
        <v>1891.82</v>
      </c>
      <c r="U46">
        <f>T46/R46</f>
        <v>1</v>
      </c>
      <c r="V46">
        <v>37.84</v>
      </c>
      <c r="W46">
        <v>0</v>
      </c>
      <c r="X46">
        <f>V46-W46</f>
        <v>37.84</v>
      </c>
      <c r="Y46">
        <f>X46/V46</f>
        <v>1</v>
      </c>
      <c r="Z46">
        <v>0</v>
      </c>
      <c r="AA46" t="e">
        <f>(E46-K46-S46)/W46</f>
        <v>#DIV/0!</v>
      </c>
      <c r="AB46">
        <f>(D46-J46-R46)/V46</f>
        <v>48.51189217758983</v>
      </c>
      <c r="AC46" t="e">
        <f>(E46-K46-S46)/E46</f>
        <v>#DIV/0!</v>
      </c>
      <c r="AD46">
        <f>SUM(D46-H46)/D46</f>
        <v>0.2449043030922388</v>
      </c>
      <c r="AG46" t="str">
        <v>Hours calc for monthly claims</v>
      </c>
      <c r="AH46">
        <f>AK51</f>
        <v>0</v>
      </c>
      <c r="AK46">
        <f>SUM(W47-W46)</f>
        <v>0</v>
      </c>
      <c r="AL46">
        <f>SUM(K47-K46)</f>
        <v>0</v>
      </c>
    </row>
    <row r="47">
      <c r="C47" t="str">
        <v>Week 1</v>
      </c>
      <c r="D47">
        <v>7495.54</v>
      </c>
      <c r="E47">
        <v>0</v>
      </c>
      <c r="F47">
        <f>D47-E47</f>
        <v>7495.54</v>
      </c>
      <c r="G47">
        <f>F47/D47</f>
        <v>1</v>
      </c>
      <c r="H47">
        <v>5659.85</v>
      </c>
      <c r="I47">
        <v>0</v>
      </c>
      <c r="J47">
        <f>SUM(H47-R47)</f>
        <v>3768.0300000000007</v>
      </c>
      <c r="K47">
        <f>SUM(I47-S47)</f>
        <v>0</v>
      </c>
      <c r="L47">
        <f>J47-K47</f>
        <v>3768.0300000000007</v>
      </c>
      <c r="M47">
        <f>L47/J47</f>
        <v>1</v>
      </c>
      <c r="N47">
        <v>0</v>
      </c>
      <c r="R47">
        <v>1891.82</v>
      </c>
      <c r="S47">
        <v>0</v>
      </c>
      <c r="T47">
        <f>R47-S47</f>
        <v>1891.82</v>
      </c>
      <c r="U47">
        <f>T47/R47</f>
        <v>1</v>
      </c>
      <c r="V47">
        <v>37.84</v>
      </c>
      <c r="W47">
        <v>0</v>
      </c>
      <c r="X47">
        <f>V47-W47</f>
        <v>37.84</v>
      </c>
      <c r="Y47">
        <f>X47/V47</f>
        <v>1</v>
      </c>
      <c r="Z47">
        <v>0</v>
      </c>
      <c r="AA47" t="e">
        <f>(E47-K47-S47)/W47</f>
        <v>#DIV/0!</v>
      </c>
      <c r="AB47">
        <f>(D47-J47-R47)/V47</f>
        <v>48.51189217758983</v>
      </c>
      <c r="AC47" t="e">
        <f>(E47-K47-S47)/E47</f>
        <v>#DIV/0!</v>
      </c>
      <c r="AD47">
        <f>SUM(D47-H47)/D47</f>
        <v>0.2449043030922388</v>
      </c>
      <c r="AG47" t="str">
        <v>Materials calc for monthly claims</v>
      </c>
      <c r="AH47">
        <f>AL51</f>
        <v>0</v>
      </c>
      <c r="AK47">
        <f>SUM(W48-W47)</f>
        <v>0</v>
      </c>
      <c r="AL47">
        <f>SUM(K48-K47)</f>
        <v>0</v>
      </c>
    </row>
    <row r="48">
      <c r="C48" t="str">
        <v>Week 2</v>
      </c>
      <c r="D48">
        <v>7495.54</v>
      </c>
      <c r="E48">
        <v>0</v>
      </c>
      <c r="F48">
        <f>D48-E48</f>
        <v>7495.54</v>
      </c>
      <c r="G48">
        <f>F48/D48</f>
        <v>1</v>
      </c>
      <c r="H48">
        <v>5659.85</v>
      </c>
      <c r="I48">
        <v>0</v>
      </c>
      <c r="J48">
        <f>SUM(H48-R48)</f>
        <v>3768.0300000000007</v>
      </c>
      <c r="K48">
        <f>SUM(I48-S48)</f>
        <v>0</v>
      </c>
      <c r="L48">
        <f>J48-K48</f>
        <v>3768.0300000000007</v>
      </c>
      <c r="M48">
        <f>L48/J48</f>
        <v>1</v>
      </c>
      <c r="N48">
        <v>0</v>
      </c>
      <c r="R48">
        <v>1891.82</v>
      </c>
      <c r="S48">
        <v>0</v>
      </c>
      <c r="T48">
        <f>R48-S48</f>
        <v>1891.82</v>
      </c>
      <c r="U48">
        <f>T48/R48</f>
        <v>1</v>
      </c>
      <c r="V48">
        <v>37.84</v>
      </c>
      <c r="W48">
        <v>0</v>
      </c>
      <c r="X48">
        <f>V48-W48</f>
        <v>37.84</v>
      </c>
      <c r="Y48">
        <f>X48/V48</f>
        <v>1</v>
      </c>
      <c r="Z48">
        <v>0</v>
      </c>
      <c r="AA48" t="e">
        <f>(E48-K48-S48)/W48</f>
        <v>#DIV/0!</v>
      </c>
      <c r="AB48">
        <f>(D48-J48-R48)/V48</f>
        <v>48.51189217758983</v>
      </c>
      <c r="AC48" t="e">
        <f>(E48-K48-S48)/E48</f>
        <v>#DIV/0!</v>
      </c>
      <c r="AD48">
        <f>SUM(D48-H48)/D48</f>
        <v>0.2449043030922388</v>
      </c>
      <c r="AK48">
        <f>SUM(W49-W48)</f>
        <v>0</v>
      </c>
      <c r="AL48">
        <f>SUM(K49-K48)</f>
        <v>0</v>
      </c>
    </row>
    <row r="49">
      <c r="C49" t="str">
        <v>Week 3</v>
      </c>
      <c r="E49">
        <v>0</v>
      </c>
      <c r="F49">
        <f>D49-E49</f>
        <v>0</v>
      </c>
      <c r="G49" t="e">
        <f>F49/D49</f>
        <v>#DIV/0!</v>
      </c>
      <c r="J49">
        <f>SUM(H49-R49)</f>
        <v>0</v>
      </c>
      <c r="K49">
        <f>SUM(I49-S49)</f>
        <v>0</v>
      </c>
      <c r="L49">
        <f>J49-K49</f>
        <v>0</v>
      </c>
      <c r="M49" t="e">
        <f>L49/J49</f>
        <v>#DIV/0!</v>
      </c>
      <c r="N49">
        <v>0</v>
      </c>
      <c r="S49">
        <v>0</v>
      </c>
      <c r="T49">
        <f>R49-S49</f>
        <v>0</v>
      </c>
      <c r="U49" t="e">
        <f>T49/R49</f>
        <v>#DIV/0!</v>
      </c>
      <c r="W49">
        <v>0</v>
      </c>
      <c r="X49">
        <f>V49-W49</f>
        <v>0</v>
      </c>
      <c r="Y49" t="e">
        <f>X49/V49</f>
        <v>#DIV/0!</v>
      </c>
      <c r="AA49" t="e">
        <f>(E49-K49-S49)/W49</f>
        <v>#DIV/0!</v>
      </c>
      <c r="AB49" t="e">
        <f>(D49-J49-R49)/V49</f>
        <v>#DIV/0!</v>
      </c>
      <c r="AC49" t="e">
        <f>(E49-K49-S49)/E49</f>
        <v>#DIV/0!</v>
      </c>
      <c r="AD49" t="e">
        <f>SUM(D49-H49)/D49</f>
        <v>#DIV/0!</v>
      </c>
      <c r="AG49" t="str">
        <v>Estimated months claim</v>
      </c>
      <c r="AH49">
        <v>0</v>
      </c>
      <c r="AK49">
        <f>SUM(W50-W49)</f>
        <v>0</v>
      </c>
      <c r="AL49">
        <f>SUM(K50-K49)</f>
        <v>0</v>
      </c>
    </row>
    <row r="50">
      <c r="C50" t="str">
        <v>Week 4</v>
      </c>
      <c r="E50">
        <v>0</v>
      </c>
      <c r="F50">
        <f>D50-E50</f>
        <v>0</v>
      </c>
      <c r="G50" t="e">
        <f>F50/D50</f>
        <v>#DIV/0!</v>
      </c>
      <c r="J50">
        <f>SUM(H50-R50)</f>
        <v>0</v>
      </c>
      <c r="K50">
        <f>SUM(I50-S50)</f>
        <v>0</v>
      </c>
      <c r="L50">
        <f>J50-K50</f>
        <v>0</v>
      </c>
      <c r="M50" t="e">
        <f>L50/J50</f>
        <v>#DIV/0!</v>
      </c>
      <c r="N50">
        <v>0</v>
      </c>
      <c r="S50">
        <v>0</v>
      </c>
      <c r="T50">
        <f>R50-S50</f>
        <v>0</v>
      </c>
      <c r="U50" t="e">
        <f>T50/R50</f>
        <v>#DIV/0!</v>
      </c>
      <c r="W50">
        <v>0</v>
      </c>
      <c r="X50">
        <f>V50-W50</f>
        <v>0</v>
      </c>
      <c r="Y50" t="e">
        <f>X50/V50</f>
        <v>#DIV/0!</v>
      </c>
      <c r="AA50" t="e">
        <f>(E50-K50-S50)/W50</f>
        <v>#DIV/0!</v>
      </c>
      <c r="AB50" t="e">
        <f>(D50-J50-R50)/V50</f>
        <v>#DIV/0!</v>
      </c>
      <c r="AC50" t="e">
        <f>(E50-K50-S50)/E50</f>
        <v>#DIV/0!</v>
      </c>
      <c r="AD50" t="e">
        <f>SUM(D50-H50)/D50</f>
        <v>#DIV/0!</v>
      </c>
      <c r="AK50">
        <f>SUM(W51-W50)</f>
        <v>0</v>
      </c>
      <c r="AL50">
        <f>SUM(K51-K50)</f>
        <v>0</v>
      </c>
    </row>
    <row r="51">
      <c r="C51" t="str">
        <v>Week 5</v>
      </c>
      <c r="E51">
        <v>0</v>
      </c>
      <c r="F51">
        <f>D51-E51</f>
        <v>0</v>
      </c>
      <c r="G51" t="e">
        <f>F51/D51</f>
        <v>#DIV/0!</v>
      </c>
      <c r="J51">
        <f>SUM(H51-R51)</f>
        <v>0</v>
      </c>
      <c r="K51">
        <f>SUM(I51-S51)</f>
        <v>0</v>
      </c>
      <c r="L51">
        <f>J51-K51</f>
        <v>0</v>
      </c>
      <c r="M51" t="e">
        <f>L51/J51</f>
        <v>#DIV/0!</v>
      </c>
      <c r="N51">
        <v>0</v>
      </c>
      <c r="S51">
        <v>0</v>
      </c>
      <c r="T51">
        <f>R51-S51</f>
        <v>0</v>
      </c>
      <c r="U51" t="e">
        <f>T51/R51</f>
        <v>#DIV/0!</v>
      </c>
      <c r="W51">
        <v>0</v>
      </c>
      <c r="X51">
        <f>V51-W51</f>
        <v>0</v>
      </c>
      <c r="Y51" t="e">
        <f>X51/V51</f>
        <v>#DIV/0!</v>
      </c>
      <c r="AA51" t="e">
        <f>(E51-K51-S51)/W51</f>
        <v>#DIV/0!</v>
      </c>
      <c r="AB51" t="e">
        <f>(D51-J51-R51)/V51</f>
        <v>#DIV/0!</v>
      </c>
      <c r="AC51" t="e">
        <f>(E51-K51-S51)/E51</f>
        <v>#DIV/0!</v>
      </c>
      <c r="AD51" t="e">
        <f>SUM(D51-H51)/D51</f>
        <v>#DIV/0!</v>
      </c>
      <c r="AK51">
        <f>SUM(AK46,AK47,AK48,AK49,AK50)</f>
        <v>0</v>
      </c>
      <c r="AL51">
        <f>SUM(AL46,AL47,AL48,AL49,AL50)</f>
        <v>0</v>
      </c>
    </row>
    <row r="53">
      <c r="A53">
        <f>'Main Sheet'!A18</f>
        <v>8670</v>
      </c>
      <c r="B53" t="str">
        <f>'Main Sheet'!B18</f>
        <v>Studio DB - tautara fit out</v>
      </c>
      <c r="C53" t="str">
        <v>Start of month</v>
      </c>
      <c r="D53">
        <v>100348.26</v>
      </c>
      <c r="E53">
        <v>91153</v>
      </c>
      <c r="F53">
        <f>D53-E53</f>
        <v>9195.259999999995</v>
      </c>
      <c r="G53">
        <f>F53/D53</f>
        <v>0.09163347725212172</v>
      </c>
      <c r="H53">
        <v>79103.46</v>
      </c>
      <c r="I53">
        <v>64224.89</v>
      </c>
      <c r="J53">
        <f>SUM(H53-R53)</f>
        <v>62144.61000000001</v>
      </c>
      <c r="K53">
        <f>SUM(I53-S53)</f>
        <v>54357.06</v>
      </c>
      <c r="L53">
        <f>J53-K53</f>
        <v>7787.55000000001</v>
      </c>
      <c r="M53">
        <f>L53/J53</f>
        <v>0.12531336185069</v>
      </c>
      <c r="N53">
        <v>0</v>
      </c>
      <c r="R53">
        <v>16958.85</v>
      </c>
      <c r="S53">
        <v>9867.83</v>
      </c>
      <c r="T53">
        <f>R53-S53</f>
        <v>7091.019999999999</v>
      </c>
      <c r="U53">
        <f>T53/R53</f>
        <v>0.4181309463790292</v>
      </c>
      <c r="V53">
        <v>340.12</v>
      </c>
      <c r="W53">
        <v>262</v>
      </c>
      <c r="X53">
        <f>V53-W53</f>
        <v>78.12</v>
      </c>
      <c r="Y53">
        <f>X53/V53</f>
        <v>0.2296836410678584</v>
      </c>
      <c r="Z53">
        <v>0</v>
      </c>
      <c r="AA53">
        <f>(E53-K53-S53)/W53</f>
        <v>102.77904580152672</v>
      </c>
      <c r="AB53">
        <f>(D53-J53-R53)/V53</f>
        <v>62.46266023756318</v>
      </c>
      <c r="AC53">
        <f>(E53-K53-S53)/E53</f>
        <v>0.29541660724276764</v>
      </c>
      <c r="AD53">
        <f>SUM(D53-H53)/D53</f>
        <v>0.21171069632896464</v>
      </c>
      <c r="AG53" t="str">
        <v>Hours calc for monthly claims</v>
      </c>
      <c r="AH53">
        <f>AK58</f>
        <v>-262</v>
      </c>
      <c r="AK53">
        <f>SUM(W54-W53)</f>
        <v>10</v>
      </c>
      <c r="AL53">
        <f>SUM(K54-K53)</f>
        <v>1582.9199999999983</v>
      </c>
    </row>
    <row r="54">
      <c r="C54" t="str">
        <v>Week 1</v>
      </c>
      <c r="D54">
        <v>100348.26</v>
      </c>
      <c r="E54">
        <v>91153</v>
      </c>
      <c r="F54">
        <f>D54-E54</f>
        <v>9195.259999999995</v>
      </c>
      <c r="G54">
        <f>F54/D54</f>
        <v>0.09163347725212172</v>
      </c>
      <c r="H54">
        <v>79103.46</v>
      </c>
      <c r="I54">
        <v>66212.81</v>
      </c>
      <c r="J54">
        <f>SUM(H54-R54)</f>
        <v>62144.61000000001</v>
      </c>
      <c r="K54">
        <f>SUM(I54-S54)</f>
        <v>55939.979999999996</v>
      </c>
      <c r="L54">
        <f>J54-K54</f>
        <v>6204.630000000012</v>
      </c>
      <c r="M54">
        <f>L54/J54</f>
        <v>0.09984180446220535</v>
      </c>
      <c r="R54">
        <v>16958.85</v>
      </c>
      <c r="S54">
        <v>10272.83</v>
      </c>
      <c r="T54">
        <f>R54-S54</f>
        <v>6686.019999999999</v>
      </c>
      <c r="U54">
        <f>T54/R54</f>
        <v>0.3942496100855895</v>
      </c>
      <c r="V54">
        <v>340.12</v>
      </c>
      <c r="W54">
        <v>272</v>
      </c>
      <c r="X54">
        <f>V54-W54</f>
        <v>68.12</v>
      </c>
      <c r="Y54">
        <f>X54/V54</f>
        <v>0.20028225332235683</v>
      </c>
      <c r="AA54">
        <f>(E54-K54-S54)/W54</f>
        <v>91.69187500000001</v>
      </c>
      <c r="AB54">
        <f>(D54-J54-R54)/V54</f>
        <v>62.46266023756318</v>
      </c>
      <c r="AC54">
        <f>(E54-K54-S54)/E54</f>
        <v>0.27360799973670646</v>
      </c>
      <c r="AD54">
        <f>SUM(D54-H54)/D54</f>
        <v>0.21171069632896464</v>
      </c>
      <c r="AG54" t="str">
        <v>Materials calc for monthly claims</v>
      </c>
      <c r="AH54">
        <f>AL58</f>
        <v>-54357.06</v>
      </c>
      <c r="AK54">
        <f>SUM(W55-W54)</f>
        <v>44.25</v>
      </c>
      <c r="AL54">
        <f>SUM(K55-K54)</f>
        <v>218.20000000000437</v>
      </c>
    </row>
    <row r="55">
      <c r="C55" t="str">
        <v>Week 2</v>
      </c>
      <c r="D55">
        <v>100348.26</v>
      </c>
      <c r="E55">
        <v>91153</v>
      </c>
      <c r="F55">
        <f>D55-E55</f>
        <v>9195.259999999995</v>
      </c>
      <c r="G55">
        <f>F55/D55</f>
        <v>0.09163347725212172</v>
      </c>
      <c r="H55">
        <v>79103.46</v>
      </c>
      <c r="I55">
        <v>68039.14</v>
      </c>
      <c r="J55">
        <f>SUM(H55-R55)</f>
        <v>62144.61000000001</v>
      </c>
      <c r="K55">
        <f>SUM(I55-S55)</f>
        <v>56158.18</v>
      </c>
      <c r="L55">
        <f>J55-K55</f>
        <v>5986.430000000008</v>
      </c>
      <c r="M55">
        <f>L55/J55</f>
        <v>0.09633063913346639</v>
      </c>
      <c r="R55">
        <v>16958.85</v>
      </c>
      <c r="S55">
        <v>11880.96</v>
      </c>
      <c r="T55">
        <f>R55-S55</f>
        <v>5077.889999999999</v>
      </c>
      <c r="U55">
        <f>T55/R55</f>
        <v>0.2994241944471471</v>
      </c>
      <c r="V55">
        <v>340.12</v>
      </c>
      <c r="W55">
        <v>316.25</v>
      </c>
      <c r="X55">
        <f>V55-W55</f>
        <v>23.870000000000005</v>
      </c>
      <c r="Y55">
        <f>X55/V55</f>
        <v>0.07018111254851231</v>
      </c>
      <c r="AA55">
        <f>(E55-K55-S55)/W55</f>
        <v>73.08730434782609</v>
      </c>
      <c r="AB55">
        <f>(D55-J55-R55)/V55</f>
        <v>62.46266023756318</v>
      </c>
      <c r="AC55">
        <f>(E55-K55-S55)/E55</f>
        <v>0.2535721259859796</v>
      </c>
      <c r="AD55">
        <f>SUM(D55-H55)/D55</f>
        <v>0.21171069632896464</v>
      </c>
      <c r="AK55">
        <f>SUM(W56-W55)</f>
        <v>-316.25</v>
      </c>
      <c r="AL55">
        <f>SUM(K56-K55)</f>
        <v>-56158.18</v>
      </c>
    </row>
    <row r="56">
      <c r="C56" t="str">
        <v>Week 3</v>
      </c>
      <c r="F56">
        <f>D56-E56</f>
        <v>0</v>
      </c>
      <c r="G56" t="e">
        <f>F56/D56</f>
        <v>#DIV/0!</v>
      </c>
      <c r="J56">
        <f>SUM(H56-R56)</f>
        <v>0</v>
      </c>
      <c r="K56">
        <f>SUM(I56-S56)</f>
        <v>0</v>
      </c>
      <c r="L56">
        <f>J56-K56</f>
        <v>0</v>
      </c>
      <c r="M56" t="e">
        <f>L56/J56</f>
        <v>#DIV/0!</v>
      </c>
      <c r="T56">
        <f>R56-S56</f>
        <v>0</v>
      </c>
      <c r="U56" t="e">
        <f>T56/R56</f>
        <v>#DIV/0!</v>
      </c>
      <c r="X56">
        <f>V56-W56</f>
        <v>0</v>
      </c>
      <c r="Y56" t="e">
        <f>X56/V56</f>
        <v>#DIV/0!</v>
      </c>
      <c r="AA56" t="e">
        <f>(E56-K56-S56)/W56</f>
        <v>#DIV/0!</v>
      </c>
      <c r="AB56" t="e">
        <f>(D56-J56-R56)/V56</f>
        <v>#DIV/0!</v>
      </c>
      <c r="AC56" t="e">
        <f>(E56-K56-S56)/E56</f>
        <v>#DIV/0!</v>
      </c>
      <c r="AD56" t="e">
        <f>SUM(D56-H56)/D56</f>
        <v>#DIV/0!</v>
      </c>
      <c r="AG56" t="str">
        <v>Estimated months claim</v>
      </c>
      <c r="AH56">
        <v>0</v>
      </c>
      <c r="AK56">
        <f>SUM(W57-W56)</f>
        <v>0</v>
      </c>
      <c r="AL56">
        <f>SUM(K57-K56)</f>
        <v>0</v>
      </c>
    </row>
    <row r="57">
      <c r="C57" t="str">
        <v>Week 4</v>
      </c>
      <c r="F57">
        <f>D57-E57</f>
        <v>0</v>
      </c>
      <c r="G57" t="e">
        <f>F57/D57</f>
        <v>#DIV/0!</v>
      </c>
      <c r="J57">
        <f>SUM(H57-R57)</f>
        <v>0</v>
      </c>
      <c r="K57">
        <f>SUM(I57-S57)</f>
        <v>0</v>
      </c>
      <c r="L57">
        <f>J57-K57</f>
        <v>0</v>
      </c>
      <c r="M57" t="e">
        <f>L57/J57</f>
        <v>#DIV/0!</v>
      </c>
      <c r="T57">
        <f>R57-S57</f>
        <v>0</v>
      </c>
      <c r="U57" t="e">
        <f>T57/R57</f>
        <v>#DIV/0!</v>
      </c>
      <c r="X57">
        <f>V57-W57</f>
        <v>0</v>
      </c>
      <c r="Y57" t="e">
        <f>X57/V57</f>
        <v>#DIV/0!</v>
      </c>
      <c r="AA57" t="e">
        <f>(E57-K57-S57)/W57</f>
        <v>#DIV/0!</v>
      </c>
      <c r="AB57" t="e">
        <f>(D57-J57-R57)/V57</f>
        <v>#DIV/0!</v>
      </c>
      <c r="AC57" t="e">
        <f>(E57-K57-S57)/E57</f>
        <v>#DIV/0!</v>
      </c>
      <c r="AD57" t="e">
        <f>SUM(D57-H57)/D57</f>
        <v>#DIV/0!</v>
      </c>
      <c r="AK57">
        <f>SUM(W58-W57)</f>
        <v>0</v>
      </c>
      <c r="AL57">
        <f>SUM(K58-K57)</f>
        <v>0</v>
      </c>
    </row>
    <row r="58">
      <c r="C58" t="str">
        <v>Week 5</v>
      </c>
      <c r="F58">
        <f>D58-E58</f>
        <v>0</v>
      </c>
      <c r="G58" t="e">
        <f>F58/D58</f>
        <v>#DIV/0!</v>
      </c>
      <c r="J58">
        <f>SUM(H58-R58)</f>
        <v>0</v>
      </c>
      <c r="K58">
        <f>SUM(I58-S58)</f>
        <v>0</v>
      </c>
      <c r="L58">
        <f>J58-K58</f>
        <v>0</v>
      </c>
      <c r="M58" t="e">
        <f>L58/J58</f>
        <v>#DIV/0!</v>
      </c>
      <c r="N58">
        <v>0.9</v>
      </c>
      <c r="T58">
        <f>R58-S58</f>
        <v>0</v>
      </c>
      <c r="U58" t="e">
        <f>T58/R58</f>
        <v>#DIV/0!</v>
      </c>
      <c r="X58">
        <f>V58-W58</f>
        <v>0</v>
      </c>
      <c r="Y58" t="e">
        <f>X58/V58</f>
        <v>#DIV/0!</v>
      </c>
      <c r="Z58">
        <v>0.9</v>
      </c>
      <c r="AA58" t="e">
        <f>(E58-K58-S58)/W58</f>
        <v>#DIV/0!</v>
      </c>
      <c r="AB58" t="e">
        <f>(D58-J58-R58)/V58</f>
        <v>#DIV/0!</v>
      </c>
      <c r="AC58" t="e">
        <f>(E58-K58-S58)/E58</f>
        <v>#DIV/0!</v>
      </c>
      <c r="AD58" t="e">
        <f>SUM(D58-H58)/D58</f>
        <v>#DIV/0!</v>
      </c>
      <c r="AK58">
        <f>SUM(AK53,AK54,AK55,AK56,AK57)</f>
        <v>-262</v>
      </c>
      <c r="AL58">
        <f>SUM(AL53,AL54,AL55,AL56,AL57)</f>
        <v>-54357.06</v>
      </c>
    </row>
    <row r="60">
      <c r="A60">
        <f>'Main Sheet'!A20</f>
        <v>8907</v>
      </c>
      <c r="B60" t="str">
        <f>'Main Sheet'!B20</f>
        <v>35 Mania</v>
      </c>
      <c r="C60" t="str">
        <v>Start of month</v>
      </c>
      <c r="D60">
        <v>98524.85</v>
      </c>
      <c r="E60">
        <v>42682.56</v>
      </c>
      <c r="F60">
        <f>D60-E60</f>
        <v>55842.29000000001</v>
      </c>
      <c r="G60">
        <f>F60/D60</f>
        <v>0.5667838113937753</v>
      </c>
      <c r="H60">
        <v>82927.42</v>
      </c>
      <c r="I60">
        <v>59094.67</v>
      </c>
      <c r="J60">
        <f>SUM(H60-R60)</f>
        <v>64755.28999999999</v>
      </c>
      <c r="K60">
        <f>SUM(I60-S60)</f>
        <v>50345.39</v>
      </c>
      <c r="L60">
        <f>J60-K60</f>
        <v>14409.899999999994</v>
      </c>
      <c r="M60">
        <f>L60/J60</f>
        <v>0.222528537822933</v>
      </c>
      <c r="R60">
        <v>18172.13</v>
      </c>
      <c r="S60">
        <v>8749.28</v>
      </c>
      <c r="T60">
        <f>R60-S60</f>
        <v>9422.85</v>
      </c>
      <c r="U60">
        <f>T60/R60</f>
        <v>0.5185330503358715</v>
      </c>
      <c r="V60">
        <v>363.99</v>
      </c>
      <c r="W60">
        <v>218.25</v>
      </c>
      <c r="X60">
        <f>V60-W60</f>
        <v>145.74</v>
      </c>
      <c r="Y60">
        <f>X60/V60</f>
        <v>0.4003956152641556</v>
      </c>
      <c r="Z60">
        <v>0</v>
      </c>
      <c r="AA60">
        <f>(E60-K60-S60)/W60</f>
        <v>-75.19867124856816</v>
      </c>
      <c r="AB60">
        <f>(D60-J60-R60)/V60</f>
        <v>42.85125964999041</v>
      </c>
      <c r="AC60">
        <f>(E60-K60-S60)/E60</f>
        <v>-0.38451559606546565</v>
      </c>
      <c r="AD60">
        <f>SUM(D60-H60)/D60</f>
        <v>0.15830960412525374</v>
      </c>
      <c r="AG60" t="str">
        <v>Hours calc for monthly claims</v>
      </c>
      <c r="AH60">
        <f>AK65</f>
        <v>-218.25</v>
      </c>
      <c r="AK60">
        <f>SUM(W61-W60)</f>
        <v>163.25</v>
      </c>
      <c r="AL60">
        <f>SUM(K61-K60)</f>
        <v>7441.380000000005</v>
      </c>
    </row>
    <row r="61">
      <c r="C61" t="str">
        <v>Week 1</v>
      </c>
      <c r="D61">
        <v>98524.85</v>
      </c>
      <c r="E61">
        <v>93329.71</v>
      </c>
      <c r="F61">
        <f>D61-E61</f>
        <v>5195.139999999999</v>
      </c>
      <c r="G61">
        <f>F61/D61</f>
        <v>0.05272923531474546</v>
      </c>
      <c r="H61">
        <v>82927.42</v>
      </c>
      <c r="I61">
        <v>73161.13</v>
      </c>
      <c r="J61">
        <f>SUM(H61-R61)</f>
        <v>64755.28999999999</v>
      </c>
      <c r="K61">
        <f>SUM(I61-S61)</f>
        <v>57786.770000000004</v>
      </c>
      <c r="L61">
        <f>J61-K61</f>
        <v>6968.5199999999895</v>
      </c>
      <c r="M61">
        <f>L61/J61</f>
        <v>0.10761313863315244</v>
      </c>
      <c r="R61">
        <v>18172.13</v>
      </c>
      <c r="S61">
        <v>15374.36</v>
      </c>
      <c r="T61">
        <f>R61-S61</f>
        <v>2797.7700000000004</v>
      </c>
      <c r="U61">
        <f>T61/R61</f>
        <v>0.15395938725950123</v>
      </c>
      <c r="V61">
        <v>363.99</v>
      </c>
      <c r="W61">
        <v>381.5</v>
      </c>
      <c r="X61">
        <f>V61-W61</f>
        <v>-17.50999999999999</v>
      </c>
      <c r="Y61">
        <f>X61/V61</f>
        <v>-0.04810571719003267</v>
      </c>
      <c r="Z61">
        <v>0.2</v>
      </c>
      <c r="AA61">
        <f>(E61-K61-S61)/W61</f>
        <v>52.86652686762779</v>
      </c>
      <c r="AB61">
        <f>(D61-J61-R61)/V61</f>
        <v>42.85125964999041</v>
      </c>
      <c r="AC61">
        <f>(E61-K61-S61)/E61</f>
        <v>0.21610031789448397</v>
      </c>
      <c r="AD61">
        <f>SUM(D61-H61)/D61</f>
        <v>0.15830960412525374</v>
      </c>
      <c r="AG61" t="str">
        <v>Materials calc for monthly claims</v>
      </c>
      <c r="AH61">
        <f>AL65</f>
        <v>-50345.39</v>
      </c>
      <c r="AK61">
        <f>SUM(W62-W61)</f>
        <v>2</v>
      </c>
      <c r="AL61">
        <f>SUM(K62-K61)</f>
        <v>728.0999999999985</v>
      </c>
    </row>
    <row r="62">
      <c r="C62" t="str">
        <v>Week 2</v>
      </c>
      <c r="D62">
        <v>98524.85</v>
      </c>
      <c r="E62">
        <v>93329.71</v>
      </c>
      <c r="F62">
        <f>D62-E62</f>
        <v>5195.139999999999</v>
      </c>
      <c r="G62">
        <f>F62/D62</f>
        <v>0.05272923531474546</v>
      </c>
      <c r="H62">
        <v>82927.42</v>
      </c>
      <c r="I62">
        <v>73980.77</v>
      </c>
      <c r="J62">
        <f>SUM(H62-R62)</f>
        <v>64755.28999999999</v>
      </c>
      <c r="K62">
        <f>SUM(I62-S62)</f>
        <v>58514.87</v>
      </c>
      <c r="L62">
        <f>J62-K62</f>
        <v>6240.419999999991</v>
      </c>
      <c r="M62">
        <f>L62/J62</f>
        <v>0.09636926959944109</v>
      </c>
      <c r="R62">
        <v>18172.13</v>
      </c>
      <c r="S62">
        <v>15465.9</v>
      </c>
      <c r="T62">
        <f>R62-S62</f>
        <v>2706.2300000000014</v>
      </c>
      <c r="U62">
        <f>T62/R62</f>
        <v>0.14892200308934622</v>
      </c>
      <c r="V62">
        <v>363.99</v>
      </c>
      <c r="W62">
        <v>383.5</v>
      </c>
      <c r="X62">
        <f>V62-W62</f>
        <v>-19.50999999999999</v>
      </c>
      <c r="Y62">
        <f>X62/V62</f>
        <v>-0.053600373636638346</v>
      </c>
      <c r="Z62">
        <v>0.25</v>
      </c>
      <c r="AA62">
        <f>(E62-K62-S62)/W62</f>
        <v>50.453559322033904</v>
      </c>
      <c r="AB62">
        <f>(D62-J62-R62)/V62</f>
        <v>42.85125964999041</v>
      </c>
      <c r="AC62">
        <f>(E62-K62-S62)/E62</f>
        <v>0.20731811981415138</v>
      </c>
      <c r="AD62">
        <f>SUM(D62-H62)/D62</f>
        <v>0.15830960412525374</v>
      </c>
      <c r="AK62">
        <f>SUM(W63-W62)</f>
        <v>-383.5</v>
      </c>
      <c r="AL62">
        <f>SUM(K63-K62)</f>
        <v>-58514.87</v>
      </c>
    </row>
    <row r="63">
      <c r="C63" t="str">
        <v>Week 3</v>
      </c>
      <c r="F63">
        <f>D63-E63</f>
        <v>0</v>
      </c>
      <c r="G63" t="e">
        <f>F63/D63</f>
        <v>#DIV/0!</v>
      </c>
      <c r="J63">
        <f>SUM(H63-R63)</f>
        <v>0</v>
      </c>
      <c r="K63">
        <f>SUM(I63-S63)</f>
        <v>0</v>
      </c>
      <c r="L63">
        <f>J63-K63</f>
        <v>0</v>
      </c>
      <c r="M63" t="e">
        <f>L63/J63</f>
        <v>#DIV/0!</v>
      </c>
      <c r="N63">
        <v>0.05</v>
      </c>
      <c r="T63">
        <f>R63-S63</f>
        <v>0</v>
      </c>
      <c r="U63" t="e">
        <f>T63/R63</f>
        <v>#DIV/0!</v>
      </c>
      <c r="X63">
        <f>V63-W63</f>
        <v>0</v>
      </c>
      <c r="Y63" t="e">
        <f>X63/V63</f>
        <v>#DIV/0!</v>
      </c>
      <c r="Z63">
        <v>0.02</v>
      </c>
      <c r="AA63" t="e">
        <f>(E63-K63-S63)/W63</f>
        <v>#DIV/0!</v>
      </c>
      <c r="AB63" t="e">
        <f>(D63-J63-R63)/V63</f>
        <v>#DIV/0!</v>
      </c>
      <c r="AC63" t="e">
        <f>(E63-K63-S63)/E63</f>
        <v>#DIV/0!</v>
      </c>
      <c r="AD63" t="e">
        <f>SUM(D63-H63)/D63</f>
        <v>#DIV/0!</v>
      </c>
      <c r="AG63" t="str">
        <v>Estimated months claim</v>
      </c>
      <c r="AH63">
        <v>0</v>
      </c>
      <c r="AK63">
        <f>SUM(W64-W63)</f>
        <v>0</v>
      </c>
      <c r="AL63">
        <f>SUM(K64-K63)</f>
        <v>0</v>
      </c>
    </row>
    <row r="64">
      <c r="C64" t="str">
        <v>Week 4</v>
      </c>
      <c r="F64">
        <f>D64-E64</f>
        <v>0</v>
      </c>
      <c r="G64" t="e">
        <f>F64/D64</f>
        <v>#DIV/0!</v>
      </c>
      <c r="J64">
        <f>SUM(H64-R64)</f>
        <v>0</v>
      </c>
      <c r="K64">
        <f>SUM(I64-S64)</f>
        <v>0</v>
      </c>
      <c r="L64">
        <f>J64-K64</f>
        <v>0</v>
      </c>
      <c r="M64" t="e">
        <f>L64/J64</f>
        <v>#DIV/0!</v>
      </c>
      <c r="N64">
        <v>0.25</v>
      </c>
      <c r="T64">
        <f>R64-S64</f>
        <v>0</v>
      </c>
      <c r="U64" t="e">
        <f>T64/R64</f>
        <v>#DIV/0!</v>
      </c>
      <c r="X64">
        <f>V64-W64</f>
        <v>0</v>
      </c>
      <c r="Y64" t="e">
        <f>X64/V64</f>
        <v>#DIV/0!</v>
      </c>
      <c r="Z64">
        <v>0.1</v>
      </c>
      <c r="AA64" t="e">
        <f>(E64-K64-S64)/W64</f>
        <v>#DIV/0!</v>
      </c>
      <c r="AB64" t="e">
        <f>(D64-J64-R64)/V64</f>
        <v>#DIV/0!</v>
      </c>
      <c r="AC64" t="e">
        <f>(E64-K64-S64)/E64</f>
        <v>#DIV/0!</v>
      </c>
      <c r="AD64" t="e">
        <f>SUM(D64-H64)/D64</f>
        <v>#DIV/0!</v>
      </c>
      <c r="AK64">
        <f>SUM(W65-W64)</f>
        <v>0</v>
      </c>
      <c r="AL64">
        <f>SUM(K65-K64)</f>
        <v>0</v>
      </c>
    </row>
    <row r="65">
      <c r="C65" t="str">
        <v>Week 5</v>
      </c>
      <c r="F65">
        <f>D65-E65</f>
        <v>0</v>
      </c>
      <c r="G65" t="e">
        <f>F65/D65</f>
        <v>#DIV/0!</v>
      </c>
      <c r="J65">
        <f>SUM(H65-R65)</f>
        <v>0</v>
      </c>
      <c r="K65">
        <f>SUM(I65-S65)</f>
        <v>0</v>
      </c>
      <c r="L65">
        <f>J65-K65</f>
        <v>0</v>
      </c>
      <c r="M65" t="e">
        <f>L65/J65</f>
        <v>#DIV/0!</v>
      </c>
      <c r="N65">
        <v>0.95</v>
      </c>
      <c r="T65">
        <f>R65-S65</f>
        <v>0</v>
      </c>
      <c r="U65" t="e">
        <f>T65/R65</f>
        <v>#DIV/0!</v>
      </c>
      <c r="X65">
        <f>V65-W65</f>
        <v>0</v>
      </c>
      <c r="Y65" t="e">
        <f>X65/V65</f>
        <v>#DIV/0!</v>
      </c>
      <c r="Z65">
        <v>0.1</v>
      </c>
      <c r="AA65" t="e">
        <f>(E65-K65-S65)/W65</f>
        <v>#DIV/0!</v>
      </c>
      <c r="AB65" t="e">
        <f>(D65-J65-R65)/V65</f>
        <v>#DIV/0!</v>
      </c>
      <c r="AC65" t="e">
        <f>(E65-K65-S65)/E65</f>
        <v>#DIV/0!</v>
      </c>
      <c r="AD65" t="e">
        <f>SUM(D65-H65)/D65</f>
        <v>#DIV/0!</v>
      </c>
      <c r="AK65">
        <f>SUM(AK60,AK61,AK62,AK63,AK64)</f>
        <v>-218.25</v>
      </c>
      <c r="AL65">
        <f>SUM(AL60,AL61,AL62,AL63,AL64)</f>
        <v>-50345.39</v>
      </c>
    </row>
    <row r="67">
      <c r="A67">
        <f>'Main Sheet'!A22</f>
        <v>9065</v>
      </c>
      <c r="B67" t="str">
        <f>'Main Sheet'!B22</f>
        <v>Cooltranz stage 4</v>
      </c>
      <c r="C67" t="str">
        <v>Start of month</v>
      </c>
      <c r="D67">
        <v>87970.61</v>
      </c>
      <c r="E67">
        <v>48945.78</v>
      </c>
      <c r="F67">
        <f>D67-E67</f>
        <v>39024.83</v>
      </c>
      <c r="G67">
        <f>F67/D67</f>
        <v>0.4436121336432702</v>
      </c>
      <c r="H67">
        <v>68471.73</v>
      </c>
      <c r="I67">
        <v>49900.98</v>
      </c>
      <c r="J67">
        <f>SUM(H67-R67)</f>
        <v>52300.56</v>
      </c>
      <c r="K67">
        <f>SUM(I67-S67)</f>
        <v>37733.03</v>
      </c>
      <c r="L67">
        <f>J67-K67</f>
        <v>14567.529999999999</v>
      </c>
      <c r="M67">
        <f>L67/J67</f>
        <v>0.2785348761084011</v>
      </c>
      <c r="R67">
        <v>16171.17</v>
      </c>
      <c r="S67">
        <v>12167.95</v>
      </c>
      <c r="T67">
        <f>R67-S67</f>
        <v>4003.2199999999993</v>
      </c>
      <c r="U67">
        <f>T67/R67</f>
        <v>0.24755289815146334</v>
      </c>
      <c r="V67">
        <v>323.99</v>
      </c>
      <c r="W67">
        <v>350</v>
      </c>
      <c r="X67">
        <f>V67-W67</f>
        <v>-26.00999999999999</v>
      </c>
      <c r="Y67">
        <f>X67/V67</f>
        <v>-0.08028025556344329</v>
      </c>
      <c r="AA67">
        <f>(E67-K67-S67)/W67</f>
        <v>-2.7291428571428593</v>
      </c>
      <c r="AB67">
        <f>(D67-J67-R67)/V67</f>
        <v>60.18358591314548</v>
      </c>
      <c r="AC67">
        <f>(E67-K67-S67)/E67</f>
        <v>-0.019515472018220993</v>
      </c>
      <c r="AD67">
        <f>SUM(D67-H67)/D67</f>
        <v>0.2216522086183102</v>
      </c>
      <c r="AG67" t="str">
        <v>Hours calc for monthly claims</v>
      </c>
      <c r="AH67">
        <f>AK72</f>
        <v>-350</v>
      </c>
      <c r="AK67">
        <f>SUM(W68-W67)</f>
        <v>-39.5</v>
      </c>
      <c r="AL67">
        <f>SUM(K68-K67)</f>
        <v>321.1600000000035</v>
      </c>
    </row>
    <row r="68">
      <c r="C68" t="str">
        <v>Week 1</v>
      </c>
      <c r="D68">
        <v>87970.61</v>
      </c>
      <c r="E68">
        <v>85555.47</v>
      </c>
      <c r="F68">
        <f>D68-E68</f>
        <v>2415.1399999999994</v>
      </c>
      <c r="G68">
        <f>F68/D68</f>
        <v>0.027453941719853932</v>
      </c>
      <c r="H68">
        <v>68471.73</v>
      </c>
      <c r="I68">
        <v>50194.4</v>
      </c>
      <c r="J68">
        <f>SUM(H68-R68)</f>
        <v>52300.56</v>
      </c>
      <c r="K68">
        <f>SUM(I68-S68)</f>
        <v>38054.19</v>
      </c>
      <c r="L68">
        <f>J68-K68</f>
        <v>14246.369999999995</v>
      </c>
      <c r="M68">
        <f>L68/J68</f>
        <v>0.27239421528182484</v>
      </c>
      <c r="R68">
        <v>16171.17</v>
      </c>
      <c r="S68">
        <v>12140.21</v>
      </c>
      <c r="T68">
        <f>R68-S68</f>
        <v>4030.960000000001</v>
      </c>
      <c r="U68">
        <f>T68/R68</f>
        <v>0.24926829660438923</v>
      </c>
      <c r="V68">
        <v>323.99</v>
      </c>
      <c r="W68">
        <v>310.5</v>
      </c>
      <c r="X68">
        <f>V68-W68</f>
        <v>13.490000000000009</v>
      </c>
      <c r="Y68">
        <f>X68/V68</f>
        <v>0.041637087564431026</v>
      </c>
      <c r="Z68">
        <v>0.3</v>
      </c>
      <c r="AA68">
        <f>(E68-K68-S68)/W68</f>
        <v>113.88428341384864</v>
      </c>
      <c r="AB68">
        <f>(D68-J68-R68)/V68</f>
        <v>60.18358591314548</v>
      </c>
      <c r="AC68">
        <f>(E68-K68-S68)/E68</f>
        <v>0.4133116211038289</v>
      </c>
      <c r="AD68">
        <f>SUM(D68-H68)/D68</f>
        <v>0.2216522086183102</v>
      </c>
      <c r="AG68" t="str">
        <v>Materials calc for monthly claims</v>
      </c>
      <c r="AH68">
        <f>AL72</f>
        <v>-37733.03</v>
      </c>
      <c r="AK68">
        <f>SUM(W69-W68)</f>
        <v>-310.5</v>
      </c>
      <c r="AL68">
        <f>SUM(K69-K68)</f>
        <v>-38054.19</v>
      </c>
    </row>
    <row r="69">
      <c r="C69" t="str">
        <v>Week 2</v>
      </c>
      <c r="F69">
        <f>D69-E69</f>
        <v>0</v>
      </c>
      <c r="G69" t="e">
        <f>F69/D69</f>
        <v>#DIV/0!</v>
      </c>
      <c r="J69">
        <f>SUM(H69-R69)</f>
        <v>0</v>
      </c>
      <c r="K69">
        <f>SUM(I69-S69)</f>
        <v>0</v>
      </c>
      <c r="L69">
        <f>J69-K69</f>
        <v>0</v>
      </c>
      <c r="M69" t="e">
        <f>L69/J69</f>
        <v>#DIV/0!</v>
      </c>
      <c r="T69">
        <f>R69-S69</f>
        <v>0</v>
      </c>
      <c r="U69" t="e">
        <f>T69/R69</f>
        <v>#DIV/0!</v>
      </c>
      <c r="X69">
        <f>V69-W69</f>
        <v>0</v>
      </c>
      <c r="Y69" t="e">
        <f>X69/V69</f>
        <v>#DIV/0!</v>
      </c>
      <c r="Z69">
        <v>0.3</v>
      </c>
      <c r="AA69" t="e">
        <f>(E69-K69-S69)/W69</f>
        <v>#DIV/0!</v>
      </c>
      <c r="AB69" t="e">
        <f>(D69-J69-R69)/V69</f>
        <v>#DIV/0!</v>
      </c>
      <c r="AC69" t="e">
        <f>(E69-K69-S69)/E69</f>
        <v>#DIV/0!</v>
      </c>
      <c r="AD69" t="e">
        <f>SUM(D69-H69)/D69</f>
        <v>#DIV/0!</v>
      </c>
      <c r="AK69">
        <f>SUM(W70-W69)</f>
        <v>0</v>
      </c>
      <c r="AL69">
        <f>SUM(K70-K69)</f>
        <v>0</v>
      </c>
    </row>
    <row r="70">
      <c r="C70" t="str">
        <v>Week 3</v>
      </c>
      <c r="F70">
        <f>D70-E70</f>
        <v>0</v>
      </c>
      <c r="G70" t="e">
        <f>F70/D70</f>
        <v>#DIV/0!</v>
      </c>
      <c r="J70">
        <f>SUM(H70-R70)</f>
        <v>0</v>
      </c>
      <c r="K70">
        <f>SUM(I70-S70)</f>
        <v>0</v>
      </c>
      <c r="L70">
        <f>J70-K70</f>
        <v>0</v>
      </c>
      <c r="M70" t="e">
        <f>L70/J70</f>
        <v>#DIV/0!</v>
      </c>
      <c r="T70">
        <f>R70-S70</f>
        <v>0</v>
      </c>
      <c r="U70" t="e">
        <f>T70/R70</f>
        <v>#DIV/0!</v>
      </c>
      <c r="X70">
        <f>V70-W70</f>
        <v>0</v>
      </c>
      <c r="Y70" t="e">
        <f>X70/V70</f>
        <v>#DIV/0!</v>
      </c>
      <c r="Z70">
        <v>0.1</v>
      </c>
      <c r="AA70" t="e">
        <f>(E70-K70-S70)/W70</f>
        <v>#DIV/0!</v>
      </c>
      <c r="AB70" t="e">
        <f>(D70-J70-R70)/V70</f>
        <v>#DIV/0!</v>
      </c>
      <c r="AC70" t="e">
        <f>(E70-K70-S70)/E70</f>
        <v>#DIV/0!</v>
      </c>
      <c r="AD70" t="e">
        <f>SUM(D70-H70)/D70</f>
        <v>#DIV/0!</v>
      </c>
      <c r="AG70" t="str">
        <v>Estimated months claim</v>
      </c>
      <c r="AH70">
        <v>0</v>
      </c>
      <c r="AK70">
        <f>SUM(W71-W70)</f>
        <v>0</v>
      </c>
      <c r="AL70">
        <f>SUM(K71-K70)</f>
        <v>0</v>
      </c>
    </row>
    <row r="71">
      <c r="C71" t="str">
        <v>Week 4</v>
      </c>
      <c r="F71">
        <f>D71-E71</f>
        <v>0</v>
      </c>
      <c r="G71" t="e">
        <f>F71/D71</f>
        <v>#DIV/0!</v>
      </c>
      <c r="J71">
        <f>SUM(H71-R71)</f>
        <v>0</v>
      </c>
      <c r="K71">
        <f>SUM(I71-S71)</f>
        <v>0</v>
      </c>
      <c r="L71">
        <f>J71-K71</f>
        <v>0</v>
      </c>
      <c r="M71" t="e">
        <f>L71/J71</f>
        <v>#DIV/0!</v>
      </c>
      <c r="T71">
        <f>R71-S71</f>
        <v>0</v>
      </c>
      <c r="U71" t="e">
        <f>T71/R71</f>
        <v>#DIV/0!</v>
      </c>
      <c r="X71">
        <f>V71-W71</f>
        <v>0</v>
      </c>
      <c r="Y71" t="e">
        <f>X71/V71</f>
        <v>#DIV/0!</v>
      </c>
      <c r="Z71">
        <v>0.1</v>
      </c>
      <c r="AA71" t="e">
        <f>(E71-K71-S71)/W71</f>
        <v>#DIV/0!</v>
      </c>
      <c r="AB71" t="e">
        <f>(D71-J71-R71)/V71</f>
        <v>#DIV/0!</v>
      </c>
      <c r="AC71" t="e">
        <f>(E71-K71-S71)/E71</f>
        <v>#DIV/0!</v>
      </c>
      <c r="AD71" t="e">
        <f>SUM(D71-H71)/D71</f>
        <v>#DIV/0!</v>
      </c>
      <c r="AK71">
        <f>SUM(W72-W71)</f>
        <v>0</v>
      </c>
      <c r="AL71">
        <f>SUM(K72-K71)</f>
        <v>0</v>
      </c>
    </row>
    <row r="72">
      <c r="C72" t="str">
        <v>Week 5</v>
      </c>
      <c r="F72">
        <f>D72-E72</f>
        <v>0</v>
      </c>
      <c r="G72" t="e">
        <f>F72/D72</f>
        <v>#DIV/0!</v>
      </c>
      <c r="J72">
        <f>SUM(H72-R72)</f>
        <v>0</v>
      </c>
      <c r="K72">
        <f>SUM(I72-S72)</f>
        <v>0</v>
      </c>
      <c r="L72">
        <f>J72-K72</f>
        <v>0</v>
      </c>
      <c r="M72" t="e">
        <f>L72/J72</f>
        <v>#DIV/0!</v>
      </c>
      <c r="T72">
        <f>R72-S72</f>
        <v>0</v>
      </c>
      <c r="U72" t="e">
        <f>T72/R72</f>
        <v>#DIV/0!</v>
      </c>
      <c r="X72">
        <f>V72-W72</f>
        <v>0</v>
      </c>
      <c r="Y72" t="e">
        <f>X72/V72</f>
        <v>#DIV/0!</v>
      </c>
      <c r="AA72" t="e">
        <f>(E72-K72-S72)/W72</f>
        <v>#DIV/0!</v>
      </c>
      <c r="AB72" t="e">
        <f>(D72-J72-R72)/V72</f>
        <v>#DIV/0!</v>
      </c>
      <c r="AC72" t="e">
        <f>(E72-K72-S72)/E72</f>
        <v>#DIV/0!</v>
      </c>
      <c r="AD72" t="e">
        <f>SUM(D72-H72)/D72</f>
        <v>#DIV/0!</v>
      </c>
      <c r="AK72">
        <f>SUM(AK67,AK68,AK69,AK70,AK71)</f>
        <v>-350</v>
      </c>
      <c r="AL72">
        <f>SUM(AL67,AL68,AL69,AL70,AL71)</f>
        <v>-37733.03</v>
      </c>
    </row>
    <row r="74">
      <c r="A74">
        <f>'Main Sheet'!A24</f>
        <v>9259</v>
      </c>
      <c r="B74" t="str">
        <f>'Main Sheet'!B24</f>
        <v>Andrew Reeve Stage 2</v>
      </c>
      <c r="C74" t="str">
        <v>Start of month</v>
      </c>
      <c r="D74">
        <v>210242.4</v>
      </c>
      <c r="E74">
        <v>14860.85</v>
      </c>
      <c r="F74">
        <f>D74-E74</f>
        <v>195381.55</v>
      </c>
      <c r="G74">
        <f>F74/D74</f>
        <v>0.9293156375688253</v>
      </c>
      <c r="H74">
        <v>188013.59</v>
      </c>
      <c r="I74">
        <v>33639.16</v>
      </c>
      <c r="J74">
        <f>SUM(H74-R74)</f>
        <v>167291.62</v>
      </c>
      <c r="K74">
        <f>SUM(I74-S74)</f>
        <v>33639.16</v>
      </c>
      <c r="L74">
        <f>J74-K74</f>
        <v>133652.46</v>
      </c>
      <c r="M74">
        <f>L74/J74</f>
        <v>0.7989190373074275</v>
      </c>
      <c r="N74">
        <v>0</v>
      </c>
      <c r="R74">
        <v>20721.97</v>
      </c>
      <c r="S74">
        <v>0</v>
      </c>
      <c r="T74">
        <f>R74-S74</f>
        <v>20721.97</v>
      </c>
      <c r="U74">
        <f>T74/R74</f>
        <v>1</v>
      </c>
      <c r="V74">
        <v>416.73</v>
      </c>
      <c r="W74">
        <v>0</v>
      </c>
      <c r="X74">
        <f>V74-W74</f>
        <v>416.73</v>
      </c>
      <c r="Y74">
        <f>X74/V74</f>
        <v>1</v>
      </c>
      <c r="Z74">
        <v>0</v>
      </c>
      <c r="AA74" t="e">
        <f>(E74-K74-S74)/W74</f>
        <v>#DIV/0!</v>
      </c>
      <c r="AB74">
        <f>(D74-J74-R74)/V74</f>
        <v>53.34103616250329</v>
      </c>
      <c r="AC74">
        <f>(E74-K74-S74)/E74</f>
        <v>-1.263609416688817</v>
      </c>
      <c r="AD74">
        <f>SUM(D74-H74)/D74</f>
        <v>0.10572943421498232</v>
      </c>
      <c r="AG74" t="str">
        <v>Hours calc for monthly claims</v>
      </c>
      <c r="AH74">
        <f>AK79</f>
        <v>0</v>
      </c>
      <c r="AK74">
        <f>SUM(W75-W74)</f>
        <v>0</v>
      </c>
      <c r="AL74">
        <f>SUM(K75-K74)</f>
        <v>16474.449999999997</v>
      </c>
    </row>
    <row r="75">
      <c r="C75" t="str">
        <v>Week 1</v>
      </c>
      <c r="D75">
        <v>210242.4</v>
      </c>
      <c r="E75">
        <v>67511.23</v>
      </c>
      <c r="F75">
        <f>D75-E75</f>
        <v>142731.16999999998</v>
      </c>
      <c r="G75">
        <f>F75/D75</f>
        <v>0.6788886066749618</v>
      </c>
      <c r="H75">
        <v>188013.59</v>
      </c>
      <c r="I75">
        <v>50113.61</v>
      </c>
      <c r="J75">
        <f>SUM(H75-R75)</f>
        <v>167291.62</v>
      </c>
      <c r="K75">
        <f>SUM(I75-S75)</f>
        <v>50113.61</v>
      </c>
      <c r="L75">
        <f>J75-K75</f>
        <v>117178.01</v>
      </c>
      <c r="M75">
        <f>L75/J75</f>
        <v>0.7004416001231861</v>
      </c>
      <c r="N75">
        <v>0</v>
      </c>
      <c r="R75">
        <v>20721.97</v>
      </c>
      <c r="T75">
        <f>R75-S75</f>
        <v>20721.97</v>
      </c>
      <c r="U75">
        <f>T75/R75</f>
        <v>1</v>
      </c>
      <c r="V75">
        <v>416.73</v>
      </c>
      <c r="W75">
        <v>0</v>
      </c>
      <c r="X75">
        <f>V75-W75</f>
        <v>416.73</v>
      </c>
      <c r="Y75">
        <f>X75/V75</f>
        <v>1</v>
      </c>
      <c r="Z75">
        <v>0</v>
      </c>
      <c r="AA75" t="e">
        <f>(E75-K75-S75)/W75</f>
        <v>#DIV/0!</v>
      </c>
      <c r="AB75">
        <f>(D75-J75-R75)/V75</f>
        <v>53.34103616250329</v>
      </c>
      <c r="AC75">
        <f>(E75-K75-S75)/E75</f>
        <v>0.2576996449331466</v>
      </c>
      <c r="AD75">
        <f>SUM(D75-H75)/D75</f>
        <v>0.10572943421498232</v>
      </c>
      <c r="AG75" t="str">
        <v>Materials calc for monthly claims</v>
      </c>
      <c r="AH75">
        <f>AL79</f>
        <v>-33639.16</v>
      </c>
      <c r="AK75">
        <f>SUM(W76-W75)</f>
        <v>0</v>
      </c>
      <c r="AL75">
        <f>SUM(K76-K75)</f>
        <v>1067.699999999997</v>
      </c>
    </row>
    <row r="76">
      <c r="C76" t="str">
        <v>Week 2</v>
      </c>
      <c r="D76">
        <v>210242.4</v>
      </c>
      <c r="E76">
        <v>67511.23</v>
      </c>
      <c r="F76">
        <f>D76-E76</f>
        <v>142731.16999999998</v>
      </c>
      <c r="G76">
        <f>F76/D76</f>
        <v>0.6788886066749618</v>
      </c>
      <c r="H76">
        <v>188013.59</v>
      </c>
      <c r="I76">
        <v>51181.31</v>
      </c>
      <c r="J76">
        <f>SUM(H76-R76)</f>
        <v>167216.61</v>
      </c>
      <c r="K76">
        <f>SUM(I76-S76)</f>
        <v>51181.31</v>
      </c>
      <c r="L76">
        <f>J76-K76</f>
        <v>116035.29999999999</v>
      </c>
      <c r="M76">
        <f>L76/J76</f>
        <v>0.6939220930265241</v>
      </c>
      <c r="N76">
        <v>0</v>
      </c>
      <c r="R76">
        <v>20796.98</v>
      </c>
      <c r="T76">
        <f>R76-S76</f>
        <v>20796.98</v>
      </c>
      <c r="U76">
        <f>T76/R76</f>
        <v>1</v>
      </c>
      <c r="V76">
        <v>416.73</v>
      </c>
      <c r="W76">
        <v>0</v>
      </c>
      <c r="X76">
        <f>V76-W76</f>
        <v>416.73</v>
      </c>
      <c r="Y76">
        <f>X76/V76</f>
        <v>1</v>
      </c>
      <c r="Z76">
        <v>0</v>
      </c>
      <c r="AA76" t="e">
        <f>(E76-K76-S76)/W76</f>
        <v>#DIV/0!</v>
      </c>
      <c r="AB76">
        <f>(D76-J76-R76)/V76</f>
        <v>53.341036162503315</v>
      </c>
      <c r="AC76">
        <f>(E76-K76-S76)/E76</f>
        <v>0.24188449832716719</v>
      </c>
      <c r="AD76">
        <f>SUM(D76-H76)/D76</f>
        <v>0.10572943421498232</v>
      </c>
      <c r="AK76">
        <f>SUM(W77-W76)</f>
        <v>0</v>
      </c>
      <c r="AL76">
        <f>SUM(K77-K76)</f>
        <v>-51181.31</v>
      </c>
    </row>
    <row r="77">
      <c r="C77" t="str">
        <v>Week 3</v>
      </c>
      <c r="F77">
        <f>D77-E77</f>
        <v>0</v>
      </c>
      <c r="G77" t="e">
        <f>F77/D77</f>
        <v>#DIV/0!</v>
      </c>
      <c r="J77">
        <f>SUM(H77-R77)</f>
        <v>0</v>
      </c>
      <c r="K77">
        <f>SUM(I77-S77)</f>
        <v>0</v>
      </c>
      <c r="L77">
        <f>J77-K77</f>
        <v>0</v>
      </c>
      <c r="M77" t="e">
        <f>L77/J77</f>
        <v>#DIV/0!</v>
      </c>
      <c r="N77">
        <v>0</v>
      </c>
      <c r="T77">
        <f>R77-S77</f>
        <v>0</v>
      </c>
      <c r="U77" t="e">
        <f>T77/R77</f>
        <v>#DIV/0!</v>
      </c>
      <c r="W77">
        <v>0</v>
      </c>
      <c r="X77">
        <f>V77-W77</f>
        <v>0</v>
      </c>
      <c r="Y77" t="e">
        <f>X77/V77</f>
        <v>#DIV/0!</v>
      </c>
      <c r="Z77">
        <v>0</v>
      </c>
      <c r="AA77" t="e">
        <f>(E77-K77-S77)/W77</f>
        <v>#DIV/0!</v>
      </c>
      <c r="AB77" t="e">
        <f>(D77-J77-R77)/V77</f>
        <v>#DIV/0!</v>
      </c>
      <c r="AC77" t="e">
        <f>(E77-K77-S77)/E77</f>
        <v>#DIV/0!</v>
      </c>
      <c r="AD77" t="e">
        <f>SUM(D77-H77)/D77</f>
        <v>#DIV/0!</v>
      </c>
      <c r="AG77" t="str">
        <v>Estimated months claim</v>
      </c>
      <c r="AH77">
        <v>0</v>
      </c>
      <c r="AK77">
        <f>SUM(W78-W77)</f>
        <v>0</v>
      </c>
      <c r="AL77">
        <f>SUM(K78-K77)</f>
        <v>0</v>
      </c>
    </row>
    <row r="78">
      <c r="C78" t="str">
        <v>Week 4</v>
      </c>
      <c r="F78">
        <f>D78-E78</f>
        <v>0</v>
      </c>
      <c r="G78" t="e">
        <f>F78/D78</f>
        <v>#DIV/0!</v>
      </c>
      <c r="J78">
        <f>SUM(H78-R78)</f>
        <v>0</v>
      </c>
      <c r="K78">
        <f>SUM(I78-S78)</f>
        <v>0</v>
      </c>
      <c r="L78">
        <f>J78-K78</f>
        <v>0</v>
      </c>
      <c r="M78" t="e">
        <f>L78/J78</f>
        <v>#DIV/0!</v>
      </c>
      <c r="N78">
        <v>0</v>
      </c>
      <c r="S78">
        <v>0</v>
      </c>
      <c r="T78">
        <f>R78-S78</f>
        <v>0</v>
      </c>
      <c r="U78" t="e">
        <f>T78/R78</f>
        <v>#DIV/0!</v>
      </c>
      <c r="W78">
        <v>0</v>
      </c>
      <c r="X78">
        <f>V78-W78</f>
        <v>0</v>
      </c>
      <c r="Y78" t="e">
        <f>X78/V78</f>
        <v>#DIV/0!</v>
      </c>
      <c r="Z78">
        <v>0</v>
      </c>
      <c r="AA78" t="e">
        <f>(E78-K78-S78)/W78</f>
        <v>#DIV/0!</v>
      </c>
      <c r="AB78" t="e">
        <f>(D78-J78-R78)/V78</f>
        <v>#DIV/0!</v>
      </c>
      <c r="AC78" t="e">
        <f>(E78-K78-S78)/E78</f>
        <v>#DIV/0!</v>
      </c>
      <c r="AD78" t="e">
        <f>SUM(D78-H78)/D78</f>
        <v>#DIV/0!</v>
      </c>
      <c r="AK78">
        <f>SUM(W79-W78)</f>
        <v>0</v>
      </c>
      <c r="AL78">
        <f>SUM(K79-K78)</f>
        <v>0</v>
      </c>
    </row>
    <row r="79">
      <c r="C79" t="str">
        <v>Week 5</v>
      </c>
      <c r="F79">
        <f>D79-E79</f>
        <v>0</v>
      </c>
      <c r="G79" t="e">
        <f>F79/D79</f>
        <v>#DIV/0!</v>
      </c>
      <c r="J79">
        <f>SUM(H79-R79)</f>
        <v>0</v>
      </c>
      <c r="K79">
        <f>SUM(I79-S79)</f>
        <v>0</v>
      </c>
      <c r="L79">
        <f>J79-K79</f>
        <v>0</v>
      </c>
      <c r="M79" t="e">
        <f>L79/J79</f>
        <v>#DIV/0!</v>
      </c>
      <c r="N79">
        <v>0</v>
      </c>
      <c r="S79">
        <v>0</v>
      </c>
      <c r="T79">
        <f>R79-S79</f>
        <v>0</v>
      </c>
      <c r="U79" t="e">
        <f>T79/R79</f>
        <v>#DIV/0!</v>
      </c>
      <c r="W79">
        <v>0</v>
      </c>
      <c r="X79">
        <f>V79-W79</f>
        <v>0</v>
      </c>
      <c r="Y79" t="e">
        <f>X79/V79</f>
        <v>#DIV/0!</v>
      </c>
      <c r="Z79">
        <v>0</v>
      </c>
      <c r="AA79" t="e">
        <f>(E79-K79-S79)/W79</f>
        <v>#DIV/0!</v>
      </c>
      <c r="AB79" t="e">
        <f>(D79-J79-R79)/V79</f>
        <v>#DIV/0!</v>
      </c>
      <c r="AC79" t="e">
        <f>(E79-K79-S79)/E79</f>
        <v>#DIV/0!</v>
      </c>
      <c r="AD79" t="e">
        <f>SUM(D79-H79)/D79</f>
        <v>#DIV/0!</v>
      </c>
      <c r="AK79">
        <f>SUM(AK74,AK75,AK76,AK77,AK78)</f>
        <v>0</v>
      </c>
      <c r="AL79">
        <f>SUM(AL74,AL75,AL76,AL77,AL78)</f>
        <v>-33639.16</v>
      </c>
    </row>
    <row r="81">
      <c r="A81">
        <f>'Main Sheet'!A26</f>
        <v>8352</v>
      </c>
      <c r="B81" t="str">
        <f>'Main Sheet'!B26</f>
        <v>5 Sanscrit Place</v>
      </c>
      <c r="C81" t="str">
        <v>Start of month</v>
      </c>
      <c r="D81">
        <v>43448.62</v>
      </c>
      <c r="E81">
        <v>19551.87</v>
      </c>
      <c r="F81">
        <f>D81-E81</f>
        <v>23896.750000000004</v>
      </c>
      <c r="G81">
        <f>F81/D81</f>
        <v>0.5500002071412166</v>
      </c>
      <c r="H81">
        <v>31063.54</v>
      </c>
      <c r="I81">
        <v>25863.55</v>
      </c>
      <c r="J81">
        <f>SUM(H81-R81)</f>
        <v>16447.56</v>
      </c>
      <c r="K81">
        <f>SUM(I81-S81)</f>
        <v>18255.629999999997</v>
      </c>
      <c r="L81">
        <f>J81-K81</f>
        <v>-1808.069999999996</v>
      </c>
      <c r="M81">
        <f>L81/J81</f>
        <v>-0.10992937554263343</v>
      </c>
      <c r="N81">
        <v>0</v>
      </c>
      <c r="R81">
        <v>14615.98</v>
      </c>
      <c r="S81">
        <v>7607.92</v>
      </c>
      <c r="T81">
        <f>R81-S81</f>
        <v>7008.0599999999995</v>
      </c>
      <c r="U81">
        <f>T81/R81</f>
        <v>0.4794793096323339</v>
      </c>
      <c r="V81">
        <v>292.93</v>
      </c>
      <c r="W81">
        <v>181.5</v>
      </c>
      <c r="X81">
        <f>V81-W81</f>
        <v>111.43</v>
      </c>
      <c r="Y81">
        <f>X81/V81</f>
        <v>0.3803980473150582</v>
      </c>
      <c r="Z81">
        <v>0</v>
      </c>
      <c r="AA81">
        <f>(E81-K81-S81)/W81</f>
        <v>-34.77509641873277</v>
      </c>
      <c r="AB81">
        <f>(D81-J81-R81)/V81</f>
        <v>42.27999863448606</v>
      </c>
      <c r="AC81">
        <f>(E81-K81-S81)/E81</f>
        <v>-0.3228172036741242</v>
      </c>
      <c r="AD81">
        <f>SUM(D81-H81)/D81</f>
        <v>0.2850511707851711</v>
      </c>
      <c r="AG81" t="str">
        <v>Hours calc for monthly claims</v>
      </c>
      <c r="AH81">
        <f>AK86</f>
        <v>-181.5</v>
      </c>
      <c r="AK81">
        <f>SUM(W82-W81)</f>
        <v>0</v>
      </c>
      <c r="AL81">
        <f>SUM(K82-K81)</f>
        <v>979.1300000000047</v>
      </c>
    </row>
    <row r="82">
      <c r="C82" t="str">
        <v>Week 1</v>
      </c>
      <c r="D82">
        <v>43448.62</v>
      </c>
      <c r="E82">
        <v>34758.89</v>
      </c>
      <c r="F82">
        <f>D82-E82</f>
        <v>8689.730000000003</v>
      </c>
      <c r="G82">
        <f>F82/D82</f>
        <v>0.20000013809414435</v>
      </c>
      <c r="H82">
        <v>31063.54</v>
      </c>
      <c r="I82">
        <v>26842.68</v>
      </c>
      <c r="J82">
        <f>SUM(H82-R82)</f>
        <v>16447.56</v>
      </c>
      <c r="K82">
        <f>SUM(I82-S82)</f>
        <v>19234.760000000002</v>
      </c>
      <c r="L82">
        <f>J82-K82</f>
        <v>-2787.2000000000007</v>
      </c>
      <c r="M82">
        <f>L82/J82</f>
        <v>-0.16945978613241117</v>
      </c>
      <c r="N82">
        <v>0</v>
      </c>
      <c r="R82">
        <v>14615.98</v>
      </c>
      <c r="S82">
        <v>7607.92</v>
      </c>
      <c r="T82">
        <f>R82-S82</f>
        <v>7008.0599999999995</v>
      </c>
      <c r="U82">
        <f>T82/R82</f>
        <v>0.4794793096323339</v>
      </c>
      <c r="V82">
        <v>292.93</v>
      </c>
      <c r="W82">
        <v>181.5</v>
      </c>
      <c r="X82">
        <f>V82-W82</f>
        <v>111.43</v>
      </c>
      <c r="Y82">
        <f>X82/V82</f>
        <v>0.3803980473150582</v>
      </c>
      <c r="Z82">
        <v>0</v>
      </c>
      <c r="AA82">
        <f>(E82-K82-S82)/W82</f>
        <v>43.6154820936639</v>
      </c>
      <c r="AB82">
        <f>(D82-J82-R82)/V82</f>
        <v>42.27999863448606</v>
      </c>
      <c r="AC82">
        <f>(E82-K82-S82)/E82</f>
        <v>0.22774634057646828</v>
      </c>
      <c r="AD82">
        <f>SUM(D82-H82)/D82</f>
        <v>0.2850511707851711</v>
      </c>
      <c r="AG82" t="str">
        <v>Materials calc for monthly claims</v>
      </c>
      <c r="AH82">
        <f>AL86</f>
        <v>-18255.629999999997</v>
      </c>
      <c r="AK82">
        <f>SUM(W83-W82)</f>
        <v>-181.5</v>
      </c>
      <c r="AL82">
        <f>SUM(K83-K82)</f>
        <v>-19234.760000000002</v>
      </c>
    </row>
    <row r="83">
      <c r="C83" t="str">
        <v>Week 2</v>
      </c>
      <c r="D83">
        <v>0</v>
      </c>
      <c r="E83">
        <v>0</v>
      </c>
      <c r="F83">
        <f>D83-E83</f>
        <v>0</v>
      </c>
      <c r="G83" t="e">
        <f>F83/D83</f>
        <v>#DIV/0!</v>
      </c>
      <c r="H83">
        <v>0</v>
      </c>
      <c r="I83">
        <v>0</v>
      </c>
      <c r="J83">
        <f>SUM(H83-R83)</f>
        <v>0</v>
      </c>
      <c r="K83">
        <f>SUM(I83-S83)</f>
        <v>0</v>
      </c>
      <c r="L83">
        <f>J83-K83</f>
        <v>0</v>
      </c>
      <c r="M83" t="e">
        <f>L83/J83</f>
        <v>#DIV/0!</v>
      </c>
      <c r="R83">
        <v>0</v>
      </c>
      <c r="S83">
        <v>0</v>
      </c>
      <c r="T83">
        <f>R83-S83</f>
        <v>0</v>
      </c>
      <c r="U83" t="e">
        <f>T83/R83</f>
        <v>#DIV/0!</v>
      </c>
      <c r="V83">
        <v>0</v>
      </c>
      <c r="W83">
        <v>0</v>
      </c>
      <c r="X83">
        <f>V83-W83</f>
        <v>0</v>
      </c>
      <c r="Y83" t="e">
        <f>X83/V83</f>
        <v>#DIV/0!</v>
      </c>
      <c r="Z83">
        <v>0</v>
      </c>
      <c r="AA83" t="e">
        <f>(E83-K83-S83)/W83</f>
        <v>#DIV/0!</v>
      </c>
      <c r="AB83" t="e">
        <f>(D83-J83-R83)/V83</f>
        <v>#DIV/0!</v>
      </c>
      <c r="AC83" t="e">
        <f>(E83-K83-S83)/E83</f>
        <v>#DIV/0!</v>
      </c>
      <c r="AD83" t="e">
        <f>SUM(D83-H83)/D83</f>
        <v>#DIV/0!</v>
      </c>
      <c r="AK83">
        <f>SUM(W84-W83)</f>
        <v>0</v>
      </c>
      <c r="AL83">
        <f>SUM(K84-K83)</f>
        <v>0</v>
      </c>
    </row>
    <row r="84">
      <c r="C84" t="str">
        <v>Week 3</v>
      </c>
      <c r="D84">
        <v>0</v>
      </c>
      <c r="E84">
        <v>0</v>
      </c>
      <c r="F84">
        <f>D84-E84</f>
        <v>0</v>
      </c>
      <c r="G84" t="e">
        <f>F84/D84</f>
        <v>#DIV/0!</v>
      </c>
      <c r="H84">
        <v>0</v>
      </c>
      <c r="I84">
        <v>0</v>
      </c>
      <c r="J84">
        <f>SUM(H84-R84)</f>
        <v>0</v>
      </c>
      <c r="K84">
        <f>SUM(I84-S84)</f>
        <v>0</v>
      </c>
      <c r="L84">
        <f>J84-K84</f>
        <v>0</v>
      </c>
      <c r="M84" t="e">
        <f>L84/J84</f>
        <v>#DIV/0!</v>
      </c>
      <c r="R84">
        <v>0</v>
      </c>
      <c r="S84">
        <v>0</v>
      </c>
      <c r="T84">
        <f>R84-S84</f>
        <v>0</v>
      </c>
      <c r="U84" t="e">
        <f>T84/R84</f>
        <v>#DIV/0!</v>
      </c>
      <c r="V84">
        <v>0</v>
      </c>
      <c r="W84">
        <v>0</v>
      </c>
      <c r="X84">
        <f>V84-W84</f>
        <v>0</v>
      </c>
      <c r="Y84" t="e">
        <f>X84/V84</f>
        <v>#DIV/0!</v>
      </c>
      <c r="Z84">
        <v>0</v>
      </c>
      <c r="AA84" t="e">
        <f>(E84-K84-S84)/W84</f>
        <v>#DIV/0!</v>
      </c>
      <c r="AB84" t="e">
        <f>(D84-J84-R84)/V84</f>
        <v>#DIV/0!</v>
      </c>
      <c r="AC84" t="e">
        <f>(E84-K84-S84)/E84</f>
        <v>#DIV/0!</v>
      </c>
      <c r="AD84" t="e">
        <f>SUM(D84-H84)/D84</f>
        <v>#DIV/0!</v>
      </c>
      <c r="AG84" t="str">
        <v>Estimated months claim</v>
      </c>
      <c r="AH84">
        <v>0</v>
      </c>
      <c r="AK84">
        <f>SUM(W85-W84)</f>
        <v>0</v>
      </c>
      <c r="AL84">
        <f>SUM(K85-K84)</f>
        <v>0</v>
      </c>
    </row>
    <row r="85">
      <c r="C85" t="str">
        <v>Week 4</v>
      </c>
      <c r="D85">
        <v>0</v>
      </c>
      <c r="E85">
        <v>0</v>
      </c>
      <c r="F85">
        <f>D85-E85</f>
        <v>0</v>
      </c>
      <c r="G85" t="e">
        <f>F85/D85</f>
        <v>#DIV/0!</v>
      </c>
      <c r="H85">
        <v>0</v>
      </c>
      <c r="I85">
        <v>0</v>
      </c>
      <c r="J85">
        <f>SUM(H85-R85)</f>
        <v>0</v>
      </c>
      <c r="K85">
        <f>SUM(I85-S85)</f>
        <v>0</v>
      </c>
      <c r="L85">
        <f>J85-K85</f>
        <v>0</v>
      </c>
      <c r="M85" t="e">
        <f>L85/J85</f>
        <v>#DIV/0!</v>
      </c>
      <c r="R85">
        <v>0</v>
      </c>
      <c r="S85">
        <v>0</v>
      </c>
      <c r="T85">
        <f>R85-S85</f>
        <v>0</v>
      </c>
      <c r="U85" t="e">
        <f>T85/R85</f>
        <v>#DIV/0!</v>
      </c>
      <c r="V85">
        <v>0</v>
      </c>
      <c r="W85">
        <v>0</v>
      </c>
      <c r="X85">
        <f>V85-W85</f>
        <v>0</v>
      </c>
      <c r="Y85" t="e">
        <f>X85/V85</f>
        <v>#DIV/0!</v>
      </c>
      <c r="AA85" t="e">
        <f>(E85-K85-S85)/W85</f>
        <v>#DIV/0!</v>
      </c>
      <c r="AB85" t="e">
        <f>(D85-J85-R85)/V85</f>
        <v>#DIV/0!</v>
      </c>
      <c r="AC85" t="e">
        <f>(E85-K85-S85)/E85</f>
        <v>#DIV/0!</v>
      </c>
      <c r="AD85" t="e">
        <f>SUM(D85-H85)/D85</f>
        <v>#DIV/0!</v>
      </c>
      <c r="AK85">
        <f>SUM(W86-W85)</f>
        <v>0</v>
      </c>
      <c r="AL85">
        <f>SUM(K86-K85)</f>
        <v>0</v>
      </c>
    </row>
    <row r="86">
      <c r="C86" t="str">
        <v>Week 5</v>
      </c>
      <c r="D86">
        <v>0</v>
      </c>
      <c r="E86">
        <v>0</v>
      </c>
      <c r="F86">
        <f>D86-E86</f>
        <v>0</v>
      </c>
      <c r="G86" t="e">
        <f>F86/D86</f>
        <v>#DIV/0!</v>
      </c>
      <c r="H86">
        <v>0</v>
      </c>
      <c r="I86">
        <v>0</v>
      </c>
      <c r="J86">
        <f>SUM(H86-R86)</f>
        <v>0</v>
      </c>
      <c r="K86">
        <f>SUM(I86-S86)</f>
        <v>0</v>
      </c>
      <c r="L86">
        <f>J86-K86</f>
        <v>0</v>
      </c>
      <c r="M86" t="e">
        <f>L86/J86</f>
        <v>#DIV/0!</v>
      </c>
      <c r="R86">
        <v>0</v>
      </c>
      <c r="S86">
        <v>0</v>
      </c>
      <c r="T86">
        <f>R86-S86</f>
        <v>0</v>
      </c>
      <c r="U86" t="e">
        <f>T86/R86</f>
        <v>#DIV/0!</v>
      </c>
      <c r="V86">
        <v>0</v>
      </c>
      <c r="W86">
        <v>0</v>
      </c>
      <c r="X86">
        <f>V86-W86</f>
        <v>0</v>
      </c>
      <c r="Y86" t="e">
        <f>X86/V86</f>
        <v>#DIV/0!</v>
      </c>
      <c r="AA86" t="e">
        <f>(E86-K86-S86)/W86</f>
        <v>#DIV/0!</v>
      </c>
      <c r="AB86" t="e">
        <f>(D86-J86-R86)/V86</f>
        <v>#DIV/0!</v>
      </c>
      <c r="AC86" t="e">
        <f>(E86-K86-S86)/E86</f>
        <v>#DIV/0!</v>
      </c>
      <c r="AD86" t="e">
        <f>SUM(D86-H86)/D86</f>
        <v>#DIV/0!</v>
      </c>
      <c r="AK86">
        <f>SUM(AK81,AK82,AK83,AK84,AK85)</f>
        <v>-181.5</v>
      </c>
      <c r="AL86">
        <f>SUM(AL81,AL82,AL83,AL84,AL85)</f>
        <v>-18255.629999999997</v>
      </c>
    </row>
    <row r="88">
      <c r="A88">
        <f>'Main Sheet'!A28</f>
        <v>8234</v>
      </c>
      <c r="B88" t="str">
        <f>'Main Sheet'!B28</f>
        <v>Melhuish House</v>
      </c>
      <c r="C88" t="str">
        <v>Start of month</v>
      </c>
      <c r="D88">
        <v>49964.93</v>
      </c>
      <c r="E88">
        <v>25359.22</v>
      </c>
      <c r="F88">
        <f>D88-E88</f>
        <v>24605.71</v>
      </c>
      <c r="G88">
        <f>F88/D88</f>
        <v>0.4924596111712755</v>
      </c>
      <c r="H88">
        <v>43768.91</v>
      </c>
      <c r="I88">
        <v>25556.81</v>
      </c>
      <c r="J88">
        <f>SUM(H88-R88)</f>
        <v>37199.62</v>
      </c>
      <c r="K88">
        <f>SUM(I88-S88)</f>
        <v>20554.230000000003</v>
      </c>
      <c r="L88">
        <f>J88-K88</f>
        <v>16645.39</v>
      </c>
      <c r="M88">
        <f>L88/J88</f>
        <v>0.4474612912712549</v>
      </c>
      <c r="N88">
        <v>0</v>
      </c>
      <c r="R88">
        <v>6569.29</v>
      </c>
      <c r="S88">
        <v>5002.58</v>
      </c>
      <c r="T88">
        <f>R88-S88</f>
        <v>1566.71</v>
      </c>
      <c r="U88">
        <f>T88/R88</f>
        <v>0.23849000424703432</v>
      </c>
      <c r="V88">
        <v>131.78</v>
      </c>
      <c r="W88">
        <v>113.75</v>
      </c>
      <c r="X88">
        <f>V88-W88</f>
        <v>18.03</v>
      </c>
      <c r="Y88">
        <f>X88/V88</f>
        <v>0.13681894065867356</v>
      </c>
      <c r="Z88">
        <v>0</v>
      </c>
      <c r="AA88">
        <f>(E88-K88-S88)/W88</f>
        <v>-1.7370549450549624</v>
      </c>
      <c r="AB88">
        <f>(D88-J88-R88)/V88</f>
        <v>47.017908635604776</v>
      </c>
      <c r="AC88">
        <f>(E88-K88-S88)/E88</f>
        <v>-0.007791643433828089</v>
      </c>
      <c r="AD88">
        <f>SUM(D88-H88)/D88</f>
        <v>0.12400737877547305</v>
      </c>
      <c r="AG88" t="str">
        <v>Hours calc for monthly claims</v>
      </c>
      <c r="AH88">
        <f>AK93</f>
        <v>-113.75</v>
      </c>
      <c r="AK88">
        <f>SUM(W89-W88)</f>
        <v>58</v>
      </c>
      <c r="AL88">
        <f>SUM(K89-K88)</f>
        <v>7824.2199999999975</v>
      </c>
    </row>
    <row r="89">
      <c r="C89" t="str">
        <v>Week 1</v>
      </c>
      <c r="D89">
        <v>49964.93</v>
      </c>
      <c r="E89">
        <v>45361.39</v>
      </c>
      <c r="F89">
        <f>D89-E89</f>
        <v>4603.540000000001</v>
      </c>
      <c r="G89">
        <f>F89/D89</f>
        <v>0.09213542378624369</v>
      </c>
      <c r="H89">
        <v>43768.91</v>
      </c>
      <c r="I89">
        <v>35776.29</v>
      </c>
      <c r="J89">
        <f>SUM(H89-R89)</f>
        <v>37199.62</v>
      </c>
      <c r="K89">
        <f>SUM(I89-S89)</f>
        <v>28378.45</v>
      </c>
      <c r="L89">
        <f>J89-K89</f>
        <v>8821.170000000002</v>
      </c>
      <c r="M89">
        <f>L89/J89</f>
        <v>0.23713064810877105</v>
      </c>
      <c r="R89">
        <v>6569.29</v>
      </c>
      <c r="S89">
        <v>7397.84</v>
      </c>
      <c r="T89">
        <f>R89-S89</f>
        <v>-828.5500000000002</v>
      </c>
      <c r="U89">
        <f>T89/R89</f>
        <v>-0.12612474102985258</v>
      </c>
      <c r="V89">
        <v>131.78</v>
      </c>
      <c r="W89">
        <v>171.75</v>
      </c>
      <c r="X89">
        <f>V89-W89</f>
        <v>-39.97</v>
      </c>
      <c r="Y89">
        <f>X89/V89</f>
        <v>-0.30330854454393685</v>
      </c>
      <c r="AA89">
        <f>(E89-K89-S89)/W89</f>
        <v>55.808442503639</v>
      </c>
      <c r="AB89">
        <f>(D89-J89-R89)/V89</f>
        <v>47.017908635604776</v>
      </c>
      <c r="AC89">
        <f>(E89-K89-S89)/E89</f>
        <v>0.21130525321203777</v>
      </c>
      <c r="AD89">
        <f>SUM(D89-H89)/D89</f>
        <v>0.12400737877547305</v>
      </c>
      <c r="AG89" t="str">
        <v>Materials calc for monthly claims</v>
      </c>
      <c r="AH89">
        <f>AL93</f>
        <v>-20554.230000000003</v>
      </c>
      <c r="AK89">
        <f>SUM(W90-W89)</f>
        <v>-171.75</v>
      </c>
      <c r="AL89">
        <f>SUM(K90-K89)</f>
        <v>-28378.45</v>
      </c>
    </row>
    <row r="90">
      <c r="C90" t="str">
        <v>Week 2</v>
      </c>
      <c r="D90">
        <v>0</v>
      </c>
      <c r="E90">
        <v>0</v>
      </c>
      <c r="F90">
        <f>D90-E90</f>
        <v>0</v>
      </c>
      <c r="G90" t="e">
        <f>F90/D90</f>
        <v>#DIV/0!</v>
      </c>
      <c r="H90">
        <v>0</v>
      </c>
      <c r="I90">
        <v>0</v>
      </c>
      <c r="J90">
        <f>SUM(H90-R90)</f>
        <v>0</v>
      </c>
      <c r="K90">
        <f>SUM(I90-S90)</f>
        <v>0</v>
      </c>
      <c r="L90">
        <f>J90-K90</f>
        <v>0</v>
      </c>
      <c r="M90" t="e">
        <f>L90/J90</f>
        <v>#DIV/0!</v>
      </c>
      <c r="R90">
        <v>0</v>
      </c>
      <c r="S90">
        <v>0</v>
      </c>
      <c r="T90">
        <f>R90-S90</f>
        <v>0</v>
      </c>
      <c r="U90" t="e">
        <f>T90/R90</f>
        <v>#DIV/0!</v>
      </c>
      <c r="V90">
        <v>0</v>
      </c>
      <c r="W90">
        <v>0</v>
      </c>
      <c r="X90">
        <f>V90-W90</f>
        <v>0</v>
      </c>
      <c r="Y90" t="e">
        <f>X90/V90</f>
        <v>#DIV/0!</v>
      </c>
      <c r="AA90" t="e">
        <f>(E90-K90-S90)/W90</f>
        <v>#DIV/0!</v>
      </c>
      <c r="AB90" t="e">
        <f>(D90-J90-R90)/V90</f>
        <v>#DIV/0!</v>
      </c>
      <c r="AC90" t="e">
        <f>(E90-K90-S90)/E90</f>
        <v>#DIV/0!</v>
      </c>
      <c r="AD90" t="e">
        <f>SUM(D90-H90)/D90</f>
        <v>#DIV/0!</v>
      </c>
      <c r="AK90">
        <f>SUM(W91-W90)</f>
        <v>0</v>
      </c>
      <c r="AL90">
        <f>SUM(K91-K90)</f>
        <v>0</v>
      </c>
    </row>
    <row r="91">
      <c r="C91" t="str">
        <v>Week 3</v>
      </c>
      <c r="D91">
        <v>0</v>
      </c>
      <c r="E91">
        <v>0</v>
      </c>
      <c r="F91">
        <f>D91-E91</f>
        <v>0</v>
      </c>
      <c r="G91" t="e">
        <f>F91/D91</f>
        <v>#DIV/0!</v>
      </c>
      <c r="H91">
        <v>0</v>
      </c>
      <c r="I91">
        <v>0</v>
      </c>
      <c r="J91">
        <f>SUM(H91-R91)</f>
        <v>0</v>
      </c>
      <c r="K91">
        <f>SUM(I91-S91)</f>
        <v>0</v>
      </c>
      <c r="L91">
        <f>J91-K91</f>
        <v>0</v>
      </c>
      <c r="M91" t="e">
        <f>L91/J91</f>
        <v>#DIV/0!</v>
      </c>
      <c r="R91">
        <v>0</v>
      </c>
      <c r="S91">
        <v>0</v>
      </c>
      <c r="T91">
        <f>R91-S91</f>
        <v>0</v>
      </c>
      <c r="U91" t="e">
        <f>T91/R91</f>
        <v>#DIV/0!</v>
      </c>
      <c r="V91">
        <v>0</v>
      </c>
      <c r="W91">
        <v>0</v>
      </c>
      <c r="X91">
        <f>V91-W91</f>
        <v>0</v>
      </c>
      <c r="Y91" t="e">
        <f>X91/V91</f>
        <v>#DIV/0!</v>
      </c>
      <c r="AA91" t="e">
        <f>(E91-K91-S91)/W91</f>
        <v>#DIV/0!</v>
      </c>
      <c r="AB91" t="e">
        <f>(D91-J91-R91)/V91</f>
        <v>#DIV/0!</v>
      </c>
      <c r="AC91" t="e">
        <f>(E91-K91-S91)/E91</f>
        <v>#DIV/0!</v>
      </c>
      <c r="AD91" t="e">
        <f>SUM(D91-H91)/D91</f>
        <v>#DIV/0!</v>
      </c>
      <c r="AG91" t="str">
        <v>Estimated months claim</v>
      </c>
      <c r="AH91">
        <v>0</v>
      </c>
      <c r="AK91">
        <f>SUM(W92-W91)</f>
        <v>0</v>
      </c>
      <c r="AL91">
        <f>SUM(K92-K91)</f>
        <v>0</v>
      </c>
    </row>
    <row r="92">
      <c r="C92" t="str">
        <v>Week 4</v>
      </c>
      <c r="D92">
        <v>0</v>
      </c>
      <c r="E92">
        <v>0</v>
      </c>
      <c r="F92">
        <f>D92-E92</f>
        <v>0</v>
      </c>
      <c r="G92" t="e">
        <f>F92/D92</f>
        <v>#DIV/0!</v>
      </c>
      <c r="H92">
        <v>0</v>
      </c>
      <c r="I92">
        <v>0</v>
      </c>
      <c r="J92">
        <f>SUM(H92-R92)</f>
        <v>0</v>
      </c>
      <c r="K92">
        <f>SUM(I92-S92)</f>
        <v>0</v>
      </c>
      <c r="L92">
        <f>J92-K92</f>
        <v>0</v>
      </c>
      <c r="M92" t="e">
        <f>L92/J92</f>
        <v>#DIV/0!</v>
      </c>
      <c r="R92">
        <v>0</v>
      </c>
      <c r="S92">
        <v>0</v>
      </c>
      <c r="T92">
        <f>R92-S92</f>
        <v>0</v>
      </c>
      <c r="U92" t="e">
        <f>T92/R92</f>
        <v>#DIV/0!</v>
      </c>
      <c r="V92">
        <v>0</v>
      </c>
      <c r="W92">
        <v>0</v>
      </c>
      <c r="X92">
        <f>V92-W92</f>
        <v>0</v>
      </c>
      <c r="Y92" t="e">
        <f>X92/V92</f>
        <v>#DIV/0!</v>
      </c>
      <c r="AA92" t="e">
        <f>(E92-K92-S92)/W92</f>
        <v>#DIV/0!</v>
      </c>
      <c r="AB92" t="e">
        <f>(D92-J92-R92)/V92</f>
        <v>#DIV/0!</v>
      </c>
      <c r="AC92" t="e">
        <f>(E92-K92-S92)/E92</f>
        <v>#DIV/0!</v>
      </c>
      <c r="AD92" t="e">
        <f>SUM(D92-H92)/D92</f>
        <v>#DIV/0!</v>
      </c>
      <c r="AK92">
        <f>SUM(W93-W92)</f>
        <v>0</v>
      </c>
      <c r="AL92">
        <f>SUM(K93-K92)</f>
        <v>0</v>
      </c>
    </row>
    <row r="93">
      <c r="C93" t="str">
        <v>Week 5</v>
      </c>
      <c r="D93">
        <v>0</v>
      </c>
      <c r="E93">
        <v>0</v>
      </c>
      <c r="F93">
        <f>D93-E93</f>
        <v>0</v>
      </c>
      <c r="G93" t="e">
        <f>F93/D93</f>
        <v>#DIV/0!</v>
      </c>
      <c r="H93">
        <v>0</v>
      </c>
      <c r="I93">
        <v>0</v>
      </c>
      <c r="J93">
        <f>SUM(H93-R93)</f>
        <v>0</v>
      </c>
      <c r="K93">
        <f>SUM(I93-S93)</f>
        <v>0</v>
      </c>
      <c r="L93">
        <f>J93-K93</f>
        <v>0</v>
      </c>
      <c r="M93" t="e">
        <f>L93/J93</f>
        <v>#DIV/0!</v>
      </c>
      <c r="R93">
        <v>0</v>
      </c>
      <c r="S93">
        <v>0</v>
      </c>
      <c r="T93">
        <f>R93-S93</f>
        <v>0</v>
      </c>
      <c r="U93" t="e">
        <f>T93/R93</f>
        <v>#DIV/0!</v>
      </c>
      <c r="V93">
        <v>0</v>
      </c>
      <c r="W93">
        <v>0</v>
      </c>
      <c r="X93">
        <f>V93-W93</f>
        <v>0</v>
      </c>
      <c r="Y93" t="e">
        <f>X93/V93</f>
        <v>#DIV/0!</v>
      </c>
      <c r="AA93" t="e">
        <f>(E93-K93-S93)/W93</f>
        <v>#DIV/0!</v>
      </c>
      <c r="AB93" t="e">
        <f>(D93-J93-R93)/V93</f>
        <v>#DIV/0!</v>
      </c>
      <c r="AC93" t="e">
        <f>(E93-K93-S93)/E93</f>
        <v>#DIV/0!</v>
      </c>
      <c r="AD93" t="e">
        <f>SUM(D93-H93)/D93</f>
        <v>#DIV/0!</v>
      </c>
      <c r="AK93">
        <f>SUM(AK88,AK89,AK90,AK91,AK92)</f>
        <v>-113.75</v>
      </c>
      <c r="AL93">
        <f>SUM(AL88,AL89,AL90,AL91,AL92)</f>
        <v>-20554.230000000003</v>
      </c>
    </row>
    <row r="95">
      <c r="A95">
        <f>'Main Sheet'!A30</f>
        <v>8214</v>
      </c>
      <c r="B95" t="str">
        <f>'Main Sheet'!B30</f>
        <v>6 Tiroroa Lane</v>
      </c>
      <c r="C95" t="str">
        <v>Start of month</v>
      </c>
      <c r="D95">
        <v>109103.76</v>
      </c>
      <c r="E95">
        <v>51323.57</v>
      </c>
      <c r="F95">
        <f>D95-E95</f>
        <v>57780.189999999995</v>
      </c>
      <c r="G95">
        <f>F95/D95</f>
        <v>0.529589356040525</v>
      </c>
      <c r="H95">
        <v>81158.83</v>
      </c>
      <c r="I95">
        <v>40300.16</v>
      </c>
      <c r="J95">
        <f>SUM(H95-R95)</f>
        <v>52391.31</v>
      </c>
      <c r="K95">
        <f>SUM(I95-S95)</f>
        <v>27621.500000000004</v>
      </c>
      <c r="L95">
        <f>J95-K95</f>
        <v>24769.809999999994</v>
      </c>
      <c r="M95">
        <f>L95/J95</f>
        <v>0.4727847041809032</v>
      </c>
      <c r="N95">
        <v>0.2</v>
      </c>
      <c r="R95">
        <v>28767.52</v>
      </c>
      <c r="S95">
        <v>12678.66</v>
      </c>
      <c r="T95">
        <f>R95-S95</f>
        <v>16088.86</v>
      </c>
      <c r="U95">
        <f>T95/R95</f>
        <v>0.5592717064244676</v>
      </c>
      <c r="V95">
        <v>577.33</v>
      </c>
      <c r="W95">
        <v>295.5</v>
      </c>
      <c r="X95">
        <f>V95-W95</f>
        <v>281.83000000000004</v>
      </c>
      <c r="Y95">
        <f>X95/V95</f>
        <v>0.4881610170959417</v>
      </c>
      <c r="Z95">
        <v>0</v>
      </c>
      <c r="AA95">
        <f>(E95-K95-S95)/W95</f>
        <v>37.30426395939085</v>
      </c>
      <c r="AB95">
        <f>(D95-J95-R95)/V95</f>
        <v>48.40373789687006</v>
      </c>
      <c r="AC95">
        <f>(E95-K95-S95)/E95</f>
        <v>0.21478260378223876</v>
      </c>
      <c r="AD95">
        <f>SUM(D95-H95)/D95</f>
        <v>0.25613168602072006</v>
      </c>
      <c r="AG95" t="str">
        <v>Hours calc for monthly claims</v>
      </c>
      <c r="AH95">
        <f>AK100</f>
        <v>-295.5</v>
      </c>
      <c r="AK95">
        <f>SUM(W96-W95)</f>
        <v>19.25</v>
      </c>
      <c r="AL95">
        <f>SUM(K96-K95)</f>
        <v>1.959999999995489</v>
      </c>
    </row>
    <row r="96">
      <c r="C96" t="str">
        <v>Week 1</v>
      </c>
      <c r="D96">
        <v>109103.76</v>
      </c>
      <c r="E96">
        <v>77821.91</v>
      </c>
      <c r="F96">
        <f>D96-E96</f>
        <v>31281.84999999999</v>
      </c>
      <c r="G96">
        <f>F96/D96</f>
        <v>0.28671651646102747</v>
      </c>
      <c r="H96">
        <v>81158.83</v>
      </c>
      <c r="I96">
        <v>41214.74</v>
      </c>
      <c r="J96">
        <f>SUM(H96-R96)</f>
        <v>52391.31</v>
      </c>
      <c r="K96">
        <f>SUM(I96-S96)</f>
        <v>27623.46</v>
      </c>
      <c r="L96">
        <f>J96-K96</f>
        <v>24767.85</v>
      </c>
      <c r="M96">
        <f>L96/J96</f>
        <v>0.4727472933965576</v>
      </c>
      <c r="N96">
        <v>0.2</v>
      </c>
      <c r="R96">
        <v>28767.52</v>
      </c>
      <c r="S96">
        <v>13591.28</v>
      </c>
      <c r="T96">
        <f>R96-S96</f>
        <v>15176.24</v>
      </c>
      <c r="U96">
        <f>T96/R96</f>
        <v>0.5275477343893391</v>
      </c>
      <c r="V96">
        <v>577.33</v>
      </c>
      <c r="W96">
        <v>314.75</v>
      </c>
      <c r="X96">
        <f>V96-W96</f>
        <v>262.58000000000004</v>
      </c>
      <c r="Y96">
        <f>X96/V96</f>
        <v>0.4548178684634438</v>
      </c>
      <c r="Z96">
        <v>0</v>
      </c>
      <c r="AA96">
        <f>(E96-K96-S96)/W96</f>
        <v>116.30554408260527</v>
      </c>
      <c r="AB96">
        <f>(D96-J96-R96)/V96</f>
        <v>48.40373789687006</v>
      </c>
      <c r="AC96">
        <f>(E96-K96-S96)/E96</f>
        <v>0.4703967044756419</v>
      </c>
      <c r="AD96">
        <f>SUM(D96-H96)/D96</f>
        <v>0.25613168602072006</v>
      </c>
      <c r="AG96" t="str">
        <v>Materials calc for monthly claims</v>
      </c>
      <c r="AH96">
        <f>AL100</f>
        <v>-27621.500000000004</v>
      </c>
      <c r="AK96">
        <f>SUM(W97-W96)</f>
        <v>-314.75</v>
      </c>
      <c r="AL96">
        <f>SUM(K97-K96)</f>
        <v>-27623.46</v>
      </c>
    </row>
    <row r="97">
      <c r="C97" t="str">
        <v>Week 2</v>
      </c>
      <c r="D97">
        <v>0</v>
      </c>
      <c r="E97">
        <v>0</v>
      </c>
      <c r="F97">
        <f>D97-E97</f>
        <v>0</v>
      </c>
      <c r="G97" t="e">
        <f>F97/D97</f>
        <v>#DIV/0!</v>
      </c>
      <c r="H97">
        <v>0</v>
      </c>
      <c r="I97">
        <v>0</v>
      </c>
      <c r="J97">
        <f>SUM(H97-R97)</f>
        <v>0</v>
      </c>
      <c r="K97">
        <f>SUM(I97-S97)</f>
        <v>0</v>
      </c>
      <c r="L97">
        <f>J97-K97</f>
        <v>0</v>
      </c>
      <c r="M97" t="e">
        <f>L97/J97</f>
        <v>#DIV/0!</v>
      </c>
      <c r="N97">
        <v>0.2</v>
      </c>
      <c r="R97">
        <v>0</v>
      </c>
      <c r="S97">
        <v>0</v>
      </c>
      <c r="T97">
        <f>R97-S97</f>
        <v>0</v>
      </c>
      <c r="U97" t="e">
        <f>T97/R97</f>
        <v>#DIV/0!</v>
      </c>
      <c r="V97">
        <v>0</v>
      </c>
      <c r="W97">
        <v>0</v>
      </c>
      <c r="X97">
        <f>V97-W97</f>
        <v>0</v>
      </c>
      <c r="Y97" t="e">
        <f>X97/V97</f>
        <v>#DIV/0!</v>
      </c>
      <c r="Z97">
        <v>0.2</v>
      </c>
      <c r="AA97" t="e">
        <f>(E97-K97-S97)/W97</f>
        <v>#DIV/0!</v>
      </c>
      <c r="AB97" t="e">
        <f>(D97-J97-R97)/V97</f>
        <v>#DIV/0!</v>
      </c>
      <c r="AC97" t="e">
        <f>(E97-K97-S97)/E97</f>
        <v>#DIV/0!</v>
      </c>
      <c r="AD97" t="e">
        <f>SUM(D97-H97)/D97</f>
        <v>#DIV/0!</v>
      </c>
      <c r="AK97">
        <f>SUM(W98-W97)</f>
        <v>0</v>
      </c>
      <c r="AL97">
        <f>SUM(K98-K97)</f>
        <v>0</v>
      </c>
    </row>
    <row r="98">
      <c r="C98" t="str">
        <v>Week 3</v>
      </c>
      <c r="D98">
        <v>0</v>
      </c>
      <c r="E98">
        <v>0</v>
      </c>
      <c r="F98">
        <f>D98-E98</f>
        <v>0</v>
      </c>
      <c r="G98" t="e">
        <f>F98/D98</f>
        <v>#DIV/0!</v>
      </c>
      <c r="H98">
        <v>0</v>
      </c>
      <c r="I98">
        <v>0</v>
      </c>
      <c r="J98">
        <f>SUM(H98-R98)</f>
        <v>0</v>
      </c>
      <c r="K98">
        <f>SUM(I98-S98)</f>
        <v>0</v>
      </c>
      <c r="L98">
        <f>J98-K98</f>
        <v>0</v>
      </c>
      <c r="M98" t="e">
        <f>L98/J98</f>
        <v>#DIV/0!</v>
      </c>
      <c r="N98">
        <v>0</v>
      </c>
      <c r="R98">
        <v>0</v>
      </c>
      <c r="S98">
        <v>0</v>
      </c>
      <c r="T98">
        <f>R98-S98</f>
        <v>0</v>
      </c>
      <c r="U98" t="e">
        <f>T98/R98</f>
        <v>#DIV/0!</v>
      </c>
      <c r="V98">
        <v>0</v>
      </c>
      <c r="W98">
        <v>0</v>
      </c>
      <c r="X98">
        <f>V98-W98</f>
        <v>0</v>
      </c>
      <c r="Y98" t="e">
        <f>X98/V98</f>
        <v>#DIV/0!</v>
      </c>
      <c r="Z98">
        <v>0.25</v>
      </c>
      <c r="AA98" t="e">
        <f>(E98-K98-S98)/W98</f>
        <v>#DIV/0!</v>
      </c>
      <c r="AB98" t="e">
        <f>(D98-J98-R98)/V98</f>
        <v>#DIV/0!</v>
      </c>
      <c r="AC98" t="e">
        <f>(E98-K98-S98)/E98</f>
        <v>#DIV/0!</v>
      </c>
      <c r="AD98" t="e">
        <f>SUM(D98-H98)/D98</f>
        <v>#DIV/0!</v>
      </c>
      <c r="AG98" t="str">
        <v>Estimated months claim</v>
      </c>
      <c r="AH98">
        <v>0</v>
      </c>
      <c r="AK98">
        <f>SUM(W99-W98)</f>
        <v>0</v>
      </c>
      <c r="AL98">
        <f>SUM(K99-K98)</f>
        <v>0</v>
      </c>
    </row>
    <row r="99">
      <c r="C99" t="str">
        <v>Week 4</v>
      </c>
      <c r="D99">
        <v>0</v>
      </c>
      <c r="E99">
        <v>0</v>
      </c>
      <c r="F99">
        <f>D99-E99</f>
        <v>0</v>
      </c>
      <c r="G99" t="e">
        <f>F99/D99</f>
        <v>#DIV/0!</v>
      </c>
      <c r="H99">
        <v>0</v>
      </c>
      <c r="I99">
        <v>0</v>
      </c>
      <c r="J99">
        <f>SUM(H99-R99)</f>
        <v>0</v>
      </c>
      <c r="K99">
        <f>SUM(I99-S99)</f>
        <v>0</v>
      </c>
      <c r="L99">
        <f>J99-K99</f>
        <v>0</v>
      </c>
      <c r="M99" t="e">
        <f>L99/J99</f>
        <v>#DIV/0!</v>
      </c>
      <c r="N99">
        <v>0</v>
      </c>
      <c r="R99">
        <v>0</v>
      </c>
      <c r="S99">
        <v>0</v>
      </c>
      <c r="T99">
        <f>R99-S99</f>
        <v>0</v>
      </c>
      <c r="U99" t="e">
        <f>T99/R99</f>
        <v>#DIV/0!</v>
      </c>
      <c r="V99">
        <v>0</v>
      </c>
      <c r="W99">
        <v>0</v>
      </c>
      <c r="X99">
        <f>V99-W99</f>
        <v>0</v>
      </c>
      <c r="Y99" t="e">
        <f>X99/V99</f>
        <v>#DIV/0!</v>
      </c>
      <c r="AA99" t="e">
        <f>(E99-K99-S99)/W99</f>
        <v>#DIV/0!</v>
      </c>
      <c r="AB99" t="e">
        <f>(D99-J99-R99)/V99</f>
        <v>#DIV/0!</v>
      </c>
      <c r="AC99" t="e">
        <f>(E99-K99-S99)/E99</f>
        <v>#DIV/0!</v>
      </c>
      <c r="AD99" t="e">
        <f>SUM(D99-H99)/D99</f>
        <v>#DIV/0!</v>
      </c>
      <c r="AK99">
        <f>SUM(W100-W99)</f>
        <v>0</v>
      </c>
      <c r="AL99">
        <f>SUM(K100-K99)</f>
        <v>0</v>
      </c>
    </row>
    <row r="100">
      <c r="C100" t="str">
        <v>Week 5</v>
      </c>
      <c r="D100">
        <v>0</v>
      </c>
      <c r="E100">
        <v>0</v>
      </c>
      <c r="F100">
        <f>D100-E100</f>
        <v>0</v>
      </c>
      <c r="G100" t="e">
        <f>F100/D100</f>
        <v>#DIV/0!</v>
      </c>
      <c r="H100">
        <v>0</v>
      </c>
      <c r="I100">
        <v>0</v>
      </c>
      <c r="J100">
        <f>SUM(H100-R100)</f>
        <v>0</v>
      </c>
      <c r="K100">
        <f>SUM(I100-S100)</f>
        <v>0</v>
      </c>
      <c r="L100">
        <f>J100-K100</f>
        <v>0</v>
      </c>
      <c r="M100" t="e">
        <f>L100/J100</f>
        <v>#DIV/0!</v>
      </c>
      <c r="N100">
        <v>0</v>
      </c>
      <c r="R100">
        <v>0</v>
      </c>
      <c r="S100">
        <v>0</v>
      </c>
      <c r="T100">
        <f>R100-S100</f>
        <v>0</v>
      </c>
      <c r="U100" t="e">
        <f>T100/R100</f>
        <v>#DIV/0!</v>
      </c>
      <c r="V100">
        <v>0</v>
      </c>
      <c r="W100">
        <v>0</v>
      </c>
      <c r="X100">
        <f>V100-W100</f>
        <v>0</v>
      </c>
      <c r="Y100" t="e">
        <f>X100/V100</f>
        <v>#DIV/0!</v>
      </c>
      <c r="AA100" t="e">
        <f>(E100-K100-S100)/W100</f>
        <v>#DIV/0!</v>
      </c>
      <c r="AB100" t="e">
        <f>(D100-J100-R100)/V100</f>
        <v>#DIV/0!</v>
      </c>
      <c r="AC100" t="e">
        <f>(E100-K100-S100)/E100</f>
        <v>#DIV/0!</v>
      </c>
      <c r="AD100" t="e">
        <f>SUM(D100-H100)/D100</f>
        <v>#DIV/0!</v>
      </c>
      <c r="AK100">
        <f>SUM(AK95,AK96,AK97,AK98,AK99)</f>
        <v>-295.5</v>
      </c>
      <c r="AL100">
        <f>SUM(AL95,AL96,AL97,AL98,AL99)</f>
        <v>-27621.500000000004</v>
      </c>
    </row>
    <row r="102">
      <c r="A102">
        <f>'Main Sheet'!A32</f>
        <v>6792</v>
      </c>
      <c r="B102" t="str">
        <f>'Main Sheet'!B32</f>
        <v xml:space="preserve">Major Hornbrook </v>
      </c>
      <c r="C102" t="str">
        <v>Start of month</v>
      </c>
      <c r="D102">
        <v>27742.44</v>
      </c>
      <c r="E102">
        <v>0</v>
      </c>
      <c r="F102">
        <f>D102-E102</f>
        <v>27742.44</v>
      </c>
      <c r="G102">
        <f>F102/D102</f>
        <v>1</v>
      </c>
      <c r="H102">
        <v>20094.24</v>
      </c>
      <c r="I102">
        <v>405.4</v>
      </c>
      <c r="J102">
        <f>SUM(H102-R102)</f>
        <v>11429.460000000001</v>
      </c>
      <c r="K102">
        <f>SUM(I102-S102)</f>
        <v>73.73999999999995</v>
      </c>
      <c r="L102">
        <f>J102-K102</f>
        <v>11355.720000000001</v>
      </c>
      <c r="M102">
        <f>L102/J102</f>
        <v>0.9935482516234363</v>
      </c>
      <c r="N102">
        <v>0</v>
      </c>
      <c r="R102">
        <v>8664.78</v>
      </c>
      <c r="S102">
        <v>331.66</v>
      </c>
      <c r="T102">
        <f>R102-S102</f>
        <v>8333.12</v>
      </c>
      <c r="U102">
        <f>T102/R102</f>
        <v>0.9617232058978993</v>
      </c>
      <c r="V102">
        <v>173.8</v>
      </c>
      <c r="W102">
        <v>7.75</v>
      </c>
      <c r="X102">
        <f>V102-W102</f>
        <v>166.05</v>
      </c>
      <c r="Y102">
        <f>X102/V102</f>
        <v>0.9554085155350979</v>
      </c>
      <c r="AA102">
        <f>(E102-K102-S102)/W102</f>
        <v>-52.309677419354834</v>
      </c>
      <c r="AB102">
        <f>(D102-J102-R102)/V102</f>
        <v>44.00575373993094</v>
      </c>
      <c r="AC102" t="e">
        <f>(E102-K102-S102)/E102</f>
        <v>#DIV/0!</v>
      </c>
      <c r="AD102">
        <f>SUM(D102-H102)/D102</f>
        <v>0.2756859165956562</v>
      </c>
      <c r="AG102" t="str">
        <v>Hours calc for monthly claims</v>
      </c>
      <c r="AH102">
        <f>AK107</f>
        <v>-7.75</v>
      </c>
      <c r="AK102">
        <f>SUM(W103-W102)</f>
        <v>0</v>
      </c>
      <c r="AL102">
        <f>SUM(K103-K102)</f>
        <v>-13.889999999999986</v>
      </c>
    </row>
    <row r="103">
      <c r="C103" t="str">
        <v>Week 1</v>
      </c>
      <c r="D103">
        <v>27861.41</v>
      </c>
      <c r="E103">
        <v>0</v>
      </c>
      <c r="F103">
        <f>D103-E103</f>
        <v>27861.41</v>
      </c>
      <c r="G103">
        <f>F103/D103</f>
        <v>1</v>
      </c>
      <c r="H103">
        <v>20162.08</v>
      </c>
      <c r="I103">
        <v>392.27</v>
      </c>
      <c r="J103">
        <f>SUM(H103-R103)</f>
        <v>11464.04</v>
      </c>
      <c r="K103">
        <f>SUM(I103-S103)</f>
        <v>59.849999999999966</v>
      </c>
      <c r="L103">
        <f>J103-K103</f>
        <v>11404.19</v>
      </c>
      <c r="M103">
        <f>L103/J103</f>
        <v>0.9947793273575458</v>
      </c>
      <c r="N103">
        <v>0</v>
      </c>
      <c r="R103">
        <v>8698.04</v>
      </c>
      <c r="S103">
        <v>332.42</v>
      </c>
      <c r="T103">
        <f>R103-S103</f>
        <v>8365.62</v>
      </c>
      <c r="U103">
        <f>T103/R103</f>
        <v>0.9617821946093603</v>
      </c>
      <c r="V103">
        <v>174.46</v>
      </c>
      <c r="W103">
        <v>7.75</v>
      </c>
      <c r="X103">
        <f>V103-W103</f>
        <v>166.71</v>
      </c>
      <c r="Y103">
        <f>X103/V103</f>
        <v>0.9555772096755704</v>
      </c>
      <c r="AA103">
        <f>(E103-K103-S103)/W103</f>
        <v>-50.615483870967736</v>
      </c>
      <c r="AB103">
        <f>(D103-J103-R103)/V103</f>
        <v>44.13235125530206</v>
      </c>
      <c r="AC103" t="e">
        <f>(E103-K103-S103)/E103</f>
        <v>#DIV/0!</v>
      </c>
      <c r="AD103">
        <f>SUM(D103-H103)/D103</f>
        <v>0.2763438749151604</v>
      </c>
      <c r="AG103" t="str">
        <v>Materials calc for monthly claims</v>
      </c>
      <c r="AH103">
        <f>AL107</f>
        <v>-73.73999999999995</v>
      </c>
      <c r="AK103">
        <f>SUM(W104-W103)</f>
        <v>-7.75</v>
      </c>
      <c r="AL103">
        <f>SUM(K104-K103)</f>
        <v>-59.849999999999966</v>
      </c>
    </row>
    <row r="104">
      <c r="C104" t="str">
        <v>Week 2</v>
      </c>
      <c r="D104">
        <v>0</v>
      </c>
      <c r="E104">
        <v>0</v>
      </c>
      <c r="F104">
        <f>D104-E104</f>
        <v>0</v>
      </c>
      <c r="G104" t="e">
        <f>F104/D104</f>
        <v>#DIV/0!</v>
      </c>
      <c r="H104">
        <v>0</v>
      </c>
      <c r="I104">
        <v>0</v>
      </c>
      <c r="J104">
        <f>SUM(H104-R104)</f>
        <v>0</v>
      </c>
      <c r="K104">
        <f>SUM(I104-S104)</f>
        <v>0</v>
      </c>
      <c r="L104">
        <f>J104-K104</f>
        <v>0</v>
      </c>
      <c r="M104" t="e">
        <f>L104/J104</f>
        <v>#DIV/0!</v>
      </c>
      <c r="N104">
        <v>0</v>
      </c>
      <c r="R104">
        <v>0</v>
      </c>
      <c r="S104">
        <v>0</v>
      </c>
      <c r="T104">
        <f>R104-S104</f>
        <v>0</v>
      </c>
      <c r="U104" t="e">
        <f>T104/R104</f>
        <v>#DIV/0!</v>
      </c>
      <c r="V104">
        <v>0</v>
      </c>
      <c r="W104">
        <v>0</v>
      </c>
      <c r="X104">
        <f>V104-W104</f>
        <v>0</v>
      </c>
      <c r="Y104" t="e">
        <f>X104/V104</f>
        <v>#DIV/0!</v>
      </c>
      <c r="AA104" t="e">
        <f>(E104-K104-S104)/W104</f>
        <v>#DIV/0!</v>
      </c>
      <c r="AB104" t="e">
        <f>(D104-J104-R104)/V104</f>
        <v>#DIV/0!</v>
      </c>
      <c r="AC104" t="e">
        <f>(E104-K104-S104)/E104</f>
        <v>#DIV/0!</v>
      </c>
      <c r="AD104" t="e">
        <f>SUM(D104-H104)/D104</f>
        <v>#DIV/0!</v>
      </c>
      <c r="AK104">
        <f>SUM(W105-W104)</f>
        <v>0</v>
      </c>
      <c r="AL104">
        <f>SUM(K105-K104)</f>
        <v>0</v>
      </c>
    </row>
    <row r="105">
      <c r="C105" t="str">
        <v>Week 3</v>
      </c>
      <c r="D105">
        <v>0</v>
      </c>
      <c r="E105">
        <v>0</v>
      </c>
      <c r="F105">
        <f>D105-E105</f>
        <v>0</v>
      </c>
      <c r="G105" t="e">
        <f>F105/D105</f>
        <v>#DIV/0!</v>
      </c>
      <c r="H105">
        <v>0</v>
      </c>
      <c r="I105">
        <v>0</v>
      </c>
      <c r="J105">
        <f>SUM(H105-R105)</f>
        <v>0</v>
      </c>
      <c r="K105">
        <f>SUM(I105-S105)</f>
        <v>0</v>
      </c>
      <c r="L105">
        <f>J105-K105</f>
        <v>0</v>
      </c>
      <c r="M105" t="e">
        <f>L105/J105</f>
        <v>#DIV/0!</v>
      </c>
      <c r="N105">
        <v>0</v>
      </c>
      <c r="R105">
        <v>0</v>
      </c>
      <c r="S105">
        <v>0</v>
      </c>
      <c r="T105">
        <f>R105-S105</f>
        <v>0</v>
      </c>
      <c r="U105" t="e">
        <f>T105/R105</f>
        <v>#DIV/0!</v>
      </c>
      <c r="V105">
        <v>0</v>
      </c>
      <c r="W105">
        <v>0</v>
      </c>
      <c r="X105">
        <f>V105-W105</f>
        <v>0</v>
      </c>
      <c r="Y105" t="e">
        <f>X105/V105</f>
        <v>#DIV/0!</v>
      </c>
      <c r="AA105" t="e">
        <f>(E105-K105-S105)/W105</f>
        <v>#DIV/0!</v>
      </c>
      <c r="AB105" t="e">
        <f>(D105-J105-R105)/V105</f>
        <v>#DIV/0!</v>
      </c>
      <c r="AC105" t="e">
        <f>(E105-K105-S105)/E105</f>
        <v>#DIV/0!</v>
      </c>
      <c r="AD105" t="e">
        <f>SUM(D105-H105)/D105</f>
        <v>#DIV/0!</v>
      </c>
      <c r="AG105" t="str">
        <v>Estimated months claim</v>
      </c>
      <c r="AH105">
        <v>0</v>
      </c>
      <c r="AK105">
        <f>SUM(W106-W105)</f>
        <v>0</v>
      </c>
      <c r="AL105">
        <f>SUM(K106-K105)</f>
        <v>0</v>
      </c>
    </row>
    <row r="106">
      <c r="C106" t="str">
        <v>Week 4</v>
      </c>
      <c r="D106">
        <v>0</v>
      </c>
      <c r="E106">
        <v>0</v>
      </c>
      <c r="F106">
        <f>D106-E106</f>
        <v>0</v>
      </c>
      <c r="G106" t="e">
        <f>F106/D106</f>
        <v>#DIV/0!</v>
      </c>
      <c r="H106">
        <v>0</v>
      </c>
      <c r="I106">
        <v>0</v>
      </c>
      <c r="J106">
        <f>SUM(H106-R106)</f>
        <v>0</v>
      </c>
      <c r="K106">
        <f>SUM(I106-S106)</f>
        <v>0</v>
      </c>
      <c r="L106">
        <f>J106-K106</f>
        <v>0</v>
      </c>
      <c r="M106" t="e">
        <f>L106/J106</f>
        <v>#DIV/0!</v>
      </c>
      <c r="N106">
        <v>0</v>
      </c>
      <c r="R106">
        <v>0</v>
      </c>
      <c r="S106">
        <v>0</v>
      </c>
      <c r="T106">
        <f>R106-S106</f>
        <v>0</v>
      </c>
      <c r="U106" t="e">
        <f>T106/R106</f>
        <v>#DIV/0!</v>
      </c>
      <c r="V106">
        <v>0</v>
      </c>
      <c r="W106">
        <v>0</v>
      </c>
      <c r="X106">
        <f>V106-W106</f>
        <v>0</v>
      </c>
      <c r="Y106" t="e">
        <f>X106/V106</f>
        <v>#DIV/0!</v>
      </c>
      <c r="AA106" t="e">
        <f>(E106-K106-S106)/W106</f>
        <v>#DIV/0!</v>
      </c>
      <c r="AB106" t="e">
        <f>(D106-J106-R106)/V106</f>
        <v>#DIV/0!</v>
      </c>
      <c r="AC106" t="e">
        <f>(E106-K106-S106)/E106</f>
        <v>#DIV/0!</v>
      </c>
      <c r="AD106" t="e">
        <f>SUM(D106-H106)/D106</f>
        <v>#DIV/0!</v>
      </c>
      <c r="AK106">
        <f>SUM(W107-W106)</f>
        <v>0</v>
      </c>
      <c r="AL106">
        <f>SUM(K107-K106)</f>
        <v>0</v>
      </c>
    </row>
    <row r="107">
      <c r="C107" t="str">
        <v>Week 5</v>
      </c>
      <c r="D107">
        <v>0</v>
      </c>
      <c r="E107">
        <v>0</v>
      </c>
      <c r="F107">
        <f>D107-E107</f>
        <v>0</v>
      </c>
      <c r="G107" t="e">
        <f>F107/D107</f>
        <v>#DIV/0!</v>
      </c>
      <c r="H107">
        <v>0</v>
      </c>
      <c r="I107">
        <v>0</v>
      </c>
      <c r="J107">
        <f>SUM(H107-R107)</f>
        <v>0</v>
      </c>
      <c r="K107">
        <f>SUM(I107-S107)</f>
        <v>0</v>
      </c>
      <c r="L107">
        <f>J107-K107</f>
        <v>0</v>
      </c>
      <c r="M107" t="e">
        <f>L107/J107</f>
        <v>#DIV/0!</v>
      </c>
      <c r="N107">
        <v>0</v>
      </c>
      <c r="R107">
        <v>0</v>
      </c>
      <c r="S107">
        <v>0</v>
      </c>
      <c r="T107">
        <f>R107-S107</f>
        <v>0</v>
      </c>
      <c r="U107" t="e">
        <f>T107/R107</f>
        <v>#DIV/0!</v>
      </c>
      <c r="V107">
        <v>0</v>
      </c>
      <c r="W107">
        <v>0</v>
      </c>
      <c r="X107">
        <f>V107-W107</f>
        <v>0</v>
      </c>
      <c r="Y107" t="e">
        <f>X107/V107</f>
        <v>#DIV/0!</v>
      </c>
      <c r="AA107" t="e">
        <f>(E107-K107-S107)/W107</f>
        <v>#DIV/0!</v>
      </c>
      <c r="AB107" t="e">
        <f>(D107-J107-R107)/V107</f>
        <v>#DIV/0!</v>
      </c>
      <c r="AC107" t="e">
        <f>(E107-K107-S107)/E107</f>
        <v>#DIV/0!</v>
      </c>
      <c r="AD107" t="e">
        <f>SUM(D107-H107)/D107</f>
        <v>#DIV/0!</v>
      </c>
      <c r="AK107">
        <f>SUM(AK102,AK103,AK104,AK105,AK106)</f>
        <v>-7.75</v>
      </c>
      <c r="AL107">
        <f>SUM(AL102,AL103,AL104,AL105,AL106)</f>
        <v>-73.73999999999995</v>
      </c>
    </row>
    <row r="109">
      <c r="A109">
        <f>'Main Sheet'!A34</f>
        <v>8840</v>
      </c>
      <c r="B109" t="str">
        <f>'Main Sheet'!B34</f>
        <v>Inline Architecture</v>
      </c>
      <c r="C109" t="str">
        <v>Start of month</v>
      </c>
      <c r="D109">
        <v>21300.45</v>
      </c>
      <c r="E109">
        <v>5515.31</v>
      </c>
      <c r="F109">
        <f>D109-E109</f>
        <v>15785.14</v>
      </c>
      <c r="G109">
        <f>F109/D109</f>
        <v>0.7410707285526831</v>
      </c>
      <c r="H109">
        <v>11275.69</v>
      </c>
      <c r="I109">
        <v>5128.09</v>
      </c>
      <c r="J109">
        <f>SUM(H109-R109)</f>
        <v>4165.39</v>
      </c>
      <c r="K109">
        <v>815.93</v>
      </c>
      <c r="L109">
        <f>J109-K109</f>
        <v>3349.4600000000005</v>
      </c>
      <c r="M109">
        <f>L109/J109</f>
        <v>0.8041167813818154</v>
      </c>
      <c r="N109">
        <v>1</v>
      </c>
      <c r="R109">
        <v>7110.3</v>
      </c>
      <c r="S109">
        <v>1880.39</v>
      </c>
      <c r="T109">
        <f>R109-S109</f>
        <v>5229.91</v>
      </c>
      <c r="U109">
        <f>T109/R109</f>
        <v>0.7355399912802554</v>
      </c>
      <c r="V109">
        <v>142.36</v>
      </c>
      <c r="W109">
        <v>42.25</v>
      </c>
      <c r="X109">
        <f>V109-W109</f>
        <v>100.11000000000001</v>
      </c>
      <c r="Y109">
        <f>X109/V109</f>
        <v>0.7032171958415285</v>
      </c>
      <c r="Z109">
        <v>1</v>
      </c>
      <c r="AA109">
        <f>(E109-K109-S109)/W109</f>
        <v>66.72165680473373</v>
      </c>
      <c r="AB109">
        <f>(D109-J109-R109)/V109</f>
        <v>70.4183759483001</v>
      </c>
      <c r="AC109">
        <f>(E109-K109-S109)/E109</f>
        <v>0.5111208617466652</v>
      </c>
      <c r="AD109">
        <f>SUM(D109-H109)/D109</f>
        <v>0.4706360663741846</v>
      </c>
      <c r="AG109" t="str">
        <v>Hours calc for monthly claims</v>
      </c>
      <c r="AH109">
        <f>AK114</f>
        <v>-42.25</v>
      </c>
      <c r="AK109">
        <f>SUM(W110-W109)</f>
        <v>14.25</v>
      </c>
      <c r="AL109">
        <f>SUM(K110-K109)</f>
        <v>2844.8300000000004</v>
      </c>
    </row>
    <row r="110">
      <c r="C110" t="str">
        <v>Week 1</v>
      </c>
      <c r="D110">
        <v>21300.45</v>
      </c>
      <c r="E110">
        <v>10143.09</v>
      </c>
      <c r="F110">
        <f>D110-E110</f>
        <v>11157.36</v>
      </c>
      <c r="G110">
        <f>F110/D110</f>
        <v>0.5238086519298888</v>
      </c>
      <c r="H110">
        <v>11275.69</v>
      </c>
      <c r="I110">
        <v>6237.89</v>
      </c>
      <c r="J110">
        <f>SUM(H110-R110)</f>
        <v>4165.39</v>
      </c>
      <c r="K110">
        <f>SUM(I110-S110)</f>
        <v>3660.76</v>
      </c>
      <c r="L110">
        <f>J110-K110</f>
        <v>504.6300000000001</v>
      </c>
      <c r="M110">
        <f>L110/J110</f>
        <v>0.12114831984520058</v>
      </c>
      <c r="N110">
        <v>1</v>
      </c>
      <c r="R110">
        <v>7110.3</v>
      </c>
      <c r="S110">
        <v>2577.13</v>
      </c>
      <c r="T110">
        <f>R110-S110</f>
        <v>4533.17</v>
      </c>
      <c r="U110">
        <f>T110/R110</f>
        <v>0.6375497517685611</v>
      </c>
      <c r="V110">
        <v>142.36</v>
      </c>
      <c r="W110">
        <v>56.5</v>
      </c>
      <c r="X110">
        <f>V110-W110</f>
        <v>85.86000000000001</v>
      </c>
      <c r="Y110">
        <f>X110/V110</f>
        <v>0.6031188536105648</v>
      </c>
      <c r="Z110">
        <v>1</v>
      </c>
      <c r="AA110">
        <f>(E110-K110-S110)/W110</f>
        <v>69.11858407079646</v>
      </c>
      <c r="AB110">
        <f>(D110-J110-R110)/V110</f>
        <v>70.4183759483001</v>
      </c>
      <c r="AC110">
        <f>(E110-K110-S110)/E110</f>
        <v>0.3850108793276999</v>
      </c>
      <c r="AD110">
        <f>SUM(D110-H110)/D110</f>
        <v>0.4706360663741846</v>
      </c>
      <c r="AG110" t="str">
        <v>Materials calc for monthly claims</v>
      </c>
      <c r="AH110">
        <f>AL114</f>
        <v>-815.9299999999998</v>
      </c>
      <c r="AK110">
        <f>SUM(W111-W110)</f>
        <v>-56.5</v>
      </c>
      <c r="AL110">
        <f>SUM(K111-K110)</f>
        <v>-3660.76</v>
      </c>
    </row>
    <row r="111">
      <c r="C111" t="str">
        <v>Week 2</v>
      </c>
      <c r="D111">
        <v>0</v>
      </c>
      <c r="E111">
        <v>0</v>
      </c>
      <c r="F111">
        <f>D111-E111</f>
        <v>0</v>
      </c>
      <c r="G111" t="e">
        <f>F111/D111</f>
        <v>#DIV/0!</v>
      </c>
      <c r="H111">
        <v>0</v>
      </c>
      <c r="I111">
        <v>0</v>
      </c>
      <c r="J111">
        <f>SUM(H111-R111)</f>
        <v>0</v>
      </c>
      <c r="K111">
        <f>SUM(I111-S111)</f>
        <v>0</v>
      </c>
      <c r="L111">
        <f>J111-K111</f>
        <v>0</v>
      </c>
      <c r="M111" t="e">
        <f>L111/J111</f>
        <v>#DIV/0!</v>
      </c>
      <c r="N111">
        <v>1</v>
      </c>
      <c r="R111">
        <v>0</v>
      </c>
      <c r="S111">
        <v>0</v>
      </c>
      <c r="T111">
        <f>R111-S111</f>
        <v>0</v>
      </c>
      <c r="U111" t="e">
        <f>T111/R111</f>
        <v>#DIV/0!</v>
      </c>
      <c r="V111">
        <v>0</v>
      </c>
      <c r="W111">
        <v>0</v>
      </c>
      <c r="X111">
        <f>V111-W111</f>
        <v>0</v>
      </c>
      <c r="Y111" t="e">
        <f>X111/V111</f>
        <v>#DIV/0!</v>
      </c>
      <c r="Z111">
        <v>1</v>
      </c>
      <c r="AA111" t="e">
        <f>(E111-K111-S111)/W111</f>
        <v>#DIV/0!</v>
      </c>
      <c r="AB111" t="e">
        <f>(D111-J111-R111)/V111</f>
        <v>#DIV/0!</v>
      </c>
      <c r="AC111" t="e">
        <f>(E111-K111-S111)/E111</f>
        <v>#DIV/0!</v>
      </c>
      <c r="AD111" t="e">
        <f>SUM(D111-H111)/D111</f>
        <v>#DIV/0!</v>
      </c>
      <c r="AK111">
        <f>SUM(W112-W111)</f>
        <v>0</v>
      </c>
      <c r="AL111">
        <f>SUM(K112-K111)</f>
        <v>0</v>
      </c>
    </row>
    <row r="112">
      <c r="C112" t="str">
        <v>Week 3</v>
      </c>
      <c r="D112">
        <v>0</v>
      </c>
      <c r="E112">
        <v>0</v>
      </c>
      <c r="F112">
        <f>D112-E112</f>
        <v>0</v>
      </c>
      <c r="G112" t="e">
        <f>F112/D112</f>
        <v>#DIV/0!</v>
      </c>
      <c r="H112">
        <v>0</v>
      </c>
      <c r="I112">
        <v>0</v>
      </c>
      <c r="J112">
        <f>SUM(H112-R112)</f>
        <v>0</v>
      </c>
      <c r="K112">
        <f>SUM(I112-S112)</f>
        <v>0</v>
      </c>
      <c r="L112">
        <f>J112-K112</f>
        <v>0</v>
      </c>
      <c r="M112" t="e">
        <f>L112/J112</f>
        <v>#DIV/0!</v>
      </c>
      <c r="N112">
        <v>0</v>
      </c>
      <c r="R112">
        <v>0</v>
      </c>
      <c r="S112">
        <v>0</v>
      </c>
      <c r="T112">
        <f>R112-S112</f>
        <v>0</v>
      </c>
      <c r="U112" t="e">
        <f>T112/R112</f>
        <v>#DIV/0!</v>
      </c>
      <c r="V112">
        <v>0</v>
      </c>
      <c r="W112">
        <v>0</v>
      </c>
      <c r="X112">
        <f>V112-W112</f>
        <v>0</v>
      </c>
      <c r="Y112" t="e">
        <f>X112/V112</f>
        <v>#DIV/0!</v>
      </c>
      <c r="Z112">
        <v>0</v>
      </c>
      <c r="AA112" t="e">
        <f>(E112-K112-S112)/W112</f>
        <v>#DIV/0!</v>
      </c>
      <c r="AB112" t="e">
        <f>(D112-J112-R112)/V112</f>
        <v>#DIV/0!</v>
      </c>
      <c r="AC112" t="e">
        <f>(E112-K112-S112)/E112</f>
        <v>#DIV/0!</v>
      </c>
      <c r="AD112" t="e">
        <f>SUM(D112-H112)/D112</f>
        <v>#DIV/0!</v>
      </c>
      <c r="AG112" t="str">
        <v>Estimated months claim</v>
      </c>
      <c r="AH112">
        <v>0</v>
      </c>
      <c r="AK112">
        <f>SUM(W113-W112)</f>
        <v>0</v>
      </c>
      <c r="AL112">
        <f>SUM(K113-K112)</f>
        <v>0</v>
      </c>
    </row>
    <row r="113">
      <c r="C113" t="str">
        <v>Week 4</v>
      </c>
      <c r="D113">
        <v>0</v>
      </c>
      <c r="E113">
        <v>0</v>
      </c>
      <c r="F113">
        <f>D113-E113</f>
        <v>0</v>
      </c>
      <c r="G113" t="e">
        <f>F113/D113</f>
        <v>#DIV/0!</v>
      </c>
      <c r="H113">
        <v>0</v>
      </c>
      <c r="I113">
        <v>0</v>
      </c>
      <c r="J113">
        <f>SUM(H113-R113)</f>
        <v>0</v>
      </c>
      <c r="K113">
        <f>SUM(I113-S113)</f>
        <v>0</v>
      </c>
      <c r="L113">
        <f>J113-K113</f>
        <v>0</v>
      </c>
      <c r="M113" t="e">
        <f>L113/J113</f>
        <v>#DIV/0!</v>
      </c>
      <c r="N113">
        <v>0</v>
      </c>
      <c r="R113">
        <v>0</v>
      </c>
      <c r="S113">
        <v>0</v>
      </c>
      <c r="T113">
        <f>R113-S113</f>
        <v>0</v>
      </c>
      <c r="U113" t="e">
        <f>T113/R113</f>
        <v>#DIV/0!</v>
      </c>
      <c r="V113">
        <v>0</v>
      </c>
      <c r="W113">
        <v>0</v>
      </c>
      <c r="X113">
        <f>V113-W113</f>
        <v>0</v>
      </c>
      <c r="Y113" t="e">
        <f>X113/V113</f>
        <v>#DIV/0!</v>
      </c>
      <c r="Z113">
        <v>0</v>
      </c>
      <c r="AA113" t="e">
        <f>(E113-K113-S113)/W113</f>
        <v>#DIV/0!</v>
      </c>
      <c r="AB113" t="e">
        <f>(D113-J113-R113)/V113</f>
        <v>#DIV/0!</v>
      </c>
      <c r="AC113" t="e">
        <f>(E113-K113-S113)/E113</f>
        <v>#DIV/0!</v>
      </c>
      <c r="AD113" t="e">
        <f>SUM(D113-H113)/D113</f>
        <v>#DIV/0!</v>
      </c>
      <c r="AK113">
        <f>SUM(W114-W113)</f>
        <v>0</v>
      </c>
      <c r="AL113">
        <f>SUM(K114-K113)</f>
        <v>0</v>
      </c>
    </row>
    <row r="114">
      <c r="C114" t="str">
        <v>Week 5</v>
      </c>
      <c r="D114">
        <v>0</v>
      </c>
      <c r="E114">
        <v>0</v>
      </c>
      <c r="F114">
        <f>D114-E114</f>
        <v>0</v>
      </c>
      <c r="G114" t="e">
        <f>F114/D114</f>
        <v>#DIV/0!</v>
      </c>
      <c r="H114">
        <v>0</v>
      </c>
      <c r="I114">
        <v>0</v>
      </c>
      <c r="J114">
        <f>SUM(H114-R114)</f>
        <v>0</v>
      </c>
      <c r="K114">
        <f>SUM(I114-S114)</f>
        <v>0</v>
      </c>
      <c r="L114">
        <f>J114-K114</f>
        <v>0</v>
      </c>
      <c r="M114" t="e">
        <f>L114/J114</f>
        <v>#DIV/0!</v>
      </c>
      <c r="N114">
        <v>0</v>
      </c>
      <c r="R114">
        <v>0</v>
      </c>
      <c r="S114">
        <v>0</v>
      </c>
      <c r="T114">
        <f>R114-S114</f>
        <v>0</v>
      </c>
      <c r="U114" t="e">
        <f>T114/R114</f>
        <v>#DIV/0!</v>
      </c>
      <c r="V114">
        <v>0</v>
      </c>
      <c r="W114">
        <v>0</v>
      </c>
      <c r="X114">
        <f>V114-W114</f>
        <v>0</v>
      </c>
      <c r="Y114" t="e">
        <f>X114/V114</f>
        <v>#DIV/0!</v>
      </c>
      <c r="Z114">
        <v>0</v>
      </c>
      <c r="AA114" t="e">
        <f>(E114-K114-S114)/W114</f>
        <v>#DIV/0!</v>
      </c>
      <c r="AB114" t="e">
        <f>(D114-J114-R114)/V114</f>
        <v>#DIV/0!</v>
      </c>
      <c r="AC114" t="e">
        <f>(E114-K114-S114)/E114</f>
        <v>#DIV/0!</v>
      </c>
      <c r="AD114" t="e">
        <f>SUM(D114-H114)/D114</f>
        <v>#DIV/0!</v>
      </c>
      <c r="AK114">
        <f>SUM(AK109,AK110,AK111,AK112,AK113)</f>
        <v>-42.25</v>
      </c>
      <c r="AL114">
        <f>SUM(AL109,AL110,AL111,AL112,AL113)</f>
        <v>-815.9299999999998</v>
      </c>
    </row>
    <row r="116">
      <c r="A116">
        <f>'Main Sheet'!A36</f>
        <v>8769</v>
      </c>
      <c r="B116" t="str">
        <f>'Main Sheet'!B36</f>
        <v>Percival Bach</v>
      </c>
      <c r="C116" t="str">
        <v>Start of month</v>
      </c>
      <c r="D116">
        <v>63405.46</v>
      </c>
      <c r="E116">
        <v>0</v>
      </c>
      <c r="F116">
        <f>D116-E116</f>
        <v>63405.46</v>
      </c>
      <c r="G116">
        <f>F116/D116</f>
        <v>1</v>
      </c>
      <c r="H116">
        <v>43553.81</v>
      </c>
      <c r="I116">
        <v>9012.69</v>
      </c>
      <c r="J116">
        <f>SUM(H116-R116)</f>
        <v>29573.659999999996</v>
      </c>
      <c r="K116">
        <f>SUM(I116-S116)</f>
        <v>8270.880000000001</v>
      </c>
      <c r="L116">
        <f>J116-K116</f>
        <v>21302.779999999995</v>
      </c>
      <c r="M116">
        <f>L116/J116</f>
        <v>0.7203295094350851</v>
      </c>
      <c r="N116">
        <v>0</v>
      </c>
      <c r="R116">
        <v>13980.15</v>
      </c>
      <c r="S116">
        <v>741.81</v>
      </c>
      <c r="T116">
        <f>R116-S116</f>
        <v>13238.34</v>
      </c>
      <c r="U116">
        <f>T116/R116</f>
        <v>0.9469383375714853</v>
      </c>
      <c r="V116">
        <v>279.87</v>
      </c>
      <c r="W116">
        <v>52</v>
      </c>
      <c r="X116">
        <f>V116-W116</f>
        <v>227.87</v>
      </c>
      <c r="Y116">
        <f>X116/V116</f>
        <v>0.8141994497445243</v>
      </c>
      <c r="Z116">
        <v>0</v>
      </c>
      <c r="AA116">
        <f>(E116-K116-S116)/W116</f>
        <v>-173.32096153846155</v>
      </c>
      <c r="AB116">
        <f>(D116-J116-R116)/V116</f>
        <v>70.93168256690606</v>
      </c>
      <c r="AC116" t="e">
        <f>(E116-K116-S116)/E116</f>
        <v>#DIV/0!</v>
      </c>
      <c r="AD116">
        <f>SUM(D116-H116)/D116</f>
        <v>0.3130905445682438</v>
      </c>
      <c r="AG116" t="str">
        <v>Hours calc for monthly claims</v>
      </c>
      <c r="AH116">
        <f>AK121</f>
        <v>-52</v>
      </c>
      <c r="AK116">
        <f>SUM(W117-W116)</f>
        <v>36.5</v>
      </c>
      <c r="AL116">
        <f>SUM(K117-K116)</f>
        <v>3381.039999999999</v>
      </c>
    </row>
    <row r="117">
      <c r="C117" t="str">
        <v>Week 1</v>
      </c>
      <c r="D117">
        <v>63405.46</v>
      </c>
      <c r="E117">
        <v>23507.97</v>
      </c>
      <c r="F117">
        <f>D117-E117</f>
        <v>39897.49</v>
      </c>
      <c r="G117">
        <f>F117/D117</f>
        <v>0.6292437591336771</v>
      </c>
      <c r="H117">
        <v>43553.81</v>
      </c>
      <c r="I117">
        <v>15599.26</v>
      </c>
      <c r="J117">
        <f>SUM(H117-R117)</f>
        <v>29573.659999999996</v>
      </c>
      <c r="K117">
        <f>SUM(I117-S117)</f>
        <v>11651.92</v>
      </c>
      <c r="L117">
        <f>J117-K117</f>
        <v>17921.739999999998</v>
      </c>
      <c r="M117">
        <f>L117/J117</f>
        <v>0.6060034503676582</v>
      </c>
      <c r="N117">
        <v>0</v>
      </c>
      <c r="R117">
        <v>13980.15</v>
      </c>
      <c r="S117">
        <v>3947.34</v>
      </c>
      <c r="T117">
        <f>R117-S117</f>
        <v>10032.81</v>
      </c>
      <c r="U117">
        <f>T117/R117</f>
        <v>0.7176468063647385</v>
      </c>
      <c r="V117">
        <v>279.87</v>
      </c>
      <c r="W117">
        <v>88.5</v>
      </c>
      <c r="X117">
        <f>V117-W117</f>
        <v>191.37</v>
      </c>
      <c r="Y117">
        <f>X117/V117</f>
        <v>0.6837817558152</v>
      </c>
      <c r="Z117">
        <v>0</v>
      </c>
      <c r="AA117">
        <f>(E117-K117-S117)/W117</f>
        <v>89.3639548022599</v>
      </c>
      <c r="AB117">
        <f>(D117-J117-R117)/V117</f>
        <v>70.93168256690606</v>
      </c>
      <c r="AC117">
        <f>(E117-K117-S117)/E117</f>
        <v>0.3364267522886919</v>
      </c>
      <c r="AD117">
        <f>SUM(D117-H117)/D117</f>
        <v>0.3130905445682438</v>
      </c>
      <c r="AG117" t="str">
        <v>Materials calc for monthly claims</v>
      </c>
      <c r="AH117">
        <f>AL121</f>
        <v>-8270.880000000001</v>
      </c>
      <c r="AK117">
        <f>SUM(W118-W117)</f>
        <v>-88.5</v>
      </c>
      <c r="AL117">
        <f>SUM(K118-K117)</f>
        <v>-11651.92</v>
      </c>
    </row>
    <row r="118">
      <c r="C118" t="str">
        <v>Week 2</v>
      </c>
      <c r="D118">
        <v>0</v>
      </c>
      <c r="E118">
        <v>0</v>
      </c>
      <c r="F118">
        <f>D118-E118</f>
        <v>0</v>
      </c>
      <c r="G118" t="e">
        <f>F118/D118</f>
        <v>#DIV/0!</v>
      </c>
      <c r="H118">
        <v>0</v>
      </c>
      <c r="I118">
        <v>0</v>
      </c>
      <c r="J118">
        <f>SUM(H118-R118)</f>
        <v>0</v>
      </c>
      <c r="K118">
        <f>SUM(I118-S118)</f>
        <v>0</v>
      </c>
      <c r="L118">
        <f>J118-K118</f>
        <v>0</v>
      </c>
      <c r="M118" t="e">
        <f>L118/J118</f>
        <v>#DIV/0!</v>
      </c>
      <c r="N118">
        <v>0</v>
      </c>
      <c r="R118">
        <v>0</v>
      </c>
      <c r="S118">
        <v>0</v>
      </c>
      <c r="T118">
        <f>R118-S118</f>
        <v>0</v>
      </c>
      <c r="U118" t="e">
        <f>T118/R118</f>
        <v>#DIV/0!</v>
      </c>
      <c r="V118">
        <v>0</v>
      </c>
      <c r="W118">
        <v>0</v>
      </c>
      <c r="X118">
        <f>V118-W118</f>
        <v>0</v>
      </c>
      <c r="Y118" t="e">
        <f>X118/V118</f>
        <v>#DIV/0!</v>
      </c>
      <c r="Z118">
        <v>0</v>
      </c>
      <c r="AA118" t="e">
        <f>(E118-K118-S118)/W118</f>
        <v>#DIV/0!</v>
      </c>
      <c r="AB118" t="e">
        <f>(D118-J118-R118)/V118</f>
        <v>#DIV/0!</v>
      </c>
      <c r="AC118" t="e">
        <f>(E118-K118-S118)/E118</f>
        <v>#DIV/0!</v>
      </c>
      <c r="AD118" t="e">
        <f>SUM(D118-H118)/D118</f>
        <v>#DIV/0!</v>
      </c>
      <c r="AK118">
        <f>SUM(W119-W118)</f>
        <v>0</v>
      </c>
      <c r="AL118">
        <f>SUM(K119-K118)</f>
        <v>0</v>
      </c>
    </row>
    <row r="119">
      <c r="C119" t="str">
        <v>Week 3</v>
      </c>
      <c r="D119">
        <v>0</v>
      </c>
      <c r="E119">
        <v>0</v>
      </c>
      <c r="F119">
        <f>D119-E119</f>
        <v>0</v>
      </c>
      <c r="G119" t="e">
        <f>F119/D119</f>
        <v>#DIV/0!</v>
      </c>
      <c r="H119">
        <v>0</v>
      </c>
      <c r="I119">
        <v>0</v>
      </c>
      <c r="J119">
        <f>SUM(H119-R119)</f>
        <v>0</v>
      </c>
      <c r="K119">
        <f>SUM(I119-S119)</f>
        <v>0</v>
      </c>
      <c r="L119">
        <f>J119-K119</f>
        <v>0</v>
      </c>
      <c r="M119" t="e">
        <f>L119/J119</f>
        <v>#DIV/0!</v>
      </c>
      <c r="N119">
        <v>0</v>
      </c>
      <c r="R119">
        <v>0</v>
      </c>
      <c r="S119">
        <v>0</v>
      </c>
      <c r="T119">
        <f>R119-S119</f>
        <v>0</v>
      </c>
      <c r="U119" t="e">
        <f>T119/R119</f>
        <v>#DIV/0!</v>
      </c>
      <c r="V119">
        <v>0</v>
      </c>
      <c r="W119">
        <v>0</v>
      </c>
      <c r="X119">
        <f>V119-W119</f>
        <v>0</v>
      </c>
      <c r="Y119" t="e">
        <f>X119/V119</f>
        <v>#DIV/0!</v>
      </c>
      <c r="Z119">
        <v>0</v>
      </c>
      <c r="AA119" t="e">
        <f>(E119-K119-S119)/W119</f>
        <v>#DIV/0!</v>
      </c>
      <c r="AB119" t="e">
        <f>(D119-J119-R119)/V119</f>
        <v>#DIV/0!</v>
      </c>
      <c r="AC119" t="e">
        <f>(E119-K119-S119)/E119</f>
        <v>#DIV/0!</v>
      </c>
      <c r="AD119" t="e">
        <f>SUM(D119-H119)/D119</f>
        <v>#DIV/0!</v>
      </c>
      <c r="AG119" t="str">
        <v>Estimated months claim</v>
      </c>
      <c r="AH119">
        <v>0</v>
      </c>
      <c r="AK119">
        <f>SUM(W120-W119)</f>
        <v>0</v>
      </c>
      <c r="AL119">
        <f>SUM(K120-K119)</f>
        <v>0</v>
      </c>
    </row>
    <row r="120">
      <c r="C120" t="str">
        <v>Week 4</v>
      </c>
      <c r="D120">
        <v>0</v>
      </c>
      <c r="E120">
        <v>0</v>
      </c>
      <c r="F120">
        <f>D120-E120</f>
        <v>0</v>
      </c>
      <c r="G120" t="e">
        <f>F120/D120</f>
        <v>#DIV/0!</v>
      </c>
      <c r="H120">
        <v>0</v>
      </c>
      <c r="I120">
        <v>0</v>
      </c>
      <c r="J120">
        <f>SUM(H120-R120)</f>
        <v>0</v>
      </c>
      <c r="K120">
        <f>SUM(I120-S120)</f>
        <v>0</v>
      </c>
      <c r="L120">
        <f>J120-K120</f>
        <v>0</v>
      </c>
      <c r="M120" t="e">
        <f>L120/J120</f>
        <v>#DIV/0!</v>
      </c>
      <c r="N120">
        <v>0</v>
      </c>
      <c r="R120">
        <v>0</v>
      </c>
      <c r="S120">
        <v>0</v>
      </c>
      <c r="T120">
        <f>R120-S120</f>
        <v>0</v>
      </c>
      <c r="U120" t="e">
        <f>T120/R120</f>
        <v>#DIV/0!</v>
      </c>
      <c r="V120">
        <v>0</v>
      </c>
      <c r="W120">
        <v>0</v>
      </c>
      <c r="X120">
        <f>V120-W120</f>
        <v>0</v>
      </c>
      <c r="Y120" t="e">
        <f>X120/V120</f>
        <v>#DIV/0!</v>
      </c>
      <c r="Z120">
        <v>0</v>
      </c>
      <c r="AA120" t="e">
        <f>(E120-K120-S120)/W120</f>
        <v>#DIV/0!</v>
      </c>
      <c r="AB120" t="e">
        <f>(D120-J120-R120)/V120</f>
        <v>#DIV/0!</v>
      </c>
      <c r="AC120" t="e">
        <f>(E120-K120-S120)/E120</f>
        <v>#DIV/0!</v>
      </c>
      <c r="AD120" t="e">
        <f>SUM(D120-H120)/D120</f>
        <v>#DIV/0!</v>
      </c>
      <c r="AK120">
        <f>SUM(W121-W120)</f>
        <v>0</v>
      </c>
      <c r="AL120">
        <f>SUM(K121-K120)</f>
        <v>0</v>
      </c>
    </row>
    <row r="121">
      <c r="C121" t="str">
        <v>Week 5</v>
      </c>
      <c r="D121">
        <v>0</v>
      </c>
      <c r="E121">
        <v>0</v>
      </c>
      <c r="F121">
        <f>D121-E121</f>
        <v>0</v>
      </c>
      <c r="G121" t="e">
        <f>F121/D121</f>
        <v>#DIV/0!</v>
      </c>
      <c r="H121">
        <v>0</v>
      </c>
      <c r="I121">
        <v>0</v>
      </c>
      <c r="J121">
        <f>SUM(H121-R121)</f>
        <v>0</v>
      </c>
      <c r="K121">
        <f>SUM(I121-S121)</f>
        <v>0</v>
      </c>
      <c r="L121">
        <f>J121-K121</f>
        <v>0</v>
      </c>
      <c r="M121" t="e">
        <f>L121/J121</f>
        <v>#DIV/0!</v>
      </c>
      <c r="N121">
        <v>0</v>
      </c>
      <c r="R121">
        <v>0</v>
      </c>
      <c r="S121">
        <v>0</v>
      </c>
      <c r="T121">
        <f>R121-S121</f>
        <v>0</v>
      </c>
      <c r="U121" t="e">
        <f>T121/R121</f>
        <v>#DIV/0!</v>
      </c>
      <c r="V121">
        <v>0</v>
      </c>
      <c r="W121">
        <v>0</v>
      </c>
      <c r="X121">
        <f>V121-W121</f>
        <v>0</v>
      </c>
      <c r="Y121" t="e">
        <f>X121/V121</f>
        <v>#DIV/0!</v>
      </c>
      <c r="Z121">
        <v>0</v>
      </c>
      <c r="AA121" t="e">
        <f>(E121-K121-S121)/W121</f>
        <v>#DIV/0!</v>
      </c>
      <c r="AB121" t="e">
        <f>(D121-J121-R121)/V121</f>
        <v>#DIV/0!</v>
      </c>
      <c r="AC121" t="e">
        <f>(E121-K121-S121)/E121</f>
        <v>#DIV/0!</v>
      </c>
      <c r="AD121" t="e">
        <f>SUM(D121-H121)/D121</f>
        <v>#DIV/0!</v>
      </c>
      <c r="AK121">
        <f>SUM(AK116,AK117,AK118,AK119,AK120)</f>
        <v>-52</v>
      </c>
      <c r="AL121">
        <f>SUM(AL116,AL117,AL118,AL119,AL120)</f>
        <v>-8270.880000000001</v>
      </c>
    </row>
    <row r="123">
      <c r="A123">
        <f>'Main Sheet'!A38</f>
        <v>7901</v>
      </c>
      <c r="B123" t="str">
        <f>'Main Sheet'!B38</f>
        <v>St Albans Street</v>
      </c>
      <c r="C123" t="str">
        <v>Start of month</v>
      </c>
      <c r="D123">
        <v>0</v>
      </c>
      <c r="E123">
        <v>0</v>
      </c>
      <c r="F123">
        <v>0</v>
      </c>
      <c r="G123" t="e">
        <f>F123/D123</f>
        <v>#DIV/0!</v>
      </c>
      <c r="H123">
        <v>0</v>
      </c>
      <c r="I123">
        <v>0</v>
      </c>
      <c r="J123">
        <f>SUM(H123-R123)</f>
        <v>0</v>
      </c>
      <c r="K123">
        <f>SUM(I123-S123)</f>
        <v>0</v>
      </c>
      <c r="L123">
        <f>J123-K123</f>
        <v>0</v>
      </c>
      <c r="M123" t="e">
        <f>L123/J123</f>
        <v>#DIV/0!</v>
      </c>
      <c r="N123">
        <v>0</v>
      </c>
      <c r="R123">
        <v>0</v>
      </c>
      <c r="S123">
        <v>0</v>
      </c>
      <c r="T123">
        <f>R123-S123</f>
        <v>0</v>
      </c>
      <c r="U123" t="e">
        <f>T123/R123</f>
        <v>#DIV/0!</v>
      </c>
      <c r="V123">
        <v>0</v>
      </c>
      <c r="W123">
        <v>0</v>
      </c>
      <c r="X123">
        <f>V123-W123</f>
        <v>0</v>
      </c>
      <c r="Y123" t="e">
        <f>X123/V123</f>
        <v>#DIV/0!</v>
      </c>
      <c r="Z123">
        <v>0</v>
      </c>
      <c r="AA123" t="e">
        <f>(E123-K123-S123)/W123</f>
        <v>#DIV/0!</v>
      </c>
      <c r="AB123" t="e">
        <f>(D123-J123-R123)/V123</f>
        <v>#DIV/0!</v>
      </c>
      <c r="AC123" t="e">
        <f>(E123-K123-S123)/E123</f>
        <v>#DIV/0!</v>
      </c>
      <c r="AD123" t="e">
        <f>SUM(D123-H123)/D123</f>
        <v>#DIV/0!</v>
      </c>
      <c r="AG123" t="str">
        <v>Hours calc for monthly claims</v>
      </c>
      <c r="AH123">
        <f>AK128</f>
        <v>0</v>
      </c>
      <c r="AK123">
        <f>SUM(W124-W123)</f>
        <v>0</v>
      </c>
      <c r="AL123">
        <f>SUM(K124-K123)</f>
        <v>0</v>
      </c>
    </row>
    <row r="124">
      <c r="C124" t="str">
        <v>Week 1</v>
      </c>
      <c r="D124">
        <v>0</v>
      </c>
      <c r="E124">
        <v>0</v>
      </c>
      <c r="F124">
        <f>D124-E124</f>
        <v>0</v>
      </c>
      <c r="G124" t="e">
        <f>F124/D124</f>
        <v>#DIV/0!</v>
      </c>
      <c r="H124">
        <v>0</v>
      </c>
      <c r="I124">
        <v>0</v>
      </c>
      <c r="J124">
        <f>SUM(H124-R124)</f>
        <v>0</v>
      </c>
      <c r="K124">
        <f>SUM(I124-S124)</f>
        <v>0</v>
      </c>
      <c r="L124">
        <f>J124-K124</f>
        <v>0</v>
      </c>
      <c r="M124" t="e">
        <f>L124/J124</f>
        <v>#DIV/0!</v>
      </c>
      <c r="R124">
        <v>0</v>
      </c>
      <c r="S124">
        <v>0</v>
      </c>
      <c r="T124">
        <f>R124-S124</f>
        <v>0</v>
      </c>
      <c r="U124" t="e">
        <f>T124/R124</f>
        <v>#DIV/0!</v>
      </c>
      <c r="V124">
        <v>0</v>
      </c>
      <c r="W124">
        <v>0</v>
      </c>
      <c r="X124">
        <f>V124-W124</f>
        <v>0</v>
      </c>
      <c r="Y124" t="e">
        <f>X124/V124</f>
        <v>#DIV/0!</v>
      </c>
      <c r="AA124" t="e">
        <f>(E124-K124-S124)/W124</f>
        <v>#DIV/0!</v>
      </c>
      <c r="AB124" t="e">
        <f>(D124-J124-R124)/V124</f>
        <v>#DIV/0!</v>
      </c>
      <c r="AC124" t="e">
        <f>(E124-K124-S124)/E124</f>
        <v>#DIV/0!</v>
      </c>
      <c r="AD124" t="e">
        <f>SUM(D124-H124)/D124</f>
        <v>#DIV/0!</v>
      </c>
      <c r="AG124" t="str">
        <v>Materials calc for monthly claims</v>
      </c>
      <c r="AH124">
        <f>AL128</f>
        <v>0</v>
      </c>
      <c r="AK124">
        <f>SUM(W125-W124)</f>
        <v>0</v>
      </c>
      <c r="AL124">
        <f>SUM(K125-K124)</f>
        <v>0</v>
      </c>
    </row>
    <row r="125">
      <c r="C125" t="str">
        <v>Week 2</v>
      </c>
      <c r="D125">
        <v>0</v>
      </c>
      <c r="E125">
        <v>0</v>
      </c>
      <c r="F125">
        <f>D125-E125</f>
        <v>0</v>
      </c>
      <c r="G125" t="e">
        <f>F125/D125</f>
        <v>#DIV/0!</v>
      </c>
      <c r="H125">
        <v>0</v>
      </c>
      <c r="I125">
        <v>0</v>
      </c>
      <c r="J125">
        <f>SUM(H125-R125)</f>
        <v>0</v>
      </c>
      <c r="K125">
        <f>SUM(I125-S125)</f>
        <v>0</v>
      </c>
      <c r="L125">
        <f>J125-K125</f>
        <v>0</v>
      </c>
      <c r="M125" t="e">
        <f>L125/J125</f>
        <v>#DIV/0!</v>
      </c>
      <c r="R125">
        <v>0</v>
      </c>
      <c r="S125">
        <v>0</v>
      </c>
      <c r="T125">
        <f>R125-S125</f>
        <v>0</v>
      </c>
      <c r="U125" t="e">
        <f>T125/R125</f>
        <v>#DIV/0!</v>
      </c>
      <c r="V125">
        <v>0</v>
      </c>
      <c r="W125">
        <v>0</v>
      </c>
      <c r="X125">
        <f>V125-W125</f>
        <v>0</v>
      </c>
      <c r="Y125" t="e">
        <f>X125/V125</f>
        <v>#DIV/0!</v>
      </c>
      <c r="AA125" t="e">
        <f>(E125-K125-S125)/W125</f>
        <v>#DIV/0!</v>
      </c>
      <c r="AB125" t="e">
        <f>(D125-J125-R125)/V125</f>
        <v>#DIV/0!</v>
      </c>
      <c r="AC125" t="e">
        <f>(E125-K125-S125)/E125</f>
        <v>#DIV/0!</v>
      </c>
      <c r="AD125" t="e">
        <f>SUM(D125-H125)/D125</f>
        <v>#DIV/0!</v>
      </c>
      <c r="AK125">
        <f>SUM(W126-W125)</f>
        <v>0</v>
      </c>
      <c r="AL125">
        <f>SUM(K126-K125)</f>
        <v>0</v>
      </c>
    </row>
    <row r="126">
      <c r="C126" t="str">
        <v>Week 3</v>
      </c>
      <c r="D126">
        <v>0</v>
      </c>
      <c r="E126">
        <v>0</v>
      </c>
      <c r="F126">
        <f>D126-E126</f>
        <v>0</v>
      </c>
      <c r="G126" t="e">
        <f>F126/D126</f>
        <v>#DIV/0!</v>
      </c>
      <c r="H126">
        <v>0</v>
      </c>
      <c r="I126">
        <v>0</v>
      </c>
      <c r="J126">
        <f>SUM(H126-R126)</f>
        <v>0</v>
      </c>
      <c r="K126">
        <f>SUM(I126-S126)</f>
        <v>0</v>
      </c>
      <c r="L126">
        <f>J126-K126</f>
        <v>0</v>
      </c>
      <c r="M126" t="e">
        <f>L126/J126</f>
        <v>#DIV/0!</v>
      </c>
      <c r="R126">
        <v>0</v>
      </c>
      <c r="S126">
        <v>0</v>
      </c>
      <c r="T126">
        <f>R126-S126</f>
        <v>0</v>
      </c>
      <c r="U126" t="e">
        <f>T126/R126</f>
        <v>#DIV/0!</v>
      </c>
      <c r="V126">
        <v>0</v>
      </c>
      <c r="W126">
        <v>0</v>
      </c>
      <c r="X126">
        <f>V126-W126</f>
        <v>0</v>
      </c>
      <c r="Y126" t="e">
        <f>X126/V126</f>
        <v>#DIV/0!</v>
      </c>
      <c r="AA126" t="e">
        <f>(E126-K126-S126)/W126</f>
        <v>#DIV/0!</v>
      </c>
      <c r="AB126" t="e">
        <f>(D126-J126-R126)/V126</f>
        <v>#DIV/0!</v>
      </c>
      <c r="AC126" t="e">
        <f>(E126-K126-S126)/E126</f>
        <v>#DIV/0!</v>
      </c>
      <c r="AD126" t="e">
        <f>SUM(D126-H126)/D126</f>
        <v>#DIV/0!</v>
      </c>
      <c r="AG126" t="str">
        <v>Estimated months claim</v>
      </c>
      <c r="AH126">
        <v>0</v>
      </c>
      <c r="AK126">
        <f>SUM(W127-W126)</f>
        <v>0</v>
      </c>
      <c r="AL126">
        <f>SUM(K127-K126)</f>
        <v>0</v>
      </c>
    </row>
    <row r="127">
      <c r="C127" t="str">
        <v>Week 4</v>
      </c>
      <c r="D127">
        <v>0</v>
      </c>
      <c r="E127">
        <v>0</v>
      </c>
      <c r="F127">
        <f>D127-E127</f>
        <v>0</v>
      </c>
      <c r="G127" t="e">
        <f>F127/D127</f>
        <v>#DIV/0!</v>
      </c>
      <c r="H127">
        <v>0</v>
      </c>
      <c r="I127">
        <v>0</v>
      </c>
      <c r="J127">
        <f>SUM(H127-R127)</f>
        <v>0</v>
      </c>
      <c r="K127">
        <f>SUM(I127-S127)</f>
        <v>0</v>
      </c>
      <c r="L127">
        <f>J127-K127</f>
        <v>0</v>
      </c>
      <c r="M127" t="e">
        <f>L127/J127</f>
        <v>#DIV/0!</v>
      </c>
      <c r="R127">
        <v>0</v>
      </c>
      <c r="S127">
        <v>0</v>
      </c>
      <c r="T127">
        <f>R127-S127</f>
        <v>0</v>
      </c>
      <c r="U127" t="e">
        <f>T127/R127</f>
        <v>#DIV/0!</v>
      </c>
      <c r="V127">
        <v>0</v>
      </c>
      <c r="W127">
        <v>0</v>
      </c>
      <c r="X127">
        <f>V127-W127</f>
        <v>0</v>
      </c>
      <c r="Y127" t="e">
        <f>X127/V127</f>
        <v>#DIV/0!</v>
      </c>
      <c r="AA127" t="e">
        <f>(E127-K127-S127)/W127</f>
        <v>#DIV/0!</v>
      </c>
      <c r="AB127" t="e">
        <f>(D127-J127-R127)/V127</f>
        <v>#DIV/0!</v>
      </c>
      <c r="AC127" t="e">
        <f>(E127-K127-S127)/E127</f>
        <v>#DIV/0!</v>
      </c>
      <c r="AD127" t="e">
        <f>SUM(D127-H127)/D127</f>
        <v>#DIV/0!</v>
      </c>
      <c r="AK127">
        <f>SUM(W128-W127)</f>
        <v>0</v>
      </c>
      <c r="AL127">
        <f>SUM(K128-K127)</f>
        <v>0</v>
      </c>
    </row>
    <row r="128">
      <c r="C128" t="str">
        <v>Week 5</v>
      </c>
      <c r="D128">
        <v>0</v>
      </c>
      <c r="E128">
        <v>0</v>
      </c>
      <c r="F128">
        <f>D128-E128</f>
        <v>0</v>
      </c>
      <c r="G128" t="e">
        <f>F128/D128</f>
        <v>#DIV/0!</v>
      </c>
      <c r="H128">
        <v>0</v>
      </c>
      <c r="I128">
        <v>0</v>
      </c>
      <c r="J128">
        <f>SUM(H128-R128)</f>
        <v>0</v>
      </c>
      <c r="K128">
        <f>SUM(I128-S128)</f>
        <v>0</v>
      </c>
      <c r="L128">
        <f>J128-K128</f>
        <v>0</v>
      </c>
      <c r="M128" t="e">
        <f>L128/J128</f>
        <v>#DIV/0!</v>
      </c>
      <c r="R128">
        <v>0</v>
      </c>
      <c r="S128">
        <v>0</v>
      </c>
      <c r="T128">
        <f>R128-S128</f>
        <v>0</v>
      </c>
      <c r="U128" t="e">
        <f>T128/R128</f>
        <v>#DIV/0!</v>
      </c>
      <c r="V128">
        <v>0</v>
      </c>
      <c r="W128">
        <v>0</v>
      </c>
      <c r="X128">
        <f>V128-W128</f>
        <v>0</v>
      </c>
      <c r="Y128" t="e">
        <f>X128/V128</f>
        <v>#DIV/0!</v>
      </c>
      <c r="AA128" t="e">
        <f>(E128-K128-S128)/W128</f>
        <v>#DIV/0!</v>
      </c>
      <c r="AB128" t="e">
        <f>(D128-J128-R128)/V128</f>
        <v>#DIV/0!</v>
      </c>
      <c r="AC128" t="e">
        <f>(E128-K128-S128)/E128</f>
        <v>#DIV/0!</v>
      </c>
      <c r="AD128" t="e">
        <f>SUM(D128-H128)/D128</f>
        <v>#DIV/0!</v>
      </c>
      <c r="AK128">
        <f>SUM(AK123,AK124,AK125,AK126,AK127)</f>
        <v>0</v>
      </c>
      <c r="AL128">
        <f>SUM(AL123,AL124,AL125,AL126,AL127)</f>
        <v>0</v>
      </c>
    </row>
    <row r="130">
      <c r="A130">
        <f>'Main Sheet'!A40</f>
        <v>8923</v>
      </c>
      <c r="B130" t="str">
        <f>'Main Sheet'!B40</f>
        <v>4 Perry St</v>
      </c>
      <c r="C130" t="str">
        <v>Start of month</v>
      </c>
      <c r="D130">
        <v>47191.69</v>
      </c>
      <c r="E130">
        <v>32679.16</v>
      </c>
      <c r="F130">
        <f>D130-E130</f>
        <v>14512.530000000002</v>
      </c>
      <c r="G130">
        <f>F130/D130</f>
        <v>0.30752299822278034</v>
      </c>
      <c r="H130">
        <v>30406.12</v>
      </c>
      <c r="I130">
        <v>21779.51</v>
      </c>
      <c r="J130">
        <f>SUM(H130-R130)</f>
        <v>15383.999999999998</v>
      </c>
      <c r="K130">
        <f>SUM(I130-S130)</f>
        <v>8004.439999999999</v>
      </c>
      <c r="L130">
        <f>J130-K130</f>
        <v>7379.5599999999995</v>
      </c>
      <c r="M130">
        <f>L130/J130</f>
        <v>0.47969058762350497</v>
      </c>
      <c r="N130">
        <v>0</v>
      </c>
      <c r="R130">
        <v>15022.12</v>
      </c>
      <c r="S130">
        <v>13775.07</v>
      </c>
      <c r="T130">
        <f>R130-S130</f>
        <v>1247.050000000001</v>
      </c>
      <c r="U130">
        <f>T130/R130</f>
        <v>0.08301424832180818</v>
      </c>
      <c r="V130">
        <v>301.53</v>
      </c>
      <c r="W130">
        <v>180.75</v>
      </c>
      <c r="X130">
        <f>V130-W130</f>
        <v>120.77999999999997</v>
      </c>
      <c r="Y130">
        <f>X130/V130</f>
        <v>0.4005571584916923</v>
      </c>
      <c r="Z130">
        <v>0</v>
      </c>
      <c r="AA130">
        <f>(E130-K130-S130)/W130</f>
        <v>60.30235131396958</v>
      </c>
      <c r="AB130">
        <f>(D130-J130-R130)/V130</f>
        <v>55.66799323450403</v>
      </c>
      <c r="AC130">
        <f>(E130-K130-S130)/E130</f>
        <v>0.33353519490709066</v>
      </c>
      <c r="AD130">
        <f>SUM(D130-H130)/D130</f>
        <v>0.355689105433605</v>
      </c>
      <c r="AG130" t="str">
        <v>Hours calc for monthly claims</v>
      </c>
      <c r="AH130">
        <f>AK135</f>
        <v>-180.75</v>
      </c>
      <c r="AK130">
        <f>SUM(W131-W130)</f>
        <v>4.5</v>
      </c>
      <c r="AL130">
        <f>SUM(K131-K130)</f>
        <v>5821.520000000002</v>
      </c>
    </row>
    <row r="131">
      <c r="C131" t="str">
        <v>Week 1</v>
      </c>
      <c r="D131">
        <v>47191.69</v>
      </c>
      <c r="E131">
        <v>35940.5</v>
      </c>
      <c r="F131">
        <f>D131-E131</f>
        <v>11251.190000000002</v>
      </c>
      <c r="G131">
        <f>F131/D131</f>
        <v>0.23841464461221884</v>
      </c>
      <c r="H131">
        <v>30406.12</v>
      </c>
      <c r="I131">
        <v>22080.06</v>
      </c>
      <c r="J131">
        <f>SUM(H131-R131)</f>
        <v>15505.369999999999</v>
      </c>
      <c r="K131">
        <f>SUM(I131-S131)</f>
        <v>13825.960000000001</v>
      </c>
      <c r="L131">
        <f>J131-K131</f>
        <v>1679.409999999998</v>
      </c>
      <c r="M131">
        <f>L131/J131</f>
        <v>0.1083115075615737</v>
      </c>
      <c r="N131">
        <v>0</v>
      </c>
      <c r="R131">
        <v>14900.75</v>
      </c>
      <c r="S131">
        <v>8254.1</v>
      </c>
      <c r="T131">
        <f>R131-S131</f>
        <v>6646.65</v>
      </c>
      <c r="U131">
        <f>T131/R131</f>
        <v>0.4460614398604097</v>
      </c>
      <c r="V131">
        <v>301.53</v>
      </c>
      <c r="W131">
        <v>185.25</v>
      </c>
      <c r="X131">
        <f>V131-W131</f>
        <v>116.27999999999997</v>
      </c>
      <c r="Y131">
        <f>X131/V131</f>
        <v>0.385633270321361</v>
      </c>
      <c r="Z131">
        <v>0</v>
      </c>
      <c r="AA131">
        <f>(E131-K131-S131)/W131</f>
        <v>74.82018893387314</v>
      </c>
      <c r="AB131">
        <f>(D131-J131-R131)/V131</f>
        <v>55.667993234504046</v>
      </c>
      <c r="AC131">
        <f>(E131-K131-S131)/E131</f>
        <v>0.38564961533645886</v>
      </c>
      <c r="AD131">
        <f>SUM(D131-H131)/D131</f>
        <v>0.355689105433605</v>
      </c>
      <c r="AG131" t="str">
        <v>Materials calc for monthly claims</v>
      </c>
      <c r="AH131">
        <f>AL135</f>
        <v>-8004.439999999999</v>
      </c>
      <c r="AK131">
        <f>SUM(W132-W131)</f>
        <v>-185.25</v>
      </c>
      <c r="AL131">
        <f>SUM(K132-K131)</f>
        <v>-13825.960000000001</v>
      </c>
    </row>
    <row r="132">
      <c r="C132" t="str">
        <v>Week 2</v>
      </c>
      <c r="D132">
        <v>0</v>
      </c>
      <c r="E132">
        <v>0</v>
      </c>
      <c r="F132">
        <f>D132-E132</f>
        <v>0</v>
      </c>
      <c r="G132" t="e">
        <f>F132/D132</f>
        <v>#DIV/0!</v>
      </c>
      <c r="H132">
        <v>0</v>
      </c>
      <c r="I132">
        <v>0</v>
      </c>
      <c r="J132">
        <f>SUM(H132-R132)</f>
        <v>0</v>
      </c>
      <c r="K132">
        <f>SUM(I132-S132)</f>
        <v>0</v>
      </c>
      <c r="L132">
        <f>J132-K132</f>
        <v>0</v>
      </c>
      <c r="M132" t="e">
        <f>L132/J132</f>
        <v>#DIV/0!</v>
      </c>
      <c r="R132">
        <v>0</v>
      </c>
      <c r="S132">
        <v>0</v>
      </c>
      <c r="T132">
        <f>R132-S132</f>
        <v>0</v>
      </c>
      <c r="U132" t="e">
        <f>T132/R132</f>
        <v>#DIV/0!</v>
      </c>
      <c r="V132">
        <v>0</v>
      </c>
      <c r="W132">
        <v>0</v>
      </c>
      <c r="X132">
        <f>V132-W132</f>
        <v>0</v>
      </c>
      <c r="Y132" t="e">
        <f>X132/V132</f>
        <v>#DIV/0!</v>
      </c>
      <c r="Z132">
        <v>0</v>
      </c>
      <c r="AA132" t="e">
        <f>(E132-K132-S132)/W132</f>
        <v>#DIV/0!</v>
      </c>
      <c r="AB132" t="e">
        <f>(D132-J132-R132)/V132</f>
        <v>#DIV/0!</v>
      </c>
      <c r="AC132" t="e">
        <f>(E132-K132-S132)/E132</f>
        <v>#DIV/0!</v>
      </c>
      <c r="AD132" t="e">
        <f>SUM(D132-H132)/D132</f>
        <v>#DIV/0!</v>
      </c>
      <c r="AK132">
        <f>SUM(W133-W132)</f>
        <v>0</v>
      </c>
      <c r="AL132">
        <f>SUM(K133-K132)</f>
        <v>0</v>
      </c>
    </row>
    <row r="133">
      <c r="C133" t="str">
        <v>Week 3</v>
      </c>
      <c r="D133">
        <v>0</v>
      </c>
      <c r="E133">
        <v>0</v>
      </c>
      <c r="F133">
        <f>D133-E133</f>
        <v>0</v>
      </c>
      <c r="G133" t="e">
        <f>F133/D133</f>
        <v>#DIV/0!</v>
      </c>
      <c r="H133">
        <v>0</v>
      </c>
      <c r="I133">
        <v>0</v>
      </c>
      <c r="J133">
        <f>SUM(H133-R133)</f>
        <v>0</v>
      </c>
      <c r="K133">
        <f>SUM(I133-S133)</f>
        <v>0</v>
      </c>
      <c r="L133">
        <f>J133-K133</f>
        <v>0</v>
      </c>
      <c r="M133" t="e">
        <f>L133/J133</f>
        <v>#DIV/0!</v>
      </c>
      <c r="R133">
        <v>0</v>
      </c>
      <c r="S133">
        <v>0</v>
      </c>
      <c r="T133">
        <f>R133-S133</f>
        <v>0</v>
      </c>
      <c r="U133" t="e">
        <f>T133/R133</f>
        <v>#DIV/0!</v>
      </c>
      <c r="V133">
        <v>0</v>
      </c>
      <c r="W133">
        <v>0</v>
      </c>
      <c r="X133">
        <f>V133-W133</f>
        <v>0</v>
      </c>
      <c r="Y133" t="e">
        <f>X133/V133</f>
        <v>#DIV/0!</v>
      </c>
      <c r="Z133">
        <v>0</v>
      </c>
      <c r="AA133" t="e">
        <f>(E133-K133-S133)/W133</f>
        <v>#DIV/0!</v>
      </c>
      <c r="AB133" t="e">
        <f>(D133-J133-R133)/V133</f>
        <v>#DIV/0!</v>
      </c>
      <c r="AC133" t="e">
        <f>(E133-K133-S133)/E133</f>
        <v>#DIV/0!</v>
      </c>
      <c r="AD133" t="e">
        <f>SUM(D133-H133)/D133</f>
        <v>#DIV/0!</v>
      </c>
      <c r="AG133" t="str">
        <v>Estimated months claim</v>
      </c>
      <c r="AH133">
        <v>0</v>
      </c>
      <c r="AK133">
        <f>SUM(W134-W133)</f>
        <v>0</v>
      </c>
      <c r="AL133">
        <f>SUM(K134-K133)</f>
        <v>0</v>
      </c>
    </row>
    <row r="134">
      <c r="C134" t="str">
        <v>Week 4</v>
      </c>
      <c r="D134">
        <v>0</v>
      </c>
      <c r="E134">
        <v>0</v>
      </c>
      <c r="F134">
        <f>D134-E134</f>
        <v>0</v>
      </c>
      <c r="G134" t="e">
        <f>F134/D134</f>
        <v>#DIV/0!</v>
      </c>
      <c r="H134">
        <v>0</v>
      </c>
      <c r="I134">
        <v>0</v>
      </c>
      <c r="J134">
        <f>SUM(H134-R134)</f>
        <v>0</v>
      </c>
      <c r="K134">
        <f>SUM(I134-S134)</f>
        <v>0</v>
      </c>
      <c r="L134">
        <f>J134-K134</f>
        <v>0</v>
      </c>
      <c r="M134" t="e">
        <f>L134/J134</f>
        <v>#DIV/0!</v>
      </c>
      <c r="R134">
        <v>0</v>
      </c>
      <c r="S134">
        <v>0</v>
      </c>
      <c r="T134">
        <f>R134-S134</f>
        <v>0</v>
      </c>
      <c r="U134" t="e">
        <f>T134/R134</f>
        <v>#DIV/0!</v>
      </c>
      <c r="V134">
        <v>0</v>
      </c>
      <c r="W134">
        <v>0</v>
      </c>
      <c r="X134">
        <f>V134-W134</f>
        <v>0</v>
      </c>
      <c r="Y134" t="e">
        <f>X134/V134</f>
        <v>#DIV/0!</v>
      </c>
      <c r="Z134">
        <v>0</v>
      </c>
      <c r="AA134" t="e">
        <f>(E134-K134-S134)/W134</f>
        <v>#DIV/0!</v>
      </c>
      <c r="AB134" t="e">
        <f>(D134-J134-R134)/V134</f>
        <v>#DIV/0!</v>
      </c>
      <c r="AC134" t="e">
        <f>(E134-K134-S134)/E134</f>
        <v>#DIV/0!</v>
      </c>
      <c r="AD134" t="e">
        <f>SUM(D134-H134)/D134</f>
        <v>#DIV/0!</v>
      </c>
      <c r="AK134">
        <f>SUM(W135-W134)</f>
        <v>0</v>
      </c>
      <c r="AL134">
        <f>SUM(K135-K134)</f>
        <v>0</v>
      </c>
    </row>
    <row r="135">
      <c r="C135" t="str">
        <v>Week 5</v>
      </c>
      <c r="D135">
        <v>0</v>
      </c>
      <c r="E135">
        <v>0</v>
      </c>
      <c r="F135">
        <f>D135-E135</f>
        <v>0</v>
      </c>
      <c r="G135" t="e">
        <f>F135/D135</f>
        <v>#DIV/0!</v>
      </c>
      <c r="H135">
        <v>0</v>
      </c>
      <c r="I135">
        <v>0</v>
      </c>
      <c r="J135">
        <f>SUM(H135-R135)</f>
        <v>0</v>
      </c>
      <c r="K135">
        <f>SUM(I135-S135)</f>
        <v>0</v>
      </c>
      <c r="L135">
        <f>J135-K135</f>
        <v>0</v>
      </c>
      <c r="M135" t="e">
        <f>L135/J135</f>
        <v>#DIV/0!</v>
      </c>
      <c r="R135">
        <v>0</v>
      </c>
      <c r="S135">
        <v>0</v>
      </c>
      <c r="T135">
        <f>R135-S135</f>
        <v>0</v>
      </c>
      <c r="U135" t="e">
        <f>T135/R135</f>
        <v>#DIV/0!</v>
      </c>
      <c r="V135">
        <v>0</v>
      </c>
      <c r="W135">
        <v>0</v>
      </c>
      <c r="X135">
        <f>V135-W135</f>
        <v>0</v>
      </c>
      <c r="Y135" t="e">
        <f>X135/V135</f>
        <v>#DIV/0!</v>
      </c>
      <c r="Z135">
        <v>0</v>
      </c>
      <c r="AA135" t="e">
        <f>(E135-K135-S135)/W135</f>
        <v>#DIV/0!</v>
      </c>
      <c r="AB135" t="e">
        <f>(D135-J135-R135)/V135</f>
        <v>#DIV/0!</v>
      </c>
      <c r="AC135" t="e">
        <f>(E135-K135-S135)/E135</f>
        <v>#DIV/0!</v>
      </c>
      <c r="AD135" t="e">
        <f>SUM(D135-H135)/D135</f>
        <v>#DIV/0!</v>
      </c>
      <c r="AK135">
        <f>SUM(AK130,AK131,AK132,AK133,AK134)</f>
        <v>-180.75</v>
      </c>
      <c r="AL135">
        <f>SUM(AL130,AL131,AL132,AL133,AL134)</f>
        <v>-8004.439999999999</v>
      </c>
    </row>
    <row r="137">
      <c r="A137">
        <f>'Main Sheet'!A42</f>
        <v>7864</v>
      </c>
      <c r="B137" t="str">
        <f>'Main Sheet'!B42</f>
        <v>Ryans House</v>
      </c>
      <c r="C137" t="str">
        <v>Start of month</v>
      </c>
      <c r="D137">
        <v>0</v>
      </c>
      <c r="E137">
        <v>0</v>
      </c>
      <c r="F137">
        <f>D137-E137</f>
        <v>0</v>
      </c>
      <c r="G137" t="e">
        <f>F137/D137</f>
        <v>#DIV/0!</v>
      </c>
      <c r="H137">
        <v>0</v>
      </c>
      <c r="I137">
        <v>0</v>
      </c>
      <c r="J137">
        <f>SUM(H137-R137)</f>
        <v>0</v>
      </c>
      <c r="K137">
        <f>SUM(I137-S137)</f>
        <v>0</v>
      </c>
      <c r="L137">
        <f>J137-K137</f>
        <v>0</v>
      </c>
      <c r="M137" t="e">
        <f>L137/J137</f>
        <v>#DIV/0!</v>
      </c>
      <c r="N137">
        <v>0</v>
      </c>
      <c r="R137">
        <v>0</v>
      </c>
      <c r="S137">
        <v>0</v>
      </c>
      <c r="T137">
        <f>R137-S137</f>
        <v>0</v>
      </c>
      <c r="U137" t="e">
        <f>T137/R137</f>
        <v>#DIV/0!</v>
      </c>
      <c r="V137">
        <v>473</v>
      </c>
      <c r="W137">
        <v>0</v>
      </c>
      <c r="X137">
        <f>V137-W137</f>
        <v>473</v>
      </c>
      <c r="Y137">
        <f>X137/V137</f>
        <v>1</v>
      </c>
      <c r="Z137">
        <v>0</v>
      </c>
      <c r="AA137" t="e">
        <f>(E137-K137-S137)/W137</f>
        <v>#DIV/0!</v>
      </c>
      <c r="AB137">
        <f>(D137-J137-R137)/V137</f>
        <v>0</v>
      </c>
      <c r="AC137" t="e">
        <f>(E137-K137-S137)/E137</f>
        <v>#DIV/0!</v>
      </c>
      <c r="AD137" t="e">
        <f>SUM(D137-H137)/D137</f>
        <v>#DIV/0!</v>
      </c>
      <c r="AG137" t="str">
        <v>Hours calc for monthly claims</v>
      </c>
      <c r="AH137">
        <f>AK142</f>
        <v>0</v>
      </c>
      <c r="AK137">
        <f>SUM(W138-W137)</f>
        <v>0</v>
      </c>
      <c r="AL137">
        <f>SUM(K138-K137)</f>
        <v>0</v>
      </c>
    </row>
    <row r="138">
      <c r="C138" t="str">
        <v>Week 1</v>
      </c>
      <c r="D138">
        <v>0</v>
      </c>
      <c r="E138">
        <v>0</v>
      </c>
      <c r="F138">
        <f>D138-E138</f>
        <v>0</v>
      </c>
      <c r="G138" t="e">
        <f>F138/D138</f>
        <v>#DIV/0!</v>
      </c>
      <c r="H138">
        <v>0</v>
      </c>
      <c r="I138">
        <v>0</v>
      </c>
      <c r="J138">
        <f>SUM(H138-R138)</f>
        <v>0</v>
      </c>
      <c r="K138">
        <f>SUM(I138-S138)</f>
        <v>0</v>
      </c>
      <c r="L138">
        <f>J138-K138</f>
        <v>0</v>
      </c>
      <c r="M138" t="e">
        <f>L138/J138</f>
        <v>#DIV/0!</v>
      </c>
      <c r="R138">
        <v>0</v>
      </c>
      <c r="S138">
        <v>0</v>
      </c>
      <c r="T138">
        <f>R138-S138</f>
        <v>0</v>
      </c>
      <c r="U138" t="e">
        <f>T138/R138</f>
        <v>#DIV/0!</v>
      </c>
      <c r="W138">
        <v>0</v>
      </c>
      <c r="X138">
        <f>V138-W138</f>
        <v>0</v>
      </c>
      <c r="Y138" t="e">
        <f>X138/V138</f>
        <v>#DIV/0!</v>
      </c>
      <c r="AA138" t="e">
        <f>(E138-K138-S138)/W138</f>
        <v>#DIV/0!</v>
      </c>
      <c r="AB138" t="e">
        <f>(D138-J138-R138)/V138</f>
        <v>#DIV/0!</v>
      </c>
      <c r="AC138" t="e">
        <f>(E138-K138-S138)/E138</f>
        <v>#DIV/0!</v>
      </c>
      <c r="AD138" t="e">
        <f>SUM(D138-H138)/D138</f>
        <v>#DIV/0!</v>
      </c>
      <c r="AG138" t="str">
        <v>Materials calc for monthly claims</v>
      </c>
      <c r="AH138">
        <f>AL142</f>
        <v>0</v>
      </c>
      <c r="AK138">
        <f>SUM(W139-W138)</f>
        <v>0</v>
      </c>
      <c r="AL138">
        <f>SUM(K139-K138)</f>
        <v>0</v>
      </c>
    </row>
    <row r="139">
      <c r="C139" t="str">
        <v>Week 2</v>
      </c>
      <c r="D139">
        <v>0</v>
      </c>
      <c r="E139">
        <v>0</v>
      </c>
      <c r="F139">
        <f>D139-E139</f>
        <v>0</v>
      </c>
      <c r="G139" t="e">
        <f>F139/D139</f>
        <v>#DIV/0!</v>
      </c>
      <c r="H139">
        <v>0</v>
      </c>
      <c r="I139">
        <v>0</v>
      </c>
      <c r="J139">
        <f>SUM(H139-R139)</f>
        <v>0</v>
      </c>
      <c r="K139">
        <f>SUM(I139-S139)</f>
        <v>0</v>
      </c>
      <c r="L139">
        <f>J139-K139</f>
        <v>0</v>
      </c>
      <c r="M139" t="e">
        <f>L139/J139</f>
        <v>#DIV/0!</v>
      </c>
      <c r="R139">
        <v>0</v>
      </c>
      <c r="S139">
        <v>0</v>
      </c>
      <c r="T139">
        <f>R139-S139</f>
        <v>0</v>
      </c>
      <c r="U139" t="e">
        <f>T139/R139</f>
        <v>#DIV/0!</v>
      </c>
      <c r="W139">
        <v>0</v>
      </c>
      <c r="X139">
        <f>V139-W139</f>
        <v>0</v>
      </c>
      <c r="Y139" t="e">
        <f>X139/V139</f>
        <v>#DIV/0!</v>
      </c>
      <c r="AA139" t="e">
        <f>(E139-K139-S139)/W139</f>
        <v>#DIV/0!</v>
      </c>
      <c r="AB139" t="e">
        <f>(D139-J139-R139)/V139</f>
        <v>#DIV/0!</v>
      </c>
      <c r="AC139" t="e">
        <f>(E139-K139-S139)/E139</f>
        <v>#DIV/0!</v>
      </c>
      <c r="AD139" t="e">
        <f>SUM(D139-H139)/D139</f>
        <v>#DIV/0!</v>
      </c>
      <c r="AK139">
        <f>SUM(W140-W139)</f>
        <v>0</v>
      </c>
      <c r="AL139">
        <f>SUM(K140-K139)</f>
        <v>0</v>
      </c>
    </row>
    <row r="140">
      <c r="C140" t="str">
        <v>Week 3</v>
      </c>
      <c r="D140">
        <v>0</v>
      </c>
      <c r="E140">
        <v>0</v>
      </c>
      <c r="F140">
        <f>D140-E140</f>
        <v>0</v>
      </c>
      <c r="G140" t="e">
        <f>F140/D140</f>
        <v>#DIV/0!</v>
      </c>
      <c r="H140">
        <v>0</v>
      </c>
      <c r="I140">
        <v>0</v>
      </c>
      <c r="J140">
        <f>SUM(H140-R140)</f>
        <v>0</v>
      </c>
      <c r="K140">
        <f>SUM(I140-S140)</f>
        <v>0</v>
      </c>
      <c r="L140">
        <f>J140-K140</f>
        <v>0</v>
      </c>
      <c r="M140" t="e">
        <f>L140/J140</f>
        <v>#DIV/0!</v>
      </c>
      <c r="R140">
        <v>0</v>
      </c>
      <c r="S140">
        <v>0</v>
      </c>
      <c r="T140">
        <f>R140-S140</f>
        <v>0</v>
      </c>
      <c r="U140" t="e">
        <f>T140/R140</f>
        <v>#DIV/0!</v>
      </c>
      <c r="X140">
        <f>V140-W140</f>
        <v>0</v>
      </c>
      <c r="Y140" t="e">
        <f>X140/V140</f>
        <v>#DIV/0!</v>
      </c>
      <c r="AA140" t="e">
        <f>(E140-K140-S140)/W140</f>
        <v>#DIV/0!</v>
      </c>
      <c r="AB140" t="e">
        <f>(D140-J140-R140)/V140</f>
        <v>#DIV/0!</v>
      </c>
      <c r="AC140" t="e">
        <f>(E140-K140-S140)/E140</f>
        <v>#DIV/0!</v>
      </c>
      <c r="AD140" t="e">
        <f>SUM(D140-H140)/D140</f>
        <v>#DIV/0!</v>
      </c>
      <c r="AG140" t="str">
        <v>Estimated months claim</v>
      </c>
      <c r="AH140">
        <v>0</v>
      </c>
      <c r="AK140">
        <f>SUM(W141-W140)</f>
        <v>0</v>
      </c>
      <c r="AL140">
        <f>SUM(K141-K140)</f>
        <v>0</v>
      </c>
    </row>
    <row r="141">
      <c r="C141" t="str">
        <v>Week 4</v>
      </c>
      <c r="D141">
        <v>0</v>
      </c>
      <c r="E141">
        <v>0</v>
      </c>
      <c r="F141">
        <f>D141-E141</f>
        <v>0</v>
      </c>
      <c r="G141" t="e">
        <f>F141/D141</f>
        <v>#DIV/0!</v>
      </c>
      <c r="H141">
        <v>0</v>
      </c>
      <c r="I141">
        <v>0</v>
      </c>
      <c r="J141">
        <f>SUM(H141-R141)</f>
        <v>0</v>
      </c>
      <c r="K141">
        <f>SUM(I141-S141)</f>
        <v>0</v>
      </c>
      <c r="L141">
        <f>J141-K141</f>
        <v>0</v>
      </c>
      <c r="M141" t="e">
        <f>L141/J141</f>
        <v>#DIV/0!</v>
      </c>
      <c r="R141">
        <v>0</v>
      </c>
      <c r="S141">
        <v>0</v>
      </c>
      <c r="T141">
        <f>R141-S141</f>
        <v>0</v>
      </c>
      <c r="U141" t="e">
        <f>T141/R141</f>
        <v>#DIV/0!</v>
      </c>
      <c r="X141">
        <f>V141-W141</f>
        <v>0</v>
      </c>
      <c r="Y141" t="e">
        <f>X141/V141</f>
        <v>#DIV/0!</v>
      </c>
      <c r="AA141" t="e">
        <f>(E141-K141-S141)/W141</f>
        <v>#DIV/0!</v>
      </c>
      <c r="AB141" t="e">
        <f>(D141-J141-R141)/V141</f>
        <v>#DIV/0!</v>
      </c>
      <c r="AC141" t="e">
        <f>(E141-K141-S141)/E141</f>
        <v>#DIV/0!</v>
      </c>
      <c r="AD141" t="e">
        <f>SUM(D141-H141)/D141</f>
        <v>#DIV/0!</v>
      </c>
      <c r="AK141">
        <f>SUM(W142-W141)</f>
        <v>0</v>
      </c>
      <c r="AL141">
        <f>SUM(K142-K141)</f>
        <v>0</v>
      </c>
    </row>
    <row r="142">
      <c r="C142" t="str">
        <v>Week 5</v>
      </c>
      <c r="D142">
        <v>0</v>
      </c>
      <c r="E142">
        <v>0</v>
      </c>
      <c r="F142">
        <f>D142-E142</f>
        <v>0</v>
      </c>
      <c r="G142" t="e">
        <f>F142/D142</f>
        <v>#DIV/0!</v>
      </c>
      <c r="H142">
        <v>0</v>
      </c>
      <c r="I142">
        <v>0</v>
      </c>
      <c r="J142">
        <f>SUM(H142-R142)</f>
        <v>0</v>
      </c>
      <c r="K142">
        <f>SUM(I142-S142)</f>
        <v>0</v>
      </c>
      <c r="L142">
        <f>J142-K142</f>
        <v>0</v>
      </c>
      <c r="M142" t="e">
        <f>L142/J142</f>
        <v>#DIV/0!</v>
      </c>
      <c r="R142">
        <v>0</v>
      </c>
      <c r="S142">
        <v>0</v>
      </c>
      <c r="T142">
        <f>R142-S142</f>
        <v>0</v>
      </c>
      <c r="U142" t="e">
        <f>T142/R142</f>
        <v>#DIV/0!</v>
      </c>
      <c r="X142">
        <f>V142-W142</f>
        <v>0</v>
      </c>
      <c r="Y142" t="e">
        <f>X142/V142</f>
        <v>#DIV/0!</v>
      </c>
      <c r="AA142" t="e">
        <f>(E142-K142-S142)/W142</f>
        <v>#DIV/0!</v>
      </c>
      <c r="AB142" t="e">
        <f>(D142-J142-R142)/V142</f>
        <v>#DIV/0!</v>
      </c>
      <c r="AC142" t="e">
        <f>(E142-K142-S142)/E142</f>
        <v>#DIV/0!</v>
      </c>
      <c r="AD142" t="e">
        <f>SUM(D142-H142)/D142</f>
        <v>#DIV/0!</v>
      </c>
      <c r="AK142">
        <f>SUM(AK137,AK138,AK139,AK140,AK141)</f>
        <v>0</v>
      </c>
      <c r="AL142">
        <f>SUM(AL137,AL138,AL139,AL140,AL141)</f>
        <v>0</v>
      </c>
    </row>
    <row r="144">
      <c r="A144">
        <f>'Main Sheet'!A44</f>
        <v>7912</v>
      </c>
      <c r="B144" t="str">
        <f>'Main Sheet'!B44</f>
        <v xml:space="preserve">71A Fendalton Road </v>
      </c>
      <c r="C144" t="str">
        <v>Start of month</v>
      </c>
      <c r="D144">
        <v>23650.59</v>
      </c>
      <c r="E144">
        <v>0</v>
      </c>
      <c r="F144">
        <f>D144-E144</f>
        <v>23650.59</v>
      </c>
      <c r="G144">
        <f>F144/D144</f>
        <v>1</v>
      </c>
      <c r="H144">
        <v>15376.98</v>
      </c>
      <c r="I144">
        <v>1628.64</v>
      </c>
      <c r="J144">
        <f>SUM(H144-R144)</f>
        <v>8582.099999999999</v>
      </c>
      <c r="K144">
        <f>SUM(I144-S144)</f>
        <v>53.06000000000017</v>
      </c>
      <c r="L144">
        <f>J144-K144</f>
        <v>8529.039999999999</v>
      </c>
      <c r="M144">
        <f>L144/J144</f>
        <v>0.9938173640484265</v>
      </c>
      <c r="R144">
        <v>6794.88</v>
      </c>
      <c r="S144">
        <v>1575.58</v>
      </c>
      <c r="T144">
        <f>R144-S144</f>
        <v>5219.3</v>
      </c>
      <c r="U144">
        <f>T144/R144</f>
        <v>0.7681224686823019</v>
      </c>
      <c r="V144">
        <v>135.9</v>
      </c>
      <c r="W144">
        <v>30.5</v>
      </c>
      <c r="X144">
        <f>V144-W144</f>
        <v>105.4</v>
      </c>
      <c r="Y144">
        <f>X144/V144</f>
        <v>0.775570272259014</v>
      </c>
      <c r="AA144">
        <f>(E144-K144-S144)/W144</f>
        <v>-53.39803278688525</v>
      </c>
      <c r="AB144">
        <f>(D144-J144-R144)/V144</f>
        <v>60.880132450331125</v>
      </c>
      <c r="AC144" t="e">
        <f>(E144-K144-S144)/E144</f>
        <v>#DIV/0!</v>
      </c>
      <c r="AD144">
        <f>SUM(D144-H144)/D144</f>
        <v>0.34982679079042006</v>
      </c>
      <c r="AG144" t="str">
        <v>Hours calc for monthly claims</v>
      </c>
      <c r="AH144">
        <f>AK149</f>
        <v>73.75</v>
      </c>
      <c r="AK144">
        <f>SUM(W145-W144)</f>
        <v>32.25</v>
      </c>
      <c r="AL144">
        <f>SUM(K145-K144)</f>
        <v>377.7299999999998</v>
      </c>
    </row>
    <row r="145">
      <c r="C145" t="str">
        <v>Week 1</v>
      </c>
      <c r="D145">
        <v>23650.59</v>
      </c>
      <c r="E145">
        <v>5602.1</v>
      </c>
      <c r="F145">
        <f>D145-E145</f>
        <v>18048.489999999998</v>
      </c>
      <c r="G145">
        <f>F145/D145</f>
        <v>0.7631306449437413</v>
      </c>
      <c r="H145">
        <v>15376.98</v>
      </c>
      <c r="I145">
        <v>3604.74</v>
      </c>
      <c r="J145">
        <f>SUM(H145-R145)</f>
        <v>8582.099999999999</v>
      </c>
      <c r="K145">
        <f>SUM(I145-S145)</f>
        <v>430.78999999999996</v>
      </c>
      <c r="L145">
        <f>J145-K145</f>
        <v>8151.309999999999</v>
      </c>
      <c r="M145">
        <f>L145/J145</f>
        <v>0.9498036611085865</v>
      </c>
      <c r="R145">
        <v>6794.88</v>
      </c>
      <c r="S145">
        <v>3173.95</v>
      </c>
      <c r="T145">
        <f>R145-S145</f>
        <v>3620.9300000000003</v>
      </c>
      <c r="U145">
        <f>T145/R145</f>
        <v>0.5328909414147123</v>
      </c>
      <c r="V145">
        <v>135.9</v>
      </c>
      <c r="W145">
        <v>62.75</v>
      </c>
      <c r="X145">
        <f>V145-W145</f>
        <v>73.15</v>
      </c>
      <c r="Y145">
        <f>X145/V145</f>
        <v>0.5382634289919058</v>
      </c>
      <c r="AA145">
        <f>(E145-K145-S145)/W145</f>
        <v>31.830438247011962</v>
      </c>
      <c r="AB145">
        <f>(D145-J145-R145)/V145</f>
        <v>60.880132450331125</v>
      </c>
      <c r="AC145">
        <f>(E145-K145-S145)/E145</f>
        <v>0.35653772692383223</v>
      </c>
      <c r="AD145">
        <f>SUM(D145-H145)/D145</f>
        <v>0.34982679079042006</v>
      </c>
      <c r="AG145" t="str">
        <v>Materials calc for monthly claims</v>
      </c>
      <c r="AH145">
        <f>AL149</f>
        <v>3637.4400000000005</v>
      </c>
      <c r="AK145">
        <f>SUM(W146-W145)</f>
        <v>32</v>
      </c>
      <c r="AL145">
        <f>SUM(K146-K145)</f>
        <v>1239.42</v>
      </c>
    </row>
    <row r="146">
      <c r="C146" t="str">
        <v>Week 2</v>
      </c>
      <c r="D146">
        <v>23650.59</v>
      </c>
      <c r="E146">
        <v>5602.1</v>
      </c>
      <c r="F146">
        <f>D146-E146</f>
        <v>18048.489999999998</v>
      </c>
      <c r="G146">
        <f>F146/D146</f>
        <v>0.7631306449437413</v>
      </c>
      <c r="H146">
        <v>15376.98</v>
      </c>
      <c r="I146">
        <v>6523.55</v>
      </c>
      <c r="J146">
        <f>SUM(H146-R146)</f>
        <v>8582.099999999999</v>
      </c>
      <c r="K146">
        <f>SUM(I146-S146)</f>
        <v>1670.21</v>
      </c>
      <c r="L146">
        <f>J146-K146</f>
        <v>6911.8899999999985</v>
      </c>
      <c r="M146">
        <f>L146/J146</f>
        <v>0.8053844630102189</v>
      </c>
      <c r="R146">
        <v>6794.88</v>
      </c>
      <c r="S146">
        <v>4853.34</v>
      </c>
      <c r="T146">
        <f>R146-S146</f>
        <v>1941.54</v>
      </c>
      <c r="U146">
        <f>T146/R146</f>
        <v>0.28573573043232553</v>
      </c>
      <c r="V146">
        <v>135.9</v>
      </c>
      <c r="W146">
        <v>94.75</v>
      </c>
      <c r="X146">
        <f>V146-W146</f>
        <v>41.150000000000006</v>
      </c>
      <c r="Y146">
        <f>X146/V146</f>
        <v>0.3027961736571008</v>
      </c>
      <c r="AA146">
        <f>(E146-K146-S146)/W146</f>
        <v>-9.725065963060684</v>
      </c>
      <c r="AB146">
        <f>(D146-J146-R146)/V146</f>
        <v>60.880132450331125</v>
      </c>
      <c r="AC146">
        <f>(E146-K146-S146)/E146</f>
        <v>-0.16448296174648788</v>
      </c>
      <c r="AD146">
        <f>SUM(D146-H146)/D146</f>
        <v>0.34982679079042006</v>
      </c>
      <c r="AK146">
        <f>SUM(W147-W146)</f>
        <v>0.5</v>
      </c>
      <c r="AL146">
        <f>SUM(K147-K146)</f>
        <v>2020.29</v>
      </c>
    </row>
    <row r="147">
      <c r="C147" t="str">
        <v>Week 3</v>
      </c>
      <c r="D147">
        <v>23650.59</v>
      </c>
      <c r="E147">
        <v>5602.1</v>
      </c>
      <c r="F147">
        <f>D147-E147</f>
        <v>18048.489999999998</v>
      </c>
      <c r="G147">
        <f>F147/D147</f>
        <v>0.7631306449437413</v>
      </c>
      <c r="H147">
        <v>15376.98</v>
      </c>
      <c r="I147">
        <v>8543.84</v>
      </c>
      <c r="J147">
        <f>SUM(H147-R147)</f>
        <v>8582.099999999999</v>
      </c>
      <c r="K147">
        <f>SUM(I147-S147)</f>
        <v>3690.5</v>
      </c>
      <c r="L147">
        <f>J147-K147</f>
        <v>4891.5999999999985</v>
      </c>
      <c r="M147">
        <f>L147/J147</f>
        <v>0.5699770452453361</v>
      </c>
      <c r="R147">
        <v>6794.88</v>
      </c>
      <c r="S147">
        <v>4853.34</v>
      </c>
      <c r="T147">
        <f>R147-S147</f>
        <v>1941.54</v>
      </c>
      <c r="U147">
        <f>T147/R147</f>
        <v>0.28573573043232553</v>
      </c>
      <c r="V147">
        <v>135.9</v>
      </c>
      <c r="W147">
        <v>95.25</v>
      </c>
      <c r="X147">
        <f>V147-W147</f>
        <v>40.650000000000006</v>
      </c>
      <c r="Y147">
        <f>X147/V147</f>
        <v>0.2991169977924945</v>
      </c>
      <c r="AA147">
        <f>(E147-K147-S147)/W147</f>
        <v>-30.884409448818896</v>
      </c>
      <c r="AB147">
        <f>(D147-J147-R147)/V147</f>
        <v>60.880132450331125</v>
      </c>
      <c r="AC147">
        <f>(E147-K147-S147)/E147</f>
        <v>-0.5251137966119848</v>
      </c>
      <c r="AD147">
        <f>SUM(D147-H147)/D147</f>
        <v>0.34982679079042006</v>
      </c>
      <c r="AG147" t="str">
        <v>Estimated months claim</v>
      </c>
      <c r="AH147">
        <v>0</v>
      </c>
      <c r="AK147">
        <f>SUM(W148-W147)</f>
        <v>9</v>
      </c>
      <c r="AL147">
        <f>SUM(K148-K147)</f>
        <v>9.094947017729282e-13</v>
      </c>
    </row>
    <row r="148">
      <c r="C148" t="str">
        <v>Week 4</v>
      </c>
      <c r="D148">
        <v>23650.59</v>
      </c>
      <c r="E148">
        <v>5602.1</v>
      </c>
      <c r="F148">
        <f>D148-E148</f>
        <v>18048.489999999998</v>
      </c>
      <c r="G148">
        <f>F148/D148</f>
        <v>0.7631306449437413</v>
      </c>
      <c r="H148">
        <v>15376.98</v>
      </c>
      <c r="I148">
        <v>9041.54</v>
      </c>
      <c r="J148">
        <f>SUM(H148-R148)</f>
        <v>8582.099999999999</v>
      </c>
      <c r="K148">
        <f>SUM(I148-S148)</f>
        <v>3690.500000000001</v>
      </c>
      <c r="L148">
        <f>J148-K148</f>
        <v>4891.599999999998</v>
      </c>
      <c r="M148">
        <f>L148/J148</f>
        <v>0.569977045245336</v>
      </c>
      <c r="R148">
        <v>6794.88</v>
      </c>
      <c r="S148">
        <v>5351.04</v>
      </c>
      <c r="T148">
        <f>R148-S148</f>
        <v>1443.8400000000001</v>
      </c>
      <c r="U148">
        <f>T148/R148</f>
        <v>0.21248940378638034</v>
      </c>
      <c r="V148">
        <v>135.9</v>
      </c>
      <c r="W148">
        <v>104.25</v>
      </c>
      <c r="X148">
        <f>V148-W148</f>
        <v>31.650000000000006</v>
      </c>
      <c r="Y148">
        <f>X148/V148</f>
        <v>0.2328918322295806</v>
      </c>
      <c r="AA148">
        <f>(E148-K148-S148)/W148</f>
        <v>-32.99223021582734</v>
      </c>
      <c r="AB148">
        <f>(D148-J148-R148)/V148</f>
        <v>60.880132450331125</v>
      </c>
      <c r="AC148">
        <f>(E148-K148-S148)/E148</f>
        <v>-0.6139554809803467</v>
      </c>
      <c r="AD148">
        <f>SUM(D148-H148)/D148</f>
        <v>0.34982679079042006</v>
      </c>
      <c r="AK148">
        <f>SUM(W149-W148)</f>
        <v>0</v>
      </c>
      <c r="AL148">
        <f>SUM(K149-K148)</f>
        <v>0</v>
      </c>
    </row>
    <row r="149">
      <c r="C149" t="str">
        <v>Week 5</v>
      </c>
      <c r="D149">
        <v>23650.59</v>
      </c>
      <c r="E149">
        <v>5602.1</v>
      </c>
      <c r="F149">
        <f>D149-E149</f>
        <v>18048.489999999998</v>
      </c>
      <c r="G149">
        <f>F149/D149</f>
        <v>0.7631306449437413</v>
      </c>
      <c r="H149">
        <v>15376.98</v>
      </c>
      <c r="I149">
        <v>9041.54</v>
      </c>
      <c r="J149">
        <f>SUM(H149-R149)</f>
        <v>8582.099999999999</v>
      </c>
      <c r="K149">
        <f>SUM(I149-S149)</f>
        <v>3690.500000000001</v>
      </c>
      <c r="L149">
        <f>J149-K149</f>
        <v>4891.599999999998</v>
      </c>
      <c r="M149">
        <f>L149/J149</f>
        <v>0.569977045245336</v>
      </c>
      <c r="R149">
        <v>6794.88</v>
      </c>
      <c r="S149">
        <v>5351.04</v>
      </c>
      <c r="T149">
        <f>R149-S149</f>
        <v>1443.8400000000001</v>
      </c>
      <c r="U149">
        <f>T149/R149</f>
        <v>0.21248940378638034</v>
      </c>
      <c r="V149">
        <v>135.9</v>
      </c>
      <c r="W149">
        <v>104.25</v>
      </c>
      <c r="X149">
        <f>V149-W149</f>
        <v>31.650000000000006</v>
      </c>
      <c r="Y149">
        <f>X149/V149</f>
        <v>0.2328918322295806</v>
      </c>
      <c r="AA149">
        <f>(E149-K149-S149)/W149</f>
        <v>-32.99223021582734</v>
      </c>
      <c r="AB149">
        <f>(D149-J149-R149)/V149</f>
        <v>60.880132450331125</v>
      </c>
      <c r="AC149">
        <f>(E149-K149-S149)/E149</f>
        <v>-0.6139554809803467</v>
      </c>
      <c r="AD149">
        <f>SUM(D149-H149)/D149</f>
        <v>0.34982679079042006</v>
      </c>
      <c r="AK149">
        <f>SUM(AK144,AK145,AK146,AK147,AK148)</f>
        <v>73.75</v>
      </c>
      <c r="AL149">
        <f>SUM(AL144,AL145,AL146,AL147,AL148)</f>
        <v>3637.4400000000005</v>
      </c>
    </row>
    <row r="151">
      <c r="A151">
        <f>'Main Sheet'!A46</f>
        <v>8360</v>
      </c>
      <c r="B151" t="str">
        <f>'Main Sheet'!B46</f>
        <v>Dixon House</v>
      </c>
      <c r="C151" t="str">
        <v>Start of month</v>
      </c>
      <c r="D151">
        <v>29188.19</v>
      </c>
      <c r="E151">
        <v>38245.41</v>
      </c>
      <c r="F151">
        <f>D151-E151</f>
        <v>-9057.220000000005</v>
      </c>
      <c r="G151">
        <f>F151/D151</f>
        <v>-0.31030427032303154</v>
      </c>
      <c r="H151">
        <v>17590</v>
      </c>
      <c r="I151">
        <v>36039.07</v>
      </c>
      <c r="J151">
        <f>SUM(H151-R151)</f>
        <v>9253.76</v>
      </c>
      <c r="K151">
        <f>SUM(I151-S151)</f>
        <v>35607.58</v>
      </c>
      <c r="L151">
        <f>J151-K151</f>
        <v>-26353.82</v>
      </c>
      <c r="M151">
        <f>L151/J151</f>
        <v>-2.8479039871360396</v>
      </c>
      <c r="R151">
        <v>8336.24</v>
      </c>
      <c r="S151">
        <v>431.49</v>
      </c>
      <c r="T151">
        <f>R151-S151</f>
        <v>7904.75</v>
      </c>
      <c r="U151">
        <f>T151/R151</f>
        <v>0.9482392541481531</v>
      </c>
      <c r="V151">
        <v>166.98</v>
      </c>
      <c r="W151">
        <v>9.75</v>
      </c>
      <c r="X151">
        <f>V151-W151</f>
        <v>157.23</v>
      </c>
      <c r="Y151">
        <f>X151/V151</f>
        <v>0.9416097736255838</v>
      </c>
      <c r="AA151">
        <f>(E151-K151-S151)/W151</f>
        <v>226.29128205128225</v>
      </c>
      <c r="AB151">
        <f>(D151-J151-R151)/V151</f>
        <v>69.45855791112709</v>
      </c>
      <c r="AC151">
        <f>(E151-K151-S151)/E151</f>
        <v>0.057689014184970216</v>
      </c>
      <c r="AD151">
        <f>SUM(D151-H151)/D151</f>
        <v>0.3973590003354096</v>
      </c>
      <c r="AG151" t="str">
        <v>Hours calc for monthly claims</v>
      </c>
      <c r="AH151">
        <f>AK156</f>
        <v>-9.75</v>
      </c>
      <c r="AK151">
        <f>SUM(W152-W151)</f>
        <v>0</v>
      </c>
      <c r="AL151">
        <f>SUM(K152-K151)</f>
        <v>0</v>
      </c>
    </row>
    <row r="152">
      <c r="C152" t="str">
        <v>Week 1</v>
      </c>
      <c r="D152">
        <v>29188.19</v>
      </c>
      <c r="E152">
        <v>38245.41</v>
      </c>
      <c r="F152">
        <f>D152-E152</f>
        <v>-9057.220000000005</v>
      </c>
      <c r="G152">
        <f>F152/D152</f>
        <v>-0.31030427032303154</v>
      </c>
      <c r="H152">
        <v>17590</v>
      </c>
      <c r="I152">
        <v>36039.07</v>
      </c>
      <c r="J152">
        <f>SUM(H152-R152)</f>
        <v>9253.76</v>
      </c>
      <c r="K152">
        <f>SUM(I152-S152)</f>
        <v>35607.58</v>
      </c>
      <c r="L152">
        <f>J152-K152</f>
        <v>-26353.82</v>
      </c>
      <c r="M152">
        <f>L152/J152</f>
        <v>-2.8479039871360396</v>
      </c>
      <c r="R152">
        <v>8336.24</v>
      </c>
      <c r="S152">
        <v>431.49</v>
      </c>
      <c r="T152">
        <f>R152-S152</f>
        <v>7904.75</v>
      </c>
      <c r="U152">
        <f>T152/R152</f>
        <v>0.9482392541481531</v>
      </c>
      <c r="V152">
        <v>166.98</v>
      </c>
      <c r="W152">
        <v>9.75</v>
      </c>
      <c r="X152">
        <f>V152-W152</f>
        <v>157.23</v>
      </c>
      <c r="Y152">
        <f>X152/V152</f>
        <v>0.9416097736255838</v>
      </c>
      <c r="AA152">
        <f>(E152-K152-S152)/W152</f>
        <v>226.29128205128225</v>
      </c>
      <c r="AB152">
        <f>(D152-J152-R152)/V152</f>
        <v>69.45855791112709</v>
      </c>
      <c r="AC152">
        <f>(E152-K152-S152)/E152</f>
        <v>0.057689014184970216</v>
      </c>
      <c r="AD152">
        <f>SUM(D152-H152)/D152</f>
        <v>0.3973590003354096</v>
      </c>
      <c r="AG152" t="str">
        <v>Materials calc for monthly claims</v>
      </c>
      <c r="AH152">
        <f>AL156</f>
        <v>-35607.58</v>
      </c>
      <c r="AK152">
        <f>SUM(W153-W152)</f>
        <v>4.5</v>
      </c>
      <c r="AL152">
        <f>SUM(K153-K152)</f>
        <v>-197.56000000000495</v>
      </c>
    </row>
    <row r="153">
      <c r="C153" t="str">
        <v>Week 2</v>
      </c>
      <c r="D153">
        <v>29188.19</v>
      </c>
      <c r="E153">
        <v>38245.41</v>
      </c>
      <c r="F153">
        <f>D153-E153</f>
        <v>-9057.220000000005</v>
      </c>
      <c r="G153">
        <f>F153/D153</f>
        <v>-0.31030427032303154</v>
      </c>
      <c r="H153">
        <v>17590</v>
      </c>
      <c r="I153">
        <v>36039.07</v>
      </c>
      <c r="J153">
        <f>SUM(H153-R153)</f>
        <v>9253.76</v>
      </c>
      <c r="K153">
        <f>SUM(I153-S153)</f>
        <v>35410.02</v>
      </c>
      <c r="L153">
        <f>J153-K153</f>
        <v>-26156.259999999995</v>
      </c>
      <c r="M153">
        <f>L153/J153</f>
        <v>-2.8265548274431143</v>
      </c>
      <c r="R153">
        <v>8336.24</v>
      </c>
      <c r="S153">
        <v>629.05</v>
      </c>
      <c r="T153">
        <f>R153-S153</f>
        <v>7707.19</v>
      </c>
      <c r="U153">
        <f>T153/R153</f>
        <v>0.9245403203362667</v>
      </c>
      <c r="V153">
        <v>166.98</v>
      </c>
      <c r="W153">
        <v>14.25</v>
      </c>
      <c r="X153">
        <f>V153-W153</f>
        <v>152.73</v>
      </c>
      <c r="Y153">
        <f>X153/V153</f>
        <v>0.9146604383758534</v>
      </c>
      <c r="AA153">
        <f>(E153-K153-S153)/W153</f>
        <v>154.8308771929829</v>
      </c>
      <c r="AB153">
        <f>(D153-J153-R153)/V153</f>
        <v>69.45855791112709</v>
      </c>
      <c r="AC153">
        <f>(E153-K153-S153)/E153</f>
        <v>0.057689014184970334</v>
      </c>
      <c r="AD153">
        <f>SUM(D153-H153)/D153</f>
        <v>0.3973590003354096</v>
      </c>
      <c r="AK153">
        <f>SUM(W154-W153)</f>
        <v>7.25</v>
      </c>
      <c r="AL153">
        <f>SUM(K154-K153)</f>
        <v>646.810000000005</v>
      </c>
    </row>
    <row r="154">
      <c r="C154" t="str">
        <v>Week 3</v>
      </c>
      <c r="D154">
        <v>29188.19</v>
      </c>
      <c r="E154">
        <v>38245.41</v>
      </c>
      <c r="F154">
        <f>D154-E154</f>
        <v>-9057.220000000005</v>
      </c>
      <c r="G154">
        <f>F154/D154</f>
        <v>-0.31030427032303154</v>
      </c>
      <c r="H154">
        <v>17590</v>
      </c>
      <c r="I154">
        <v>37012.71</v>
      </c>
      <c r="J154">
        <f>SUM(H154-R154)</f>
        <v>9253.76</v>
      </c>
      <c r="K154">
        <f>SUM(I154-S154)</f>
        <v>36056.83</v>
      </c>
      <c r="L154">
        <f>J154-K154</f>
        <v>-26803.07</v>
      </c>
      <c r="M154">
        <f>L154/J154</f>
        <v>-2.8964518206653294</v>
      </c>
      <c r="R154">
        <v>8336.24</v>
      </c>
      <c r="S154">
        <v>955.88</v>
      </c>
      <c r="T154">
        <f>R154-S154</f>
        <v>7380.36</v>
      </c>
      <c r="U154">
        <f>T154/R154</f>
        <v>0.8853343953628974</v>
      </c>
      <c r="V154">
        <v>166.98</v>
      </c>
      <c r="W154">
        <v>21.5</v>
      </c>
      <c r="X154">
        <f>V154-W154</f>
        <v>145.48</v>
      </c>
      <c r="Y154">
        <f>X154/V154</f>
        <v>0.8712420649179542</v>
      </c>
      <c r="AA154">
        <f>(E154-K154-S154)/W154</f>
        <v>57.33488372093031</v>
      </c>
      <c r="AB154">
        <f>(D154-J154-R154)/V154</f>
        <v>69.45855791112709</v>
      </c>
      <c r="AC154">
        <f>(E154-K154-S154)/E154</f>
        <v>0.03223131873864083</v>
      </c>
      <c r="AD154">
        <f>SUM(D154-H154)/D154</f>
        <v>0.3973590003354096</v>
      </c>
      <c r="AG154" t="str">
        <v>Estimated months claim</v>
      </c>
      <c r="AH154">
        <v>0</v>
      </c>
      <c r="AK154">
        <f>SUM(W155-W154)</f>
        <v>-21.5</v>
      </c>
      <c r="AL154">
        <f>SUM(K155-K154)</f>
        <v>-36056.83</v>
      </c>
    </row>
    <row r="155">
      <c r="C155" t="str">
        <v>Week 4</v>
      </c>
      <c r="F155">
        <f>D155-E155</f>
        <v>0</v>
      </c>
      <c r="G155" t="e">
        <f>F155/D155</f>
        <v>#DIV/0!</v>
      </c>
      <c r="J155">
        <f>SUM(H155-R155)</f>
        <v>0</v>
      </c>
      <c r="K155">
        <f>SUM(I155-S155)</f>
        <v>0</v>
      </c>
      <c r="L155">
        <f>J155-K155</f>
        <v>0</v>
      </c>
      <c r="M155" t="e">
        <f>L155/J155</f>
        <v>#DIV/0!</v>
      </c>
      <c r="T155">
        <f>R155-S155</f>
        <v>0</v>
      </c>
      <c r="U155" t="e">
        <f>T155/R155</f>
        <v>#DIV/0!</v>
      </c>
      <c r="X155">
        <f>V155-W155</f>
        <v>0</v>
      </c>
      <c r="Y155" t="e">
        <f>X155/V155</f>
        <v>#DIV/0!</v>
      </c>
      <c r="AA155" t="e">
        <f>(E155-K155-S155)/W155</f>
        <v>#DIV/0!</v>
      </c>
      <c r="AB155" t="e">
        <f>(D155-J155-R155)/V155</f>
        <v>#DIV/0!</v>
      </c>
      <c r="AC155" t="e">
        <f>(E155-K155-S155)/E155</f>
        <v>#DIV/0!</v>
      </c>
      <c r="AD155" t="e">
        <f>SUM(D155-H155)/D155</f>
        <v>#DIV/0!</v>
      </c>
      <c r="AK155">
        <f>SUM(W156-W155)</f>
        <v>0</v>
      </c>
      <c r="AL155">
        <f>SUM(K156-K155)</f>
        <v>0</v>
      </c>
    </row>
    <row r="156">
      <c r="C156" t="str">
        <v>Week 5</v>
      </c>
      <c r="F156">
        <f>D156-E156</f>
        <v>0</v>
      </c>
      <c r="G156" t="e">
        <f>F156/D156</f>
        <v>#DIV/0!</v>
      </c>
      <c r="J156">
        <f>SUM(H156-R156)</f>
        <v>0</v>
      </c>
      <c r="K156">
        <f>SUM(I156-S156)</f>
        <v>0</v>
      </c>
      <c r="L156">
        <f>J156-K156</f>
        <v>0</v>
      </c>
      <c r="M156" t="e">
        <f>L156/J156</f>
        <v>#DIV/0!</v>
      </c>
      <c r="T156">
        <f>R156-S156</f>
        <v>0</v>
      </c>
      <c r="U156" t="e">
        <f>T156/R156</f>
        <v>#DIV/0!</v>
      </c>
      <c r="X156">
        <f>V156-W156</f>
        <v>0</v>
      </c>
      <c r="Y156" t="e">
        <f>X156/V156</f>
        <v>#DIV/0!</v>
      </c>
      <c r="AA156" t="e">
        <f>(E156-K156-S156)/W156</f>
        <v>#DIV/0!</v>
      </c>
      <c r="AB156" t="e">
        <f>(D156-J156-R156)/V156</f>
        <v>#DIV/0!</v>
      </c>
      <c r="AC156" t="e">
        <f>(E156-K156-S156)/E156</f>
        <v>#DIV/0!</v>
      </c>
      <c r="AD156" t="e">
        <f>SUM(D156-H156)/D156</f>
        <v>#DIV/0!</v>
      </c>
      <c r="AK156">
        <f>SUM(AK151,AK152,AK153,AK154,AK155)</f>
        <v>-9.75</v>
      </c>
      <c r="AL156">
        <f>SUM(AL151,AL152,AL153,AL154,AL155)</f>
        <v>-35607.58</v>
      </c>
    </row>
    <row r="158">
      <c r="A158">
        <f>'Main Sheet'!A48</f>
        <v>8337</v>
      </c>
      <c r="B158" t="str">
        <f>'Main Sheet'!B48</f>
        <v xml:space="preserve">Waimak Dairys </v>
      </c>
      <c r="C158" t="str">
        <v>Start of month</v>
      </c>
      <c r="D158">
        <v>15025.89</v>
      </c>
      <c r="E158">
        <v>0</v>
      </c>
      <c r="F158">
        <f>D158-E158</f>
        <v>15025.89</v>
      </c>
      <c r="G158">
        <f>F158/D158</f>
        <v>1</v>
      </c>
      <c r="H158">
        <v>10929.18</v>
      </c>
      <c r="I158">
        <v>0</v>
      </c>
      <c r="J158">
        <v>0</v>
      </c>
      <c r="K158">
        <v>0</v>
      </c>
      <c r="L158">
        <f>J158-K158</f>
        <v>0</v>
      </c>
      <c r="M158" t="e">
        <f>L158/J158</f>
        <v>#DIV/0!</v>
      </c>
      <c r="R158">
        <v>5126.09</v>
      </c>
      <c r="S158">
        <v>0</v>
      </c>
      <c r="T158">
        <f>R158-S158</f>
        <v>5126.09</v>
      </c>
      <c r="U158">
        <f>T158/R158</f>
        <v>1</v>
      </c>
      <c r="V158">
        <v>102.81</v>
      </c>
      <c r="W158">
        <v>0</v>
      </c>
      <c r="X158">
        <f>V158-W158</f>
        <v>102.81</v>
      </c>
      <c r="Y158">
        <f>X158/V158</f>
        <v>1</v>
      </c>
      <c r="AA158" t="e">
        <f>(E158-K158-S158)/W158</f>
        <v>#DIV/0!</v>
      </c>
      <c r="AB158">
        <f>(D158-J158-R158)/V158</f>
        <v>96.29218947573192</v>
      </c>
      <c r="AC158" t="e">
        <f>(E158-K158-S158)/E158</f>
        <v>#DIV/0!</v>
      </c>
      <c r="AD158">
        <f>SUM(D158-H158)/D158</f>
        <v>0.2726434174614615</v>
      </c>
      <c r="AG158" t="str">
        <v>Hours calc for monthly claims</v>
      </c>
      <c r="AH158">
        <f>AK163</f>
        <v>0</v>
      </c>
      <c r="AK158">
        <f>SUM(W159-W158)</f>
        <v>0</v>
      </c>
      <c r="AL158">
        <f>SUM(K159-K158)</f>
        <v>0</v>
      </c>
    </row>
    <row r="159">
      <c r="C159" t="str">
        <v>Week 1</v>
      </c>
      <c r="D159">
        <v>0</v>
      </c>
      <c r="E159">
        <v>0</v>
      </c>
      <c r="F159">
        <v>0</v>
      </c>
      <c r="G159" t="e">
        <f>F159/D159</f>
        <v>#DIV/0!</v>
      </c>
      <c r="H159">
        <v>0</v>
      </c>
      <c r="I159">
        <v>0</v>
      </c>
      <c r="J159">
        <v>0</v>
      </c>
      <c r="K159">
        <v>0</v>
      </c>
      <c r="L159">
        <f>J159-K159</f>
        <v>0</v>
      </c>
      <c r="M159" t="e">
        <f>L159/J159</f>
        <v>#DIV/0!</v>
      </c>
      <c r="R159">
        <v>0</v>
      </c>
      <c r="S159">
        <v>0</v>
      </c>
      <c r="T159">
        <f>R159-S159</f>
        <v>0</v>
      </c>
      <c r="U159" t="e">
        <f>T159/R159</f>
        <v>#DIV/0!</v>
      </c>
      <c r="V159">
        <v>0</v>
      </c>
      <c r="W159">
        <v>0</v>
      </c>
      <c r="X159">
        <f>V159-W159</f>
        <v>0</v>
      </c>
      <c r="Y159" t="e">
        <f>X159/V159</f>
        <v>#DIV/0!</v>
      </c>
      <c r="AA159" t="e">
        <f>(E159-K159-S159)/W159</f>
        <v>#DIV/0!</v>
      </c>
      <c r="AB159" t="e">
        <f>(D159-J159-R159)/V159</f>
        <v>#DIV/0!</v>
      </c>
      <c r="AC159" t="e">
        <f>(E159-K159-S159)/E159</f>
        <v>#DIV/0!</v>
      </c>
      <c r="AD159" t="e">
        <f>SUM(D159-H159)/D159</f>
        <v>#DIV/0!</v>
      </c>
      <c r="AG159" t="str">
        <v>Materials calc for monthly claims</v>
      </c>
      <c r="AH159">
        <f>AL163</f>
        <v>0</v>
      </c>
      <c r="AK159">
        <f>SUM(W160-W159)</f>
        <v>0</v>
      </c>
      <c r="AL159">
        <f>SUM(K160-K159)</f>
        <v>0</v>
      </c>
    </row>
    <row r="160">
      <c r="C160" t="str">
        <v>Week 2</v>
      </c>
      <c r="F160">
        <f>D160-E160</f>
        <v>0</v>
      </c>
      <c r="G160" t="e">
        <f>F160/D160</f>
        <v>#DIV/0!</v>
      </c>
      <c r="J160">
        <f>SUM(H160-R160)</f>
        <v>0</v>
      </c>
      <c r="K160">
        <f>SUM(I160-S160)</f>
        <v>0</v>
      </c>
      <c r="L160">
        <f>J160-K160</f>
        <v>0</v>
      </c>
      <c r="M160" t="e">
        <f>L160/J160</f>
        <v>#DIV/0!</v>
      </c>
      <c r="T160">
        <f>R160-S160</f>
        <v>0</v>
      </c>
      <c r="U160" t="e">
        <f>T160/R160</f>
        <v>#DIV/0!</v>
      </c>
      <c r="X160">
        <f>V160-W160</f>
        <v>0</v>
      </c>
      <c r="Y160" t="e">
        <f>X160/V160</f>
        <v>#DIV/0!</v>
      </c>
      <c r="AA160" t="e">
        <f>(E160-K160-S160)/W160</f>
        <v>#DIV/0!</v>
      </c>
      <c r="AB160" t="e">
        <f>(D160-J160-R160)/V160</f>
        <v>#DIV/0!</v>
      </c>
      <c r="AC160" t="e">
        <f>(E160-K160-S160)/E160</f>
        <v>#DIV/0!</v>
      </c>
      <c r="AD160" t="e">
        <f>SUM(D160-H160)/D160</f>
        <v>#DIV/0!</v>
      </c>
      <c r="AK160">
        <f>SUM(W161-W160)</f>
        <v>0</v>
      </c>
      <c r="AL160">
        <f>SUM(K161-K160)</f>
        <v>0</v>
      </c>
    </row>
    <row r="161">
      <c r="C161" t="str">
        <v>Week 3</v>
      </c>
      <c r="F161">
        <f>D161-E161</f>
        <v>0</v>
      </c>
      <c r="G161" t="e">
        <f>F161/D161</f>
        <v>#DIV/0!</v>
      </c>
      <c r="J161">
        <f>SUM(H161-R161)</f>
        <v>0</v>
      </c>
      <c r="K161">
        <f>SUM(I161-S161)</f>
        <v>0</v>
      </c>
      <c r="L161">
        <f>J161-K161</f>
        <v>0</v>
      </c>
      <c r="M161" t="e">
        <f>L161/J161</f>
        <v>#DIV/0!</v>
      </c>
      <c r="T161">
        <f>R161-S161</f>
        <v>0</v>
      </c>
      <c r="U161" t="e">
        <f>T161/R161</f>
        <v>#DIV/0!</v>
      </c>
      <c r="X161">
        <f>V161-W161</f>
        <v>0</v>
      </c>
      <c r="Y161" t="e">
        <f>X161/V161</f>
        <v>#DIV/0!</v>
      </c>
      <c r="AA161" t="e">
        <f>(E161-K161-S161)/W161</f>
        <v>#DIV/0!</v>
      </c>
      <c r="AB161" t="e">
        <f>(D161-J161-R161)/V161</f>
        <v>#DIV/0!</v>
      </c>
      <c r="AC161" t="e">
        <f>(E161-K161-S161)/E161</f>
        <v>#DIV/0!</v>
      </c>
      <c r="AD161" t="e">
        <f>SUM(D161-H161)/D161</f>
        <v>#DIV/0!</v>
      </c>
      <c r="AG161" t="str">
        <v>Estimated months claim</v>
      </c>
      <c r="AH161">
        <v>0</v>
      </c>
      <c r="AK161">
        <f>SUM(W162-W161)</f>
        <v>0</v>
      </c>
      <c r="AL161">
        <f>SUM(K162-K161)</f>
        <v>0</v>
      </c>
    </row>
    <row r="162">
      <c r="C162" t="str">
        <v>Week 4</v>
      </c>
      <c r="F162">
        <f>D162-E162</f>
        <v>0</v>
      </c>
      <c r="G162" t="e">
        <f>F162/D162</f>
        <v>#DIV/0!</v>
      </c>
      <c r="J162">
        <f>SUM(H162-R162)</f>
        <v>0</v>
      </c>
      <c r="K162">
        <f>SUM(I162-S162)</f>
        <v>0</v>
      </c>
      <c r="L162">
        <f>J162-K162</f>
        <v>0</v>
      </c>
      <c r="M162" t="e">
        <f>L162/J162</f>
        <v>#DIV/0!</v>
      </c>
      <c r="T162">
        <f>R162-S162</f>
        <v>0</v>
      </c>
      <c r="U162" t="e">
        <f>T162/R162</f>
        <v>#DIV/0!</v>
      </c>
      <c r="X162">
        <f>V162-W162</f>
        <v>0</v>
      </c>
      <c r="Y162" t="e">
        <f>X162/V162</f>
        <v>#DIV/0!</v>
      </c>
      <c r="AA162" t="e">
        <f>(E162-K162-S162)/W162</f>
        <v>#DIV/0!</v>
      </c>
      <c r="AB162" t="e">
        <f>(D162-J162-R162)/V162</f>
        <v>#DIV/0!</v>
      </c>
      <c r="AC162" t="e">
        <f>(E162-K162-S162)/E162</f>
        <v>#DIV/0!</v>
      </c>
      <c r="AD162" t="e">
        <f>SUM(D162-H162)/D162</f>
        <v>#DIV/0!</v>
      </c>
      <c r="AK162">
        <f>SUM(W163-W162)</f>
        <v>0</v>
      </c>
      <c r="AL162">
        <f>SUM(K163-K162)</f>
        <v>0</v>
      </c>
    </row>
    <row r="163">
      <c r="C163" t="str">
        <v>Week 5</v>
      </c>
      <c r="F163">
        <f>D163-E163</f>
        <v>0</v>
      </c>
      <c r="G163" t="e">
        <f>F163/D163</f>
        <v>#DIV/0!</v>
      </c>
      <c r="J163">
        <f>SUM(H163-R163)</f>
        <v>0</v>
      </c>
      <c r="K163">
        <f>SUM(I163-S163)</f>
        <v>0</v>
      </c>
      <c r="L163">
        <f>J163-K163</f>
        <v>0</v>
      </c>
      <c r="M163" t="e">
        <f>L163/J163</f>
        <v>#DIV/0!</v>
      </c>
      <c r="T163">
        <f>R163-S163</f>
        <v>0</v>
      </c>
      <c r="U163" t="e">
        <f>T163/R163</f>
        <v>#DIV/0!</v>
      </c>
      <c r="X163">
        <f>V163-W163</f>
        <v>0</v>
      </c>
      <c r="Y163" t="e">
        <f>X163/V163</f>
        <v>#DIV/0!</v>
      </c>
      <c r="AA163" t="e">
        <f>(E163-K163-S163)/W163</f>
        <v>#DIV/0!</v>
      </c>
      <c r="AB163" t="e">
        <f>(D163-J163-R163)/V163</f>
        <v>#DIV/0!</v>
      </c>
      <c r="AC163" t="e">
        <f>(E163-K163-S163)/E163</f>
        <v>#DIV/0!</v>
      </c>
      <c r="AD163" t="e">
        <f>SUM(D163-H163)/D163</f>
        <v>#DIV/0!</v>
      </c>
      <c r="AK163">
        <f>SUM(AK158,AK159,AK160,AK161,AK162)</f>
        <v>0</v>
      </c>
      <c r="AL163">
        <f>SUM(AL158,AL159,AL160,AL161,AL162)</f>
        <v>0</v>
      </c>
    </row>
    <row r="165">
      <c r="A165">
        <f>'Main Sheet'!A50</f>
        <v>9240</v>
      </c>
      <c r="B165" t="str">
        <f>'Main Sheet'!B50</f>
        <v>Daves Twizel Shack</v>
      </c>
      <c r="C165" t="str">
        <v>Start of month</v>
      </c>
      <c r="D165">
        <v>300839.52</v>
      </c>
      <c r="E165">
        <v>0</v>
      </c>
      <c r="F165">
        <f>D165-E165</f>
        <v>300839.52</v>
      </c>
      <c r="G165">
        <f>F165/D165</f>
        <v>1</v>
      </c>
      <c r="H165">
        <v>243747.98</v>
      </c>
      <c r="I165">
        <v>70092.2</v>
      </c>
      <c r="J165">
        <f>SUM(H165-R165)</f>
        <v>183229.46000000002</v>
      </c>
      <c r="K165">
        <f>SUM(I165-S165)</f>
        <v>69898.65</v>
      </c>
      <c r="L165">
        <f>J165-K165</f>
        <v>113330.81000000003</v>
      </c>
      <c r="M165">
        <f>L165/J165</f>
        <v>0.6185184958794291</v>
      </c>
      <c r="R165">
        <v>60518.52</v>
      </c>
      <c r="S165">
        <v>193.55</v>
      </c>
      <c r="T165">
        <f>R165-S165</f>
        <v>60324.969999999994</v>
      </c>
      <c r="U165">
        <f>T165/R165</f>
        <v>0.996801805463848</v>
      </c>
      <c r="V165">
        <v>1213</v>
      </c>
      <c r="W165">
        <v>0</v>
      </c>
      <c r="X165">
        <f>V165-W165</f>
        <v>1213</v>
      </c>
      <c r="Y165">
        <f>X165/V165</f>
        <v>1</v>
      </c>
      <c r="AA165" t="e">
        <f>(E165-K165-S165)/W165</f>
        <v>#DIV/0!</v>
      </c>
      <c r="AB165">
        <f>(D165-J165-R165)/V165</f>
        <v>47.066397361912614</v>
      </c>
      <c r="AC165" t="e">
        <f>(E165-K165-S165)/E165</f>
        <v>#DIV/0!</v>
      </c>
      <c r="AD165">
        <f>SUM(D165-H165)/D165</f>
        <v>0.189774069577029</v>
      </c>
      <c r="AG165" t="str">
        <v>Hours calc for monthly claims</v>
      </c>
      <c r="AH165">
        <f>AK170</f>
        <v>0</v>
      </c>
      <c r="AK165">
        <f>SUM(W166-W165)</f>
        <v>3.5</v>
      </c>
      <c r="AL165">
        <f>SUM(K166-K165)</f>
        <v>-10.80000000000291</v>
      </c>
    </row>
    <row r="166">
      <c r="C166" t="str">
        <v>Week 1</v>
      </c>
      <c r="D166">
        <v>300839.52</v>
      </c>
      <c r="E166">
        <v>93431.66</v>
      </c>
      <c r="F166">
        <f>D166-E166</f>
        <v>207407.86000000002</v>
      </c>
      <c r="G166">
        <f>F166/D166</f>
        <v>0.6894302317727405</v>
      </c>
      <c r="H166">
        <v>243747.98</v>
      </c>
      <c r="I166">
        <v>70081.4</v>
      </c>
      <c r="J166">
        <f>SUM(H166-R166)</f>
        <v>183229.46000000002</v>
      </c>
      <c r="K166">
        <f>SUM(I166-S166)</f>
        <v>69887.84999999999</v>
      </c>
      <c r="L166">
        <f>J166-K166</f>
        <v>113341.61000000003</v>
      </c>
      <c r="M166">
        <f>L166/J166</f>
        <v>0.6185774383660795</v>
      </c>
      <c r="R166">
        <v>60518.52</v>
      </c>
      <c r="S166">
        <v>193.55</v>
      </c>
      <c r="T166">
        <f>R166-S166</f>
        <v>60324.969999999994</v>
      </c>
      <c r="U166">
        <f>T166/R166</f>
        <v>0.996801805463848</v>
      </c>
      <c r="V166">
        <v>1213.28</v>
      </c>
      <c r="W166">
        <v>3.5</v>
      </c>
      <c r="X166">
        <f>V166-W166</f>
        <v>1209.78</v>
      </c>
      <c r="Y166">
        <f>X166/V166</f>
        <v>0.9971152578135303</v>
      </c>
      <c r="AA166">
        <f>(E166-K166-S166)/W166</f>
        <v>6671.502857142861</v>
      </c>
      <c r="AB166">
        <f>(D166-J166-R166)/V166</f>
        <v>47.05553540814981</v>
      </c>
      <c r="AC166">
        <f>(E166-K166-S166)/E166</f>
        <v>0.24991806845773704</v>
      </c>
      <c r="AD166">
        <f>SUM(D166-H166)/D166</f>
        <v>0.189774069577029</v>
      </c>
      <c r="AG166" t="str">
        <v>Materials calc for monthly claims</v>
      </c>
      <c r="AH166">
        <f>AL170</f>
        <v>-69898.65</v>
      </c>
      <c r="AK166">
        <f>SUM(W167-W166)</f>
        <v>-3.5</v>
      </c>
      <c r="AL166">
        <f>SUM(K167-K166)</f>
        <v>-69887.84999999999</v>
      </c>
    </row>
    <row r="167">
      <c r="C167" t="str">
        <v>Week 2</v>
      </c>
      <c r="D167">
        <v>0</v>
      </c>
      <c r="E167">
        <v>0</v>
      </c>
      <c r="F167">
        <f>D167-E167</f>
        <v>0</v>
      </c>
      <c r="G167" t="e">
        <f>F167/D167</f>
        <v>#DIV/0!</v>
      </c>
      <c r="H167">
        <v>0</v>
      </c>
      <c r="I167">
        <v>0</v>
      </c>
      <c r="J167">
        <f>SUM(H167-R167)</f>
        <v>0</v>
      </c>
      <c r="K167">
        <f>SUM(I167-S167)</f>
        <v>0</v>
      </c>
      <c r="L167">
        <f>J167-K167</f>
        <v>0</v>
      </c>
      <c r="M167" t="e">
        <f>L167/J167</f>
        <v>#DIV/0!</v>
      </c>
      <c r="R167">
        <v>0</v>
      </c>
      <c r="S167">
        <v>0</v>
      </c>
      <c r="T167">
        <f>R167-S167</f>
        <v>0</v>
      </c>
      <c r="U167" t="e">
        <f>T167/R167</f>
        <v>#DIV/0!</v>
      </c>
      <c r="V167">
        <v>0</v>
      </c>
      <c r="W167">
        <v>0</v>
      </c>
      <c r="X167">
        <f>V167-W167</f>
        <v>0</v>
      </c>
      <c r="Y167" t="e">
        <f>X167/V167</f>
        <v>#DIV/0!</v>
      </c>
      <c r="AA167" t="e">
        <f>(E167-K167-S167)/W167</f>
        <v>#DIV/0!</v>
      </c>
      <c r="AB167" t="e">
        <f>(D167-J167-R167)/V167</f>
        <v>#DIV/0!</v>
      </c>
      <c r="AC167" t="e">
        <f>(E167-K167-S167)/E167</f>
        <v>#DIV/0!</v>
      </c>
      <c r="AD167" t="e">
        <f>SUM(D167-H167)/D167</f>
        <v>#DIV/0!</v>
      </c>
      <c r="AK167">
        <f>SUM(W168-W167)</f>
        <v>0</v>
      </c>
      <c r="AL167">
        <f>SUM(K168-K167)</f>
        <v>0</v>
      </c>
    </row>
    <row r="168">
      <c r="C168" t="str">
        <v>Week 3</v>
      </c>
      <c r="D168">
        <v>0</v>
      </c>
      <c r="E168">
        <v>0</v>
      </c>
      <c r="F168">
        <f>D168-E168</f>
        <v>0</v>
      </c>
      <c r="G168" t="e">
        <f>F168/D168</f>
        <v>#DIV/0!</v>
      </c>
      <c r="H168">
        <v>0</v>
      </c>
      <c r="I168">
        <v>0</v>
      </c>
      <c r="J168">
        <f>SUM(H168-R168)</f>
        <v>0</v>
      </c>
      <c r="K168">
        <f>SUM(I168-S168)</f>
        <v>0</v>
      </c>
      <c r="L168">
        <f>J168-K168</f>
        <v>0</v>
      </c>
      <c r="M168" t="e">
        <f>L168/J168</f>
        <v>#DIV/0!</v>
      </c>
      <c r="R168">
        <v>0</v>
      </c>
      <c r="S168">
        <v>0</v>
      </c>
      <c r="T168">
        <f>R168-S168</f>
        <v>0</v>
      </c>
      <c r="U168" t="e">
        <f>T168/R168</f>
        <v>#DIV/0!</v>
      </c>
      <c r="V168">
        <v>0</v>
      </c>
      <c r="W168">
        <v>0</v>
      </c>
      <c r="X168">
        <f>V168-W168</f>
        <v>0</v>
      </c>
      <c r="Y168" t="e">
        <f>X168/V168</f>
        <v>#DIV/0!</v>
      </c>
      <c r="AA168" t="e">
        <f>(E168-K168-S168)/W168</f>
        <v>#DIV/0!</v>
      </c>
      <c r="AB168" t="e">
        <f>(D168-J168-R168)/V168</f>
        <v>#DIV/0!</v>
      </c>
      <c r="AC168" t="e">
        <f>(E168-K168-S168)/E168</f>
        <v>#DIV/0!</v>
      </c>
      <c r="AD168" t="e">
        <f>SUM(D168-H168)/D168</f>
        <v>#DIV/0!</v>
      </c>
      <c r="AG168" t="str">
        <v>Estimated months claim</v>
      </c>
      <c r="AH168">
        <v>0</v>
      </c>
      <c r="AK168">
        <f>SUM(W169-W168)</f>
        <v>0</v>
      </c>
      <c r="AL168">
        <f>SUM(K169-K168)</f>
        <v>0</v>
      </c>
    </row>
    <row r="169">
      <c r="C169" t="str">
        <v>Week 4</v>
      </c>
      <c r="D169">
        <v>0</v>
      </c>
      <c r="E169">
        <v>0</v>
      </c>
      <c r="F169">
        <f>D169-E169</f>
        <v>0</v>
      </c>
      <c r="G169" t="e">
        <f>F169/D169</f>
        <v>#DIV/0!</v>
      </c>
      <c r="H169">
        <v>0</v>
      </c>
      <c r="I169">
        <v>0</v>
      </c>
      <c r="J169">
        <f>SUM(H169-R169)</f>
        <v>0</v>
      </c>
      <c r="K169">
        <f>SUM(I169-S169)</f>
        <v>0</v>
      </c>
      <c r="L169">
        <f>J169-K169</f>
        <v>0</v>
      </c>
      <c r="M169" t="e">
        <f>L169/J169</f>
        <v>#DIV/0!</v>
      </c>
      <c r="R169">
        <v>0</v>
      </c>
      <c r="S169">
        <v>0</v>
      </c>
      <c r="T169">
        <f>R169-S169</f>
        <v>0</v>
      </c>
      <c r="U169" t="e">
        <f>T169/R169</f>
        <v>#DIV/0!</v>
      </c>
      <c r="V169">
        <v>0</v>
      </c>
      <c r="W169">
        <v>0</v>
      </c>
      <c r="X169">
        <f>V169-W169</f>
        <v>0</v>
      </c>
      <c r="Y169" t="e">
        <f>X169/V169</f>
        <v>#DIV/0!</v>
      </c>
      <c r="AA169" t="e">
        <f>(E169-K169-S169)/W169</f>
        <v>#DIV/0!</v>
      </c>
      <c r="AB169" t="e">
        <f>(D169-J169-R169)/V169</f>
        <v>#DIV/0!</v>
      </c>
      <c r="AC169" t="e">
        <f>(E169-K169-S169)/E169</f>
        <v>#DIV/0!</v>
      </c>
      <c r="AD169" t="e">
        <f>SUM(D169-H169)/D169</f>
        <v>#DIV/0!</v>
      </c>
      <c r="AK169">
        <f>SUM(W170-W169)</f>
        <v>0</v>
      </c>
      <c r="AL169">
        <f>SUM(K170-K169)</f>
        <v>0</v>
      </c>
    </row>
    <row r="170">
      <c r="C170" t="str">
        <v>Week 5</v>
      </c>
      <c r="D170">
        <v>0</v>
      </c>
      <c r="E170">
        <v>0</v>
      </c>
      <c r="F170">
        <f>D170-E170</f>
        <v>0</v>
      </c>
      <c r="G170" t="e">
        <f>F170/D170</f>
        <v>#DIV/0!</v>
      </c>
      <c r="H170">
        <v>0</v>
      </c>
      <c r="I170">
        <v>0</v>
      </c>
      <c r="J170">
        <f>SUM(H170-R170)</f>
        <v>0</v>
      </c>
      <c r="K170">
        <f>SUM(I170-S170)</f>
        <v>0</v>
      </c>
      <c r="L170">
        <f>J170-K170</f>
        <v>0</v>
      </c>
      <c r="M170" t="e">
        <f>L170/J170</f>
        <v>#DIV/0!</v>
      </c>
      <c r="R170">
        <v>0</v>
      </c>
      <c r="S170">
        <v>0</v>
      </c>
      <c r="T170">
        <f>R170-S170</f>
        <v>0</v>
      </c>
      <c r="U170" t="e">
        <f>T170/R170</f>
        <v>#DIV/0!</v>
      </c>
      <c r="V170">
        <v>0</v>
      </c>
      <c r="W170">
        <v>0</v>
      </c>
      <c r="X170">
        <f>V170-W170</f>
        <v>0</v>
      </c>
      <c r="Y170" t="e">
        <f>X170/V170</f>
        <v>#DIV/0!</v>
      </c>
      <c r="AA170" t="e">
        <f>(E170-K170-S170)/W170</f>
        <v>#DIV/0!</v>
      </c>
      <c r="AB170" t="e">
        <f>(D170-J170-R170)/V170</f>
        <v>#DIV/0!</v>
      </c>
      <c r="AC170" t="e">
        <f>(E170-K170-S170)/E170</f>
        <v>#DIV/0!</v>
      </c>
      <c r="AD170" t="e">
        <f>SUM(D170-H170)/D170</f>
        <v>#DIV/0!</v>
      </c>
      <c r="AK170">
        <f>SUM(AK165,AK166,AK167,AK168,AK169)</f>
        <v>0</v>
      </c>
      <c r="AL170">
        <f>SUM(AL165,AL166,AL167,AL168,AL169)</f>
        <v>-69898.65</v>
      </c>
    </row>
    <row r="172">
      <c r="A172">
        <f>'Main Sheet'!A52</f>
        <v>7428</v>
      </c>
      <c r="B172" t="str">
        <f>'Main Sheet'!B52</f>
        <v>FAB Pegasus Lakeside</v>
      </c>
      <c r="C172" t="str">
        <v>Start of month</v>
      </c>
      <c r="D172">
        <v>58426.32</v>
      </c>
      <c r="E172">
        <v>0</v>
      </c>
      <c r="F172">
        <f>D172-E172</f>
        <v>58426.32</v>
      </c>
      <c r="G172">
        <f>F172/D172</f>
        <v>1</v>
      </c>
      <c r="H172">
        <v>44815.36</v>
      </c>
      <c r="I172">
        <v>0</v>
      </c>
      <c r="J172">
        <v>0</v>
      </c>
      <c r="K172">
        <v>0</v>
      </c>
      <c r="L172">
        <f>J172-K172</f>
        <v>0</v>
      </c>
      <c r="M172" t="e">
        <f>L172/J172</f>
        <v>#DIV/0!</v>
      </c>
      <c r="R172">
        <v>19242.55</v>
      </c>
      <c r="S172">
        <v>0</v>
      </c>
      <c r="T172">
        <f>R172-S172</f>
        <v>19242.55</v>
      </c>
      <c r="U172">
        <f>T172/R172</f>
        <v>1</v>
      </c>
      <c r="V172">
        <v>385.7</v>
      </c>
      <c r="W172">
        <v>0</v>
      </c>
      <c r="X172">
        <f>V172-W172</f>
        <v>385.7</v>
      </c>
      <c r="Y172">
        <f>X172/V172</f>
        <v>1</v>
      </c>
      <c r="AA172" t="e">
        <f>(E172-K172-S172)/W172</f>
        <v>#DIV/0!</v>
      </c>
      <c r="AB172">
        <f>(D172-J172-R172)/V172</f>
        <v>101.59131449312939</v>
      </c>
      <c r="AC172" t="e">
        <f>(E172-K172-S172)/E172</f>
        <v>#DIV/0!</v>
      </c>
      <c r="AD172">
        <f>SUM(D172-H172)/D172</f>
        <v>0.23295939227389298</v>
      </c>
      <c r="AG172" t="str">
        <v>Hours calc for monthly claims</v>
      </c>
      <c r="AH172">
        <f>AK177</f>
        <v>0</v>
      </c>
      <c r="AK172">
        <f>SUM(W173-W172)</f>
        <v>0</v>
      </c>
      <c r="AL172">
        <f>SUM(K173-K172)</f>
        <v>0</v>
      </c>
    </row>
    <row r="173">
      <c r="C173" t="str">
        <v>Week 1</v>
      </c>
      <c r="D173">
        <v>58426.32</v>
      </c>
      <c r="E173">
        <v>0</v>
      </c>
      <c r="F173">
        <v>0</v>
      </c>
      <c r="G173">
        <f>F173/D173</f>
        <v>0</v>
      </c>
      <c r="H173">
        <v>44815.36</v>
      </c>
      <c r="I173">
        <v>0</v>
      </c>
      <c r="J173">
        <v>0</v>
      </c>
      <c r="K173">
        <v>0</v>
      </c>
      <c r="L173">
        <f>J173-K173</f>
        <v>0</v>
      </c>
      <c r="M173" t="e">
        <f>L173/J173</f>
        <v>#DIV/0!</v>
      </c>
      <c r="R173">
        <v>19242.55</v>
      </c>
      <c r="S173">
        <v>0</v>
      </c>
      <c r="T173">
        <f>R173-S173</f>
        <v>19242.55</v>
      </c>
      <c r="U173">
        <f>T173/R173</f>
        <v>1</v>
      </c>
      <c r="V173">
        <v>385.7</v>
      </c>
      <c r="W173">
        <v>0</v>
      </c>
      <c r="X173">
        <f>V173-W173</f>
        <v>385.7</v>
      </c>
      <c r="Y173">
        <f>X173/V173</f>
        <v>1</v>
      </c>
      <c r="AA173" t="e">
        <f>(E173-K173-S173)/W173</f>
        <v>#DIV/0!</v>
      </c>
      <c r="AB173">
        <f>(D173-J173-R173)/V173</f>
        <v>101.59131449312939</v>
      </c>
      <c r="AC173" t="e">
        <f>(E173-K173-S173)/E173</f>
        <v>#DIV/0!</v>
      </c>
      <c r="AD173">
        <f>SUM(D173-H173)/D173</f>
        <v>0.23295939227389298</v>
      </c>
      <c r="AG173" t="str">
        <v>Materials calc for monthly claims</v>
      </c>
      <c r="AH173">
        <f>AL177</f>
        <v>0</v>
      </c>
      <c r="AK173">
        <f>SUM(W174-W173)</f>
        <v>0</v>
      </c>
      <c r="AL173">
        <f>SUM(K174-K173)</f>
        <v>0</v>
      </c>
    </row>
    <row r="174">
      <c r="C174" t="str">
        <v>Week 2</v>
      </c>
      <c r="D174">
        <v>0</v>
      </c>
      <c r="E174">
        <v>0</v>
      </c>
      <c r="F174">
        <f>D174-E174</f>
        <v>0</v>
      </c>
      <c r="G174" t="e">
        <f>F174/D174</f>
        <v>#DIV/0!</v>
      </c>
      <c r="H174">
        <v>0</v>
      </c>
      <c r="I174">
        <v>0</v>
      </c>
      <c r="J174">
        <f>SUM(H174-R174)</f>
        <v>0</v>
      </c>
      <c r="K174">
        <f>SUM(I174-S174)</f>
        <v>0</v>
      </c>
      <c r="L174">
        <f>J174-K174</f>
        <v>0</v>
      </c>
      <c r="M174" t="e">
        <f>L174/J174</f>
        <v>#DIV/0!</v>
      </c>
      <c r="R174">
        <v>0</v>
      </c>
      <c r="S174">
        <v>0</v>
      </c>
      <c r="T174">
        <f>R174-S174</f>
        <v>0</v>
      </c>
      <c r="U174" t="e">
        <f>T174/R174</f>
        <v>#DIV/0!</v>
      </c>
      <c r="V174">
        <v>0</v>
      </c>
      <c r="W174">
        <v>0</v>
      </c>
      <c r="X174">
        <f>V174-W174</f>
        <v>0</v>
      </c>
      <c r="Y174" t="e">
        <f>X174/V174</f>
        <v>#DIV/0!</v>
      </c>
      <c r="AA174" t="e">
        <f>(E174-K174-S174)/W174</f>
        <v>#DIV/0!</v>
      </c>
      <c r="AB174" t="e">
        <f>(D174-J174-R174)/V174</f>
        <v>#DIV/0!</v>
      </c>
      <c r="AC174" t="e">
        <f>(E174-K174-S174)/E174</f>
        <v>#DIV/0!</v>
      </c>
      <c r="AD174" t="e">
        <f>SUM(D174-H174)/D174</f>
        <v>#DIV/0!</v>
      </c>
      <c r="AK174">
        <f>SUM(W175-W174)</f>
        <v>0</v>
      </c>
      <c r="AL174">
        <f>SUM(K175-K174)</f>
        <v>0</v>
      </c>
    </row>
    <row r="175">
      <c r="C175" t="str">
        <v>Week 3</v>
      </c>
      <c r="D175">
        <v>0</v>
      </c>
      <c r="E175">
        <v>0</v>
      </c>
      <c r="F175">
        <f>D175-E175</f>
        <v>0</v>
      </c>
      <c r="G175" t="e">
        <f>F175/D175</f>
        <v>#DIV/0!</v>
      </c>
      <c r="H175">
        <v>0</v>
      </c>
      <c r="I175">
        <v>0</v>
      </c>
      <c r="J175">
        <f>SUM(H175-R175)</f>
        <v>0</v>
      </c>
      <c r="K175">
        <f>SUM(I175-S175)</f>
        <v>0</v>
      </c>
      <c r="L175">
        <f>J175-K175</f>
        <v>0</v>
      </c>
      <c r="M175" t="e">
        <f>L175/J175</f>
        <v>#DIV/0!</v>
      </c>
      <c r="R175">
        <v>0</v>
      </c>
      <c r="S175">
        <v>0</v>
      </c>
      <c r="T175">
        <f>R175-S175</f>
        <v>0</v>
      </c>
      <c r="U175" t="e">
        <f>T175/R175</f>
        <v>#DIV/0!</v>
      </c>
      <c r="V175">
        <v>0</v>
      </c>
      <c r="W175">
        <v>0</v>
      </c>
      <c r="X175">
        <f>V175-W175</f>
        <v>0</v>
      </c>
      <c r="Y175" t="e">
        <f>X175/V175</f>
        <v>#DIV/0!</v>
      </c>
      <c r="AA175" t="e">
        <f>(E175-K175-S175)/W175</f>
        <v>#DIV/0!</v>
      </c>
      <c r="AB175" t="e">
        <f>(D175-J175-R175)/V175</f>
        <v>#DIV/0!</v>
      </c>
      <c r="AC175" t="e">
        <f>(E175-K175-S175)/E175</f>
        <v>#DIV/0!</v>
      </c>
      <c r="AD175" t="e">
        <f>SUM(D175-H175)/D175</f>
        <v>#DIV/0!</v>
      </c>
      <c r="AG175" t="str">
        <v>Estimated months claim</v>
      </c>
      <c r="AH175">
        <v>0</v>
      </c>
      <c r="AK175">
        <f>SUM(W176-W175)</f>
        <v>0</v>
      </c>
      <c r="AL175">
        <f>SUM(K176-K175)</f>
        <v>0</v>
      </c>
    </row>
    <row r="176">
      <c r="C176" t="str">
        <v>Week 4</v>
      </c>
      <c r="D176">
        <v>0</v>
      </c>
      <c r="E176">
        <v>0</v>
      </c>
      <c r="F176">
        <f>D176-E176</f>
        <v>0</v>
      </c>
      <c r="G176" t="e">
        <f>F176/D176</f>
        <v>#DIV/0!</v>
      </c>
      <c r="H176">
        <v>0</v>
      </c>
      <c r="I176">
        <v>0</v>
      </c>
      <c r="J176">
        <f>SUM(H176-R176)</f>
        <v>0</v>
      </c>
      <c r="K176">
        <f>SUM(I176-S176)</f>
        <v>0</v>
      </c>
      <c r="L176">
        <f>J176-K176</f>
        <v>0</v>
      </c>
      <c r="M176" t="e">
        <f>L176/J176</f>
        <v>#DIV/0!</v>
      </c>
      <c r="R176">
        <v>0</v>
      </c>
      <c r="S176">
        <v>0</v>
      </c>
      <c r="T176">
        <f>R176-S176</f>
        <v>0</v>
      </c>
      <c r="U176" t="e">
        <f>T176/R176</f>
        <v>#DIV/0!</v>
      </c>
      <c r="V176">
        <v>0</v>
      </c>
      <c r="W176">
        <v>0</v>
      </c>
      <c r="X176">
        <f>V176-W176</f>
        <v>0</v>
      </c>
      <c r="Y176" t="e">
        <f>X176/V176</f>
        <v>#DIV/0!</v>
      </c>
      <c r="AA176" t="e">
        <f>(E176-K176-S176)/W176</f>
        <v>#DIV/0!</v>
      </c>
      <c r="AB176" t="e">
        <f>(D176-J176-R176)/V176</f>
        <v>#DIV/0!</v>
      </c>
      <c r="AC176" t="e">
        <f>(E176-K176-S176)/E176</f>
        <v>#DIV/0!</v>
      </c>
      <c r="AD176" t="e">
        <f>SUM(D176-H176)/D176</f>
        <v>#DIV/0!</v>
      </c>
      <c r="AK176">
        <f>SUM(W177-W176)</f>
        <v>0</v>
      </c>
      <c r="AL176">
        <f>SUM(K177-K176)</f>
        <v>0</v>
      </c>
    </row>
    <row r="177">
      <c r="C177" t="str">
        <v>Week 5</v>
      </c>
      <c r="D177">
        <v>0</v>
      </c>
      <c r="E177">
        <v>0</v>
      </c>
      <c r="F177">
        <f>D177-E177</f>
        <v>0</v>
      </c>
      <c r="G177" t="e">
        <f>F177/D177</f>
        <v>#DIV/0!</v>
      </c>
      <c r="H177">
        <v>0</v>
      </c>
      <c r="I177">
        <v>0</v>
      </c>
      <c r="J177">
        <f>SUM(H177-R177)</f>
        <v>0</v>
      </c>
      <c r="K177">
        <f>SUM(I177-S177)</f>
        <v>0</v>
      </c>
      <c r="L177">
        <f>J177-K177</f>
        <v>0</v>
      </c>
      <c r="M177" t="e">
        <f>L177/J177</f>
        <v>#DIV/0!</v>
      </c>
      <c r="R177">
        <v>0</v>
      </c>
      <c r="S177">
        <v>0</v>
      </c>
      <c r="T177">
        <f>R177-S177</f>
        <v>0</v>
      </c>
      <c r="U177" t="e">
        <f>T177/R177</f>
        <v>#DIV/0!</v>
      </c>
      <c r="V177">
        <v>0</v>
      </c>
      <c r="W177">
        <v>0</v>
      </c>
      <c r="X177">
        <f>V177-W177</f>
        <v>0</v>
      </c>
      <c r="Y177" t="e">
        <f>X177/V177</f>
        <v>#DIV/0!</v>
      </c>
      <c r="AA177" t="e">
        <f>(E177-K177-S177)/W177</f>
        <v>#DIV/0!</v>
      </c>
      <c r="AB177" t="e">
        <f>(D177-J177-R177)/V177</f>
        <v>#DIV/0!</v>
      </c>
      <c r="AC177" t="e">
        <f>(E177-K177-S177)/E177</f>
        <v>#DIV/0!</v>
      </c>
      <c r="AD177" t="e">
        <f>SUM(D177-H177)/D177</f>
        <v>#DIV/0!</v>
      </c>
      <c r="AK177">
        <f>SUM(AK172,AK173,AK174,AK175,AK176)</f>
        <v>0</v>
      </c>
      <c r="AL177">
        <f>SUM(AL172,AL173,AL174,AL175,AL176)</f>
        <v>0</v>
      </c>
    </row>
    <row r="179">
      <c r="A179">
        <f>'Main Sheet'!A54</f>
        <v>9351</v>
      </c>
      <c r="B179" t="str">
        <f>'Main Sheet'!B54</f>
        <v>Harewood Golf Club</v>
      </c>
      <c r="C179" t="str">
        <v>Start of month</v>
      </c>
      <c r="D179">
        <v>18080.64</v>
      </c>
      <c r="E179">
        <v>0</v>
      </c>
      <c r="F179">
        <f>D179-E179</f>
        <v>18080.64</v>
      </c>
      <c r="G179">
        <f>F179/D179</f>
        <v>1</v>
      </c>
      <c r="H179">
        <v>13540.24</v>
      </c>
      <c r="I179">
        <v>0</v>
      </c>
      <c r="J179">
        <v>0</v>
      </c>
      <c r="K179">
        <v>0</v>
      </c>
      <c r="L179">
        <f>J179-K179</f>
        <v>0</v>
      </c>
      <c r="M179" t="e">
        <f>L179/J179</f>
        <v>#DIV/0!</v>
      </c>
      <c r="R179">
        <v>5455.24</v>
      </c>
      <c r="S179">
        <v>0</v>
      </c>
      <c r="T179">
        <f>R179-S179</f>
        <v>5455.24</v>
      </c>
      <c r="U179">
        <f>T179/R179</f>
        <v>1</v>
      </c>
      <c r="V179">
        <v>109.34</v>
      </c>
      <c r="W179">
        <v>0</v>
      </c>
      <c r="X179">
        <f>V179-W179</f>
        <v>109.34</v>
      </c>
      <c r="Y179">
        <f>X179/V179</f>
        <v>1</v>
      </c>
      <c r="AA179" t="e">
        <f>(E179-K179-S179)/W179</f>
        <v>#DIV/0!</v>
      </c>
      <c r="AB179">
        <f>(D179-J179-R179)/V179</f>
        <v>115.46917870861532</v>
      </c>
      <c r="AC179" t="e">
        <f>(E179-K179-S179)/E179</f>
        <v>#DIV/0!</v>
      </c>
      <c r="AD179">
        <f>SUM(D179-H179)/D179</f>
        <v>0.2511194294007292</v>
      </c>
      <c r="AG179" t="str">
        <v>Hours calc for monthly claims</v>
      </c>
      <c r="AH179">
        <f>AK184</f>
        <v>0</v>
      </c>
      <c r="AK179">
        <f>SUM(W180-W179)</f>
        <v>0</v>
      </c>
      <c r="AL179">
        <f>SUM(K180-K179)</f>
        <v>0</v>
      </c>
    </row>
    <row r="180">
      <c r="C180" t="str">
        <v>Week 1</v>
      </c>
      <c r="D180">
        <v>18080.64</v>
      </c>
      <c r="E180">
        <v>0</v>
      </c>
      <c r="F180">
        <v>0</v>
      </c>
      <c r="G180">
        <f>F180/D180</f>
        <v>0</v>
      </c>
      <c r="H180">
        <v>13540.24</v>
      </c>
      <c r="I180">
        <v>0</v>
      </c>
      <c r="J180">
        <v>0</v>
      </c>
      <c r="K180">
        <v>0</v>
      </c>
      <c r="L180">
        <f>J180-K180</f>
        <v>0</v>
      </c>
      <c r="M180" t="e">
        <f>L180/J180</f>
        <v>#DIV/0!</v>
      </c>
      <c r="R180">
        <v>5455.24</v>
      </c>
      <c r="S180">
        <v>0</v>
      </c>
      <c r="T180">
        <f>R180-S180</f>
        <v>5455.24</v>
      </c>
      <c r="U180">
        <f>T180/R180</f>
        <v>1</v>
      </c>
      <c r="V180">
        <v>109.34</v>
      </c>
      <c r="W180">
        <v>0</v>
      </c>
      <c r="X180">
        <f>V180-W180</f>
        <v>109.34</v>
      </c>
      <c r="Y180">
        <f>X180/V180</f>
        <v>1</v>
      </c>
      <c r="AA180" t="e">
        <f>(E180-K180-S180)/W180</f>
        <v>#DIV/0!</v>
      </c>
      <c r="AB180">
        <f>(D180-J180-R180)/V180</f>
        <v>115.46917870861532</v>
      </c>
      <c r="AC180" t="e">
        <f>(E180-K180-S180)/E180</f>
        <v>#DIV/0!</v>
      </c>
      <c r="AD180">
        <f>SUM(D180-H180)/D180</f>
        <v>0.2511194294007292</v>
      </c>
      <c r="AG180" t="str">
        <v>Materials calc for monthly claims</v>
      </c>
      <c r="AH180">
        <f>AL184</f>
        <v>0</v>
      </c>
      <c r="AK180">
        <f>SUM(W181-W180)</f>
        <v>0</v>
      </c>
      <c r="AL180">
        <f>SUM(K181-K180)</f>
        <v>0</v>
      </c>
    </row>
    <row r="181">
      <c r="C181" t="str">
        <v>Week 2</v>
      </c>
      <c r="D181">
        <v>0</v>
      </c>
      <c r="E181">
        <v>0</v>
      </c>
      <c r="F181">
        <f>D181-E181</f>
        <v>0</v>
      </c>
      <c r="G181" t="e">
        <f>F181/D181</f>
        <v>#DIV/0!</v>
      </c>
      <c r="H181">
        <v>0</v>
      </c>
      <c r="I181">
        <v>0</v>
      </c>
      <c r="J181">
        <f>SUM(H181-R181)</f>
        <v>0</v>
      </c>
      <c r="K181">
        <f>SUM(I181-S181)</f>
        <v>0</v>
      </c>
      <c r="L181">
        <f>J181-K181</f>
        <v>0</v>
      </c>
      <c r="M181" t="e">
        <f>L181/J181</f>
        <v>#DIV/0!</v>
      </c>
      <c r="R181">
        <v>0</v>
      </c>
      <c r="S181">
        <v>0</v>
      </c>
      <c r="T181">
        <f>R181-S181</f>
        <v>0</v>
      </c>
      <c r="U181" t="e">
        <f>T181/R181</f>
        <v>#DIV/0!</v>
      </c>
      <c r="V181">
        <v>0</v>
      </c>
      <c r="W181">
        <v>0</v>
      </c>
      <c r="X181">
        <f>V181-W181</f>
        <v>0</v>
      </c>
      <c r="Y181" t="e">
        <f>X181/V181</f>
        <v>#DIV/0!</v>
      </c>
      <c r="AA181" t="e">
        <f>(E181-K181-S181)/W181</f>
        <v>#DIV/0!</v>
      </c>
      <c r="AB181" t="e">
        <f>(D181-J181-R181)/V181</f>
        <v>#DIV/0!</v>
      </c>
      <c r="AC181" t="e">
        <f>(E181-K181-S181)/E181</f>
        <v>#DIV/0!</v>
      </c>
      <c r="AD181" t="e">
        <f>SUM(D181-H181)/D181</f>
        <v>#DIV/0!</v>
      </c>
      <c r="AK181">
        <f>SUM(W182-W181)</f>
        <v>0</v>
      </c>
      <c r="AL181">
        <f>SUM(K182-K181)</f>
        <v>0</v>
      </c>
    </row>
    <row r="182">
      <c r="C182" t="str">
        <v>Week 3</v>
      </c>
      <c r="D182">
        <v>0</v>
      </c>
      <c r="E182">
        <v>0</v>
      </c>
      <c r="F182">
        <f>D182-E182</f>
        <v>0</v>
      </c>
      <c r="G182" t="e">
        <f>F182/D182</f>
        <v>#DIV/0!</v>
      </c>
      <c r="H182">
        <v>0</v>
      </c>
      <c r="I182">
        <v>0</v>
      </c>
      <c r="J182">
        <f>SUM(H182-R182)</f>
        <v>0</v>
      </c>
      <c r="K182">
        <f>SUM(I182-S182)</f>
        <v>0</v>
      </c>
      <c r="L182">
        <f>J182-K182</f>
        <v>0</v>
      </c>
      <c r="M182" t="e">
        <f>L182/J182</f>
        <v>#DIV/0!</v>
      </c>
      <c r="R182">
        <v>0</v>
      </c>
      <c r="S182">
        <v>0</v>
      </c>
      <c r="T182">
        <f>R182-S182</f>
        <v>0</v>
      </c>
      <c r="U182" t="e">
        <f>T182/R182</f>
        <v>#DIV/0!</v>
      </c>
      <c r="V182">
        <v>0</v>
      </c>
      <c r="W182">
        <v>0</v>
      </c>
      <c r="X182">
        <f>V182-W182</f>
        <v>0</v>
      </c>
      <c r="Y182" t="e">
        <f>X182/V182</f>
        <v>#DIV/0!</v>
      </c>
      <c r="AA182" t="e">
        <f>(E182-K182-S182)/W182</f>
        <v>#DIV/0!</v>
      </c>
      <c r="AB182" t="e">
        <f>(D182-J182-R182)/V182</f>
        <v>#DIV/0!</v>
      </c>
      <c r="AC182" t="e">
        <f>(E182-K182-S182)/E182</f>
        <v>#DIV/0!</v>
      </c>
      <c r="AD182" t="e">
        <f>SUM(D182-H182)/D182</f>
        <v>#DIV/0!</v>
      </c>
      <c r="AG182" t="str">
        <v>Estimated months claim</v>
      </c>
      <c r="AH182">
        <v>0</v>
      </c>
      <c r="AK182">
        <f>SUM(W183-W182)</f>
        <v>0</v>
      </c>
      <c r="AL182">
        <f>SUM(K183-K182)</f>
        <v>0</v>
      </c>
    </row>
    <row r="183">
      <c r="C183" t="str">
        <v>Week 4</v>
      </c>
      <c r="D183">
        <v>0</v>
      </c>
      <c r="E183">
        <v>0</v>
      </c>
      <c r="F183">
        <f>D183-E183</f>
        <v>0</v>
      </c>
      <c r="G183" t="e">
        <f>F183/D183</f>
        <v>#DIV/0!</v>
      </c>
      <c r="H183">
        <v>0</v>
      </c>
      <c r="I183">
        <v>0</v>
      </c>
      <c r="J183">
        <f>SUM(H183-R183)</f>
        <v>0</v>
      </c>
      <c r="K183">
        <f>SUM(I183-S183)</f>
        <v>0</v>
      </c>
      <c r="L183">
        <f>J183-K183</f>
        <v>0</v>
      </c>
      <c r="M183" t="e">
        <f>L183/J183</f>
        <v>#DIV/0!</v>
      </c>
      <c r="R183">
        <v>0</v>
      </c>
      <c r="S183">
        <v>0</v>
      </c>
      <c r="T183">
        <f>R183-S183</f>
        <v>0</v>
      </c>
      <c r="U183" t="e">
        <f>T183/R183</f>
        <v>#DIV/0!</v>
      </c>
      <c r="V183">
        <v>0</v>
      </c>
      <c r="W183">
        <v>0</v>
      </c>
      <c r="X183">
        <f>V183-W183</f>
        <v>0</v>
      </c>
      <c r="Y183" t="e">
        <f>X183/V183</f>
        <v>#DIV/0!</v>
      </c>
      <c r="AA183" t="e">
        <f>(E183-K183-S183)/W183</f>
        <v>#DIV/0!</v>
      </c>
      <c r="AB183" t="e">
        <f>(D183-J183-R183)/V183</f>
        <v>#DIV/0!</v>
      </c>
      <c r="AC183" t="e">
        <f>(E183-K183-S183)/E183</f>
        <v>#DIV/0!</v>
      </c>
      <c r="AD183" t="e">
        <f>SUM(D183-H183)/D183</f>
        <v>#DIV/0!</v>
      </c>
      <c r="AK183">
        <f>SUM(W184-W183)</f>
        <v>0</v>
      </c>
      <c r="AL183">
        <f>SUM(K184-K183)</f>
        <v>0</v>
      </c>
    </row>
    <row r="184">
      <c r="C184" t="str">
        <v>Week 5</v>
      </c>
      <c r="D184">
        <v>0</v>
      </c>
      <c r="E184">
        <v>0</v>
      </c>
      <c r="F184">
        <f>D184-E184</f>
        <v>0</v>
      </c>
      <c r="G184" t="e">
        <f>F184/D184</f>
        <v>#DIV/0!</v>
      </c>
      <c r="H184">
        <v>0</v>
      </c>
      <c r="I184">
        <v>0</v>
      </c>
      <c r="J184">
        <f>SUM(H184-R184)</f>
        <v>0</v>
      </c>
      <c r="K184">
        <f>SUM(I184-S184)</f>
        <v>0</v>
      </c>
      <c r="L184">
        <f>J184-K184</f>
        <v>0</v>
      </c>
      <c r="M184" t="e">
        <f>L184/J184</f>
        <v>#DIV/0!</v>
      </c>
      <c r="R184">
        <v>0</v>
      </c>
      <c r="S184">
        <v>0</v>
      </c>
      <c r="T184">
        <f>R184-S184</f>
        <v>0</v>
      </c>
      <c r="U184" t="e">
        <f>T184/R184</f>
        <v>#DIV/0!</v>
      </c>
      <c r="V184">
        <v>0</v>
      </c>
      <c r="W184">
        <v>0</v>
      </c>
      <c r="X184">
        <f>V184-W184</f>
        <v>0</v>
      </c>
      <c r="Y184" t="e">
        <f>X184/V184</f>
        <v>#DIV/0!</v>
      </c>
      <c r="AA184" t="e">
        <f>(E184-K184-S184)/W184</f>
        <v>#DIV/0!</v>
      </c>
      <c r="AB184" t="e">
        <f>(D184-J184-R184)/V184</f>
        <v>#DIV/0!</v>
      </c>
      <c r="AC184" t="e">
        <f>(E184-K184-S184)/E184</f>
        <v>#DIV/0!</v>
      </c>
      <c r="AD184" t="e">
        <f>SUM(D184-H184)/D184</f>
        <v>#DIV/0!</v>
      </c>
      <c r="AK184">
        <f>SUM(AK179,AK180,AK181,AK182,AK183)</f>
        <v>0</v>
      </c>
      <c r="AL184">
        <f>SUM(AL179,AL180,AL181,AL182,AL183)</f>
        <v>0</v>
      </c>
    </row>
    <row r="186">
      <c r="A186">
        <f>'Main Sheet'!A56</f>
        <v>7429</v>
      </c>
      <c r="B186" t="str">
        <f>'Main Sheet'!B56</f>
        <v>Taggart House</v>
      </c>
      <c r="C186" t="str">
        <v>Start of month</v>
      </c>
      <c r="D186">
        <v>17608.26</v>
      </c>
      <c r="E186">
        <v>0</v>
      </c>
      <c r="F186">
        <f>D186-E186</f>
        <v>17608.26</v>
      </c>
      <c r="G186">
        <f>F186/D186</f>
        <v>1</v>
      </c>
      <c r="H186">
        <v>14076.97</v>
      </c>
      <c r="I186">
        <v>0</v>
      </c>
      <c r="J186">
        <v>0</v>
      </c>
      <c r="K186">
        <v>0</v>
      </c>
      <c r="L186">
        <f>J186-K186</f>
        <v>0</v>
      </c>
      <c r="M186" t="e">
        <f>L186/J186</f>
        <v>#DIV/0!</v>
      </c>
      <c r="R186">
        <v>5790.51</v>
      </c>
      <c r="S186">
        <v>0</v>
      </c>
      <c r="T186">
        <f>R186-S186</f>
        <v>5790.51</v>
      </c>
      <c r="U186">
        <f>T186/R186</f>
        <v>1</v>
      </c>
      <c r="V186">
        <v>116.13</v>
      </c>
      <c r="W186">
        <v>0</v>
      </c>
      <c r="X186">
        <f>V186-W186</f>
        <v>116.13</v>
      </c>
      <c r="Y186">
        <f>X186/V186</f>
        <v>1</v>
      </c>
      <c r="AA186" t="e">
        <f>(E186-K186-S186)/W186</f>
        <v>#DIV/0!</v>
      </c>
      <c r="AB186">
        <f>(D186-J186-R186)/V186</f>
        <v>101.7631103074141</v>
      </c>
      <c r="AC186" t="e">
        <f>(E186-K186-S186)/E186</f>
        <v>#DIV/0!</v>
      </c>
      <c r="AD186">
        <f>SUM(D186-H186)/D186</f>
        <v>0.200547356751888</v>
      </c>
      <c r="AG186" t="str">
        <v>Hours calc for monthly claims</v>
      </c>
      <c r="AH186">
        <f>AK191</f>
        <v>0</v>
      </c>
      <c r="AK186">
        <f>SUM(W187-W186)</f>
        <v>0</v>
      </c>
      <c r="AL186">
        <f>SUM(K187-K186)</f>
        <v>0</v>
      </c>
    </row>
    <row r="187">
      <c r="C187" t="str">
        <v>Week 1</v>
      </c>
      <c r="D187">
        <v>17608.26</v>
      </c>
      <c r="E187">
        <v>0</v>
      </c>
      <c r="F187">
        <v>0</v>
      </c>
      <c r="G187">
        <f>F187/D187</f>
        <v>0</v>
      </c>
      <c r="H187">
        <v>14076.97</v>
      </c>
      <c r="I187">
        <v>0</v>
      </c>
      <c r="J187">
        <v>0</v>
      </c>
      <c r="K187">
        <v>0</v>
      </c>
      <c r="L187">
        <f>J187-K187</f>
        <v>0</v>
      </c>
      <c r="M187" t="e">
        <f>L187/J187</f>
        <v>#DIV/0!</v>
      </c>
      <c r="R187">
        <v>5790.51</v>
      </c>
      <c r="S187">
        <v>0</v>
      </c>
      <c r="T187">
        <f>R187-S187</f>
        <v>5790.51</v>
      </c>
      <c r="U187">
        <f>T187/R187</f>
        <v>1</v>
      </c>
      <c r="V187">
        <v>116.13</v>
      </c>
      <c r="W187">
        <v>0</v>
      </c>
      <c r="X187">
        <f>V187-W187</f>
        <v>116.13</v>
      </c>
      <c r="Y187">
        <f>X187/V187</f>
        <v>1</v>
      </c>
      <c r="AA187" t="e">
        <f>(E187-K187-S187)/W187</f>
        <v>#DIV/0!</v>
      </c>
      <c r="AB187">
        <f>(D187-J187-R187)/V187</f>
        <v>101.7631103074141</v>
      </c>
      <c r="AC187" t="e">
        <f>(E187-K187-S187)/E187</f>
        <v>#DIV/0!</v>
      </c>
      <c r="AD187">
        <f>SUM(D187-H187)/D187</f>
        <v>0.200547356751888</v>
      </c>
      <c r="AG187" t="str">
        <v>Materials calc for monthly claims</v>
      </c>
      <c r="AH187">
        <f>AL191</f>
        <v>0</v>
      </c>
      <c r="AK187">
        <f>SUM(W188-W187)</f>
        <v>0</v>
      </c>
      <c r="AL187">
        <f>SUM(K188-K187)</f>
        <v>0</v>
      </c>
    </row>
    <row r="188">
      <c r="C188" t="str">
        <v>Week 2</v>
      </c>
      <c r="D188">
        <v>0</v>
      </c>
      <c r="E188">
        <v>0</v>
      </c>
      <c r="F188">
        <f>D188-E188</f>
        <v>0</v>
      </c>
      <c r="G188" t="e">
        <f>F188/D188</f>
        <v>#DIV/0!</v>
      </c>
      <c r="H188">
        <v>0</v>
      </c>
      <c r="I188">
        <v>0</v>
      </c>
      <c r="J188">
        <f>SUM(H188-R188)</f>
        <v>0</v>
      </c>
      <c r="K188">
        <f>SUM(I188-S188)</f>
        <v>0</v>
      </c>
      <c r="L188">
        <f>J188-K188</f>
        <v>0</v>
      </c>
      <c r="M188" t="e">
        <f>L188/J188</f>
        <v>#DIV/0!</v>
      </c>
      <c r="R188">
        <v>0</v>
      </c>
      <c r="S188">
        <v>0</v>
      </c>
      <c r="T188">
        <f>R188-S188</f>
        <v>0</v>
      </c>
      <c r="U188" t="e">
        <f>T188/R188</f>
        <v>#DIV/0!</v>
      </c>
      <c r="V188">
        <v>0</v>
      </c>
      <c r="W188">
        <v>0</v>
      </c>
      <c r="X188">
        <f>V188-W188</f>
        <v>0</v>
      </c>
      <c r="Y188" t="e">
        <f>X188/V188</f>
        <v>#DIV/0!</v>
      </c>
      <c r="AA188" t="e">
        <f>(E188-K188-S188)/W188</f>
        <v>#DIV/0!</v>
      </c>
      <c r="AB188" t="e">
        <f>(D188-J188-R188)/V188</f>
        <v>#DIV/0!</v>
      </c>
      <c r="AC188" t="e">
        <f>(E188-K188-S188)/E188</f>
        <v>#DIV/0!</v>
      </c>
      <c r="AD188" t="e">
        <f>SUM(D188-H188)/D188</f>
        <v>#DIV/0!</v>
      </c>
      <c r="AK188">
        <f>SUM(W189-W188)</f>
        <v>0</v>
      </c>
      <c r="AL188">
        <f>SUM(K189-K188)</f>
        <v>0</v>
      </c>
    </row>
    <row r="189">
      <c r="C189" t="str">
        <v>Week 3</v>
      </c>
      <c r="D189">
        <v>0</v>
      </c>
      <c r="E189">
        <v>0</v>
      </c>
      <c r="F189">
        <f>D189-E189</f>
        <v>0</v>
      </c>
      <c r="G189" t="e">
        <f>F189/D189</f>
        <v>#DIV/0!</v>
      </c>
      <c r="H189">
        <v>0</v>
      </c>
      <c r="I189">
        <v>0</v>
      </c>
      <c r="J189">
        <f>SUM(H189-R189)</f>
        <v>0</v>
      </c>
      <c r="K189">
        <f>SUM(I189-S189)</f>
        <v>0</v>
      </c>
      <c r="L189">
        <f>J189-K189</f>
        <v>0</v>
      </c>
      <c r="M189" t="e">
        <f>L189/J189</f>
        <v>#DIV/0!</v>
      </c>
      <c r="R189">
        <v>0</v>
      </c>
      <c r="S189">
        <v>0</v>
      </c>
      <c r="T189">
        <f>R189-S189</f>
        <v>0</v>
      </c>
      <c r="U189" t="e">
        <f>T189/R189</f>
        <v>#DIV/0!</v>
      </c>
      <c r="V189">
        <v>0</v>
      </c>
      <c r="W189">
        <v>0</v>
      </c>
      <c r="X189">
        <f>V189-W189</f>
        <v>0</v>
      </c>
      <c r="Y189" t="e">
        <f>X189/V189</f>
        <v>#DIV/0!</v>
      </c>
      <c r="AA189" t="e">
        <f>(E189-K189-S189)/W189</f>
        <v>#DIV/0!</v>
      </c>
      <c r="AB189" t="e">
        <f>(D189-J189-R189)/V189</f>
        <v>#DIV/0!</v>
      </c>
      <c r="AC189" t="e">
        <f>(E189-K189-S189)/E189</f>
        <v>#DIV/0!</v>
      </c>
      <c r="AD189" t="e">
        <f>SUM(D189-H189)/D189</f>
        <v>#DIV/0!</v>
      </c>
      <c r="AG189" t="str">
        <v>Estimated months claim</v>
      </c>
      <c r="AH189">
        <v>0</v>
      </c>
      <c r="AK189">
        <f>SUM(W190-W189)</f>
        <v>0</v>
      </c>
      <c r="AL189">
        <f>SUM(K190-K189)</f>
        <v>0</v>
      </c>
    </row>
    <row r="190">
      <c r="C190" t="str">
        <v>Week 4</v>
      </c>
      <c r="D190">
        <v>0</v>
      </c>
      <c r="E190">
        <v>0</v>
      </c>
      <c r="F190">
        <f>D190-E190</f>
        <v>0</v>
      </c>
      <c r="G190" t="e">
        <f>F190/D190</f>
        <v>#DIV/0!</v>
      </c>
      <c r="H190">
        <v>0</v>
      </c>
      <c r="I190">
        <v>0</v>
      </c>
      <c r="J190">
        <f>SUM(H190-R190)</f>
        <v>0</v>
      </c>
      <c r="K190">
        <f>SUM(I190-S190)</f>
        <v>0</v>
      </c>
      <c r="L190">
        <f>J190-K190</f>
        <v>0</v>
      </c>
      <c r="M190" t="e">
        <f>L190/J190</f>
        <v>#DIV/0!</v>
      </c>
      <c r="R190">
        <v>0</v>
      </c>
      <c r="S190">
        <v>0</v>
      </c>
      <c r="T190">
        <f>R190-S190</f>
        <v>0</v>
      </c>
      <c r="U190" t="e">
        <f>T190/R190</f>
        <v>#DIV/0!</v>
      </c>
      <c r="V190">
        <v>0</v>
      </c>
      <c r="W190">
        <v>0</v>
      </c>
      <c r="X190">
        <f>V190-W190</f>
        <v>0</v>
      </c>
      <c r="Y190" t="e">
        <f>X190/V190</f>
        <v>#DIV/0!</v>
      </c>
      <c r="AA190" t="e">
        <f>(E190-K190-S190)/W190</f>
        <v>#DIV/0!</v>
      </c>
      <c r="AB190" t="e">
        <f>(D190-J190-R190)/V190</f>
        <v>#DIV/0!</v>
      </c>
      <c r="AC190" t="e">
        <f>(E190-K190-S190)/E190</f>
        <v>#DIV/0!</v>
      </c>
      <c r="AD190" t="e">
        <f>SUM(D190-H190)/D190</f>
        <v>#DIV/0!</v>
      </c>
      <c r="AK190">
        <f>SUM(W191-W190)</f>
        <v>0</v>
      </c>
      <c r="AL190">
        <f>SUM(K191-K190)</f>
        <v>0</v>
      </c>
    </row>
    <row r="191">
      <c r="C191" t="str">
        <v>Week 5</v>
      </c>
      <c r="D191">
        <v>0</v>
      </c>
      <c r="E191">
        <v>0</v>
      </c>
      <c r="F191">
        <f>D191-E191</f>
        <v>0</v>
      </c>
      <c r="G191" t="e">
        <f>F191/D191</f>
        <v>#DIV/0!</v>
      </c>
      <c r="H191">
        <v>0</v>
      </c>
      <c r="I191">
        <v>0</v>
      </c>
      <c r="J191">
        <f>SUM(H191-R191)</f>
        <v>0</v>
      </c>
      <c r="K191">
        <f>SUM(I191-S191)</f>
        <v>0</v>
      </c>
      <c r="L191">
        <f>J191-K191</f>
        <v>0</v>
      </c>
      <c r="M191" t="e">
        <f>L191/J191</f>
        <v>#DIV/0!</v>
      </c>
      <c r="R191">
        <v>0</v>
      </c>
      <c r="S191">
        <v>0</v>
      </c>
      <c r="T191">
        <f>R191-S191</f>
        <v>0</v>
      </c>
      <c r="U191" t="e">
        <f>T191/R191</f>
        <v>#DIV/0!</v>
      </c>
      <c r="V191">
        <v>0</v>
      </c>
      <c r="W191">
        <v>0</v>
      </c>
      <c r="X191">
        <f>V191-W191</f>
        <v>0</v>
      </c>
      <c r="Y191" t="e">
        <f>X191/V191</f>
        <v>#DIV/0!</v>
      </c>
      <c r="AA191" t="e">
        <f>(E191-K191-S191)/W191</f>
        <v>#DIV/0!</v>
      </c>
      <c r="AB191" t="e">
        <f>(D191-J191-R191)/V191</f>
        <v>#DIV/0!</v>
      </c>
      <c r="AC191" t="e">
        <f>(E191-K191-S191)/E191</f>
        <v>#DIV/0!</v>
      </c>
      <c r="AD191" t="e">
        <f>SUM(D191-H191)/D191</f>
        <v>#DIV/0!</v>
      </c>
      <c r="AK191">
        <f>SUM(AK186,AK187,AK188,AK189,AK190)</f>
        <v>0</v>
      </c>
      <c r="AL191">
        <f>SUM(AL186,AL187,AL188,AL189,AL190)</f>
        <v>0</v>
      </c>
    </row>
    <row r="193">
      <c r="A193">
        <f>'Main Sheet'!A58</f>
        <v>9508</v>
      </c>
      <c r="B193" t="str">
        <f>'Main Sheet'!B58</f>
        <v>St Barnabas Church</v>
      </c>
      <c r="C193" t="str">
        <v>Start of month</v>
      </c>
      <c r="D193">
        <v>19572.81</v>
      </c>
      <c r="E193">
        <v>0</v>
      </c>
      <c r="F193">
        <f>D193-E193</f>
        <v>19572.81</v>
      </c>
      <c r="G193">
        <f>F193/D193</f>
        <v>1</v>
      </c>
      <c r="H193">
        <v>11314.42</v>
      </c>
      <c r="I193">
        <v>0</v>
      </c>
      <c r="J193">
        <v>0</v>
      </c>
      <c r="K193">
        <v>0</v>
      </c>
      <c r="L193">
        <f>J193-K193</f>
        <v>0</v>
      </c>
      <c r="M193" t="e">
        <f>L193/J193</f>
        <v>#DIV/0!</v>
      </c>
      <c r="N193">
        <v>0</v>
      </c>
      <c r="R193">
        <v>5290.42</v>
      </c>
      <c r="S193">
        <v>0</v>
      </c>
      <c r="T193">
        <f>R193-S193</f>
        <v>5290.42</v>
      </c>
      <c r="U193">
        <f>T193/R193</f>
        <v>1</v>
      </c>
      <c r="V193">
        <v>105</v>
      </c>
      <c r="W193">
        <v>0</v>
      </c>
      <c r="X193">
        <f>V193-W193</f>
        <v>105</v>
      </c>
      <c r="Y193">
        <f>X193/V193</f>
        <v>1</v>
      </c>
      <c r="Z193">
        <v>0</v>
      </c>
      <c r="AA193" t="e">
        <f>(E193-K193-S193)/W193</f>
        <v>#DIV/0!</v>
      </c>
      <c r="AB193">
        <f>(D193-J193-R193)/V193</f>
        <v>136.02276190476192</v>
      </c>
      <c r="AC193" t="e">
        <f>(E193-K193-S193)/E193</f>
        <v>#DIV/0!</v>
      </c>
      <c r="AD193">
        <f>SUM(D193-H193)/D193</f>
        <v>0.42193175124062415</v>
      </c>
      <c r="AG193" t="str">
        <v>Hours calc for monthly claims</v>
      </c>
      <c r="AH193">
        <f>AK198</f>
        <v>0</v>
      </c>
      <c r="AK193">
        <f>SUM(W194-W193)</f>
        <v>0</v>
      </c>
      <c r="AL193">
        <f>SUM(K194-K193)</f>
        <v>0</v>
      </c>
    </row>
    <row r="194">
      <c r="C194" t="str">
        <v>Week 1</v>
      </c>
      <c r="D194">
        <v>0</v>
      </c>
      <c r="E194">
        <v>0</v>
      </c>
      <c r="F194">
        <v>0</v>
      </c>
      <c r="G194" t="e">
        <f>F194/D194</f>
        <v>#DIV/0!</v>
      </c>
      <c r="H194">
        <v>0</v>
      </c>
      <c r="I194">
        <v>0</v>
      </c>
      <c r="J194">
        <v>0</v>
      </c>
      <c r="K194">
        <v>0</v>
      </c>
      <c r="L194">
        <f>J194-K194</f>
        <v>0</v>
      </c>
      <c r="M194" t="e">
        <f>L194/J194</f>
        <v>#DIV/0!</v>
      </c>
      <c r="R194">
        <v>0</v>
      </c>
      <c r="S194">
        <v>0</v>
      </c>
      <c r="T194">
        <f>R194-S194</f>
        <v>0</v>
      </c>
      <c r="U194" t="e">
        <f>T194/R194</f>
        <v>#DIV/0!</v>
      </c>
      <c r="V194">
        <v>0</v>
      </c>
      <c r="W194">
        <v>0</v>
      </c>
      <c r="X194">
        <f>V194-W194</f>
        <v>0</v>
      </c>
      <c r="Y194" t="e">
        <f>X194/V194</f>
        <v>#DIV/0!</v>
      </c>
      <c r="AA194" t="e">
        <f>(E194-K194-S194)/W194</f>
        <v>#DIV/0!</v>
      </c>
      <c r="AB194" t="e">
        <f>(D194-J194-R194)/V194</f>
        <v>#DIV/0!</v>
      </c>
      <c r="AC194" t="e">
        <f>(E194-K194-S194)/E194</f>
        <v>#DIV/0!</v>
      </c>
      <c r="AD194" t="e">
        <f>SUM(D194-H194)/D194</f>
        <v>#DIV/0!</v>
      </c>
      <c r="AG194" t="str">
        <v>Materials calc for monthly claims</v>
      </c>
      <c r="AH194">
        <f>AL198</f>
        <v>0</v>
      </c>
      <c r="AK194">
        <f>SUM(W195-W194)</f>
        <v>0</v>
      </c>
      <c r="AL194">
        <f>SUM(K195-K194)</f>
        <v>0</v>
      </c>
    </row>
    <row r="195">
      <c r="C195" t="str">
        <v>Week 2</v>
      </c>
      <c r="D195">
        <v>0</v>
      </c>
      <c r="E195">
        <v>0</v>
      </c>
      <c r="F195">
        <f>D195-E195</f>
        <v>0</v>
      </c>
      <c r="G195" t="e">
        <f>F195/D195</f>
        <v>#DIV/0!</v>
      </c>
      <c r="H195">
        <v>0</v>
      </c>
      <c r="I195">
        <v>0</v>
      </c>
      <c r="J195">
        <f>SUM(H195-R195)</f>
        <v>0</v>
      </c>
      <c r="K195">
        <f>SUM(I195-S195)</f>
        <v>0</v>
      </c>
      <c r="L195">
        <f>J195-K195</f>
        <v>0</v>
      </c>
      <c r="M195" t="e">
        <f>L195/J195</f>
        <v>#DIV/0!</v>
      </c>
      <c r="R195">
        <v>0</v>
      </c>
      <c r="S195">
        <v>0</v>
      </c>
      <c r="T195">
        <f>R195-S195</f>
        <v>0</v>
      </c>
      <c r="U195" t="e">
        <f>T195/R195</f>
        <v>#DIV/0!</v>
      </c>
      <c r="V195">
        <v>0</v>
      </c>
      <c r="W195">
        <v>0</v>
      </c>
      <c r="X195">
        <f>V195-W195</f>
        <v>0</v>
      </c>
      <c r="Y195" t="e">
        <f>X195/V195</f>
        <v>#DIV/0!</v>
      </c>
      <c r="AA195" t="e">
        <f>(E195-K195-S195)/W195</f>
        <v>#DIV/0!</v>
      </c>
      <c r="AB195" t="e">
        <f>(D195-J195-R195)/V195</f>
        <v>#DIV/0!</v>
      </c>
      <c r="AC195" t="e">
        <f>(E195-K195-S195)/E195</f>
        <v>#DIV/0!</v>
      </c>
      <c r="AD195" t="e">
        <f>SUM(D195-H195)/D195</f>
        <v>#DIV/0!</v>
      </c>
      <c r="AK195">
        <f>SUM(W196-W195)</f>
        <v>0</v>
      </c>
      <c r="AL195">
        <f>SUM(K196-K195)</f>
        <v>0</v>
      </c>
    </row>
    <row r="196">
      <c r="C196" t="str">
        <v>Week 3</v>
      </c>
      <c r="D196">
        <v>0</v>
      </c>
      <c r="E196">
        <v>0</v>
      </c>
      <c r="F196">
        <f>D196-E196</f>
        <v>0</v>
      </c>
      <c r="G196" t="e">
        <f>F196/D196</f>
        <v>#DIV/0!</v>
      </c>
      <c r="H196">
        <v>0</v>
      </c>
      <c r="I196">
        <v>0</v>
      </c>
      <c r="J196">
        <f>SUM(H196-R196)</f>
        <v>0</v>
      </c>
      <c r="K196">
        <f>SUM(I196-S196)</f>
        <v>0</v>
      </c>
      <c r="L196">
        <f>J196-K196</f>
        <v>0</v>
      </c>
      <c r="M196" t="e">
        <f>L196/J196</f>
        <v>#DIV/0!</v>
      </c>
      <c r="R196">
        <v>0</v>
      </c>
      <c r="S196">
        <v>0</v>
      </c>
      <c r="T196">
        <f>R196-S196</f>
        <v>0</v>
      </c>
      <c r="U196" t="e">
        <f>T196/R196</f>
        <v>#DIV/0!</v>
      </c>
      <c r="V196">
        <v>0</v>
      </c>
      <c r="W196">
        <v>0</v>
      </c>
      <c r="X196">
        <f>V196-W196</f>
        <v>0</v>
      </c>
      <c r="Y196" t="e">
        <f>X196/V196</f>
        <v>#DIV/0!</v>
      </c>
      <c r="AA196" t="e">
        <f>(E196-K196-S196)/W196</f>
        <v>#DIV/0!</v>
      </c>
      <c r="AB196" t="e">
        <f>(D196-J196-R196)/V196</f>
        <v>#DIV/0!</v>
      </c>
      <c r="AC196" t="e">
        <f>(E196-K196-S196)/E196</f>
        <v>#DIV/0!</v>
      </c>
      <c r="AD196" t="e">
        <f>SUM(D196-H196)/D196</f>
        <v>#DIV/0!</v>
      </c>
      <c r="AG196" t="str">
        <v>Estimated months claim</v>
      </c>
      <c r="AH196">
        <v>0</v>
      </c>
      <c r="AK196">
        <f>SUM(W197-W196)</f>
        <v>0</v>
      </c>
      <c r="AL196">
        <f>SUM(K197-K196)</f>
        <v>0</v>
      </c>
    </row>
    <row r="197">
      <c r="C197" t="str">
        <v>Week 4</v>
      </c>
      <c r="D197">
        <v>0</v>
      </c>
      <c r="E197">
        <v>0</v>
      </c>
      <c r="F197">
        <f>D197-E197</f>
        <v>0</v>
      </c>
      <c r="G197" t="e">
        <f>F197/D197</f>
        <v>#DIV/0!</v>
      </c>
      <c r="H197">
        <v>0</v>
      </c>
      <c r="I197">
        <v>0</v>
      </c>
      <c r="J197">
        <f>SUM(H197-R197)</f>
        <v>0</v>
      </c>
      <c r="K197">
        <f>SUM(I197-S197)</f>
        <v>0</v>
      </c>
      <c r="L197">
        <f>J197-K197</f>
        <v>0</v>
      </c>
      <c r="M197" t="e">
        <f>L197/J197</f>
        <v>#DIV/0!</v>
      </c>
      <c r="R197">
        <v>0</v>
      </c>
      <c r="S197">
        <v>0</v>
      </c>
      <c r="T197">
        <f>R197-S197</f>
        <v>0</v>
      </c>
      <c r="U197" t="e">
        <f>T197/R197</f>
        <v>#DIV/0!</v>
      </c>
      <c r="V197">
        <v>0</v>
      </c>
      <c r="W197">
        <v>0</v>
      </c>
      <c r="X197">
        <f>V197-W197</f>
        <v>0</v>
      </c>
      <c r="Y197" t="e">
        <f>X197/V197</f>
        <v>#DIV/0!</v>
      </c>
      <c r="AA197" t="e">
        <f>(E197-K197-S197)/W197</f>
        <v>#DIV/0!</v>
      </c>
      <c r="AB197" t="e">
        <f>(D197-J197-R197)/V197</f>
        <v>#DIV/0!</v>
      </c>
      <c r="AC197" t="e">
        <f>(E197-K197-S197)/E197</f>
        <v>#DIV/0!</v>
      </c>
      <c r="AD197" t="e">
        <f>SUM(D197-H197)/D197</f>
        <v>#DIV/0!</v>
      </c>
      <c r="AK197">
        <f>SUM(W198-W197)</f>
        <v>0</v>
      </c>
      <c r="AL197">
        <f>SUM(K198-K197)</f>
        <v>0</v>
      </c>
    </row>
    <row r="198">
      <c r="C198" t="str">
        <v>Week 5</v>
      </c>
      <c r="D198">
        <v>0</v>
      </c>
      <c r="E198">
        <v>0</v>
      </c>
      <c r="F198">
        <f>D198-E198</f>
        <v>0</v>
      </c>
      <c r="G198" t="e">
        <f>F198/D198</f>
        <v>#DIV/0!</v>
      </c>
      <c r="H198">
        <v>0</v>
      </c>
      <c r="I198">
        <v>0</v>
      </c>
      <c r="J198">
        <f>SUM(H198-R198)</f>
        <v>0</v>
      </c>
      <c r="K198">
        <f>SUM(I198-S198)</f>
        <v>0</v>
      </c>
      <c r="L198">
        <f>J198-K198</f>
        <v>0</v>
      </c>
      <c r="M198" t="e">
        <f>L198/J198</f>
        <v>#DIV/0!</v>
      </c>
      <c r="R198">
        <v>0</v>
      </c>
      <c r="S198">
        <v>0</v>
      </c>
      <c r="T198">
        <f>R198-S198</f>
        <v>0</v>
      </c>
      <c r="U198" t="e">
        <f>T198/R198</f>
        <v>#DIV/0!</v>
      </c>
      <c r="V198">
        <v>0</v>
      </c>
      <c r="W198">
        <v>0</v>
      </c>
      <c r="X198">
        <f>V198-W198</f>
        <v>0</v>
      </c>
      <c r="Y198" t="e">
        <f>X198/V198</f>
        <v>#DIV/0!</v>
      </c>
      <c r="AA198" t="e">
        <f>(E198-K198-S198)/W198</f>
        <v>#DIV/0!</v>
      </c>
      <c r="AB198" t="e">
        <f>(D198-J198-R198)/V198</f>
        <v>#DIV/0!</v>
      </c>
      <c r="AC198" t="e">
        <f>(E198-K198-S198)/E198</f>
        <v>#DIV/0!</v>
      </c>
      <c r="AD198" t="e">
        <f>SUM(D198-H198)/D198</f>
        <v>#DIV/0!</v>
      </c>
      <c r="AK198">
        <f>SUM(AK193,AK194,AK195,AK196,AK197)</f>
        <v>0</v>
      </c>
      <c r="AL198">
        <f>SUM(AL193,AL194,AL195,AL196,AL197)</f>
        <v>0</v>
      </c>
    </row>
    <row r="200">
      <c r="A200">
        <f>'Main Sheet'!A60</f>
        <v>0</v>
      </c>
      <c r="B200">
        <f>'Main Sheet'!B60</f>
        <v>0</v>
      </c>
      <c r="C200" t="str">
        <v>Start of month</v>
      </c>
      <c r="D200">
        <v>0</v>
      </c>
      <c r="E200">
        <v>0</v>
      </c>
      <c r="F200">
        <f>D200-E200</f>
        <v>0</v>
      </c>
      <c r="G200" t="e">
        <f>F200/D200</f>
        <v>#DIV/0!</v>
      </c>
      <c r="H200">
        <v>0</v>
      </c>
      <c r="I200">
        <v>0</v>
      </c>
      <c r="J200">
        <v>0</v>
      </c>
      <c r="K200">
        <v>0</v>
      </c>
      <c r="L200">
        <f>J200-K200</f>
        <v>0</v>
      </c>
      <c r="M200" t="e">
        <f>L200/J200</f>
        <v>#DIV/0!</v>
      </c>
      <c r="R200">
        <v>0</v>
      </c>
      <c r="S200">
        <v>0</v>
      </c>
      <c r="T200">
        <f>R200-S200</f>
        <v>0</v>
      </c>
      <c r="U200" t="e">
        <f>T200/R200</f>
        <v>#DIV/0!</v>
      </c>
      <c r="V200">
        <v>346</v>
      </c>
      <c r="W200">
        <v>0</v>
      </c>
      <c r="X200">
        <f>V200-W200</f>
        <v>346</v>
      </c>
      <c r="Y200">
        <f>X200/V200</f>
        <v>1</v>
      </c>
      <c r="AA200" t="e">
        <f>(E200-K200-S200)/W200</f>
        <v>#DIV/0!</v>
      </c>
      <c r="AB200">
        <f>(D200-J200-R200)/V200</f>
        <v>0</v>
      </c>
      <c r="AC200" t="e">
        <f>(E200-K200-S200)/E200</f>
        <v>#DIV/0!</v>
      </c>
      <c r="AD200" t="e">
        <f>SUM(D200-H200)/D200</f>
        <v>#DIV/0!</v>
      </c>
      <c r="AG200" t="str">
        <v>Hours calc for monthly claims</v>
      </c>
      <c r="AH200">
        <f>AK205</f>
        <v>0</v>
      </c>
      <c r="AK200">
        <f>SUM(W201-W200)</f>
        <v>0</v>
      </c>
      <c r="AL200">
        <f>SUM(K201-K200)</f>
        <v>0</v>
      </c>
    </row>
    <row r="201">
      <c r="C201" t="str">
        <v>Week 1</v>
      </c>
      <c r="D201">
        <v>0</v>
      </c>
      <c r="E201">
        <v>0</v>
      </c>
      <c r="F201">
        <v>0</v>
      </c>
      <c r="G201" t="e">
        <f>F201/D201</f>
        <v>#DIV/0!</v>
      </c>
      <c r="H201">
        <v>0</v>
      </c>
      <c r="I201">
        <v>0</v>
      </c>
      <c r="J201">
        <v>0</v>
      </c>
      <c r="K201">
        <v>0</v>
      </c>
      <c r="L201">
        <f>J201-K201</f>
        <v>0</v>
      </c>
      <c r="M201" t="e">
        <f>L201/J201</f>
        <v>#DIV/0!</v>
      </c>
      <c r="R201">
        <v>0</v>
      </c>
      <c r="S201">
        <v>0</v>
      </c>
      <c r="T201">
        <f>R201-S201</f>
        <v>0</v>
      </c>
      <c r="U201" t="e">
        <f>T201/R201</f>
        <v>#DIV/0!</v>
      </c>
      <c r="V201">
        <v>0</v>
      </c>
      <c r="W201">
        <v>0</v>
      </c>
      <c r="X201">
        <f>V201-W201</f>
        <v>0</v>
      </c>
      <c r="Y201" t="e">
        <f>X201/V201</f>
        <v>#DIV/0!</v>
      </c>
      <c r="AA201" t="e">
        <f>(E201-K201-S201)/W201</f>
        <v>#DIV/0!</v>
      </c>
      <c r="AB201" t="e">
        <f>(D201-J201-R201)/V201</f>
        <v>#DIV/0!</v>
      </c>
      <c r="AC201" t="e">
        <f>(E201-K201-S201)/E201</f>
        <v>#DIV/0!</v>
      </c>
      <c r="AD201" t="e">
        <f>SUM(D201-H201)/D201</f>
        <v>#DIV/0!</v>
      </c>
      <c r="AG201" t="str">
        <v>Materials calc for monthly claims</v>
      </c>
      <c r="AH201">
        <f>AL205</f>
        <v>0</v>
      </c>
      <c r="AK201">
        <f>SUM(W202-W201)</f>
        <v>0</v>
      </c>
      <c r="AL201">
        <f>SUM(K202-K201)</f>
        <v>0</v>
      </c>
    </row>
    <row r="202">
      <c r="C202" t="str">
        <v>Week 2</v>
      </c>
      <c r="F202">
        <f>D202-E202</f>
        <v>0</v>
      </c>
      <c r="G202" t="e">
        <f>F202/D202</f>
        <v>#DIV/0!</v>
      </c>
      <c r="J202">
        <f>SUM(H202-R202)</f>
        <v>0</v>
      </c>
      <c r="K202">
        <f>SUM(I202-S202)</f>
        <v>0</v>
      </c>
      <c r="L202">
        <f>J202-K202</f>
        <v>0</v>
      </c>
      <c r="M202" t="e">
        <f>L202/J202</f>
        <v>#DIV/0!</v>
      </c>
      <c r="T202">
        <f>R202-S202</f>
        <v>0</v>
      </c>
      <c r="U202" t="e">
        <f>T202/R202</f>
        <v>#DIV/0!</v>
      </c>
      <c r="X202">
        <f>V202-W202</f>
        <v>0</v>
      </c>
      <c r="Y202" t="e">
        <f>X202/V202</f>
        <v>#DIV/0!</v>
      </c>
      <c r="AA202" t="e">
        <f>(E202-K202-S202)/W202</f>
        <v>#DIV/0!</v>
      </c>
      <c r="AB202" t="e">
        <f>(D202-J202-R202)/V202</f>
        <v>#DIV/0!</v>
      </c>
      <c r="AC202" t="e">
        <f>(E202-K202-S202)/E202</f>
        <v>#DIV/0!</v>
      </c>
      <c r="AD202" t="e">
        <f>SUM(D202-H202)/D202</f>
        <v>#DIV/0!</v>
      </c>
      <c r="AK202">
        <f>SUM(W203-W202)</f>
        <v>0</v>
      </c>
      <c r="AL202">
        <f>SUM(K203-K202)</f>
        <v>0</v>
      </c>
    </row>
    <row r="203">
      <c r="C203" t="str">
        <v>Week 3</v>
      </c>
      <c r="F203">
        <f>D203-E203</f>
        <v>0</v>
      </c>
      <c r="G203" t="e">
        <f>F203/D203</f>
        <v>#DIV/0!</v>
      </c>
      <c r="J203">
        <f>SUM(H203-R203)</f>
        <v>0</v>
      </c>
      <c r="K203">
        <f>SUM(I203-S203)</f>
        <v>0</v>
      </c>
      <c r="L203">
        <f>J203-K203</f>
        <v>0</v>
      </c>
      <c r="M203" t="e">
        <f>L203/J203</f>
        <v>#DIV/0!</v>
      </c>
      <c r="T203">
        <f>R203-S203</f>
        <v>0</v>
      </c>
      <c r="U203" t="e">
        <f>T203/R203</f>
        <v>#DIV/0!</v>
      </c>
      <c r="X203">
        <f>V203-W203</f>
        <v>0</v>
      </c>
      <c r="Y203" t="e">
        <f>X203/V203</f>
        <v>#DIV/0!</v>
      </c>
      <c r="AA203" t="e">
        <f>(E203-K203-S203)/W203</f>
        <v>#DIV/0!</v>
      </c>
      <c r="AB203" t="e">
        <f>(D203-J203-R203)/V203</f>
        <v>#DIV/0!</v>
      </c>
      <c r="AC203" t="e">
        <f>(E203-K203-S203)/E203</f>
        <v>#DIV/0!</v>
      </c>
      <c r="AD203" t="e">
        <f>SUM(D203-H203)/D203</f>
        <v>#DIV/0!</v>
      </c>
      <c r="AG203" t="str">
        <v>Estimated months claim</v>
      </c>
      <c r="AH203">
        <v>0</v>
      </c>
      <c r="AK203">
        <f>SUM(W204-W203)</f>
        <v>0</v>
      </c>
      <c r="AL203">
        <f>SUM(K204-K203)</f>
        <v>0</v>
      </c>
    </row>
    <row r="204">
      <c r="C204" t="str">
        <v>Week 4</v>
      </c>
      <c r="F204">
        <f>D204-E204</f>
        <v>0</v>
      </c>
      <c r="G204" t="e">
        <f>F204/D204</f>
        <v>#DIV/0!</v>
      </c>
      <c r="J204">
        <f>SUM(H204-R204)</f>
        <v>0</v>
      </c>
      <c r="K204">
        <f>SUM(I204-S204)</f>
        <v>0</v>
      </c>
      <c r="L204">
        <f>J204-K204</f>
        <v>0</v>
      </c>
      <c r="M204" t="e">
        <f>L204/J204</f>
        <v>#DIV/0!</v>
      </c>
      <c r="T204">
        <f>R204-S204</f>
        <v>0</v>
      </c>
      <c r="U204" t="e">
        <f>T204/R204</f>
        <v>#DIV/0!</v>
      </c>
      <c r="X204">
        <f>V204-W204</f>
        <v>0</v>
      </c>
      <c r="Y204" t="e">
        <f>X204/V204</f>
        <v>#DIV/0!</v>
      </c>
      <c r="AA204" t="e">
        <f>(E204-K204-S204)/W204</f>
        <v>#DIV/0!</v>
      </c>
      <c r="AB204" t="e">
        <f>(D204-J204-R204)/V204</f>
        <v>#DIV/0!</v>
      </c>
      <c r="AC204" t="e">
        <f>(E204-K204-S204)/E204</f>
        <v>#DIV/0!</v>
      </c>
      <c r="AD204" t="e">
        <f>SUM(D204-H204)/D204</f>
        <v>#DIV/0!</v>
      </c>
      <c r="AK204">
        <f>SUM(W205-W204)</f>
        <v>0</v>
      </c>
      <c r="AL204">
        <f>SUM(K205-K204)</f>
        <v>0</v>
      </c>
    </row>
    <row r="205">
      <c r="C205" t="str">
        <v>Week 5</v>
      </c>
      <c r="F205">
        <f>D205-E205</f>
        <v>0</v>
      </c>
      <c r="G205" t="e">
        <f>F205/D205</f>
        <v>#DIV/0!</v>
      </c>
      <c r="J205">
        <f>SUM(H205-R205)</f>
        <v>0</v>
      </c>
      <c r="K205">
        <f>SUM(I205-S205)</f>
        <v>0</v>
      </c>
      <c r="L205">
        <f>J205-K205</f>
        <v>0</v>
      </c>
      <c r="M205" t="e">
        <f>L205/J205</f>
        <v>#DIV/0!</v>
      </c>
      <c r="T205">
        <f>R205-S205</f>
        <v>0</v>
      </c>
      <c r="U205" t="e">
        <f>T205/R205</f>
        <v>#DIV/0!</v>
      </c>
      <c r="X205">
        <f>V205-W205</f>
        <v>0</v>
      </c>
      <c r="Y205" t="e">
        <f>X205/V205</f>
        <v>#DIV/0!</v>
      </c>
      <c r="AA205" t="e">
        <f>(E205-K205-S205)/W205</f>
        <v>#DIV/0!</v>
      </c>
      <c r="AB205" t="e">
        <f>(D205-J205-R205)/V205</f>
        <v>#DIV/0!</v>
      </c>
      <c r="AC205" t="e">
        <f>(E205-K205-S205)/E205</f>
        <v>#DIV/0!</v>
      </c>
      <c r="AD205" t="e">
        <f>SUM(D205-H205)/D205</f>
        <v>#DIV/0!</v>
      </c>
      <c r="AK205">
        <f>SUM(AK200,AK201,AK202,AK203,AK204)</f>
        <v>0</v>
      </c>
      <c r="AL205">
        <f>SUM(AL200,AL201,AL202,AL203,AL204)</f>
        <v>0</v>
      </c>
    </row>
    <row r="207">
      <c r="A207">
        <f>'Main Sheet'!A62</f>
        <v>0</v>
      </c>
      <c r="B207" t="str">
        <f>'Main Sheet'!B62</f>
        <v>Contracting</v>
      </c>
      <c r="C207" t="str">
        <v>Start of month</v>
      </c>
      <c r="D207">
        <v>0</v>
      </c>
      <c r="E207">
        <v>0</v>
      </c>
      <c r="F207">
        <f>D207-E207</f>
        <v>0</v>
      </c>
      <c r="G207" t="e">
        <f>F207/D207</f>
        <v>#DIV/0!</v>
      </c>
      <c r="H207">
        <v>0</v>
      </c>
      <c r="I207">
        <v>0</v>
      </c>
      <c r="J207">
        <v>0</v>
      </c>
      <c r="K207">
        <v>0</v>
      </c>
      <c r="L207">
        <f>J207-K207</f>
        <v>0</v>
      </c>
      <c r="M207" t="e">
        <f>L207/J207</f>
        <v>#DIV/0!</v>
      </c>
      <c r="R207">
        <v>0</v>
      </c>
      <c r="S207">
        <v>0</v>
      </c>
      <c r="T207">
        <f>R207-S207</f>
        <v>0</v>
      </c>
      <c r="U207" t="e">
        <f>T207/R207</f>
        <v>#DIV/0!</v>
      </c>
      <c r="V207">
        <v>0</v>
      </c>
      <c r="W207">
        <v>0</v>
      </c>
      <c r="X207">
        <f>V207-W207</f>
        <v>0</v>
      </c>
      <c r="Y207" t="e">
        <f>X207/V207</f>
        <v>#DIV/0!</v>
      </c>
      <c r="AA207" t="e">
        <f>(E207-K207-S207)/W207</f>
        <v>#DIV/0!</v>
      </c>
      <c r="AB207" t="e">
        <f>(D207-J207-R207)/V207</f>
        <v>#DIV/0!</v>
      </c>
      <c r="AC207" t="e">
        <f>(E207-K207-S207)/E207</f>
        <v>#DIV/0!</v>
      </c>
      <c r="AD207" t="e">
        <f>SUM(D207-H207)/D207</f>
        <v>#DIV/0!</v>
      </c>
      <c r="AG207" t="str">
        <v>Hours calc for monthly claims</v>
      </c>
      <c r="AH207">
        <f>AK212</f>
        <v>0</v>
      </c>
      <c r="AK207">
        <f>SUM(W208-W207)</f>
        <v>0</v>
      </c>
      <c r="AL207">
        <f>SUM(K208-K207)</f>
        <v>0</v>
      </c>
    </row>
    <row r="208">
      <c r="C208" t="str">
        <v>Week 1</v>
      </c>
      <c r="D208">
        <v>0</v>
      </c>
      <c r="E208">
        <v>0</v>
      </c>
      <c r="F208">
        <v>0</v>
      </c>
      <c r="G208" t="e">
        <f>F208/D208</f>
        <v>#DIV/0!</v>
      </c>
      <c r="H208">
        <v>0</v>
      </c>
      <c r="I208">
        <v>0</v>
      </c>
      <c r="J208">
        <v>0</v>
      </c>
      <c r="K208">
        <v>0</v>
      </c>
      <c r="L208">
        <f>J208-K208</f>
        <v>0</v>
      </c>
      <c r="M208" t="e">
        <f>L208/J208</f>
        <v>#DIV/0!</v>
      </c>
      <c r="R208">
        <v>0</v>
      </c>
      <c r="S208">
        <v>0</v>
      </c>
      <c r="T208">
        <f>R208-S208</f>
        <v>0</v>
      </c>
      <c r="U208" t="e">
        <f>T208/R208</f>
        <v>#DIV/0!</v>
      </c>
      <c r="V208">
        <v>0</v>
      </c>
      <c r="W208">
        <v>0</v>
      </c>
      <c r="X208">
        <f>V208-W208</f>
        <v>0</v>
      </c>
      <c r="Y208" t="e">
        <f>X208/V208</f>
        <v>#DIV/0!</v>
      </c>
      <c r="AA208" t="e">
        <f>(E208-K208-S208)/W208</f>
        <v>#DIV/0!</v>
      </c>
      <c r="AB208" t="e">
        <f>(D208-J208-R208)/V208</f>
        <v>#DIV/0!</v>
      </c>
      <c r="AC208" t="e">
        <f>(E208-K208-S208)/E208</f>
        <v>#DIV/0!</v>
      </c>
      <c r="AD208" t="e">
        <f>SUM(D208-H208)/D208</f>
        <v>#DIV/0!</v>
      </c>
      <c r="AG208" t="str">
        <v>Materials calc for monthly claims</v>
      </c>
      <c r="AH208">
        <f>AL212</f>
        <v>0</v>
      </c>
      <c r="AK208">
        <f>SUM(W209-W208)</f>
        <v>0</v>
      </c>
      <c r="AL208">
        <f>SUM(K209-K208)</f>
        <v>0</v>
      </c>
    </row>
    <row r="209">
      <c r="C209" t="str">
        <v>Week 2</v>
      </c>
      <c r="F209">
        <f>D209-E209</f>
        <v>0</v>
      </c>
      <c r="G209" t="e">
        <f>F209/D209</f>
        <v>#DIV/0!</v>
      </c>
      <c r="J209">
        <f>SUM(H209-R209)</f>
        <v>0</v>
      </c>
      <c r="K209">
        <f>SUM(I209-S209)</f>
        <v>0</v>
      </c>
      <c r="L209">
        <f>J209-K209</f>
        <v>0</v>
      </c>
      <c r="M209" t="e">
        <f>L209/J209</f>
        <v>#DIV/0!</v>
      </c>
      <c r="T209">
        <f>R209-S209</f>
        <v>0</v>
      </c>
      <c r="U209" t="e">
        <f>T209/R209</f>
        <v>#DIV/0!</v>
      </c>
      <c r="X209">
        <f>V209-W209</f>
        <v>0</v>
      </c>
      <c r="Y209" t="e">
        <f>X209/V209</f>
        <v>#DIV/0!</v>
      </c>
      <c r="AA209" t="e">
        <f>(E209-K209-S209)/W209</f>
        <v>#DIV/0!</v>
      </c>
      <c r="AB209" t="e">
        <f>(D209-J209-R209)/V209</f>
        <v>#DIV/0!</v>
      </c>
      <c r="AC209" t="e">
        <f>(E209-K209-S209)/E209</f>
        <v>#DIV/0!</v>
      </c>
      <c r="AD209" t="e">
        <f>SUM(D209-H209)/D209</f>
        <v>#DIV/0!</v>
      </c>
      <c r="AK209">
        <f>SUM(W210-W209)</f>
        <v>0</v>
      </c>
      <c r="AL209">
        <f>SUM(K210-K209)</f>
        <v>0</v>
      </c>
    </row>
    <row r="210">
      <c r="C210" t="str">
        <v>Week 3</v>
      </c>
      <c r="F210">
        <f>D210-E210</f>
        <v>0</v>
      </c>
      <c r="G210" t="e">
        <f>F210/D210</f>
        <v>#DIV/0!</v>
      </c>
      <c r="J210">
        <f>SUM(H210-R210)</f>
        <v>0</v>
      </c>
      <c r="K210">
        <f>SUM(I210-S210)</f>
        <v>0</v>
      </c>
      <c r="L210">
        <f>J210-K210</f>
        <v>0</v>
      </c>
      <c r="M210" t="e">
        <f>L210/J210</f>
        <v>#DIV/0!</v>
      </c>
      <c r="T210">
        <f>R210-S210</f>
        <v>0</v>
      </c>
      <c r="U210" t="e">
        <f>T210/R210</f>
        <v>#DIV/0!</v>
      </c>
      <c r="X210">
        <f>V210-W210</f>
        <v>0</v>
      </c>
      <c r="Y210" t="e">
        <f>X210/V210</f>
        <v>#DIV/0!</v>
      </c>
      <c r="AA210" t="e">
        <f>(E210-K210-S210)/W210</f>
        <v>#DIV/0!</v>
      </c>
      <c r="AB210" t="e">
        <f>(D210-J210-R210)/V210</f>
        <v>#DIV/0!</v>
      </c>
      <c r="AC210" t="e">
        <f>(E210-K210-S210)/E210</f>
        <v>#DIV/0!</v>
      </c>
      <c r="AD210" t="e">
        <f>SUM(D210-H210)/D210</f>
        <v>#DIV/0!</v>
      </c>
      <c r="AG210" t="str">
        <v>Estimated months claim</v>
      </c>
      <c r="AH210">
        <v>0</v>
      </c>
      <c r="AK210">
        <f>SUM(W211-W210)</f>
        <v>0</v>
      </c>
      <c r="AL210">
        <f>SUM(K211-K210)</f>
        <v>0</v>
      </c>
    </row>
    <row r="211">
      <c r="C211" t="str">
        <v>Week 4</v>
      </c>
      <c r="F211">
        <f>D211-E211</f>
        <v>0</v>
      </c>
      <c r="G211" t="e">
        <f>F211/D211</f>
        <v>#DIV/0!</v>
      </c>
      <c r="J211">
        <f>SUM(H211-R211)</f>
        <v>0</v>
      </c>
      <c r="K211">
        <f>SUM(I211-S211)</f>
        <v>0</v>
      </c>
      <c r="L211">
        <f>J211-K211</f>
        <v>0</v>
      </c>
      <c r="M211" t="e">
        <f>L211/J211</f>
        <v>#DIV/0!</v>
      </c>
      <c r="T211">
        <f>R211-S211</f>
        <v>0</v>
      </c>
      <c r="U211" t="e">
        <f>T211/R211</f>
        <v>#DIV/0!</v>
      </c>
      <c r="X211">
        <f>V211-W211</f>
        <v>0</v>
      </c>
      <c r="Y211" t="e">
        <f>X211/V211</f>
        <v>#DIV/0!</v>
      </c>
      <c r="AA211" t="e">
        <f>(E211-K211-S211)/W211</f>
        <v>#DIV/0!</v>
      </c>
      <c r="AB211" t="e">
        <f>(D211-J211-R211)/V211</f>
        <v>#DIV/0!</v>
      </c>
      <c r="AC211" t="e">
        <f>(E211-K211-S211)/E211</f>
        <v>#DIV/0!</v>
      </c>
      <c r="AD211" t="e">
        <f>SUM(D211-H211)/D211</f>
        <v>#DIV/0!</v>
      </c>
      <c r="AK211">
        <f>SUM(W212-W211)</f>
        <v>0</v>
      </c>
      <c r="AL211">
        <f>SUM(K212-K211)</f>
        <v>0</v>
      </c>
    </row>
    <row r="212">
      <c r="C212" t="str">
        <v>Week 5</v>
      </c>
      <c r="F212">
        <f>D212-E212</f>
        <v>0</v>
      </c>
      <c r="G212" t="e">
        <f>F212/D212</f>
        <v>#DIV/0!</v>
      </c>
      <c r="J212">
        <f>SUM(H212-R212)</f>
        <v>0</v>
      </c>
      <c r="K212">
        <f>SUM(I212-S212)</f>
        <v>0</v>
      </c>
      <c r="L212">
        <f>J212-K212</f>
        <v>0</v>
      </c>
      <c r="M212" t="e">
        <f>L212/J212</f>
        <v>#DIV/0!</v>
      </c>
      <c r="T212">
        <f>R212-S212</f>
        <v>0</v>
      </c>
      <c r="U212" t="e">
        <f>T212/R212</f>
        <v>#DIV/0!</v>
      </c>
      <c r="X212">
        <f>V212-W212</f>
        <v>0</v>
      </c>
      <c r="Y212" t="e">
        <f>X212/V212</f>
        <v>#DIV/0!</v>
      </c>
      <c r="AA212" t="e">
        <f>(E212-K212-S212)/W212</f>
        <v>#DIV/0!</v>
      </c>
      <c r="AB212" t="e">
        <f>(D212-J212-R212)/V212</f>
        <v>#DIV/0!</v>
      </c>
      <c r="AC212" t="e">
        <f>(E212-K212-S212)/E212</f>
        <v>#DIV/0!</v>
      </c>
      <c r="AD212" t="e">
        <f>SUM(D212-H212)/D212</f>
        <v>#DIV/0!</v>
      </c>
      <c r="AK212">
        <f>SUM(AK207,AK208,AK209,AK210,AK211)</f>
        <v>0</v>
      </c>
      <c r="AL212">
        <f>SUM(AL207,AL208,AL209,AL210,AL211)</f>
        <v>0</v>
      </c>
    </row>
    <row r="214">
      <c r="A214">
        <f>'Main Sheet'!A64</f>
        <v>8946</v>
      </c>
      <c r="B214" t="str">
        <f>'Main Sheet'!B64</f>
        <v>Westcoast Vaults</v>
      </c>
      <c r="C214" t="str">
        <v>Start of month</v>
      </c>
      <c r="D214">
        <v>0</v>
      </c>
      <c r="E214">
        <v>0</v>
      </c>
      <c r="F214">
        <f>D214-E214</f>
        <v>0</v>
      </c>
      <c r="G214" t="e">
        <f>F214/D214</f>
        <v>#DIV/0!</v>
      </c>
      <c r="H214">
        <v>0</v>
      </c>
      <c r="I214">
        <v>0</v>
      </c>
      <c r="J214">
        <v>0</v>
      </c>
      <c r="K214">
        <v>0</v>
      </c>
      <c r="L214">
        <f>J214-K214</f>
        <v>0</v>
      </c>
      <c r="M214" t="e">
        <f>L214/J214</f>
        <v>#DIV/0!</v>
      </c>
      <c r="R214">
        <v>0</v>
      </c>
      <c r="S214">
        <v>0</v>
      </c>
      <c r="T214">
        <f>R214-S214</f>
        <v>0</v>
      </c>
      <c r="U214" t="e">
        <f>T214/R214</f>
        <v>#DIV/0!</v>
      </c>
      <c r="V214">
        <v>0</v>
      </c>
      <c r="W214">
        <v>0</v>
      </c>
      <c r="X214">
        <f>V214-W214</f>
        <v>0</v>
      </c>
      <c r="Y214" t="e">
        <f>X214/V214</f>
        <v>#DIV/0!</v>
      </c>
      <c r="AA214" t="e">
        <f>(E214-K214-S214)/W214</f>
        <v>#DIV/0!</v>
      </c>
      <c r="AB214" t="e">
        <f>(D214-J214-R214)/V214</f>
        <v>#DIV/0!</v>
      </c>
      <c r="AC214" t="e">
        <f>(E214-K214-S214)/E214</f>
        <v>#DIV/0!</v>
      </c>
      <c r="AD214" t="e">
        <f>SUM(D214-H214)/D214</f>
        <v>#DIV/0!</v>
      </c>
      <c r="AG214" t="str">
        <v>Hours calc for monthly claims</v>
      </c>
      <c r="AH214">
        <f>AK219</f>
        <v>0</v>
      </c>
      <c r="AK214">
        <f>SUM(W215-W214)</f>
        <v>0</v>
      </c>
      <c r="AL214">
        <f>SUM(K215-K214)</f>
        <v>0</v>
      </c>
    </row>
    <row r="215">
      <c r="C215" t="str">
        <v>Week 1</v>
      </c>
      <c r="D215">
        <v>0</v>
      </c>
      <c r="E215">
        <v>0</v>
      </c>
      <c r="F215">
        <v>0</v>
      </c>
      <c r="G215" t="e">
        <f>F215/D215</f>
        <v>#DIV/0!</v>
      </c>
      <c r="H215">
        <v>0</v>
      </c>
      <c r="I215">
        <v>0</v>
      </c>
      <c r="J215">
        <v>0</v>
      </c>
      <c r="K215">
        <v>0</v>
      </c>
      <c r="L215">
        <f>J215-K215</f>
        <v>0</v>
      </c>
      <c r="M215" t="e">
        <f>L215/J215</f>
        <v>#DIV/0!</v>
      </c>
      <c r="R215">
        <v>0</v>
      </c>
      <c r="S215">
        <v>0</v>
      </c>
      <c r="T215">
        <f>R215-S215</f>
        <v>0</v>
      </c>
      <c r="U215" t="e">
        <f>T215/R215</f>
        <v>#DIV/0!</v>
      </c>
      <c r="V215">
        <v>0</v>
      </c>
      <c r="W215">
        <v>0</v>
      </c>
      <c r="X215">
        <f>V215-W215</f>
        <v>0</v>
      </c>
      <c r="Y215" t="e">
        <f>X215/V215</f>
        <v>#DIV/0!</v>
      </c>
      <c r="AA215" t="e">
        <f>(E215-K215-S215)/W215</f>
        <v>#DIV/0!</v>
      </c>
      <c r="AB215" t="e">
        <f>(D215-J215-R215)/V215</f>
        <v>#DIV/0!</v>
      </c>
      <c r="AC215" t="e">
        <f>(E215-K215-S215)/E215</f>
        <v>#DIV/0!</v>
      </c>
      <c r="AD215" t="e">
        <f>SUM(D215-H215)/D215</f>
        <v>#DIV/0!</v>
      </c>
      <c r="AG215" t="str">
        <v>Materials calc for monthly claims</v>
      </c>
      <c r="AH215">
        <f>AL219</f>
        <v>0</v>
      </c>
      <c r="AK215">
        <f>SUM(W216-W215)</f>
        <v>0</v>
      </c>
      <c r="AL215">
        <f>SUM(K216-K215)</f>
        <v>0</v>
      </c>
    </row>
    <row r="216">
      <c r="C216" t="str">
        <v>Week 2</v>
      </c>
      <c r="F216">
        <f>D216-E216</f>
        <v>0</v>
      </c>
      <c r="G216" t="e">
        <f>F216/D216</f>
        <v>#DIV/0!</v>
      </c>
      <c r="J216">
        <f>SUM(H216-R216)</f>
        <v>0</v>
      </c>
      <c r="K216">
        <f>SUM(I216-S216)</f>
        <v>0</v>
      </c>
      <c r="L216">
        <f>J216-K216</f>
        <v>0</v>
      </c>
      <c r="M216" t="e">
        <f>L216/J216</f>
        <v>#DIV/0!</v>
      </c>
      <c r="T216">
        <f>R216-S216</f>
        <v>0</v>
      </c>
      <c r="U216" t="e">
        <f>T216/R216</f>
        <v>#DIV/0!</v>
      </c>
      <c r="X216">
        <f>V216-W216</f>
        <v>0</v>
      </c>
      <c r="Y216" t="e">
        <f>X216/V216</f>
        <v>#DIV/0!</v>
      </c>
      <c r="AA216" t="e">
        <f>(E216-K216-S216)/W216</f>
        <v>#DIV/0!</v>
      </c>
      <c r="AB216" t="e">
        <f>(D216-J216-R216)/V216</f>
        <v>#DIV/0!</v>
      </c>
      <c r="AC216" t="e">
        <f>(E216-K216-S216)/E216</f>
        <v>#DIV/0!</v>
      </c>
      <c r="AD216" t="e">
        <f>SUM(D216-H216)/D216</f>
        <v>#DIV/0!</v>
      </c>
      <c r="AK216">
        <f>SUM(W217-W216)</f>
        <v>0</v>
      </c>
      <c r="AL216">
        <f>SUM(K217-K216)</f>
        <v>0</v>
      </c>
    </row>
    <row r="217">
      <c r="C217" t="str">
        <v>Week 3</v>
      </c>
      <c r="F217">
        <f>D217-E217</f>
        <v>0</v>
      </c>
      <c r="G217" t="e">
        <f>F217/D217</f>
        <v>#DIV/0!</v>
      </c>
      <c r="J217">
        <f>SUM(H217-R217)</f>
        <v>0</v>
      </c>
      <c r="K217">
        <f>SUM(I217-S217)</f>
        <v>0</v>
      </c>
      <c r="L217">
        <f>J217-K217</f>
        <v>0</v>
      </c>
      <c r="M217" t="e">
        <f>L217/J217</f>
        <v>#DIV/0!</v>
      </c>
      <c r="T217">
        <f>R217-S217</f>
        <v>0</v>
      </c>
      <c r="U217" t="e">
        <f>T217/R217</f>
        <v>#DIV/0!</v>
      </c>
      <c r="X217">
        <f>V217-W217</f>
        <v>0</v>
      </c>
      <c r="Y217" t="e">
        <f>X217/V217</f>
        <v>#DIV/0!</v>
      </c>
      <c r="AA217" t="e">
        <f>(E217-K217-S217)/W217</f>
        <v>#DIV/0!</v>
      </c>
      <c r="AB217" t="e">
        <f>(D217-J217-R217)/V217</f>
        <v>#DIV/0!</v>
      </c>
      <c r="AC217" t="e">
        <f>(E217-K217-S217)/E217</f>
        <v>#DIV/0!</v>
      </c>
      <c r="AD217" t="e">
        <f>SUM(D217-H217)/D217</f>
        <v>#DIV/0!</v>
      </c>
      <c r="AG217" t="str">
        <v>Estimated months claim</v>
      </c>
      <c r="AH217">
        <v>0</v>
      </c>
      <c r="AK217">
        <f>SUM(W218-W217)</f>
        <v>0</v>
      </c>
      <c r="AL217">
        <f>SUM(K218-K217)</f>
        <v>0</v>
      </c>
    </row>
    <row r="218">
      <c r="C218" t="str">
        <v>Week 4</v>
      </c>
      <c r="F218">
        <f>D218-E218</f>
        <v>0</v>
      </c>
      <c r="G218" t="e">
        <f>F218/D218</f>
        <v>#DIV/0!</v>
      </c>
      <c r="J218">
        <f>SUM(H218-R218)</f>
        <v>0</v>
      </c>
      <c r="K218">
        <f>SUM(I218-S218)</f>
        <v>0</v>
      </c>
      <c r="L218">
        <f>J218-K218</f>
        <v>0</v>
      </c>
      <c r="M218" t="e">
        <f>L218/J218</f>
        <v>#DIV/0!</v>
      </c>
      <c r="T218">
        <f>R218-S218</f>
        <v>0</v>
      </c>
      <c r="U218" t="e">
        <f>T218/R218</f>
        <v>#DIV/0!</v>
      </c>
      <c r="X218">
        <f>V218-W218</f>
        <v>0</v>
      </c>
      <c r="Y218" t="e">
        <f>X218/V218</f>
        <v>#DIV/0!</v>
      </c>
      <c r="AA218" t="e">
        <f>(E218-K218-S218)/W218</f>
        <v>#DIV/0!</v>
      </c>
      <c r="AB218" t="e">
        <f>(D218-J218-R218)/V218</f>
        <v>#DIV/0!</v>
      </c>
      <c r="AC218" t="e">
        <f>(E218-K218-S218)/E218</f>
        <v>#DIV/0!</v>
      </c>
      <c r="AD218" t="e">
        <f>SUM(D218-H218)/D218</f>
        <v>#DIV/0!</v>
      </c>
      <c r="AK218">
        <f>SUM(W219-W218)</f>
        <v>0</v>
      </c>
      <c r="AL218">
        <f>SUM(K219-K218)</f>
        <v>0</v>
      </c>
    </row>
    <row r="219">
      <c r="C219" t="str">
        <v>Week 5</v>
      </c>
      <c r="F219">
        <f>D219-E219</f>
        <v>0</v>
      </c>
      <c r="G219" t="e">
        <f>F219/D219</f>
        <v>#DIV/0!</v>
      </c>
      <c r="J219">
        <f>SUM(H219-R219)</f>
        <v>0</v>
      </c>
      <c r="K219">
        <f>SUM(I219-S219)</f>
        <v>0</v>
      </c>
      <c r="L219">
        <f>J219-K219</f>
        <v>0</v>
      </c>
      <c r="M219" t="e">
        <f>L219/J219</f>
        <v>#DIV/0!</v>
      </c>
      <c r="T219">
        <f>R219-S219</f>
        <v>0</v>
      </c>
      <c r="U219" t="e">
        <f>T219/R219</f>
        <v>#DIV/0!</v>
      </c>
      <c r="X219">
        <f>V219-W219</f>
        <v>0</v>
      </c>
      <c r="Y219" t="e">
        <f>X219/V219</f>
        <v>#DIV/0!</v>
      </c>
      <c r="AA219" t="e">
        <f>(E219-K219-S219)/W219</f>
        <v>#DIV/0!</v>
      </c>
      <c r="AB219" t="e">
        <f>(D219-J219-R219)/V219</f>
        <v>#DIV/0!</v>
      </c>
      <c r="AC219" t="e">
        <f>(E219-K219-S219)/E219</f>
        <v>#DIV/0!</v>
      </c>
      <c r="AD219" t="e">
        <f>SUM(D219-H219)/D219</f>
        <v>#DIV/0!</v>
      </c>
      <c r="AK219">
        <f>SUM(AK214,AK215,AK216,AK217,AK218)</f>
        <v>0</v>
      </c>
      <c r="AL219">
        <f>SUM(AL214,AL215,AL216,AL217,AL218)</f>
        <v>0</v>
      </c>
    </row>
    <row r="221">
      <c r="A221">
        <f>'Main Sheet'!A66</f>
        <v>8308</v>
      </c>
      <c r="B221" t="str">
        <f>'Main Sheet'!B66</f>
        <v>Roydvale</v>
      </c>
      <c r="C221" t="str">
        <v>Start of month</v>
      </c>
      <c r="D221">
        <v>0</v>
      </c>
      <c r="E221">
        <v>0</v>
      </c>
      <c r="F221">
        <f>D221-E221</f>
        <v>0</v>
      </c>
      <c r="G221" t="e">
        <f>F221/D221</f>
        <v>#DIV/0!</v>
      </c>
      <c r="H221">
        <v>0</v>
      </c>
      <c r="I221">
        <v>0</v>
      </c>
      <c r="J221">
        <v>0</v>
      </c>
      <c r="K221">
        <v>0</v>
      </c>
      <c r="L221">
        <f>J221-K221</f>
        <v>0</v>
      </c>
      <c r="M221" t="e">
        <f>L221/J221</f>
        <v>#DIV/0!</v>
      </c>
      <c r="R221">
        <v>0</v>
      </c>
      <c r="S221">
        <v>0</v>
      </c>
      <c r="T221">
        <f>R221-S221</f>
        <v>0</v>
      </c>
      <c r="U221" t="e">
        <f>T221/R221</f>
        <v>#DIV/0!</v>
      </c>
      <c r="V221">
        <v>0</v>
      </c>
      <c r="W221">
        <v>0</v>
      </c>
      <c r="X221">
        <f>V221-W221</f>
        <v>0</v>
      </c>
      <c r="Y221" t="e">
        <f>X221/V221</f>
        <v>#DIV/0!</v>
      </c>
      <c r="AA221" t="e">
        <f>(E221-K221-S221)/W221</f>
        <v>#DIV/0!</v>
      </c>
      <c r="AB221" t="e">
        <f>(D221-J221-R221)/V221</f>
        <v>#DIV/0!</v>
      </c>
      <c r="AC221" t="e">
        <f>(E221-K221-S221)/E221</f>
        <v>#DIV/0!</v>
      </c>
      <c r="AD221" t="e">
        <f>SUM(D221-H221)/D221</f>
        <v>#DIV/0!</v>
      </c>
      <c r="AG221" t="str">
        <v>Hours calc for monthly claims</v>
      </c>
      <c r="AH221">
        <f>AK226</f>
        <v>0</v>
      </c>
      <c r="AK221">
        <f>SUM(W222-W221)</f>
        <v>0</v>
      </c>
      <c r="AL221">
        <f>SUM(K222-K221)</f>
        <v>0</v>
      </c>
    </row>
    <row r="222">
      <c r="C222" t="str">
        <v>Week 1</v>
      </c>
      <c r="D222">
        <v>0</v>
      </c>
      <c r="E222">
        <v>0</v>
      </c>
      <c r="F222">
        <v>0</v>
      </c>
      <c r="G222" t="e">
        <f>F222/D222</f>
        <v>#DIV/0!</v>
      </c>
      <c r="H222">
        <v>0</v>
      </c>
      <c r="I222">
        <v>0</v>
      </c>
      <c r="J222">
        <v>0</v>
      </c>
      <c r="K222">
        <v>0</v>
      </c>
      <c r="L222">
        <f>J222-K222</f>
        <v>0</v>
      </c>
      <c r="M222" t="e">
        <f>L222/J222</f>
        <v>#DIV/0!</v>
      </c>
      <c r="R222">
        <v>0</v>
      </c>
      <c r="S222">
        <v>0</v>
      </c>
      <c r="T222">
        <f>R222-S222</f>
        <v>0</v>
      </c>
      <c r="U222" t="e">
        <f>T222/R222</f>
        <v>#DIV/0!</v>
      </c>
      <c r="V222">
        <v>0</v>
      </c>
      <c r="W222">
        <v>0</v>
      </c>
      <c r="X222">
        <f>V222-W222</f>
        <v>0</v>
      </c>
      <c r="Y222" t="e">
        <f>X222/V222</f>
        <v>#DIV/0!</v>
      </c>
      <c r="AA222" t="e">
        <f>(E222-K222-S222)/W222</f>
        <v>#DIV/0!</v>
      </c>
      <c r="AB222" t="e">
        <f>(D222-J222-R222)/V222</f>
        <v>#DIV/0!</v>
      </c>
      <c r="AC222" t="e">
        <f>(E222-K222-S222)/E222</f>
        <v>#DIV/0!</v>
      </c>
      <c r="AD222" t="e">
        <f>SUM(D222-H222)/D222</f>
        <v>#DIV/0!</v>
      </c>
      <c r="AG222" t="str">
        <v>Materials calc for monthly claims</v>
      </c>
      <c r="AH222">
        <f>AL226</f>
        <v>0</v>
      </c>
      <c r="AK222">
        <f>SUM(W223-W222)</f>
        <v>0</v>
      </c>
      <c r="AL222">
        <f>SUM(K223-K222)</f>
        <v>0</v>
      </c>
    </row>
    <row r="223">
      <c r="C223" t="str">
        <v>Week 2</v>
      </c>
      <c r="F223">
        <f>D223-E223</f>
        <v>0</v>
      </c>
      <c r="G223" t="e">
        <f>F223/D223</f>
        <v>#DIV/0!</v>
      </c>
      <c r="J223">
        <f>SUM(H223-R223)</f>
        <v>0</v>
      </c>
      <c r="K223">
        <f>SUM(I223-S223)</f>
        <v>0</v>
      </c>
      <c r="L223">
        <f>J223-K223</f>
        <v>0</v>
      </c>
      <c r="M223" t="e">
        <f>L223/J223</f>
        <v>#DIV/0!</v>
      </c>
      <c r="T223">
        <f>R223-S223</f>
        <v>0</v>
      </c>
      <c r="U223" t="e">
        <f>T223/R223</f>
        <v>#DIV/0!</v>
      </c>
      <c r="X223">
        <f>V223-W223</f>
        <v>0</v>
      </c>
      <c r="Y223" t="e">
        <f>X223/V223</f>
        <v>#DIV/0!</v>
      </c>
      <c r="AA223" t="e">
        <f>(E223-K223-S223)/W223</f>
        <v>#DIV/0!</v>
      </c>
      <c r="AB223" t="e">
        <f>(D223-J223-R223)/V223</f>
        <v>#DIV/0!</v>
      </c>
      <c r="AC223" t="e">
        <f>(E223-K223-S223)/E223</f>
        <v>#DIV/0!</v>
      </c>
      <c r="AD223" t="e">
        <f>SUM(D223-H223)/D223</f>
        <v>#DIV/0!</v>
      </c>
      <c r="AK223">
        <f>SUM(W224-W223)</f>
        <v>0</v>
      </c>
      <c r="AL223">
        <f>SUM(K224-K223)</f>
        <v>0</v>
      </c>
    </row>
    <row r="224">
      <c r="C224" t="str">
        <v>Week 3</v>
      </c>
      <c r="F224">
        <f>D224-E224</f>
        <v>0</v>
      </c>
      <c r="G224" t="e">
        <f>F224/D224</f>
        <v>#DIV/0!</v>
      </c>
      <c r="J224">
        <f>SUM(H224-R224)</f>
        <v>0</v>
      </c>
      <c r="K224">
        <f>SUM(I224-S224)</f>
        <v>0</v>
      </c>
      <c r="L224">
        <f>J224-K224</f>
        <v>0</v>
      </c>
      <c r="M224" t="e">
        <f>L224/J224</f>
        <v>#DIV/0!</v>
      </c>
      <c r="T224">
        <f>R224-S224</f>
        <v>0</v>
      </c>
      <c r="U224" t="e">
        <f>T224/R224</f>
        <v>#DIV/0!</v>
      </c>
      <c r="X224">
        <f>V224-W224</f>
        <v>0</v>
      </c>
      <c r="Y224" t="e">
        <f>X224/V224</f>
        <v>#DIV/0!</v>
      </c>
      <c r="AA224" t="e">
        <f>(E224-K224-S224)/W224</f>
        <v>#DIV/0!</v>
      </c>
      <c r="AB224" t="e">
        <f>(D224-J224-R224)/V224</f>
        <v>#DIV/0!</v>
      </c>
      <c r="AC224" t="e">
        <f>(E224-K224-S224)/E224</f>
        <v>#DIV/0!</v>
      </c>
      <c r="AD224" t="e">
        <f>SUM(D224-H224)/D224</f>
        <v>#DIV/0!</v>
      </c>
      <c r="AG224" t="str">
        <v>Estimated months claim</v>
      </c>
      <c r="AH224">
        <v>0</v>
      </c>
      <c r="AK224">
        <f>SUM(W225-W224)</f>
        <v>0</v>
      </c>
      <c r="AL224">
        <f>SUM(K225-K224)</f>
        <v>0</v>
      </c>
    </row>
    <row r="225">
      <c r="C225" t="str">
        <v>Week 4</v>
      </c>
      <c r="F225">
        <f>D225-E225</f>
        <v>0</v>
      </c>
      <c r="G225" t="e">
        <f>F225/D225</f>
        <v>#DIV/0!</v>
      </c>
      <c r="J225">
        <f>SUM(H225-R225)</f>
        <v>0</v>
      </c>
      <c r="K225">
        <f>SUM(I225-S225)</f>
        <v>0</v>
      </c>
      <c r="L225">
        <f>J225-K225</f>
        <v>0</v>
      </c>
      <c r="M225" t="e">
        <f>L225/J225</f>
        <v>#DIV/0!</v>
      </c>
      <c r="T225">
        <f>R225-S225</f>
        <v>0</v>
      </c>
      <c r="U225" t="e">
        <f>T225/R225</f>
        <v>#DIV/0!</v>
      </c>
      <c r="X225">
        <f>V225-W225</f>
        <v>0</v>
      </c>
      <c r="Y225" t="e">
        <f>X225/V225</f>
        <v>#DIV/0!</v>
      </c>
      <c r="AA225" t="e">
        <f>(E225-K225-S225)/W225</f>
        <v>#DIV/0!</v>
      </c>
      <c r="AB225" t="e">
        <f>(D225-J225-R225)/V225</f>
        <v>#DIV/0!</v>
      </c>
      <c r="AC225" t="e">
        <f>(E225-K225-S225)/E225</f>
        <v>#DIV/0!</v>
      </c>
      <c r="AD225" t="e">
        <f>SUM(D225-H225)/D225</f>
        <v>#DIV/0!</v>
      </c>
      <c r="AK225">
        <f>SUM(W226-W225)</f>
        <v>0</v>
      </c>
      <c r="AL225">
        <f>SUM(K226-K225)</f>
        <v>0</v>
      </c>
    </row>
    <row r="226">
      <c r="C226" t="str">
        <v>Week 5</v>
      </c>
      <c r="F226">
        <f>D226-E226</f>
        <v>0</v>
      </c>
      <c r="G226" t="e">
        <f>F226/D226</f>
        <v>#DIV/0!</v>
      </c>
      <c r="J226">
        <f>SUM(H226-R226)</f>
        <v>0</v>
      </c>
      <c r="K226">
        <f>SUM(I226-S226)</f>
        <v>0</v>
      </c>
      <c r="L226">
        <f>J226-K226</f>
        <v>0</v>
      </c>
      <c r="M226" t="e">
        <f>L226/J226</f>
        <v>#DIV/0!</v>
      </c>
      <c r="T226">
        <f>R226-S226</f>
        <v>0</v>
      </c>
      <c r="U226" t="e">
        <f>T226/R226</f>
        <v>#DIV/0!</v>
      </c>
      <c r="X226">
        <f>V226-W226</f>
        <v>0</v>
      </c>
      <c r="Y226" t="e">
        <f>X226/V226</f>
        <v>#DIV/0!</v>
      </c>
      <c r="AA226" t="e">
        <f>(E226-K226-S226)/W226</f>
        <v>#DIV/0!</v>
      </c>
      <c r="AB226" t="e">
        <f>(D226-J226-R226)/V226</f>
        <v>#DIV/0!</v>
      </c>
      <c r="AC226" t="e">
        <f>(E226-K226-S226)/E226</f>
        <v>#DIV/0!</v>
      </c>
      <c r="AD226" t="e">
        <f>SUM(D226-H226)/D226</f>
        <v>#DIV/0!</v>
      </c>
      <c r="AK226">
        <f>SUM(AK221,AK222,AK223,AK224,AK225)</f>
        <v>0</v>
      </c>
      <c r="AL226">
        <f>SUM(AL221,AL222,AL223,AL224,AL225)</f>
        <v>0</v>
      </c>
    </row>
  </sheetData>
  <mergeCells count="61">
    <mergeCell ref="A220:AD220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136:AD136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0:AD10"/>
    <mergeCell ref="A17:AD17"/>
    <mergeCell ref="A24:AD24"/>
    <mergeCell ref="A31:AD31"/>
    <mergeCell ref="A38:AD38"/>
    <mergeCell ref="A45:AD45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J2:J3"/>
    <mergeCell ref="K2:K3"/>
    <mergeCell ref="L2:L3"/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M2:M3"/>
    <mergeCell ref="N2:N3"/>
    <mergeCell ref="R2:R3"/>
    <mergeCell ref="O2:O3"/>
    <mergeCell ref="P2:P3"/>
    <mergeCell ref="Q2:Q3"/>
  </mergeCells>
  <pageMargins left="0.7" right="0.7" top="0.75" bottom="0.75" header="0.3" footer="0.3"/>
  <ignoredErrors>
    <ignoredError numberStoredAsText="1" sqref="A1:AL2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3:P9"/>
  <sheetViews>
    <sheetView workbookViewId="0" rightToLeft="0"/>
  </sheetViews>
  <sheetData>
    <row r="3">
      <c r="A3">
        <v>340</v>
      </c>
      <c r="B3" t="str">
        <v>Allowed</v>
      </c>
      <c r="C3" t="str">
        <v>Actual</v>
      </c>
      <c r="D3" t="str">
        <v>% of job</v>
      </c>
    </row>
    <row r="4">
      <c r="A4" t="str">
        <v>Box out</v>
      </c>
      <c r="B4">
        <v>30</v>
      </c>
      <c r="D4">
        <f>SUM(B4/A3)</f>
        <v>0.08823529411764706</v>
      </c>
    </row>
    <row r="5">
      <c r="A5" t="str">
        <v>pre-wire</v>
      </c>
      <c r="B5">
        <v>60</v>
      </c>
      <c r="P5">
        <v>95.35</v>
      </c>
    </row>
    <row r="6">
      <c r="A6" t="str">
        <v>cut out</v>
      </c>
      <c r="B6">
        <v>100</v>
      </c>
      <c r="P6">
        <v>102.69</v>
      </c>
    </row>
    <row r="7">
      <c r="A7" t="str">
        <v>fit off lights</v>
      </c>
      <c r="B7">
        <v>150</v>
      </c>
      <c r="P7">
        <v>134.82</v>
      </c>
    </row>
    <row r="8">
      <c r="P8">
        <v>324.19</v>
      </c>
    </row>
    <row r="9">
      <c r="P9">
        <v>415</v>
      </c>
    </row>
  </sheetData>
  <pageMargins left="0.7" right="0.7" top="0.75" bottom="0.75" header="0.3" footer="0.3"/>
  <ignoredErrors>
    <ignoredError numberStoredAsText="1" sqref="A3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2024-06-05T18:39:39Z</dcterms:created>
  <dcterms:modified xsi:type="dcterms:W3CDTF">2026-08-03T03:43:47Z</dcterms:modified>
  <cp:lastModifiedBy>Cameron</cp:lastModifiedBy>
  <dc:creator>Tim Davies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0x01010057758179C7A0CC4486F1E8BFDC9591C3</vt:lpwstr>
  </property>
  <property fmtid="{D5CDD505-2E9C-101B-9397-08002B2CF9AE}" pid="3" name="MediaServiceImageTags">
    <vt:lpwstr/>
  </property>
</Properties>
</file>