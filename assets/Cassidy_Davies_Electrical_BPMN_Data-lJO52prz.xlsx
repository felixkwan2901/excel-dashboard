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<sst xmlns="http://schemas.openxmlformats.org/spreadsheetml/2006/main" count="1000" uniqueCount="224">
  <si>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</si>
  <si>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</si>
  <si>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</si>
  <si>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</si>
  <si>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</si>
  <si>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</si>
  <si>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</si>
  <si>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</si>
  <si>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</si>
  <si>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</si>
  <si>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</si>
  <si>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</si>
  <si>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</si>
  <si>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</si>
  <si>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</si>
  <si>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</si>
  <si>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</si>
  <si>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</si>
  <si>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</si>
  <si>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</si>
  <si>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</si>
  <si>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</si>
  <si>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</si>
  <si>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</si>
  <si>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</si>
  <si>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</si>
  <si>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</si>
  <si>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</si>
  <si>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</si>
  <si>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</si>
  <si>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</si>
  <si>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</si>
  <si>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</si>
  <si>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</si>
  <si>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</si>
  <si>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</si>
  <si>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</si>
  <si>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</si>
  <si>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</si>
  <si>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</si>
  <si>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</si>
  <si>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</si>
  <si>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</si>
  <si>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</si>
  <si>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</si>
  <si>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</si>
  <si>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</si>
  <si>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</si>
  <si>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</si>
  <si>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</si>
  <si>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</si>
  <si>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</si>
  <si>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</si>
  <si>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</si>
  <si>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</si>
  <si>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</si>
  <si>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</si>
  <si>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</si>
  <si>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</si>
  <si>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</si>
  <si>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</si>
  <si>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</si>
  <si>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</si>
  <si>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</si>
  <si>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</si>
  <si>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</si>
  <si>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</si>
  <si>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</si>
  <si>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</si>
  <si>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</si>
  <si>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</si>
  <si>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</si>
  <si>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</si>
  <si>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</si>
  <si>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</si>
  <si>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</si>
  <si>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</si>
  <si>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</si>
  <si>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</si>
  <si>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</si>
  <si>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</si>
  <si>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</si>
  <si>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</si>
  <si>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</si>
  <si>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</si>
  <si>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</si>
  <si>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</si>
  <si>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</si>
  <si>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</si>
  <si>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</si>
  <si>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</si>
  <si>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</si>
  <si>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</si>
  <si>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</si>
  <si>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</si>
  <si>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</si>
  <si>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</si>
  <si>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</si>
  <si>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</si>
  <si>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</si>
  <si>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</si>
  <si>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</si>
  <si>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</si>
  <si>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</si>
  <si>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</si>
  <si>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</si>
  <si>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</si>
  <si>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</si>
  <si>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</si>
  <si>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</si>
  <si>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</si>
  <si>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</si>
  <si>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</si>
  <si>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</si>
  <si>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</si>
  <si>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</si>
  <si>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</si>
  <si>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</si>
  <si>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</si>
  <si>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</si>
  <si>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Commercial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</si>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</sst>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  <c r="U8" s="1"/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>
        <v>45979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63</v>
      </c>
      <c r="D2" s="38" t="s">
        <v>64</v>
      </c>
      <c r="E2" s="38" t="s">
        <v>65</v>
      </c>
      <c r="F2" s="39" t="s">
        <v>66</v>
      </c>
      <c r="G2" s="40" t="s">
        <v>67</v>
      </c>
      <c r="H2" s="38" t="s">
        <v>68</v>
      </c>
      <c r="I2" s="38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3" t="s">
        <v>75</v>
      </c>
      <c r="P2" s="43" t="s">
        <v>76</v>
      </c>
      <c r="Q2" s="39" t="s">
        <v>77</v>
      </c>
      <c r="R2" s="40" t="s">
        <v>78</v>
      </c>
      <c r="S2" s="44" t="s">
        <v>79</v>
      </c>
      <c r="T2" s="44" t="s">
        <v>80</v>
      </c>
      <c r="U2" s="45" t="s">
        <v>81</v>
      </c>
      <c r="V2" s="40" t="s">
        <v>82</v>
      </c>
      <c r="W2" s="42" t="s">
        <v>83</v>
      </c>
      <c r="X2" s="46" t="s">
        <v>84</v>
      </c>
      <c r="Y2" s="47" t="s">
        <v>85</v>
      </c>
      <c r="Z2" s="46" t="s">
        <v>86</v>
      </c>
      <c r="AA2" s="48" t="s">
        <v>87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88</v>
      </c>
      <c r="AI3" s="50" t="s">
        <v>89</v>
      </c>
    </row>
    <row r="4" ht="15" customHeight="1" spans="1:35" x14ac:dyDescent="0.25">
      <c r="A4" s="19">
        <v>7658</v>
      </c>
      <c r="B4" s="20" t="s">
        <v>25</v>
      </c>
      <c r="C4" s="51" t="s">
        <v>90</v>
      </c>
      <c r="D4" s="52">
        <v>215046.91</v>
      </c>
      <c r="E4" s="52">
        <v>205915.9</v>
      </c>
      <c r="F4" s="52">
        <v>9131.01000000001</v>
      </c>
      <c r="G4" s="53">
        <v>0.0424605496540267</v>
      </c>
      <c r="H4" s="52">
        <v>181293.63</v>
      </c>
      <c r="I4" s="52">
        <v>113522.99</v>
      </c>
      <c r="J4" s="52">
        <v>155024.75</v>
      </c>
      <c r="K4" s="52">
        <v>92952.56</v>
      </c>
      <c r="L4" s="52">
        <v>62072.19</v>
      </c>
      <c r="M4" s="53">
        <v>0.400401806808268</v>
      </c>
      <c r="N4" s="53">
        <v>0.9</v>
      </c>
      <c r="O4" s="52">
        <v>26268.88</v>
      </c>
      <c r="P4" s="52">
        <v>20570.43</v>
      </c>
      <c r="Q4" s="52">
        <v>5698.45</v>
      </c>
      <c r="R4" s="53">
        <v>0.21692778679563</v>
      </c>
      <c r="S4" s="54">
        <v>530.95</v>
      </c>
      <c r="T4" s="54">
        <v>418</v>
      </c>
      <c r="U4" s="54">
        <v>112.95</v>
      </c>
      <c r="V4" s="53">
        <v>0.212731895658725</v>
      </c>
      <c r="W4" s="53"/>
      <c r="X4" s="55">
        <v>221.035669856459</v>
      </c>
      <c r="Y4" s="55">
        <v>63.5714850739241</v>
      </c>
      <c r="Z4" s="53">
        <v>0.448692451627096</v>
      </c>
      <c r="AA4" s="56">
        <v>0.156957754008184</v>
      </c>
      <c r="AB4" s="57"/>
      <c r="AD4" s="35" t="s">
        <v>91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92</v>
      </c>
      <c r="D5" s="52">
        <v>233882.27</v>
      </c>
      <c r="E5" s="52">
        <v>205915.9</v>
      </c>
      <c r="F5" s="52">
        <v>27966.369999999995</v>
      </c>
      <c r="G5" s="53">
        <v>0.1195745620221661</v>
      </c>
      <c r="H5" s="52">
        <v>199128.99</v>
      </c>
      <c r="I5" s="52">
        <v>161636.57</v>
      </c>
      <c r="J5" s="52">
        <v>172860.11</v>
      </c>
      <c r="K5" s="52">
        <v>136958.29</v>
      </c>
      <c r="L5" s="52">
        <v>35901.81999999998</v>
      </c>
      <c r="M5" s="53">
        <v>0.20769291422989364</v>
      </c>
      <c r="N5" s="53"/>
      <c r="O5" s="52">
        <v>26268.88</v>
      </c>
      <c r="P5" s="52">
        <v>24678.28</v>
      </c>
      <c r="Q5" s="52">
        <v>1590.6000000000022</v>
      </c>
      <c r="R5" s="53">
        <v>0.06055073531874987</v>
      </c>
      <c r="S5" s="54">
        <v>530.95</v>
      </c>
      <c r="T5" s="54">
        <v>498.25</v>
      </c>
      <c r="U5" s="54">
        <v>32.700000000000045</v>
      </c>
      <c r="V5" s="53">
        <v>0.06158772012430557</v>
      </c>
      <c r="W5" s="53"/>
      <c r="X5" s="55">
        <v>88.86970396387356</v>
      </c>
      <c r="Y5" s="55">
        <v>65.45490166985587</v>
      </c>
      <c r="Z5" s="53">
        <v>0.215</v>
      </c>
      <c r="AA5" s="56">
        <v>0.1486</v>
      </c>
      <c r="AB5" s="57"/>
      <c r="AD5" s="35" t="s">
        <v>93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94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95</v>
      </c>
      <c r="D7" s="52">
        <v>233882.27</v>
      </c>
      <c r="E7" s="52">
        <v>205915.9</v>
      </c>
      <c r="F7" s="52">
        <v>27966.369999999995</v>
      </c>
      <c r="G7" s="53">
        <v>0.1195745620221661</v>
      </c>
      <c r="H7" s="52">
        <v>199128.99</v>
      </c>
      <c r="I7" s="52">
        <v>165210.04</v>
      </c>
      <c r="J7" s="52">
        <v>172860.11</v>
      </c>
      <c r="K7" s="52">
        <v>137410.69</v>
      </c>
      <c r="L7" s="52">
        <v>35449.419999999984</v>
      </c>
      <c r="M7" s="53">
        <v>0.20507576907130273</v>
      </c>
      <c r="N7" s="53"/>
      <c r="O7" s="52">
        <v>26268.88</v>
      </c>
      <c r="P7" s="52">
        <v>27799.35</v>
      </c>
      <c r="Q7" s="52">
        <v>-1530.4699999999975</v>
      </c>
      <c r="R7" s="53">
        <v>-0.05826171500269511</v>
      </c>
      <c r="S7" s="54">
        <v>530.95</v>
      </c>
      <c r="T7" s="54">
        <v>556.5</v>
      </c>
      <c r="U7" s="54">
        <v>-25.549999999999955</v>
      </c>
      <c r="V7" s="53">
        <v>-0.04812129202373096</v>
      </c>
      <c r="W7" s="53"/>
      <c r="X7" s="55">
        <v>73.14619946091645</v>
      </c>
      <c r="Y7" s="55">
        <v>65.45490166985587</v>
      </c>
      <c r="Z7" s="53">
        <v>0.1977</v>
      </c>
      <c r="AA7" s="56">
        <v>0.1486</v>
      </c>
      <c r="AB7" s="57"/>
      <c r="AD7" s="35" t="s">
        <v>96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97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98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90</v>
      </c>
      <c r="D11" s="52">
        <v>95023.47</v>
      </c>
      <c r="E11" s="62">
        <v>51156.11</v>
      </c>
      <c r="F11" s="52">
        <v>43867.36</v>
      </c>
      <c r="G11" s="53">
        <v>0.461647632947944</v>
      </c>
      <c r="H11" s="52">
        <v>72292.47</v>
      </c>
      <c r="I11" s="52">
        <v>48296.81</v>
      </c>
      <c r="J11" s="52">
        <v>56719.74</v>
      </c>
      <c r="K11" s="52">
        <v>45701.86</v>
      </c>
      <c r="L11" s="52">
        <v>11017.88</v>
      </c>
      <c r="M11" s="53">
        <v>0.194251243041664</v>
      </c>
      <c r="N11" s="53"/>
      <c r="O11" s="52">
        <v>15572.73</v>
      </c>
      <c r="P11" s="52">
        <v>2594.95</v>
      </c>
      <c r="Q11" s="52">
        <v>12977.78</v>
      </c>
      <c r="R11" s="53">
        <v>0.833365761815687</v>
      </c>
      <c r="S11" s="54">
        <v>311.89</v>
      </c>
      <c r="T11" s="54">
        <v>52.5</v>
      </c>
      <c r="U11" s="54">
        <v>259.39</v>
      </c>
      <c r="V11" s="53">
        <v>0.831671422616948</v>
      </c>
      <c r="W11" s="53">
        <v>0.3</v>
      </c>
      <c r="X11" s="55">
        <v>54.4628571428571</v>
      </c>
      <c r="Y11" s="55">
        <v>72.8814646189362</v>
      </c>
      <c r="Z11" s="53">
        <v>0.055893616617839</v>
      </c>
      <c r="AA11" s="56">
        <v>0.239214585617637</v>
      </c>
      <c r="AB11" s="57"/>
      <c r="AD11" s="35" t="s">
        <v>91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92</v>
      </c>
      <c r="D12" s="52">
        <v>129074.86</v>
      </c>
      <c r="E12" s="62">
        <v>55068.11</v>
      </c>
      <c r="F12" s="52">
        <v>74006.75</v>
      </c>
      <c r="G12" s="53">
        <v>0.5733630081024299</v>
      </c>
      <c r="H12" s="52">
        <v>101420.72</v>
      </c>
      <c r="I12" s="52">
        <v>54810.2</v>
      </c>
      <c r="J12" s="52">
        <v>83645.65</v>
      </c>
      <c r="K12" s="52">
        <v>51716.869999999995</v>
      </c>
      <c r="L12" s="52">
        <v>31928.78</v>
      </c>
      <c r="M12" s="53">
        <v>0.3817147693872903</v>
      </c>
      <c r="N12" s="53"/>
      <c r="O12" s="52">
        <v>17775.07</v>
      </c>
      <c r="P12" s="52">
        <v>3093.33</v>
      </c>
      <c r="Q12" s="52">
        <v>14681.74</v>
      </c>
      <c r="R12" s="53">
        <v>0.825973681116305</v>
      </c>
      <c r="S12" s="54">
        <v>356.07</v>
      </c>
      <c r="T12" s="54">
        <v>63</v>
      </c>
      <c r="U12" s="54">
        <v>293.07</v>
      </c>
      <c r="V12" s="53">
        <v>0.823068497767293</v>
      </c>
      <c r="W12" s="53"/>
      <c r="X12" s="55">
        <v>4.093809523809524</v>
      </c>
      <c r="Y12" s="55">
        <v>77.66490997775718</v>
      </c>
      <c r="Z12" s="53">
        <v>0.004699999999999999</v>
      </c>
      <c r="AA12" s="56">
        <v>0.2142</v>
      </c>
      <c r="AB12" s="57"/>
      <c r="AD12" s="35" t="s">
        <v>93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94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95</v>
      </c>
      <c r="D14" s="52">
        <v>129074.86</v>
      </c>
      <c r="E14" s="62">
        <v>55068.11</v>
      </c>
      <c r="F14" s="52">
        <v>74006.75</v>
      </c>
      <c r="G14" s="53">
        <v>0.5733630081024299</v>
      </c>
      <c r="H14" s="52">
        <v>101420.72</v>
      </c>
      <c r="I14" s="52">
        <v>54087.96</v>
      </c>
      <c r="J14" s="52">
        <v>83645.65</v>
      </c>
      <c r="K14" s="52">
        <v>49628.88</v>
      </c>
      <c r="L14" s="52">
        <v>34016.77</v>
      </c>
      <c r="M14" s="53">
        <v>0.4066770955811808</v>
      </c>
      <c r="N14" s="53"/>
      <c r="O14" s="52">
        <v>17775.07</v>
      </c>
      <c r="P14" s="52">
        <v>4459.08</v>
      </c>
      <c r="Q14" s="52">
        <v>13315.99</v>
      </c>
      <c r="R14" s="53">
        <v>0.7491385406639749</v>
      </c>
      <c r="S14" s="54">
        <v>356.07</v>
      </c>
      <c r="T14" s="54">
        <v>90.75</v>
      </c>
      <c r="U14" s="54">
        <v>265.32</v>
      </c>
      <c r="V14" s="53">
        <v>0.7451343836886005</v>
      </c>
      <c r="W14" s="53"/>
      <c r="X14" s="55">
        <v>10.800550964187327</v>
      </c>
      <c r="Y14" s="55">
        <v>77.66490997775718</v>
      </c>
      <c r="Z14" s="53">
        <v>0.0178</v>
      </c>
      <c r="AA14" s="56">
        <v>0.2142</v>
      </c>
      <c r="AB14" s="57"/>
      <c r="AD14" s="35" t="s">
        <v>96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97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98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90</v>
      </c>
      <c r="D18" s="52">
        <v>27500.32</v>
      </c>
      <c r="E18" s="52">
        <v>6999.08</v>
      </c>
      <c r="F18" s="52">
        <v>20501.24</v>
      </c>
      <c r="G18" s="53">
        <v>0.74549096155972</v>
      </c>
      <c r="H18" s="52">
        <v>19565.83</v>
      </c>
      <c r="I18" s="52">
        <v>7621.92</v>
      </c>
      <c r="J18" s="52">
        <v>13767.34</v>
      </c>
      <c r="K18" s="52">
        <v>5911.24</v>
      </c>
      <c r="L18" s="52">
        <v>7856.1</v>
      </c>
      <c r="M18" s="53">
        <v>0.570633107049002</v>
      </c>
      <c r="N18" s="53"/>
      <c r="O18" s="52">
        <v>5798.49</v>
      </c>
      <c r="P18" s="52">
        <v>1710.68</v>
      </c>
      <c r="Q18" s="52">
        <v>4087.81</v>
      </c>
      <c r="R18" s="53">
        <v>0.70497836505711</v>
      </c>
      <c r="S18" s="54">
        <v>125.39</v>
      </c>
      <c r="T18" s="54">
        <v>34.75</v>
      </c>
      <c r="U18" s="54">
        <v>90.64</v>
      </c>
      <c r="V18" s="53">
        <v>0.722864662253768</v>
      </c>
      <c r="W18" s="53">
        <v>0.25</v>
      </c>
      <c r="X18" s="55">
        <v>-17.9234532374101</v>
      </c>
      <c r="Y18" s="55">
        <v>63.2784911077438</v>
      </c>
      <c r="Z18" s="53">
        <v>-0.0889888385330643</v>
      </c>
      <c r="AA18" s="56">
        <v>0.288523551725943</v>
      </c>
      <c r="AB18" s="57"/>
      <c r="AD18" s="35" t="s">
        <v>91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92</v>
      </c>
      <c r="D19" s="52"/>
      <c r="E19" s="52"/>
      <c r="F19" s="52"/>
      <c r="G19" s="53"/>
      <c r="H19" s="52"/>
      <c r="I19" s="52"/>
      <c r="J19" s="52"/>
      <c r="K19" s="52"/>
      <c r="L19" s="52"/>
      <c r="M19" s="53"/>
      <c r="N19" s="53"/>
      <c r="O19" s="52"/>
      <c r="P19" s="52"/>
      <c r="Q19" s="52"/>
      <c r="R19" s="53"/>
      <c r="S19" s="54"/>
      <c r="T19" s="54"/>
      <c r="U19" s="54"/>
      <c r="V19" s="53"/>
      <c r="W19" s="53"/>
      <c r="X19" s="55"/>
      <c r="Y19" s="55"/>
      <c r="Z19" s="53"/>
      <c r="AA19" s="56"/>
      <c r="AB19" s="57"/>
      <c r="AD19" s="35" t="s">
        <v>93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94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95</v>
      </c>
      <c r="D21" s="52">
        <v>27500.32</v>
      </c>
      <c r="E21" s="52">
        <v>6999.08</v>
      </c>
      <c r="F21" s="52">
        <v>20501.239999999998</v>
      </c>
      <c r="G21" s="53">
        <v>0.74549096155972</v>
      </c>
      <c r="H21" s="52">
        <v>19565.83</v>
      </c>
      <c r="I21" s="52">
        <v>7621.92</v>
      </c>
      <c r="J21" s="52">
        <v>13767.340000000002</v>
      </c>
      <c r="K21" s="52">
        <v>5911.24</v>
      </c>
      <c r="L21" s="52">
        <v>7856.100000000002</v>
      </c>
      <c r="M21" s="53">
        <v>0.5706331070490016</v>
      </c>
      <c r="N21" s="53"/>
      <c r="O21" s="52">
        <v>5798.49</v>
      </c>
      <c r="P21" s="52">
        <v>1710.68</v>
      </c>
      <c r="Q21" s="52">
        <v>4087.8099999999995</v>
      </c>
      <c r="R21" s="53">
        <v>0.7049783650571096</v>
      </c>
      <c r="S21" s="54">
        <v>125.39</v>
      </c>
      <c r="T21" s="54">
        <v>34.75</v>
      </c>
      <c r="U21" s="54">
        <v>90.64</v>
      </c>
      <c r="V21" s="53">
        <v>0.7228646622537682</v>
      </c>
      <c r="W21" s="53"/>
      <c r="X21" s="55">
        <v>-17.923453237410072</v>
      </c>
      <c r="Y21" s="55">
        <v>63.27846478985563</v>
      </c>
      <c r="Z21" s="53">
        <v>-0.08900000000000001</v>
      </c>
      <c r="AA21" s="56">
        <v>0.2885</v>
      </c>
      <c r="AB21" s="57"/>
      <c r="AD21" s="35" t="s">
        <v>96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97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98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90</v>
      </c>
      <c r="D25" s="55">
        <v>150850.82</v>
      </c>
      <c r="E25" s="55">
        <v>111983.72</v>
      </c>
      <c r="F25" s="52">
        <v>38867.1</v>
      </c>
      <c r="G25" s="53">
        <v>0.257652560324167</v>
      </c>
      <c r="H25" s="52">
        <v>102178.42</v>
      </c>
      <c r="I25" s="52">
        <v>75718.13</v>
      </c>
      <c r="J25" s="52">
        <v>62464.86</v>
      </c>
      <c r="K25" s="52">
        <v>56964.81</v>
      </c>
      <c r="L25" s="52">
        <v>5500.05</v>
      </c>
      <c r="M25" s="53">
        <v>0.0880503054037101</v>
      </c>
      <c r="N25" s="53">
        <v>0.9</v>
      </c>
      <c r="O25" s="52">
        <v>39713.56</v>
      </c>
      <c r="P25" s="52">
        <v>18753.32</v>
      </c>
      <c r="Q25" s="52">
        <v>20960.24</v>
      </c>
      <c r="R25" s="53">
        <v>0.527785471763297</v>
      </c>
      <c r="S25" s="54">
        <v>795.22</v>
      </c>
      <c r="T25" s="54">
        <v>388.25</v>
      </c>
      <c r="U25" s="54">
        <v>406.97</v>
      </c>
      <c r="V25" s="53">
        <v>0.511770327708056</v>
      </c>
      <c r="W25" s="53">
        <v>0.6</v>
      </c>
      <c r="X25" s="55">
        <v>93.4078300064391</v>
      </c>
      <c r="Y25" s="55">
        <v>61.2062070873469</v>
      </c>
      <c r="Z25" s="53">
        <v>0.32384698418663</v>
      </c>
      <c r="AA25" s="56">
        <v>0.32265253844825</v>
      </c>
      <c r="AB25" s="57"/>
      <c r="AD25" s="35" t="s">
        <v>91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92</v>
      </c>
      <c r="D26" s="55">
        <v>150850.82</v>
      </c>
      <c r="E26" s="55">
        <v>111983.72</v>
      </c>
      <c r="F26" s="52">
        <v>38867.100000000006</v>
      </c>
      <c r="G26" s="53">
        <v>0.25765256032416667</v>
      </c>
      <c r="H26" s="52">
        <v>102178.42</v>
      </c>
      <c r="I26" s="52">
        <v>81033.37</v>
      </c>
      <c r="J26" s="52">
        <v>62464.86</v>
      </c>
      <c r="K26" s="52">
        <v>58088.59</v>
      </c>
      <c r="L26" s="52">
        <v>4376.270000000004</v>
      </c>
      <c r="M26" s="53">
        <v>0.07005971037155936</v>
      </c>
      <c r="N26" s="53"/>
      <c r="O26" s="52">
        <v>39713.56</v>
      </c>
      <c r="P26" s="52">
        <v>22944.78</v>
      </c>
      <c r="Q26" s="52">
        <v>16768.78</v>
      </c>
      <c r="R26" s="53">
        <v>0.4222431834365894</v>
      </c>
      <c r="S26" s="54">
        <v>795.22</v>
      </c>
      <c r="T26" s="54">
        <v>472.75</v>
      </c>
      <c r="U26" s="54">
        <v>322.47</v>
      </c>
      <c r="V26" s="53">
        <v>0.40551042478810895</v>
      </c>
      <c r="W26" s="53"/>
      <c r="X26" s="55">
        <v>65.46874669487043</v>
      </c>
      <c r="Y26" s="55">
        <v>61.20621468124544</v>
      </c>
      <c r="Z26" s="53">
        <v>0.2764</v>
      </c>
      <c r="AA26" s="56">
        <v>0.3227</v>
      </c>
      <c r="AB26" s="57"/>
      <c r="AD26" s="35" t="s">
        <v>93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94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95</v>
      </c>
      <c r="D28" s="55">
        <v>150850.82</v>
      </c>
      <c r="E28" s="55">
        <v>111983.72</v>
      </c>
      <c r="F28" s="52">
        <v>38867.100000000006</v>
      </c>
      <c r="G28" s="53">
        <v>0.25765256032416667</v>
      </c>
      <c r="H28" s="52">
        <v>102178.42</v>
      </c>
      <c r="I28" s="52">
        <v>84545.62</v>
      </c>
      <c r="J28" s="52">
        <v>62464.86</v>
      </c>
      <c r="K28" s="52">
        <v>58627.5</v>
      </c>
      <c r="L28" s="52">
        <v>3837.3600000000006</v>
      </c>
      <c r="M28" s="53">
        <v>0.06143229969618119</v>
      </c>
      <c r="N28" s="53"/>
      <c r="O28" s="52">
        <v>39713.56</v>
      </c>
      <c r="P28" s="52">
        <v>25918.12</v>
      </c>
      <c r="Q28" s="52">
        <v>13795.439999999999</v>
      </c>
      <c r="R28" s="53">
        <v>0.34737354193378783</v>
      </c>
      <c r="S28" s="54">
        <v>795.22</v>
      </c>
      <c r="T28" s="54">
        <v>531.25</v>
      </c>
      <c r="U28" s="54">
        <v>263.97</v>
      </c>
      <c r="V28" s="53">
        <v>0.33194587661276126</v>
      </c>
      <c r="W28" s="53"/>
      <c r="X28" s="55">
        <v>51.648188235294114</v>
      </c>
      <c r="Y28" s="55">
        <v>61.20621468124544</v>
      </c>
      <c r="Z28" s="53">
        <v>0.245</v>
      </c>
      <c r="AA28" s="56">
        <v>0.3227</v>
      </c>
      <c r="AB28" s="57"/>
      <c r="AD28" s="35" t="s">
        <v>96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97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98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90</v>
      </c>
      <c r="D32" s="52">
        <v>389022.03</v>
      </c>
      <c r="E32" s="52">
        <v>176161.65</v>
      </c>
      <c r="F32" s="52">
        <v>212860.38</v>
      </c>
      <c r="G32" s="53">
        <v>0.547167932880305</v>
      </c>
      <c r="H32" s="52">
        <v>320431.12</v>
      </c>
      <c r="I32" s="52">
        <v>148939.51</v>
      </c>
      <c r="J32" s="62">
        <v>264519.78</v>
      </c>
      <c r="K32" s="52">
        <v>132316.71</v>
      </c>
      <c r="L32" s="52">
        <v>132203.07</v>
      </c>
      <c r="M32" s="53">
        <v>0.499785195647751</v>
      </c>
      <c r="N32" s="64"/>
      <c r="O32" s="52">
        <v>55911.34</v>
      </c>
      <c r="P32" s="52">
        <v>16622.8</v>
      </c>
      <c r="Q32" s="52">
        <v>39288.54</v>
      </c>
      <c r="R32" s="53">
        <v>0.702693585952331</v>
      </c>
      <c r="S32" s="54">
        <v>1120.27</v>
      </c>
      <c r="T32" s="54">
        <v>387.5</v>
      </c>
      <c r="U32" s="54">
        <v>732.77</v>
      </c>
      <c r="V32" s="53">
        <v>0.65410124345024</v>
      </c>
      <c r="W32" s="53">
        <v>0.4</v>
      </c>
      <c r="X32" s="55">
        <v>70.2506838709677</v>
      </c>
      <c r="Y32" s="55">
        <v>61.2271238183652</v>
      </c>
      <c r="Z32" s="53">
        <v>0.154529320087544</v>
      </c>
      <c r="AA32" s="56">
        <v>0.176316261575212</v>
      </c>
      <c r="AB32" s="57"/>
      <c r="AD32" s="35" t="s">
        <v>91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92</v>
      </c>
      <c r="D33" s="52">
        <v>396422.03</v>
      </c>
      <c r="E33" s="52">
        <v>176161.65</v>
      </c>
      <c r="F33" s="52">
        <v>220260.38000000003</v>
      </c>
      <c r="G33" s="53">
        <v>0.5556209376153994</v>
      </c>
      <c r="H33" s="52">
        <v>327431.12</v>
      </c>
      <c r="I33" s="65">
        <v>150094.16</v>
      </c>
      <c r="J33" s="52">
        <v>271519.78</v>
      </c>
      <c r="K33" s="52">
        <v>132259.14</v>
      </c>
      <c r="L33" s="52">
        <v>139260.64</v>
      </c>
      <c r="M33" s="53">
        <v>0.5128931674885712</v>
      </c>
      <c r="N33" s="53"/>
      <c r="O33" s="52">
        <v>55911.34</v>
      </c>
      <c r="P33" s="52">
        <v>17835.02</v>
      </c>
      <c r="Q33" s="52">
        <v>38076.31999999999</v>
      </c>
      <c r="R33" s="53">
        <v>0.6810124743924935</v>
      </c>
      <c r="S33" s="54">
        <v>1120.27</v>
      </c>
      <c r="T33" s="54">
        <v>416.25</v>
      </c>
      <c r="U33" s="54">
        <v>704.02</v>
      </c>
      <c r="V33" s="53">
        <v>0.6284377873191285</v>
      </c>
      <c r="W33" s="53"/>
      <c r="X33" s="55">
        <v>62.6246006006006</v>
      </c>
      <c r="Y33" s="55">
        <v>61.5841822414239</v>
      </c>
      <c r="Z33" s="53">
        <v>0.14800000000000002</v>
      </c>
      <c r="AA33" s="56">
        <v>0.174</v>
      </c>
      <c r="AB33" s="57"/>
      <c r="AD33" s="35" t="s">
        <v>93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94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95</v>
      </c>
      <c r="D35" s="52">
        <v>396422.03</v>
      </c>
      <c r="E35" s="52">
        <v>176161.65</v>
      </c>
      <c r="F35" s="52">
        <v>220260.38000000003</v>
      </c>
      <c r="G35" s="53">
        <v>0.5556209376153994</v>
      </c>
      <c r="H35" s="52">
        <v>327431.12</v>
      </c>
      <c r="I35" s="65">
        <v>150094.16</v>
      </c>
      <c r="J35" s="52">
        <v>271519.78</v>
      </c>
      <c r="K35" s="52">
        <v>132259.14</v>
      </c>
      <c r="L35" s="52">
        <v>139260.64</v>
      </c>
      <c r="M35" s="53">
        <v>0.5128931674885712</v>
      </c>
      <c r="N35" s="53"/>
      <c r="O35" s="52">
        <v>55911.34</v>
      </c>
      <c r="P35" s="52">
        <v>17835.02</v>
      </c>
      <c r="Q35" s="52">
        <v>38076.31999999999</v>
      </c>
      <c r="R35" s="53">
        <v>0.6810124743924935</v>
      </c>
      <c r="S35" s="54">
        <v>1120.27</v>
      </c>
      <c r="T35" s="54">
        <v>416.25</v>
      </c>
      <c r="U35" s="54">
        <v>704.02</v>
      </c>
      <c r="V35" s="53">
        <v>0.6284377873191285</v>
      </c>
      <c r="W35" s="53"/>
      <c r="X35" s="55">
        <v>62.6246006006006</v>
      </c>
      <c r="Y35" s="55">
        <v>61.5841822414239</v>
      </c>
      <c r="Z35" s="53">
        <v>0.14800000000000002</v>
      </c>
      <c r="AA35" s="56">
        <v>0.174</v>
      </c>
      <c r="AB35" s="57"/>
      <c r="AD35" s="35" t="s">
        <v>96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97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98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90</v>
      </c>
      <c r="D39" s="52">
        <v>128258.5</v>
      </c>
      <c r="E39" s="52">
        <v>36398.39</v>
      </c>
      <c r="F39" s="52">
        <v>91860.11</v>
      </c>
      <c r="G39" s="53">
        <v>0.716210699485804</v>
      </c>
      <c r="H39" s="52">
        <v>94098.32</v>
      </c>
      <c r="I39" s="52">
        <v>32521.46</v>
      </c>
      <c r="J39" s="52">
        <v>69042.09</v>
      </c>
      <c r="K39" s="52">
        <v>26847.46</v>
      </c>
      <c r="L39" s="52">
        <v>42194.63</v>
      </c>
      <c r="M39" s="53">
        <v>0.611143579228265</v>
      </c>
      <c r="N39" s="53"/>
      <c r="O39" s="52">
        <v>25056.23</v>
      </c>
      <c r="P39" s="52">
        <v>5674</v>
      </c>
      <c r="Q39" s="52">
        <v>19382.23</v>
      </c>
      <c r="R39" s="53">
        <v>0.773549332840575</v>
      </c>
      <c r="S39" s="54">
        <v>501</v>
      </c>
      <c r="T39" s="54">
        <v>112</v>
      </c>
      <c r="U39" s="54">
        <v>389</v>
      </c>
      <c r="V39" s="53">
        <v>0.776447105788423</v>
      </c>
      <c r="W39" s="53">
        <v>0.4</v>
      </c>
      <c r="X39" s="55">
        <v>34.6154464285714</v>
      </c>
      <c r="Y39" s="55">
        <v>68.183992015968</v>
      </c>
      <c r="Z39" s="53">
        <v>0.106513777120362</v>
      </c>
      <c r="AA39" s="56">
        <v>0.266338527271097</v>
      </c>
      <c r="AB39" s="57"/>
      <c r="AD39" s="35" t="s">
        <v>91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92</v>
      </c>
      <c r="D40" s="52">
        <v>128258.5</v>
      </c>
      <c r="E40" s="52">
        <v>36398.39</v>
      </c>
      <c r="F40" s="52">
        <v>91860.11</v>
      </c>
      <c r="G40" s="53">
        <v>0.7162106994858041</v>
      </c>
      <c r="H40" s="52">
        <v>94098.32</v>
      </c>
      <c r="I40" s="52">
        <v>35395.54</v>
      </c>
      <c r="J40" s="52">
        <v>69042.09000000001</v>
      </c>
      <c r="K40" s="52">
        <v>29132.06</v>
      </c>
      <c r="L40" s="52">
        <v>39910.03000000001</v>
      </c>
      <c r="M40" s="53">
        <v>0.5780536191763604</v>
      </c>
      <c r="N40" s="53"/>
      <c r="O40" s="52">
        <v>25056.23</v>
      </c>
      <c r="P40" s="52">
        <v>6263.48</v>
      </c>
      <c r="Q40" s="52">
        <v>18792.75</v>
      </c>
      <c r="R40" s="53">
        <v>0.7500230481600784</v>
      </c>
      <c r="S40" s="54">
        <v>501.83</v>
      </c>
      <c r="T40" s="54">
        <v>122.75</v>
      </c>
      <c r="U40" s="54">
        <v>379.08</v>
      </c>
      <c r="V40" s="53">
        <v>0.7553952533726561</v>
      </c>
      <c r="W40" s="53"/>
      <c r="X40" s="55">
        <v>8.169857433808554</v>
      </c>
      <c r="Y40" s="55">
        <v>68.07122423898531</v>
      </c>
      <c r="Z40" s="53">
        <v>0.0276</v>
      </c>
      <c r="AA40" s="56">
        <v>0.2663</v>
      </c>
      <c r="AB40" s="57"/>
      <c r="AD40" s="35" t="s">
        <v>93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94</v>
      </c>
      <c r="D41" s="52">
        <v>128258.5</v>
      </c>
      <c r="E41" s="52">
        <v>36398.39</v>
      </c>
      <c r="F41" s="52">
        <v>91860.11</v>
      </c>
      <c r="G41" s="53">
        <v>0.7162106994858041</v>
      </c>
      <c r="H41" s="52">
        <v>94098.32</v>
      </c>
      <c r="I41" s="52">
        <v>34659.62</v>
      </c>
      <c r="J41" s="52">
        <v>69042.09000000001</v>
      </c>
      <c r="K41" s="52">
        <v>28340.06</v>
      </c>
      <c r="L41" s="52">
        <v>40702.03000000001</v>
      </c>
      <c r="M41" s="53">
        <v>0.5895248825752524</v>
      </c>
      <c r="N41" s="53"/>
      <c r="O41" s="52">
        <v>25056.23</v>
      </c>
      <c r="P41" s="52">
        <v>6319.56</v>
      </c>
      <c r="Q41" s="52">
        <v>18736.67</v>
      </c>
      <c r="R41" s="53">
        <v>0.7477848822428593</v>
      </c>
      <c r="S41" s="54">
        <v>501.83</v>
      </c>
      <c r="T41" s="54">
        <v>123.75</v>
      </c>
      <c r="U41" s="54">
        <v>378.08</v>
      </c>
      <c r="V41" s="53">
        <v>0.7534025466791543</v>
      </c>
      <c r="W41" s="53"/>
      <c r="X41" s="55">
        <v>14.050666666666666</v>
      </c>
      <c r="Y41" s="55">
        <v>68.07122423898531</v>
      </c>
      <c r="Z41" s="53">
        <v>0.0478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95</v>
      </c>
      <c r="D42" s="52">
        <v>128258.5</v>
      </c>
      <c r="E42" s="52">
        <v>36398.39</v>
      </c>
      <c r="F42" s="52">
        <v>91860.11</v>
      </c>
      <c r="G42" s="53">
        <v>0.7162106994858041</v>
      </c>
      <c r="H42" s="52">
        <v>94098.32</v>
      </c>
      <c r="I42" s="52">
        <v>34659.62</v>
      </c>
      <c r="J42" s="52">
        <v>69042.09000000001</v>
      </c>
      <c r="K42" s="52">
        <v>28340.06</v>
      </c>
      <c r="L42" s="52">
        <v>40702.03000000001</v>
      </c>
      <c r="M42" s="53">
        <v>0.5895248825752524</v>
      </c>
      <c r="N42" s="53"/>
      <c r="O42" s="52">
        <v>25056.23</v>
      </c>
      <c r="P42" s="52">
        <v>6319.56</v>
      </c>
      <c r="Q42" s="52">
        <v>18736.67</v>
      </c>
      <c r="R42" s="53">
        <v>0.7477848822428593</v>
      </c>
      <c r="S42" s="54">
        <v>501.83</v>
      </c>
      <c r="T42" s="54">
        <v>123.75</v>
      </c>
      <c r="U42" s="54">
        <v>378.08</v>
      </c>
      <c r="V42" s="53">
        <v>0.7534025466791543</v>
      </c>
      <c r="W42" s="53"/>
      <c r="X42" s="55">
        <v>14.050666666666666</v>
      </c>
      <c r="Y42" s="55">
        <v>68.07122423898531</v>
      </c>
      <c r="Z42" s="53">
        <v>0.0478</v>
      </c>
      <c r="AA42" s="56">
        <v>0.2663</v>
      </c>
      <c r="AB42" s="57"/>
      <c r="AD42" s="35" t="s">
        <v>96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97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98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90</v>
      </c>
      <c r="D46" s="52">
        <v>64305.21</v>
      </c>
      <c r="E46" s="52">
        <v>25322.07</v>
      </c>
      <c r="F46" s="52">
        <v>38983.14</v>
      </c>
      <c r="G46" s="53">
        <v>0.606220553513471</v>
      </c>
      <c r="H46" s="52">
        <v>49749.48</v>
      </c>
      <c r="I46" s="52">
        <v>19566.87</v>
      </c>
      <c r="J46" s="52">
        <v>39151.4</v>
      </c>
      <c r="K46" s="52">
        <v>15639.05</v>
      </c>
      <c r="L46" s="52">
        <v>23512.35</v>
      </c>
      <c r="M46" s="53">
        <v>0.600549405640667</v>
      </c>
      <c r="N46" s="53">
        <v>0</v>
      </c>
      <c r="O46" s="52">
        <v>10598.08</v>
      </c>
      <c r="P46" s="52">
        <v>3927.82</v>
      </c>
      <c r="Q46" s="52">
        <v>6670.26</v>
      </c>
      <c r="R46" s="53">
        <v>0.629383812917057</v>
      </c>
      <c r="S46" s="54">
        <v>212.3</v>
      </c>
      <c r="T46" s="54">
        <v>86.75</v>
      </c>
      <c r="U46" s="54">
        <v>125.55</v>
      </c>
      <c r="V46" s="53">
        <v>0.591380122468205</v>
      </c>
      <c r="W46" s="53">
        <v>0.4</v>
      </c>
      <c r="X46" s="55">
        <v>66.3423631123919</v>
      </c>
      <c r="Y46" s="55">
        <v>68.5620819594913</v>
      </c>
      <c r="Z46" s="53">
        <v>0.22727999725141</v>
      </c>
      <c r="AA46" s="56">
        <v>0.226353821097855</v>
      </c>
      <c r="AB46" s="57"/>
      <c r="AD46" s="35" t="s">
        <v>91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92</v>
      </c>
      <c r="D47" s="52">
        <v>65693.36</v>
      </c>
      <c r="E47" s="52">
        <v>25322.07</v>
      </c>
      <c r="F47" s="52">
        <v>40371.29</v>
      </c>
      <c r="G47" s="53">
        <v>0.6145414087512041</v>
      </c>
      <c r="H47" s="52">
        <v>50582.37</v>
      </c>
      <c r="I47" s="52">
        <v>21491.46</v>
      </c>
      <c r="J47" s="52">
        <v>39438.990000000005</v>
      </c>
      <c r="K47" s="52">
        <v>16895.879999999997</v>
      </c>
      <c r="L47" s="52">
        <v>22543.110000000008</v>
      </c>
      <c r="M47" s="53">
        <v>0.5715945058430757</v>
      </c>
      <c r="N47" s="53"/>
      <c r="O47" s="52">
        <v>11143.38</v>
      </c>
      <c r="P47" s="52">
        <v>4595.58</v>
      </c>
      <c r="Q47" s="52">
        <v>6547.799999999999</v>
      </c>
      <c r="R47" s="53">
        <v>0.5875955051339898</v>
      </c>
      <c r="S47" s="54">
        <v>223.22</v>
      </c>
      <c r="T47" s="54">
        <v>100.25</v>
      </c>
      <c r="U47" s="54">
        <v>122.97</v>
      </c>
      <c r="V47" s="53">
        <v>0.5508914971776723</v>
      </c>
      <c r="W47" s="53"/>
      <c r="X47" s="55">
        <v>38.21057356608479</v>
      </c>
      <c r="Y47" s="55">
        <v>67.69550512136009</v>
      </c>
      <c r="Z47" s="53">
        <v>0.15130000000000002</v>
      </c>
      <c r="AA47" s="56">
        <v>0.23</v>
      </c>
      <c r="AB47" s="57"/>
      <c r="AD47" s="35" t="s">
        <v>93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94</v>
      </c>
      <c r="D48" s="52">
        <v>65693.36</v>
      </c>
      <c r="E48" s="52">
        <v>25322.07</v>
      </c>
      <c r="F48" s="52">
        <v>40371.29</v>
      </c>
      <c r="G48" s="53">
        <v>0.6145414087512041</v>
      </c>
      <c r="H48" s="52">
        <v>50582.37</v>
      </c>
      <c r="I48" s="52">
        <v>25131.9</v>
      </c>
      <c r="J48" s="52">
        <v>39438.990000000005</v>
      </c>
      <c r="K48" s="52">
        <v>20456.64</v>
      </c>
      <c r="L48" s="52">
        <v>18982.350000000006</v>
      </c>
      <c r="M48" s="53">
        <v>0.4813092323104624</v>
      </c>
      <c r="N48" s="53"/>
      <c r="O48" s="52">
        <v>11143.38</v>
      </c>
      <c r="P48" s="52">
        <v>4675.26</v>
      </c>
      <c r="Q48" s="52">
        <v>6468.119999999999</v>
      </c>
      <c r="R48" s="53">
        <v>0.5804450714235716</v>
      </c>
      <c r="S48" s="54">
        <v>223.22</v>
      </c>
      <c r="T48" s="54">
        <v>102.25</v>
      </c>
      <c r="U48" s="54">
        <v>120.97</v>
      </c>
      <c r="V48" s="53">
        <v>0.5419317265478004</v>
      </c>
      <c r="W48" s="53"/>
      <c r="X48" s="55">
        <v>1.8598533007334963</v>
      </c>
      <c r="Y48" s="55">
        <v>67.69550512136009</v>
      </c>
      <c r="Z48" s="53">
        <v>0.0075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95</v>
      </c>
      <c r="D49" s="52">
        <v>65693.36</v>
      </c>
      <c r="E49" s="52">
        <v>25322.07</v>
      </c>
      <c r="F49" s="52">
        <v>40371.29</v>
      </c>
      <c r="G49" s="53">
        <v>0.6145414087512041</v>
      </c>
      <c r="H49" s="52">
        <v>50582.37</v>
      </c>
      <c r="I49" s="52">
        <v>25131.9</v>
      </c>
      <c r="J49" s="52">
        <v>39438.990000000005</v>
      </c>
      <c r="K49" s="52">
        <v>20456.64</v>
      </c>
      <c r="L49" s="52">
        <v>18982.350000000006</v>
      </c>
      <c r="M49" s="53">
        <v>0.4813092323104624</v>
      </c>
      <c r="N49" s="53"/>
      <c r="O49" s="52">
        <v>11143.38</v>
      </c>
      <c r="P49" s="52">
        <v>4675.26</v>
      </c>
      <c r="Q49" s="52">
        <v>6468.119999999999</v>
      </c>
      <c r="R49" s="53">
        <v>0.5804450714235716</v>
      </c>
      <c r="S49" s="54">
        <v>223.22</v>
      </c>
      <c r="T49" s="54">
        <v>102.25</v>
      </c>
      <c r="U49" s="54">
        <v>120.97</v>
      </c>
      <c r="V49" s="53">
        <v>0.5419317265478004</v>
      </c>
      <c r="W49" s="53"/>
      <c r="X49" s="55">
        <v>1.8598533007334963</v>
      </c>
      <c r="Y49" s="55">
        <v>67.69550512136009</v>
      </c>
      <c r="Z49" s="53">
        <v>0.0075</v>
      </c>
      <c r="AA49" s="56">
        <v>0.23</v>
      </c>
      <c r="AB49" s="57"/>
      <c r="AD49" s="35" t="s">
        <v>96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97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98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90</v>
      </c>
      <c r="D53" s="52">
        <v>150152.16</v>
      </c>
      <c r="E53" s="52">
        <v>98562.5</v>
      </c>
      <c r="F53" s="52">
        <v>51589.66</v>
      </c>
      <c r="G53" s="53">
        <v>0.343582536541599</v>
      </c>
      <c r="H53" s="52">
        <v>105626.39</v>
      </c>
      <c r="I53" s="52">
        <v>79936.19</v>
      </c>
      <c r="J53" s="52">
        <v>72224.17</v>
      </c>
      <c r="K53" s="52">
        <v>66399.88</v>
      </c>
      <c r="L53" s="52">
        <v>5824.28999999999</v>
      </c>
      <c r="M53" s="53">
        <v>0.0806418405362082</v>
      </c>
      <c r="N53" s="53"/>
      <c r="O53" s="52">
        <v>33402.22</v>
      </c>
      <c r="P53" s="52">
        <v>13536.31</v>
      </c>
      <c r="Q53" s="52">
        <v>19865.91</v>
      </c>
      <c r="R53" s="53">
        <v>0.594748193383554</v>
      </c>
      <c r="S53" s="54">
        <v>668.92</v>
      </c>
      <c r="T53" s="54">
        <v>269</v>
      </c>
      <c r="U53" s="54">
        <v>399.92</v>
      </c>
      <c r="V53" s="53">
        <v>0.597859235783053</v>
      </c>
      <c r="W53" s="53">
        <v>0.3</v>
      </c>
      <c r="X53" s="55">
        <v>69.2427881040892</v>
      </c>
      <c r="Y53" s="55">
        <v>66.5636697960892</v>
      </c>
      <c r="Z53" s="53">
        <v>0.188979682942295</v>
      </c>
      <c r="AA53" s="56">
        <v>0.296537658865514</v>
      </c>
      <c r="AB53" s="57"/>
      <c r="AD53" s="35" t="s">
        <v>91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92</v>
      </c>
      <c r="D54" s="52">
        <v>154527.79</v>
      </c>
      <c r="E54" s="52">
        <v>98562.5</v>
      </c>
      <c r="F54" s="52">
        <v>55965.29000000001</v>
      </c>
      <c r="G54" s="53">
        <v>0.36216974306045535</v>
      </c>
      <c r="H54" s="52">
        <v>108880.28</v>
      </c>
      <c r="I54" s="52">
        <v>91409.03</v>
      </c>
      <c r="J54" s="52">
        <v>74953.01000000001</v>
      </c>
      <c r="K54" s="52">
        <v>72957.27</v>
      </c>
      <c r="L54" s="52">
        <v>1995.7400000000052</v>
      </c>
      <c r="M54" s="53">
        <v>0.026626549087221514</v>
      </c>
      <c r="N54" s="53"/>
      <c r="O54" s="52">
        <v>33927.27</v>
      </c>
      <c r="P54" s="52">
        <v>18451.76</v>
      </c>
      <c r="Q54" s="52">
        <v>15475.509999999998</v>
      </c>
      <c r="R54" s="53">
        <v>0.4561377912222233</v>
      </c>
      <c r="S54" s="54">
        <v>679.42</v>
      </c>
      <c r="T54" s="54">
        <v>386.5</v>
      </c>
      <c r="U54" s="54">
        <v>292.91999999999996</v>
      </c>
      <c r="V54" s="53">
        <v>0.43113243648994726</v>
      </c>
      <c r="W54" s="53"/>
      <c r="X54" s="55">
        <v>18.508331177231565</v>
      </c>
      <c r="Y54" s="55">
        <v>67.18600078134293</v>
      </c>
      <c r="Z54" s="53">
        <v>0.0726</v>
      </c>
      <c r="AA54" s="56">
        <v>0.2954</v>
      </c>
      <c r="AB54" s="57"/>
      <c r="AD54" s="35" t="s">
        <v>93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94</v>
      </c>
      <c r="D55" s="52">
        <v>154527.79</v>
      </c>
      <c r="E55" s="52">
        <v>98562.5</v>
      </c>
      <c r="F55" s="52">
        <v>55965.29000000001</v>
      </c>
      <c r="G55" s="53">
        <v>0.36216974306045535</v>
      </c>
      <c r="H55" s="52">
        <v>108880.28</v>
      </c>
      <c r="I55" s="52">
        <v>90918.83</v>
      </c>
      <c r="J55" s="52">
        <v>74953.01000000001</v>
      </c>
      <c r="K55" s="52">
        <v>71302.07</v>
      </c>
      <c r="L55" s="52">
        <v>3650.9400000000023</v>
      </c>
      <c r="M55" s="53">
        <v>0.04870971826214854</v>
      </c>
      <c r="N55" s="53"/>
      <c r="O55" s="52">
        <v>33927.27</v>
      </c>
      <c r="P55" s="52">
        <v>19616.76</v>
      </c>
      <c r="Q55" s="52">
        <v>14310.509999999998</v>
      </c>
      <c r="R55" s="53">
        <v>0.4217996319774624</v>
      </c>
      <c r="S55" s="54">
        <v>679.42</v>
      </c>
      <c r="T55" s="54">
        <v>413</v>
      </c>
      <c r="U55" s="54">
        <v>266.41999999999996</v>
      </c>
      <c r="V55" s="53">
        <v>0.39212858025963315</v>
      </c>
      <c r="W55" s="53"/>
      <c r="X55" s="55">
        <v>18.50767554479419</v>
      </c>
      <c r="Y55" s="55">
        <v>67.18600078134293</v>
      </c>
      <c r="Z55" s="53">
        <v>0.0776</v>
      </c>
      <c r="AA55" s="56">
        <v>0.2954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95</v>
      </c>
      <c r="D56" s="52">
        <v>154527.79</v>
      </c>
      <c r="E56" s="52">
        <v>98562.5</v>
      </c>
      <c r="F56" s="52">
        <v>55965.29000000001</v>
      </c>
      <c r="G56" s="53">
        <v>0.36216974306045535</v>
      </c>
      <c r="H56" s="52">
        <v>108880.28</v>
      </c>
      <c r="I56" s="52">
        <v>90918.83</v>
      </c>
      <c r="J56" s="52">
        <v>74953.01000000001</v>
      </c>
      <c r="K56" s="52">
        <v>71302.07</v>
      </c>
      <c r="L56" s="52">
        <v>3650.9400000000023</v>
      </c>
      <c r="M56" s="53">
        <v>0.04870971826214854</v>
      </c>
      <c r="N56" s="53"/>
      <c r="O56" s="52">
        <v>33927.27</v>
      </c>
      <c r="P56" s="52">
        <v>19616.76</v>
      </c>
      <c r="Q56" s="52">
        <v>14310.509999999998</v>
      </c>
      <c r="R56" s="53">
        <v>0.4217996319774624</v>
      </c>
      <c r="S56" s="54">
        <v>679.42</v>
      </c>
      <c r="T56" s="54">
        <v>413</v>
      </c>
      <c r="U56" s="54">
        <v>266.41999999999996</v>
      </c>
      <c r="V56" s="53">
        <v>0.39212858025963315</v>
      </c>
      <c r="W56" s="53"/>
      <c r="X56" s="55">
        <v>18.50767554479419</v>
      </c>
      <c r="Y56" s="55">
        <v>67.18600078134293</v>
      </c>
      <c r="Z56" s="53">
        <v>0.0776</v>
      </c>
      <c r="AA56" s="56">
        <v>0.2954</v>
      </c>
      <c r="AB56" s="57"/>
      <c r="AD56" s="35" t="s">
        <v>96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97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98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90</v>
      </c>
      <c r="D60" s="52">
        <v>20420.56</v>
      </c>
      <c r="E60" s="52">
        <v>16358.37</v>
      </c>
      <c r="F60" s="52">
        <v>4062.19</v>
      </c>
      <c r="G60" s="53">
        <v>0.198926474102571</v>
      </c>
      <c r="H60" s="52">
        <v>15859.68</v>
      </c>
      <c r="I60" s="52">
        <v>12193.17</v>
      </c>
      <c r="J60" s="52">
        <v>12689.1</v>
      </c>
      <c r="K60" s="52">
        <v>11159.14</v>
      </c>
      <c r="L60" s="52">
        <v>1529.96</v>
      </c>
      <c r="M60" s="53">
        <v>0.120572775058909</v>
      </c>
      <c r="N60" s="53"/>
      <c r="O60" s="52">
        <v>3170.58</v>
      </c>
      <c r="P60" s="52">
        <v>1034.03</v>
      </c>
      <c r="Q60" s="52">
        <v>2136.55</v>
      </c>
      <c r="R60" s="53">
        <v>0.673867241955731</v>
      </c>
      <c r="S60" s="54">
        <v>63.5</v>
      </c>
      <c r="T60" s="54">
        <v>26.75</v>
      </c>
      <c r="U60" s="54">
        <v>36.75</v>
      </c>
      <c r="V60" s="53">
        <v>0.578740157480315</v>
      </c>
      <c r="W60" s="53">
        <v>0.4</v>
      </c>
      <c r="X60" s="55">
        <v>155.708411214953</v>
      </c>
      <c r="Y60" s="55">
        <v>71.8248818897638</v>
      </c>
      <c r="Z60" s="53">
        <v>0.254621945829566</v>
      </c>
      <c r="AA60" s="56">
        <v>0.223347449825078</v>
      </c>
      <c r="AB60" s="57"/>
      <c r="AD60" s="35" t="s">
        <v>91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92</v>
      </c>
      <c r="D61" s="52">
        <v>20420.56</v>
      </c>
      <c r="E61" s="52">
        <v>16358.37</v>
      </c>
      <c r="F61" s="52">
        <v>4062.1900000000005</v>
      </c>
      <c r="G61" s="53">
        <v>0.19892647410257114</v>
      </c>
      <c r="H61" s="52">
        <v>15859.68</v>
      </c>
      <c r="I61" s="52">
        <v>12992.52</v>
      </c>
      <c r="J61" s="52">
        <v>12689.1</v>
      </c>
      <c r="K61" s="52">
        <v>11685.130000000001</v>
      </c>
      <c r="L61" s="52">
        <v>1003.9699999999993</v>
      </c>
      <c r="M61" s="53">
        <v>0.07912066261594591</v>
      </c>
      <c r="N61" s="53"/>
      <c r="O61" s="52">
        <v>3170.58</v>
      </c>
      <c r="P61" s="52">
        <v>1307.39</v>
      </c>
      <c r="Q61" s="52">
        <v>1863.1899999999998</v>
      </c>
      <c r="R61" s="53">
        <v>0.587649578310593</v>
      </c>
      <c r="S61" s="54">
        <v>63.5</v>
      </c>
      <c r="T61" s="54">
        <v>33.25</v>
      </c>
      <c r="U61" s="54">
        <v>30.25</v>
      </c>
      <c r="V61" s="53">
        <v>0.4763779527559055</v>
      </c>
      <c r="W61" s="53"/>
      <c r="X61" s="55">
        <v>101.22857142857143</v>
      </c>
      <c r="Y61" s="55">
        <v>71.82495570677168</v>
      </c>
      <c r="Z61" s="53">
        <v>0.20579999999999998</v>
      </c>
      <c r="AA61" s="56">
        <v>0.2233</v>
      </c>
      <c r="AB61" s="57"/>
      <c r="AD61" s="35" t="s">
        <v>93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94</v>
      </c>
      <c r="D62" s="52">
        <v>20420.56</v>
      </c>
      <c r="E62" s="52">
        <v>16358.37</v>
      </c>
      <c r="F62" s="52">
        <v>4062.1900000000005</v>
      </c>
      <c r="G62" s="53">
        <v>0.19892647410257114</v>
      </c>
      <c r="H62" s="52">
        <v>15859.68</v>
      </c>
      <c r="I62" s="52">
        <v>13601.05</v>
      </c>
      <c r="J62" s="52">
        <v>12689.1</v>
      </c>
      <c r="K62" s="52">
        <v>11685.13</v>
      </c>
      <c r="L62" s="52">
        <v>1003.9700000000012</v>
      </c>
      <c r="M62" s="53">
        <v>0.07912066261594605</v>
      </c>
      <c r="N62" s="53"/>
      <c r="O62" s="52">
        <v>3170.58</v>
      </c>
      <c r="P62" s="52">
        <v>1915.92</v>
      </c>
      <c r="Q62" s="52">
        <v>1254.6599999999999</v>
      </c>
      <c r="R62" s="53">
        <v>0.39571939518952365</v>
      </c>
      <c r="S62" s="54">
        <v>63.5</v>
      </c>
      <c r="T62" s="54">
        <v>47.5</v>
      </c>
      <c r="U62" s="54">
        <v>16</v>
      </c>
      <c r="V62" s="53">
        <v>0.25196850393700787</v>
      </c>
      <c r="W62" s="53"/>
      <c r="X62" s="55">
        <v>58.04884210526316</v>
      </c>
      <c r="Y62" s="55">
        <v>71.82495570677168</v>
      </c>
      <c r="Z62" s="53">
        <v>0.1686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95</v>
      </c>
      <c r="D63" s="52">
        <v>20420.56</v>
      </c>
      <c r="E63" s="52">
        <v>16358.37</v>
      </c>
      <c r="F63" s="52">
        <v>4062.1900000000005</v>
      </c>
      <c r="G63" s="53">
        <v>0.19892647410257114</v>
      </c>
      <c r="H63" s="52">
        <v>15859.68</v>
      </c>
      <c r="I63" s="52">
        <v>13601.05</v>
      </c>
      <c r="J63" s="52">
        <v>12689.1</v>
      </c>
      <c r="K63" s="52">
        <v>11685.13</v>
      </c>
      <c r="L63" s="52">
        <v>1003.9700000000012</v>
      </c>
      <c r="M63" s="53">
        <v>0.07912066261594605</v>
      </c>
      <c r="N63" s="53"/>
      <c r="O63" s="52">
        <v>3170.58</v>
      </c>
      <c r="P63" s="52">
        <v>1915.92</v>
      </c>
      <c r="Q63" s="52">
        <v>1254.6599999999999</v>
      </c>
      <c r="R63" s="53">
        <v>0.39571939518952365</v>
      </c>
      <c r="S63" s="54">
        <v>63.5</v>
      </c>
      <c r="T63" s="54">
        <v>47.5</v>
      </c>
      <c r="U63" s="54">
        <v>16</v>
      </c>
      <c r="V63" s="53">
        <v>0.25196850393700787</v>
      </c>
      <c r="W63" s="53"/>
      <c r="X63" s="55">
        <v>58.04884210526316</v>
      </c>
      <c r="Y63" s="55">
        <v>71.82495570677168</v>
      </c>
      <c r="Z63" s="53">
        <v>0.1686</v>
      </c>
      <c r="AA63" s="56">
        <v>0.2233</v>
      </c>
      <c r="AB63" s="57"/>
      <c r="AD63" s="35" t="s">
        <v>96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97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98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90</v>
      </c>
      <c r="D67" s="52">
        <v>46303.5</v>
      </c>
      <c r="E67" s="52">
        <v>6131.46</v>
      </c>
      <c r="F67" s="52">
        <v>40172.04</v>
      </c>
      <c r="G67" s="53">
        <v>0.867581068385759</v>
      </c>
      <c r="H67" s="52">
        <v>34612.41</v>
      </c>
      <c r="I67" s="52">
        <v>5397.27</v>
      </c>
      <c r="J67" s="52">
        <v>26584.53</v>
      </c>
      <c r="K67" s="52">
        <v>5397.27</v>
      </c>
      <c r="L67" s="52">
        <v>21187.26</v>
      </c>
      <c r="M67" s="53">
        <v>0.796977038901948</v>
      </c>
      <c r="N67" s="53"/>
      <c r="O67" s="52">
        <v>8027.88</v>
      </c>
      <c r="P67" s="52">
        <v>0</v>
      </c>
      <c r="Q67" s="52">
        <v>8027.88</v>
      </c>
      <c r="R67" s="53">
        <v>1</v>
      </c>
      <c r="S67" s="54">
        <v>160.82</v>
      </c>
      <c r="T67" s="54">
        <v>0</v>
      </c>
      <c r="U67" s="54">
        <v>160.82</v>
      </c>
      <c r="V67" s="53">
        <v>1</v>
      </c>
      <c r="W67" s="53"/>
      <c r="X67" s="55"/>
      <c r="Y67" s="55">
        <v>72.6967416987937</v>
      </c>
      <c r="Z67" s="53">
        <v>0.11974146451253</v>
      </c>
      <c r="AA67" s="56">
        <v>0.252488256827238</v>
      </c>
      <c r="AB67" s="57"/>
      <c r="AD67" s="35" t="s">
        <v>91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92</v>
      </c>
      <c r="D68" s="52">
        <v>46303.5</v>
      </c>
      <c r="E68" s="52">
        <v>6131.46</v>
      </c>
      <c r="F68" s="52">
        <v>40172.04</v>
      </c>
      <c r="G68" s="53">
        <v>0.8675810683857592</v>
      </c>
      <c r="H68" s="52">
        <v>34612.41</v>
      </c>
      <c r="I68" s="52">
        <v>9981.43</v>
      </c>
      <c r="J68" s="52">
        <v>26584.530000000002</v>
      </c>
      <c r="K68" s="52">
        <v>9832.65</v>
      </c>
      <c r="L68" s="52">
        <v>16751.880000000005</v>
      </c>
      <c r="M68" s="53">
        <v>0.6301363988755868</v>
      </c>
      <c r="N68" s="53"/>
      <c r="O68" s="52">
        <v>8027.88</v>
      </c>
      <c r="P68" s="52">
        <v>148.78</v>
      </c>
      <c r="Q68" s="52">
        <v>7879.1</v>
      </c>
      <c r="R68" s="53">
        <v>0.9814670872011042</v>
      </c>
      <c r="S68" s="54">
        <v>160.82</v>
      </c>
      <c r="T68" s="54">
        <v>2.75</v>
      </c>
      <c r="U68" s="54">
        <v>158.07</v>
      </c>
      <c r="V68" s="53">
        <v>0.9829001367989056</v>
      </c>
      <c r="W68" s="53"/>
      <c r="X68" s="55">
        <v>-1399.989090909091</v>
      </c>
      <c r="Y68" s="55">
        <v>72.69676349334662</v>
      </c>
      <c r="Z68" s="53">
        <v>-0.6279</v>
      </c>
      <c r="AA68" s="56">
        <v>0.2525</v>
      </c>
      <c r="AB68" s="57"/>
      <c r="AD68" s="35" t="s">
        <v>93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94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95</v>
      </c>
      <c r="D70" s="52">
        <v>46303.5</v>
      </c>
      <c r="E70" s="52">
        <v>6131.46</v>
      </c>
      <c r="F70" s="52">
        <v>40172.04</v>
      </c>
      <c r="G70" s="53">
        <v>0.8675810683857592</v>
      </c>
      <c r="H70" s="52">
        <v>34612.41</v>
      </c>
      <c r="I70" s="52">
        <v>9981.43</v>
      </c>
      <c r="J70" s="52">
        <v>26584.530000000002</v>
      </c>
      <c r="K70" s="52">
        <v>9832.65</v>
      </c>
      <c r="L70" s="52">
        <v>16751.880000000005</v>
      </c>
      <c r="M70" s="53">
        <v>0.6301363988755868</v>
      </c>
      <c r="N70" s="53"/>
      <c r="O70" s="52">
        <v>8027.88</v>
      </c>
      <c r="P70" s="52">
        <v>148.78</v>
      </c>
      <c r="Q70" s="52">
        <v>7879.1</v>
      </c>
      <c r="R70" s="53">
        <v>0.9814670872011042</v>
      </c>
      <c r="S70" s="54">
        <v>160.82</v>
      </c>
      <c r="T70" s="54">
        <v>2.75</v>
      </c>
      <c r="U70" s="54">
        <v>158.07</v>
      </c>
      <c r="V70" s="53">
        <v>0.9829001367989056</v>
      </c>
      <c r="W70" s="53"/>
      <c r="X70" s="55">
        <v>-1399.989090909091</v>
      </c>
      <c r="Y70" s="55">
        <v>72.69676349334662</v>
      </c>
      <c r="Z70" s="53">
        <v>-0.6279</v>
      </c>
      <c r="AA70" s="56">
        <v>0.2525</v>
      </c>
      <c r="AB70" s="57"/>
      <c r="AD70" s="35" t="s">
        <v>96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97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98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90</v>
      </c>
      <c r="D74" s="52"/>
      <c r="E74" s="52"/>
      <c r="F74" s="52"/>
      <c r="G74" s="53"/>
      <c r="H74" s="52"/>
      <c r="I74" s="52"/>
      <c r="J74" s="52"/>
      <c r="K74" s="52"/>
      <c r="L74" s="52"/>
      <c r="M74" s="53"/>
      <c r="N74" s="53"/>
      <c r="O74" s="52"/>
      <c r="P74" s="52"/>
      <c r="Q74" s="52"/>
      <c r="R74" s="53"/>
      <c r="S74" s="54"/>
      <c r="T74" s="54"/>
      <c r="U74" s="54"/>
      <c r="V74" s="53"/>
      <c r="W74" s="53">
        <v>0</v>
      </c>
      <c r="X74" s="55"/>
      <c r="Y74" s="55"/>
      <c r="Z74" s="53"/>
      <c r="AA74" s="56"/>
      <c r="AB74" s="57"/>
      <c r="AD74" s="35" t="s">
        <v>91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92</v>
      </c>
      <c r="D75" s="52">
        <v>77166.16</v>
      </c>
      <c r="E75" s="52">
        <v>0</v>
      </c>
      <c r="F75" s="52">
        <v>77166.16</v>
      </c>
      <c r="G75" s="53">
        <v>1</v>
      </c>
      <c r="H75" s="52">
        <v>54302.66</v>
      </c>
      <c r="I75" s="52">
        <v>12474.95</v>
      </c>
      <c r="J75" s="52">
        <v>31383.390000000003</v>
      </c>
      <c r="K75" s="52">
        <v>12474.95</v>
      </c>
      <c r="L75" s="52">
        <v>18908.440000000002</v>
      </c>
      <c r="M75" s="53">
        <v>0.6024983279371667</v>
      </c>
      <c r="N75" s="53"/>
      <c r="O75" s="52">
        <v>22919.27</v>
      </c>
      <c r="P75" s="52">
        <v>0</v>
      </c>
      <c r="Q75" s="52">
        <v>22919.27</v>
      </c>
      <c r="R75" s="53">
        <v>1</v>
      </c>
      <c r="S75" s="54">
        <v>470.62</v>
      </c>
      <c r="T75" s="54">
        <v>0</v>
      </c>
      <c r="U75" s="54">
        <v>470.62</v>
      </c>
      <c r="V75" s="53">
        <v>1</v>
      </c>
      <c r="W75" s="53"/>
      <c r="X75" s="55">
        <v>0</v>
      </c>
      <c r="Y75" s="55">
        <v>48.58165977967362</v>
      </c>
      <c r="Z75" s="53">
        <v>0</v>
      </c>
      <c r="AA75" s="56">
        <v>0.2963</v>
      </c>
      <c r="AB75" s="57"/>
      <c r="AD75" s="35" t="s">
        <v>93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94</v>
      </c>
      <c r="D76" s="52">
        <v>77166.16</v>
      </c>
      <c r="E76" s="52">
        <v>0</v>
      </c>
      <c r="F76" s="52">
        <v>77166.16</v>
      </c>
      <c r="G76" s="53">
        <v>1</v>
      </c>
      <c r="H76" s="52">
        <v>54302.66</v>
      </c>
      <c r="I76" s="52">
        <v>22353.17</v>
      </c>
      <c r="J76" s="52">
        <v>31383.390000000003</v>
      </c>
      <c r="K76" s="52">
        <v>22353.17</v>
      </c>
      <c r="L76" s="52">
        <v>9030.220000000005</v>
      </c>
      <c r="M76" s="53">
        <v>0.28773883254804544</v>
      </c>
      <c r="N76" s="53"/>
      <c r="O76" s="52">
        <v>22919.27</v>
      </c>
      <c r="P76" s="52">
        <v>0</v>
      </c>
      <c r="Q76" s="52">
        <v>22919.27</v>
      </c>
      <c r="R76" s="53">
        <v>1</v>
      </c>
      <c r="S76" s="54">
        <v>470.62</v>
      </c>
      <c r="T76" s="54">
        <v>0</v>
      </c>
      <c r="U76" s="54">
        <v>470.62</v>
      </c>
      <c r="V76" s="53">
        <v>1</v>
      </c>
      <c r="W76" s="53"/>
      <c r="X76" s="55">
        <v>0</v>
      </c>
      <c r="Y76" s="55">
        <v>48.58165977967362</v>
      </c>
      <c r="Z76" s="53">
        <v>0</v>
      </c>
      <c r="AA76" s="56">
        <v>0.2963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95</v>
      </c>
      <c r="D77" s="52">
        <v>77166.16</v>
      </c>
      <c r="E77" s="52">
        <v>0</v>
      </c>
      <c r="F77" s="52">
        <v>77166.16</v>
      </c>
      <c r="G77" s="53">
        <v>1</v>
      </c>
      <c r="H77" s="52">
        <v>54302.66</v>
      </c>
      <c r="I77" s="52">
        <v>22353.17</v>
      </c>
      <c r="J77" s="52">
        <v>31383.390000000003</v>
      </c>
      <c r="K77" s="52">
        <v>22353.17</v>
      </c>
      <c r="L77" s="52">
        <v>9030.220000000005</v>
      </c>
      <c r="M77" s="53">
        <v>0.28773883254804544</v>
      </c>
      <c r="N77" s="53"/>
      <c r="O77" s="52">
        <v>22919.27</v>
      </c>
      <c r="P77" s="52">
        <v>0</v>
      </c>
      <c r="Q77" s="52">
        <v>22919.27</v>
      </c>
      <c r="R77" s="53">
        <v>1</v>
      </c>
      <c r="S77" s="54">
        <v>470.62</v>
      </c>
      <c r="T77" s="54">
        <v>0</v>
      </c>
      <c r="U77" s="54">
        <v>470.62</v>
      </c>
      <c r="V77" s="53">
        <v>1</v>
      </c>
      <c r="W77" s="53"/>
      <c r="X77" s="55">
        <v>0</v>
      </c>
      <c r="Y77" s="55">
        <v>48.58165977967362</v>
      </c>
      <c r="Z77" s="53">
        <v>0</v>
      </c>
      <c r="AA77" s="56">
        <v>0.2963</v>
      </c>
      <c r="AB77" s="57"/>
      <c r="AD77" s="35" t="s">
        <v>96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97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98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90</v>
      </c>
      <c r="D81" s="52">
        <v>25467.84</v>
      </c>
      <c r="E81" s="52">
        <v>19598.41</v>
      </c>
      <c r="F81" s="52">
        <v>5869.43</v>
      </c>
      <c r="G81" s="53">
        <v>0.230464381745763</v>
      </c>
      <c r="H81" s="52">
        <v>16606.83</v>
      </c>
      <c r="I81" s="52">
        <v>12921.64</v>
      </c>
      <c r="J81" s="52">
        <v>9659.99</v>
      </c>
      <c r="K81" s="52">
        <v>5569.48</v>
      </c>
      <c r="L81" s="52">
        <v>4090.51</v>
      </c>
      <c r="M81" s="53">
        <v>0.423448678518301</v>
      </c>
      <c r="N81" s="53">
        <v>0</v>
      </c>
      <c r="O81" s="52">
        <v>6946.84</v>
      </c>
      <c r="P81" s="52">
        <v>7352.16</v>
      </c>
      <c r="Q81" s="52">
        <v>-405.32</v>
      </c>
      <c r="R81" s="53">
        <v>-0.05834595298006</v>
      </c>
      <c r="S81" s="54">
        <v>139.07</v>
      </c>
      <c r="T81" s="54">
        <v>143.25</v>
      </c>
      <c r="U81" s="54">
        <v>-4.18000000000001</v>
      </c>
      <c r="V81" s="53">
        <v>-0.0300568059250738</v>
      </c>
      <c r="W81" s="53"/>
      <c r="X81" s="55">
        <v>46.6092146596859</v>
      </c>
      <c r="Y81" s="55">
        <v>63.7161860933343</v>
      </c>
      <c r="Z81" s="53">
        <v>0.340679167340616</v>
      </c>
      <c r="AA81" s="56">
        <v>0.347929388593615</v>
      </c>
      <c r="AB81" s="57"/>
      <c r="AD81" s="35" t="s">
        <v>91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92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12729.14</v>
      </c>
      <c r="J82" s="52">
        <v>9659.990000000002</v>
      </c>
      <c r="K82" s="52">
        <v>5354.119999999999</v>
      </c>
      <c r="L82" s="52">
        <v>4305.870000000003</v>
      </c>
      <c r="M82" s="53">
        <v>0.44574269745620876</v>
      </c>
      <c r="N82" s="53"/>
      <c r="O82" s="52">
        <v>6946.84</v>
      </c>
      <c r="P82" s="52">
        <v>7375.02</v>
      </c>
      <c r="Q82" s="52">
        <v>-428.1800000000003</v>
      </c>
      <c r="R82" s="53">
        <v>-0.061636657818518965</v>
      </c>
      <c r="S82" s="54">
        <v>139.07</v>
      </c>
      <c r="T82" s="54">
        <v>143.25</v>
      </c>
      <c r="U82" s="54">
        <v>-4.180000000000007</v>
      </c>
      <c r="V82" s="53">
        <v>-0.030056805925073756</v>
      </c>
      <c r="W82" s="53"/>
      <c r="X82" s="55">
        <v>47.95301919720768</v>
      </c>
      <c r="Y82" s="55">
        <v>63.7162162306752</v>
      </c>
      <c r="Z82" s="53">
        <v>0.3505</v>
      </c>
      <c r="AA82" s="56">
        <v>0.3479</v>
      </c>
      <c r="AB82" s="57"/>
      <c r="AD82" s="35" t="s">
        <v>93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94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95</v>
      </c>
      <c r="D84" s="52">
        <v>25467.84</v>
      </c>
      <c r="E84" s="52">
        <v>19598.41</v>
      </c>
      <c r="F84" s="52">
        <v>5869.43</v>
      </c>
      <c r="G84" s="53">
        <v>0.2304643817457625</v>
      </c>
      <c r="H84" s="52">
        <v>16606.83</v>
      </c>
      <c r="I84" s="52">
        <v>12729.14</v>
      </c>
      <c r="J84" s="52">
        <v>9659.990000000002</v>
      </c>
      <c r="K84" s="52">
        <v>5354.119999999999</v>
      </c>
      <c r="L84" s="52">
        <v>4305.870000000003</v>
      </c>
      <c r="M84" s="53">
        <v>0.44574269745620876</v>
      </c>
      <c r="N84" s="53"/>
      <c r="O84" s="52">
        <v>6946.84</v>
      </c>
      <c r="P84" s="52">
        <v>7375.02</v>
      </c>
      <c r="Q84" s="52">
        <v>-428.1800000000003</v>
      </c>
      <c r="R84" s="53">
        <v>-0.061636657818518965</v>
      </c>
      <c r="S84" s="54">
        <v>139.07</v>
      </c>
      <c r="T84" s="54">
        <v>143.25</v>
      </c>
      <c r="U84" s="54">
        <v>-4.180000000000007</v>
      </c>
      <c r="V84" s="53">
        <v>-0.030056805925073756</v>
      </c>
      <c r="W84" s="53"/>
      <c r="X84" s="55">
        <v>47.95301919720768</v>
      </c>
      <c r="Y84" s="55">
        <v>63.7162162306752</v>
      </c>
      <c r="Z84" s="53">
        <v>0.3505</v>
      </c>
      <c r="AA84" s="56">
        <v>0.3479</v>
      </c>
      <c r="AB84" s="57"/>
      <c r="AD84" s="35" t="s">
        <v>96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97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98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90</v>
      </c>
      <c r="D88" s="67">
        <v>37083.03</v>
      </c>
      <c r="E88" s="67">
        <v>33023.07</v>
      </c>
      <c r="F88" s="52">
        <v>4059.96</v>
      </c>
      <c r="G88" s="53">
        <v>0.109482962961764</v>
      </c>
      <c r="H88" s="52">
        <v>27002.93</v>
      </c>
      <c r="I88" s="52">
        <v>21520.62</v>
      </c>
      <c r="J88" s="52">
        <v>15440.32</v>
      </c>
      <c r="K88" s="52">
        <v>14143.19</v>
      </c>
      <c r="L88" s="52">
        <v>1297.13</v>
      </c>
      <c r="M88" s="53">
        <v>0.0840092692379433</v>
      </c>
      <c r="N88" s="53">
        <v>0</v>
      </c>
      <c r="O88" s="52">
        <v>11562.61</v>
      </c>
      <c r="P88" s="52">
        <v>7377.43</v>
      </c>
      <c r="Q88" s="52">
        <v>4185.18</v>
      </c>
      <c r="R88" s="53">
        <v>0.361958070020523</v>
      </c>
      <c r="S88" s="68">
        <v>231.75</v>
      </c>
      <c r="T88" s="68">
        <v>148.5</v>
      </c>
      <c r="U88" s="54">
        <v>83.25</v>
      </c>
      <c r="V88" s="53">
        <v>0.359223300970874</v>
      </c>
      <c r="W88" s="53"/>
      <c r="X88" s="55">
        <v>77.4575757575758</v>
      </c>
      <c r="Y88" s="55">
        <v>43.4955771305286</v>
      </c>
      <c r="Z88" s="53">
        <v>0.34831558664897</v>
      </c>
      <c r="AA88" s="56">
        <v>0.271825144816915</v>
      </c>
      <c r="AB88" s="57"/>
      <c r="AD88" s="35" t="s">
        <v>91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92</v>
      </c>
      <c r="D89" s="67">
        <v>37083.03</v>
      </c>
      <c r="E89" s="67">
        <v>33023.07</v>
      </c>
      <c r="F89" s="52">
        <v>4059.959999999999</v>
      </c>
      <c r="G89" s="53">
        <v>0.10948296296176444</v>
      </c>
      <c r="H89" s="52">
        <v>27002.93</v>
      </c>
      <c r="I89" s="52">
        <v>25023.81</v>
      </c>
      <c r="J89" s="52">
        <v>15440.32</v>
      </c>
      <c r="K89" s="52">
        <v>15309.990000000002</v>
      </c>
      <c r="L89" s="52">
        <v>130.3299999999981</v>
      </c>
      <c r="M89" s="53">
        <v>0.008440887235497588</v>
      </c>
      <c r="N89" s="53"/>
      <c r="O89" s="52">
        <v>11562.61</v>
      </c>
      <c r="P89" s="52">
        <v>9713.82</v>
      </c>
      <c r="Q89" s="52">
        <v>1848.7900000000009</v>
      </c>
      <c r="R89" s="53">
        <v>0.15989383019923709</v>
      </c>
      <c r="S89" s="68">
        <v>231.75</v>
      </c>
      <c r="T89" s="68">
        <v>198.75</v>
      </c>
      <c r="U89" s="54">
        <v>33</v>
      </c>
      <c r="V89" s="53">
        <v>0.1423948220064725</v>
      </c>
      <c r="W89" s="53"/>
      <c r="X89" s="55">
        <v>40.247849056603776</v>
      </c>
      <c r="Y89" s="55">
        <v>43.49557070636461</v>
      </c>
      <c r="Z89" s="53">
        <v>0.2422</v>
      </c>
      <c r="AA89" s="56">
        <v>0.2718</v>
      </c>
      <c r="AB89" s="57"/>
      <c r="AD89" s="35" t="s">
        <v>93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94</v>
      </c>
      <c r="D90" s="67">
        <v>37083.03</v>
      </c>
      <c r="E90" s="67">
        <v>33023.07</v>
      </c>
      <c r="F90" s="52">
        <v>4059.959999999999</v>
      </c>
      <c r="G90" s="53">
        <v>0.10948296296176444</v>
      </c>
      <c r="H90" s="52">
        <v>27002.93</v>
      </c>
      <c r="I90" s="52">
        <v>25996.77</v>
      </c>
      <c r="J90" s="52">
        <v>15440.32</v>
      </c>
      <c r="K90" s="52">
        <v>15990.78</v>
      </c>
      <c r="L90" s="52">
        <v>-550.460000000001</v>
      </c>
      <c r="M90" s="53">
        <v>-0.0356508155271394</v>
      </c>
      <c r="N90" s="53"/>
      <c r="O90" s="52">
        <v>11562.61</v>
      </c>
      <c r="P90" s="52">
        <v>10005.99</v>
      </c>
      <c r="Q90" s="52">
        <v>1556.6200000000008</v>
      </c>
      <c r="R90" s="53">
        <v>0.13462531383485224</v>
      </c>
      <c r="S90" s="68">
        <v>231.75</v>
      </c>
      <c r="T90" s="68">
        <v>204.75</v>
      </c>
      <c r="U90" s="54">
        <v>27</v>
      </c>
      <c r="V90" s="53">
        <v>0.11650485436893204</v>
      </c>
      <c r="W90" s="53"/>
      <c r="X90" s="55">
        <v>34.316483516483515</v>
      </c>
      <c r="Y90" s="55">
        <v>43.49557070636461</v>
      </c>
      <c r="Z90" s="53">
        <v>0.21280000000000002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95</v>
      </c>
      <c r="D91" s="67">
        <v>37083.03</v>
      </c>
      <c r="E91" s="67">
        <v>33023.07</v>
      </c>
      <c r="F91" s="52">
        <v>4059.959999999999</v>
      </c>
      <c r="G91" s="53">
        <v>0.10948296296176444</v>
      </c>
      <c r="H91" s="52">
        <v>27002.93</v>
      </c>
      <c r="I91" s="52">
        <v>25996.77</v>
      </c>
      <c r="J91" s="52">
        <v>15440.32</v>
      </c>
      <c r="K91" s="52">
        <v>15990.78</v>
      </c>
      <c r="L91" s="52">
        <v>-550.460000000001</v>
      </c>
      <c r="M91" s="53">
        <v>-0.0356508155271394</v>
      </c>
      <c r="N91" s="53"/>
      <c r="O91" s="52">
        <v>11562.61</v>
      </c>
      <c r="P91" s="52">
        <v>10005.99</v>
      </c>
      <c r="Q91" s="52">
        <v>1556.6200000000008</v>
      </c>
      <c r="R91" s="53">
        <v>0.13462531383485224</v>
      </c>
      <c r="S91" s="68">
        <v>231.75</v>
      </c>
      <c r="T91" s="68">
        <v>204.75</v>
      </c>
      <c r="U91" s="54">
        <v>27</v>
      </c>
      <c r="V91" s="53">
        <v>0.11650485436893204</v>
      </c>
      <c r="W91" s="53"/>
      <c r="X91" s="55">
        <v>34.316483516483515</v>
      </c>
      <c r="Y91" s="55">
        <v>43.49557070636461</v>
      </c>
      <c r="Z91" s="53">
        <v>0.21280000000000002</v>
      </c>
      <c r="AA91" s="56">
        <v>0.2718</v>
      </c>
      <c r="AB91" s="57"/>
      <c r="AD91" s="35" t="s">
        <v>96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97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98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90</v>
      </c>
      <c r="D95" s="52">
        <v>26186.14</v>
      </c>
      <c r="E95" s="52">
        <v>5762.27</v>
      </c>
      <c r="F95" s="52">
        <v>20423.87</v>
      </c>
      <c r="G95" s="53">
        <v>0.779949622204724</v>
      </c>
      <c r="H95" s="52">
        <v>19428.98</v>
      </c>
      <c r="I95" s="52">
        <v>7925.81</v>
      </c>
      <c r="J95" s="52">
        <v>12051.32</v>
      </c>
      <c r="K95" s="52">
        <v>7679.91</v>
      </c>
      <c r="L95" s="52">
        <v>4371.41</v>
      </c>
      <c r="M95" s="53">
        <v>0.362732879053913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</v>
      </c>
      <c r="S95" s="54">
        <v>147.9</v>
      </c>
      <c r="T95" s="54">
        <v>5</v>
      </c>
      <c r="U95" s="54">
        <v>142.9</v>
      </c>
      <c r="V95" s="53">
        <v>0.966193373901285</v>
      </c>
      <c r="W95" s="53"/>
      <c r="X95" s="55">
        <v>-432.708</v>
      </c>
      <c r="Y95" s="55">
        <v>45.6873563218391</v>
      </c>
      <c r="Z95" s="53">
        <v>-0.375466612984119</v>
      </c>
      <c r="AA95" s="56">
        <v>0.258043377145314</v>
      </c>
      <c r="AB95" s="57"/>
      <c r="AD95" s="35" t="s">
        <v>91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92</v>
      </c>
      <c r="D96" s="52"/>
      <c r="E96" s="52"/>
      <c r="F96" s="52"/>
      <c r="G96" s="53"/>
      <c r="H96" s="52"/>
      <c r="I96" s="52"/>
      <c r="J96" s="52"/>
      <c r="K96" s="52"/>
      <c r="L96" s="52"/>
      <c r="M96" s="53"/>
      <c r="N96" s="53"/>
      <c r="O96" s="52"/>
      <c r="P96" s="52"/>
      <c r="Q96" s="52"/>
      <c r="R96" s="53"/>
      <c r="S96" s="54"/>
      <c r="T96" s="54"/>
      <c r="U96" s="54"/>
      <c r="V96" s="53"/>
      <c r="W96" s="53"/>
      <c r="X96" s="55"/>
      <c r="Y96" s="55"/>
      <c r="Z96" s="53"/>
      <c r="AA96" s="56"/>
      <c r="AB96" s="57"/>
      <c r="AD96" s="35" t="s">
        <v>93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94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95</v>
      </c>
      <c r="D98" s="52">
        <v>26186.14</v>
      </c>
      <c r="E98" s="52">
        <v>5762.27</v>
      </c>
      <c r="F98" s="52">
        <v>20423.87</v>
      </c>
      <c r="G98" s="53">
        <v>0.7799496222047235</v>
      </c>
      <c r="H98" s="52">
        <v>19428.98</v>
      </c>
      <c r="I98" s="52">
        <v>7925.81</v>
      </c>
      <c r="J98" s="52">
        <v>12051.32</v>
      </c>
      <c r="K98" s="52">
        <v>7679.910000000001</v>
      </c>
      <c r="L98" s="52">
        <v>4371.409999999999</v>
      </c>
      <c r="M98" s="53">
        <v>0.36273287905391266</v>
      </c>
      <c r="N98" s="53"/>
      <c r="O98" s="52">
        <v>7377.66</v>
      </c>
      <c r="P98" s="52">
        <v>245.9</v>
      </c>
      <c r="Q98" s="52">
        <v>7131.76</v>
      </c>
      <c r="R98" s="53">
        <v>0.9666696486419813</v>
      </c>
      <c r="S98" s="54">
        <v>147.9</v>
      </c>
      <c r="T98" s="54">
        <v>5</v>
      </c>
      <c r="U98" s="54">
        <v>142.9</v>
      </c>
      <c r="V98" s="53">
        <v>0.9661933739012847</v>
      </c>
      <c r="W98" s="53"/>
      <c r="X98" s="55">
        <v>-432.70799999999997</v>
      </c>
      <c r="Y98" s="55">
        <v>45.687352144692355</v>
      </c>
      <c r="Z98" s="53">
        <v>-0.37549999999999994</v>
      </c>
      <c r="AA98" s="56">
        <v>0.258</v>
      </c>
      <c r="AB98" s="57"/>
      <c r="AD98" s="35" t="s">
        <v>96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97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98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90</v>
      </c>
      <c r="D102" s="52">
        <v>33188.02</v>
      </c>
      <c r="E102" s="52">
        <v>33188.03</v>
      </c>
      <c r="F102" s="52">
        <v>-0.0100000000020373</v>
      </c>
      <c r="G102" s="53">
        <v>-3.01313546335011e-7</v>
      </c>
      <c r="H102" s="52">
        <v>23790.07</v>
      </c>
      <c r="I102" s="52">
        <v>32303.46</v>
      </c>
      <c r="J102" s="52">
        <v>13406.21</v>
      </c>
      <c r="K102" s="52">
        <v>16562.52</v>
      </c>
      <c r="L102" s="52">
        <v>-3156.31</v>
      </c>
      <c r="M102" s="53">
        <v>-0.235436413423331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</v>
      </c>
      <c r="S102" s="54">
        <v>208.2</v>
      </c>
      <c r="T102" s="54">
        <v>317.25</v>
      </c>
      <c r="U102" s="54">
        <v>-109.05</v>
      </c>
      <c r="V102" s="53">
        <v>-0.523775216138329</v>
      </c>
      <c r="W102" s="53"/>
      <c r="X102" s="55">
        <v>2.78824271079591</v>
      </c>
      <c r="Y102" s="55">
        <v>45.1390489913545</v>
      </c>
      <c r="Z102" s="53">
        <v>0.0266532843317305</v>
      </c>
      <c r="AA102" s="56">
        <v>0.283172964220222</v>
      </c>
      <c r="AB102" s="57"/>
      <c r="AD102" s="35" t="s">
        <v>91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92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30946.57</v>
      </c>
      <c r="J103" s="52">
        <v>12691.21</v>
      </c>
      <c r="K103" s="52">
        <v>15205.63</v>
      </c>
      <c r="L103" s="52">
        <v>-2514.42</v>
      </c>
      <c r="M103" s="53">
        <v>-0.19812295281537382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7.065279747832939</v>
      </c>
      <c r="Y103" s="55">
        <v>45.139084580403456</v>
      </c>
      <c r="Z103" s="53">
        <v>0.0675</v>
      </c>
      <c r="AA103" s="56">
        <v>0.2894</v>
      </c>
      <c r="AB103" s="57"/>
      <c r="AD103" s="35" t="s">
        <v>93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94</v>
      </c>
      <c r="D104" s="52">
        <v>32473.02</v>
      </c>
      <c r="E104" s="69">
        <v>33188.03</v>
      </c>
      <c r="F104" s="52">
        <v>-715.0099999999984</v>
      </c>
      <c r="G104" s="53">
        <v>-0.022018586506582952</v>
      </c>
      <c r="H104" s="52">
        <v>23075.07</v>
      </c>
      <c r="I104" s="52">
        <v>31131.57</v>
      </c>
      <c r="J104" s="52">
        <v>12691.21</v>
      </c>
      <c r="K104" s="52">
        <v>15390.63</v>
      </c>
      <c r="L104" s="52">
        <v>-2699.42</v>
      </c>
      <c r="M104" s="53">
        <v>-0.21269997108234756</v>
      </c>
      <c r="N104" s="53"/>
      <c r="O104" s="52">
        <v>10383.86</v>
      </c>
      <c r="P104" s="52">
        <v>15740.94</v>
      </c>
      <c r="Q104" s="52">
        <v>-5357.08</v>
      </c>
      <c r="R104" s="53">
        <v>-0.5159044902377343</v>
      </c>
      <c r="S104" s="54">
        <v>208.2</v>
      </c>
      <c r="T104" s="54">
        <v>317.25</v>
      </c>
      <c r="U104" s="54">
        <v>-109.05000000000001</v>
      </c>
      <c r="V104" s="53">
        <v>-0.5237752161383286</v>
      </c>
      <c r="W104" s="53"/>
      <c r="X104" s="55">
        <v>6.482143420015761</v>
      </c>
      <c r="Y104" s="55">
        <v>45.139084580403456</v>
      </c>
      <c r="Z104" s="53">
        <v>0.062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95</v>
      </c>
      <c r="D105" s="52">
        <v>32473.02</v>
      </c>
      <c r="E105" s="69">
        <v>33188.03</v>
      </c>
      <c r="F105" s="52">
        <v>-715.0099999999984</v>
      </c>
      <c r="G105" s="53">
        <v>-0.022018586506582952</v>
      </c>
      <c r="H105" s="52">
        <v>23075.07</v>
      </c>
      <c r="I105" s="52">
        <v>31131.57</v>
      </c>
      <c r="J105" s="52">
        <v>12691.21</v>
      </c>
      <c r="K105" s="52">
        <v>15390.63</v>
      </c>
      <c r="L105" s="52">
        <v>-2699.42</v>
      </c>
      <c r="M105" s="53">
        <v>-0.21269997108234756</v>
      </c>
      <c r="N105" s="53"/>
      <c r="O105" s="52">
        <v>10383.86</v>
      </c>
      <c r="P105" s="52">
        <v>15740.94</v>
      </c>
      <c r="Q105" s="52">
        <v>-5357.08</v>
      </c>
      <c r="R105" s="53">
        <v>-0.5159044902377343</v>
      </c>
      <c r="S105" s="54">
        <v>208.2</v>
      </c>
      <c r="T105" s="54">
        <v>317.25</v>
      </c>
      <c r="U105" s="54">
        <v>-109.05000000000001</v>
      </c>
      <c r="V105" s="53">
        <v>-0.5237752161383286</v>
      </c>
      <c r="W105" s="53"/>
      <c r="X105" s="55">
        <v>6.482143420015761</v>
      </c>
      <c r="Y105" s="55">
        <v>45.139084580403456</v>
      </c>
      <c r="Z105" s="53">
        <v>0.062</v>
      </c>
      <c r="AA105" s="56">
        <v>0.2894</v>
      </c>
      <c r="AB105" s="57"/>
      <c r="AD105" s="35" t="s">
        <v>96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97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98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90</v>
      </c>
      <c r="D109" s="52">
        <v>56556.55</v>
      </c>
      <c r="E109" s="52">
        <v>35454.43</v>
      </c>
      <c r="F109" s="52">
        <v>21102.12</v>
      </c>
      <c r="G109" s="53">
        <v>0.373115403962936</v>
      </c>
      <c r="H109" s="52">
        <v>35959.67</v>
      </c>
      <c r="I109" s="52">
        <v>21861.72</v>
      </c>
      <c r="J109" s="52">
        <v>20162.34</v>
      </c>
      <c r="K109" s="52">
        <v>12155.27</v>
      </c>
      <c r="L109" s="52">
        <v>8007.07</v>
      </c>
      <c r="M109" s="53">
        <v>0.397129995823897</v>
      </c>
      <c r="N109" s="53">
        <v>0</v>
      </c>
      <c r="O109" s="52">
        <v>15797.33</v>
      </c>
      <c r="P109" s="52">
        <v>9706.45</v>
      </c>
      <c r="Q109" s="52">
        <v>6090.88</v>
      </c>
      <c r="R109" s="53">
        <v>0.385563889594001</v>
      </c>
      <c r="S109" s="54">
        <v>316.34</v>
      </c>
      <c r="T109" s="54">
        <v>204.75</v>
      </c>
      <c r="U109" s="54">
        <v>111.59</v>
      </c>
      <c r="V109" s="53">
        <v>0.35275336663084</v>
      </c>
      <c r="W109" s="53">
        <v>0</v>
      </c>
      <c r="X109" s="55">
        <v>66.386862026862</v>
      </c>
      <c r="Y109" s="55">
        <v>65.1099449958905</v>
      </c>
      <c r="Z109" s="53">
        <v>0.383385376665201</v>
      </c>
      <c r="AA109" s="56">
        <v>0.364182044343228</v>
      </c>
      <c r="AB109" s="57"/>
      <c r="AD109" s="35" t="s">
        <v>91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92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34106.92</v>
      </c>
      <c r="J110" s="52">
        <v>21415.85</v>
      </c>
      <c r="K110" s="52">
        <v>18299.729999999996</v>
      </c>
      <c r="L110" s="52">
        <v>3116.1200000000026</v>
      </c>
      <c r="M110" s="53">
        <v>0.14550531498866506</v>
      </c>
      <c r="N110" s="53"/>
      <c r="O110" s="52">
        <v>16186.03</v>
      </c>
      <c r="P110" s="52">
        <v>15807.19</v>
      </c>
      <c r="Q110" s="52">
        <v>378.84000000000015</v>
      </c>
      <c r="R110" s="53">
        <v>0.023405368703752566</v>
      </c>
      <c r="S110" s="54">
        <v>324.19</v>
      </c>
      <c r="T110" s="54">
        <v>342.25</v>
      </c>
      <c r="U110" s="54">
        <v>-18.060000000000002</v>
      </c>
      <c r="V110" s="53">
        <v>-0.05570807242666338</v>
      </c>
      <c r="W110" s="53"/>
      <c r="X110" s="55">
        <v>3.937209642074507</v>
      </c>
      <c r="Y110" s="55">
        <v>65.70431400737223</v>
      </c>
      <c r="Z110" s="53">
        <v>0.038</v>
      </c>
      <c r="AA110" s="56">
        <v>0.3616</v>
      </c>
      <c r="AB110" s="57"/>
      <c r="AD110" s="35" t="s">
        <v>93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94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38195.76</v>
      </c>
      <c r="J111" s="52">
        <v>21415.85</v>
      </c>
      <c r="K111" s="52">
        <v>19158.27</v>
      </c>
      <c r="L111" s="52">
        <v>2257.579999999998</v>
      </c>
      <c r="M111" s="53">
        <v>0.10541631548596009</v>
      </c>
      <c r="N111" s="53"/>
      <c r="O111" s="52">
        <v>16186.03</v>
      </c>
      <c r="P111" s="52">
        <v>19037.49</v>
      </c>
      <c r="Q111" s="52">
        <v>-2851.460000000001</v>
      </c>
      <c r="R111" s="53">
        <v>-0.1761679670678975</v>
      </c>
      <c r="S111" s="54">
        <v>324.19</v>
      </c>
      <c r="T111" s="54">
        <v>412.5</v>
      </c>
      <c r="U111" s="54">
        <v>-88.31</v>
      </c>
      <c r="V111" s="53">
        <v>-0.2724019864894044</v>
      </c>
      <c r="W111" s="53"/>
      <c r="X111" s="55">
        <v>-6.6456484848484845</v>
      </c>
      <c r="Y111" s="55">
        <v>65.70431400737223</v>
      </c>
      <c r="Z111" s="53">
        <v>-0.07730000000000001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95</v>
      </c>
      <c r="D112" s="52">
        <v>58902.56</v>
      </c>
      <c r="E112" s="52">
        <v>0</v>
      </c>
      <c r="F112" s="52">
        <v>58902.56</v>
      </c>
      <c r="G112" s="53">
        <v>1</v>
      </c>
      <c r="H112" s="52">
        <v>37601.88</v>
      </c>
      <c r="I112" s="52">
        <v>38195.76</v>
      </c>
      <c r="J112" s="52">
        <v>21415.85</v>
      </c>
      <c r="K112" s="52">
        <v>19158.27</v>
      </c>
      <c r="L112" s="52">
        <v>2257.579999999998</v>
      </c>
      <c r="M112" s="53">
        <v>0.10541631548596009</v>
      </c>
      <c r="N112" s="53"/>
      <c r="O112" s="52">
        <v>16186.03</v>
      </c>
      <c r="P112" s="52">
        <v>19037.49</v>
      </c>
      <c r="Q112" s="52">
        <v>-2851.460000000001</v>
      </c>
      <c r="R112" s="53">
        <v>-0.1761679670678975</v>
      </c>
      <c r="S112" s="54">
        <v>324.19</v>
      </c>
      <c r="T112" s="54">
        <v>412.5</v>
      </c>
      <c r="U112" s="54">
        <v>-88.31</v>
      </c>
      <c r="V112" s="53">
        <v>-0.2724019864894044</v>
      </c>
      <c r="W112" s="53"/>
      <c r="X112" s="55">
        <v>-6.6456484848484845</v>
      </c>
      <c r="Y112" s="55">
        <v>65.70431400737223</v>
      </c>
      <c r="Z112" s="53">
        <v>-0.07730000000000001</v>
      </c>
      <c r="AA112" s="56">
        <v>0.3616</v>
      </c>
      <c r="AB112" s="57"/>
      <c r="AD112" s="35" t="s">
        <v>96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97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98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90</v>
      </c>
      <c r="D116" s="52">
        <v>0</v>
      </c>
      <c r="E116" s="52">
        <v>0</v>
      </c>
      <c r="F116" s="52">
        <v>0</v>
      </c>
      <c r="G116" s="53"/>
      <c r="H116" s="52">
        <v>0</v>
      </c>
      <c r="I116" s="52">
        <v>0</v>
      </c>
      <c r="J116" s="52"/>
      <c r="K116" s="52"/>
      <c r="L116" s="52"/>
      <c r="M116" s="53"/>
      <c r="N116" s="53">
        <v>0</v>
      </c>
      <c r="O116" s="52">
        <v>0</v>
      </c>
      <c r="P116" s="52">
        <v>0</v>
      </c>
      <c r="Q116" s="52"/>
      <c r="R116" s="53"/>
      <c r="S116" s="54">
        <v>0</v>
      </c>
      <c r="T116" s="54">
        <v>0</v>
      </c>
      <c r="U116" s="54"/>
      <c r="V116" s="53"/>
      <c r="W116" s="53">
        <v>0</v>
      </c>
      <c r="X116" s="55"/>
      <c r="Y116" s="55"/>
      <c r="Z116" s="53"/>
      <c r="AA116" s="56"/>
      <c r="AB116" s="57"/>
      <c r="AD116" s="35" t="s">
        <v>91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92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93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94</v>
      </c>
      <c r="D118" s="52"/>
      <c r="E118" s="52"/>
      <c r="F118" s="52">
        <v>0</v>
      </c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95</v>
      </c>
      <c r="D119" s="52">
        <v>21404.82</v>
      </c>
      <c r="E119" s="52">
        <v>0</v>
      </c>
      <c r="F119" s="52">
        <v>21404.82</v>
      </c>
      <c r="G119" s="53">
        <v>1</v>
      </c>
      <c r="H119" s="52">
        <v>17514.09</v>
      </c>
      <c r="I119" s="52">
        <v>0</v>
      </c>
      <c r="J119" s="52">
        <v>13318.880000000001</v>
      </c>
      <c r="K119" s="52">
        <v>0</v>
      </c>
      <c r="L119" s="52">
        <v>13318.880000000001</v>
      </c>
      <c r="M119" s="53">
        <v>1</v>
      </c>
      <c r="N119" s="53"/>
      <c r="O119" s="52">
        <v>4195.21</v>
      </c>
      <c r="P119" s="52">
        <v>0</v>
      </c>
      <c r="Q119" s="52">
        <v>4195.21</v>
      </c>
      <c r="R119" s="53">
        <v>1</v>
      </c>
      <c r="S119" s="54">
        <v>84.05</v>
      </c>
      <c r="T119" s="54">
        <v>0</v>
      </c>
      <c r="U119" s="54">
        <v>84.05</v>
      </c>
      <c r="V119" s="53">
        <v>1</v>
      </c>
      <c r="W119" s="53"/>
      <c r="X119" s="55">
        <v>0</v>
      </c>
      <c r="Y119" s="55">
        <v>46.29062162403328</v>
      </c>
      <c r="Z119" s="53">
        <v>0</v>
      </c>
      <c r="AA119" s="56">
        <v>0.1818</v>
      </c>
      <c r="AB119" s="57"/>
      <c r="AD119" s="35" t="s">
        <v>96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97</v>
      </c>
      <c r="D120" s="52"/>
      <c r="E120" s="52"/>
      <c r="F120" s="52">
        <v>0</v>
      </c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98</v>
      </c>
      <c r="D121" s="52"/>
      <c r="E121" s="52"/>
      <c r="F121" s="52">
        <v>0</v>
      </c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90</v>
      </c>
      <c r="D123" s="52">
        <v>96573.02</v>
      </c>
      <c r="E123" s="52">
        <v>15366.74</v>
      </c>
      <c r="F123" s="52">
        <v>0</v>
      </c>
      <c r="G123" s="53"/>
      <c r="H123" s="52">
        <v>79663.84</v>
      </c>
      <c r="I123" s="52">
        <v>12186.08</v>
      </c>
      <c r="J123" s="52">
        <v>66021.95</v>
      </c>
      <c r="K123" s="52">
        <v>12186.08</v>
      </c>
      <c r="L123" s="52">
        <v>53835.87</v>
      </c>
      <c r="M123" s="53">
        <v>0.815423809808708</v>
      </c>
      <c r="N123" s="53"/>
      <c r="O123" s="52">
        <v>13641.89</v>
      </c>
      <c r="P123" s="52">
        <v>0</v>
      </c>
      <c r="Q123" s="52">
        <v>13641.89</v>
      </c>
      <c r="R123" s="53">
        <v>1</v>
      </c>
      <c r="S123" s="54">
        <v>273.37</v>
      </c>
      <c r="T123" s="54">
        <v>0</v>
      </c>
      <c r="U123" s="54">
        <v>273.37</v>
      </c>
      <c r="V123" s="53">
        <v>1</v>
      </c>
      <c r="W123" s="53"/>
      <c r="X123" s="55"/>
      <c r="Y123" s="55">
        <v>61.8545560961335</v>
      </c>
      <c r="Z123" s="53">
        <v>0.206983394005495</v>
      </c>
      <c r="AA123" s="56">
        <v>0.1750921737769</v>
      </c>
      <c r="AB123" s="57"/>
      <c r="AD123" s="35" t="s">
        <v>91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92</v>
      </c>
      <c r="D124" s="52">
        <v>99768.39</v>
      </c>
      <c r="E124" s="52">
        <v>15366.74</v>
      </c>
      <c r="F124" s="52">
        <v>84401.65</v>
      </c>
      <c r="G124" s="53">
        <v>0.8459758647002321</v>
      </c>
      <c r="H124" s="52">
        <v>81719.58</v>
      </c>
      <c r="I124" s="52">
        <v>15861.24</v>
      </c>
      <c r="J124" s="52">
        <v>67238.96</v>
      </c>
      <c r="K124" s="52">
        <v>13547.18</v>
      </c>
      <c r="L124" s="52">
        <v>53691.780000000006</v>
      </c>
      <c r="M124" s="53">
        <v>0.798521868868882</v>
      </c>
      <c r="N124" s="53"/>
      <c r="O124" s="52">
        <v>14480.62</v>
      </c>
      <c r="P124" s="52">
        <v>2314.06</v>
      </c>
      <c r="Q124" s="52">
        <v>12166.560000000001</v>
      </c>
      <c r="R124" s="53">
        <v>0.8401960689528487</v>
      </c>
      <c r="S124" s="54">
        <v>290.15</v>
      </c>
      <c r="T124" s="54">
        <v>52.5</v>
      </c>
      <c r="U124" s="54">
        <v>237.64999999999998</v>
      </c>
      <c r="V124" s="53">
        <v>0.8190591073582629</v>
      </c>
      <c r="W124" s="53"/>
      <c r="X124" s="55">
        <v>-9.41904761904762</v>
      </c>
      <c r="Y124" s="55">
        <v>62.2051177714286</v>
      </c>
      <c r="Z124" s="53">
        <v>-0.0322</v>
      </c>
      <c r="AA124" s="56">
        <v>0.1809</v>
      </c>
      <c r="AB124" s="57"/>
      <c r="AD124" s="35" t="s">
        <v>93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94</v>
      </c>
      <c r="D125" s="52">
        <v>99768.39</v>
      </c>
      <c r="E125" s="52">
        <v>15366.74</v>
      </c>
      <c r="F125" s="52">
        <v>84401.65</v>
      </c>
      <c r="G125" s="53">
        <v>0.8459758647002321</v>
      </c>
      <c r="H125" s="52">
        <v>81719.58</v>
      </c>
      <c r="I125" s="52">
        <v>18551.86</v>
      </c>
      <c r="J125" s="52">
        <v>67238.96</v>
      </c>
      <c r="K125" s="52">
        <v>14369.1</v>
      </c>
      <c r="L125" s="52">
        <v>52869.86000000001</v>
      </c>
      <c r="M125" s="53">
        <v>0.7862980034194461</v>
      </c>
      <c r="N125" s="53"/>
      <c r="O125" s="52">
        <v>14480.62</v>
      </c>
      <c r="P125" s="52">
        <v>4182.76</v>
      </c>
      <c r="Q125" s="52">
        <v>10297.86</v>
      </c>
      <c r="R125" s="53">
        <v>0.7111477271000828</v>
      </c>
      <c r="S125" s="54">
        <v>290.15</v>
      </c>
      <c r="T125" s="54">
        <v>91.75</v>
      </c>
      <c r="U125" s="54">
        <v>198.39999999999998</v>
      </c>
      <c r="V125" s="53">
        <v>0.6837842495261072</v>
      </c>
      <c r="W125" s="53"/>
      <c r="X125" s="55">
        <v>-34.715204359673024</v>
      </c>
      <c r="Y125" s="55">
        <v>62.2051177714286</v>
      </c>
      <c r="Z125" s="53">
        <v>-0.2073</v>
      </c>
      <c r="AA125" s="56">
        <v>0.1809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95</v>
      </c>
      <c r="D126" s="52">
        <v>99768.39</v>
      </c>
      <c r="E126" s="52">
        <v>15366.74</v>
      </c>
      <c r="F126" s="52">
        <v>84401.65</v>
      </c>
      <c r="G126" s="53">
        <v>0.8459758647002321</v>
      </c>
      <c r="H126" s="52">
        <v>81719.58</v>
      </c>
      <c r="I126" s="52">
        <v>18551.86</v>
      </c>
      <c r="J126" s="52">
        <v>67238.96</v>
      </c>
      <c r="K126" s="52">
        <v>14369.1</v>
      </c>
      <c r="L126" s="52">
        <v>52869.86000000001</v>
      </c>
      <c r="M126" s="53">
        <v>0.7862980034194461</v>
      </c>
      <c r="N126" s="53"/>
      <c r="O126" s="52">
        <v>14480.62</v>
      </c>
      <c r="P126" s="52">
        <v>4182.76</v>
      </c>
      <c r="Q126" s="52">
        <v>10297.86</v>
      </c>
      <c r="R126" s="53">
        <v>0.7111477271000828</v>
      </c>
      <c r="S126" s="54">
        <v>290.15</v>
      </c>
      <c r="T126" s="54">
        <v>91.75</v>
      </c>
      <c r="U126" s="54">
        <v>198.39999999999998</v>
      </c>
      <c r="V126" s="53">
        <v>0.6837842495261072</v>
      </c>
      <c r="W126" s="53"/>
      <c r="X126" s="55">
        <v>-34.715204359673024</v>
      </c>
      <c r="Y126" s="55">
        <v>62.2051177714286</v>
      </c>
      <c r="Z126" s="53">
        <v>-0.2073</v>
      </c>
      <c r="AA126" s="56">
        <v>0.1809</v>
      </c>
      <c r="AB126" s="57"/>
      <c r="AD126" s="35" t="s">
        <v>96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97</v>
      </c>
      <c r="D127" s="52"/>
      <c r="E127" s="52"/>
      <c r="F127" s="52">
        <v>0</v>
      </c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98</v>
      </c>
      <c r="D128" s="52"/>
      <c r="E128" s="52"/>
      <c r="F128" s="52">
        <v>0</v>
      </c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90</v>
      </c>
      <c r="D130" s="52">
        <v>31802.41</v>
      </c>
      <c r="E130" s="52">
        <v>14370.83</v>
      </c>
      <c r="F130" s="52">
        <v>17431.58</v>
      </c>
      <c r="G130" s="53">
        <v>0.548121353067268</v>
      </c>
      <c r="H130" s="52">
        <v>23448.14</v>
      </c>
      <c r="I130" s="52">
        <v>11238.62</v>
      </c>
      <c r="J130" s="52">
        <v>15632.03</v>
      </c>
      <c r="K130" s="52">
        <v>11154.51</v>
      </c>
      <c r="L130" s="52">
        <v>4477.52</v>
      </c>
      <c r="M130" s="53">
        <v>0.286432408330844</v>
      </c>
      <c r="N130" s="53"/>
      <c r="O130" s="52">
        <v>7816.11</v>
      </c>
      <c r="P130" s="52">
        <v>84.11</v>
      </c>
      <c r="Q130" s="52">
        <v>7732</v>
      </c>
      <c r="R130" s="53">
        <v>0.989238892492557</v>
      </c>
      <c r="S130" s="54">
        <v>157</v>
      </c>
      <c r="T130" s="54">
        <v>2</v>
      </c>
      <c r="U130" s="54">
        <v>155</v>
      </c>
      <c r="V130" s="53">
        <v>0.987261146496815</v>
      </c>
      <c r="W130" s="53">
        <v>0</v>
      </c>
      <c r="X130" s="55">
        <v>1566.105</v>
      </c>
      <c r="Y130" s="55">
        <v>53.2119108280255</v>
      </c>
      <c r="Z130" s="53">
        <v>0.217956095785699</v>
      </c>
      <c r="AA130" s="56">
        <v>0.262692984588275</v>
      </c>
      <c r="AB130" s="57"/>
      <c r="AD130" s="35" t="s">
        <v>91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92</v>
      </c>
      <c r="D131" s="52"/>
      <c r="E131" s="52"/>
      <c r="F131" s="52"/>
      <c r="G131" s="53"/>
      <c r="H131" s="52"/>
      <c r="I131" s="52"/>
      <c r="J131" s="52"/>
      <c r="K131" s="52"/>
      <c r="L131" s="52"/>
      <c r="M131" s="53"/>
      <c r="N131" s="53"/>
      <c r="O131" s="52"/>
      <c r="P131" s="52"/>
      <c r="Q131" s="52"/>
      <c r="R131" s="53"/>
      <c r="S131" s="54"/>
      <c r="T131" s="54"/>
      <c r="U131" s="54"/>
      <c r="V131" s="53"/>
      <c r="W131" s="53"/>
      <c r="X131" s="55"/>
      <c r="Y131" s="55"/>
      <c r="Z131" s="53"/>
      <c r="AA131" s="56"/>
      <c r="AB131" s="57"/>
      <c r="AD131" s="35" t="s">
        <v>93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94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2:35" x14ac:dyDescent="0.25">
      <c r="B133" s="20"/>
      <c r="C133" s="51" t="s">
        <v>95</v>
      </c>
      <c r="D133" s="52">
        <v>31802.41</v>
      </c>
      <c r="E133" s="52">
        <v>14370.83</v>
      </c>
      <c r="F133" s="52">
        <v>17431.58</v>
      </c>
      <c r="G133" s="53">
        <v>0.5481213530672676</v>
      </c>
      <c r="H133" s="52">
        <v>23448.14</v>
      </c>
      <c r="I133" s="52">
        <v>11238.62</v>
      </c>
      <c r="J133" s="52">
        <v>15632.029999999999</v>
      </c>
      <c r="K133" s="52">
        <v>11154.51</v>
      </c>
      <c r="L133" s="52">
        <v>4477.519999999999</v>
      </c>
      <c r="M133" s="53">
        <v>0.2864324083308437</v>
      </c>
      <c r="N133" s="53"/>
      <c r="O133" s="52">
        <v>7816.11</v>
      </c>
      <c r="P133" s="52">
        <v>84.11</v>
      </c>
      <c r="Q133" s="52">
        <v>7732</v>
      </c>
      <c r="R133" s="53">
        <v>0.989238892492557</v>
      </c>
      <c r="S133" s="54">
        <v>156.69</v>
      </c>
      <c r="T133" s="54">
        <v>2</v>
      </c>
      <c r="U133" s="54">
        <v>154.69</v>
      </c>
      <c r="V133" s="53">
        <v>0.9872359435828706</v>
      </c>
      <c r="W133" s="53"/>
      <c r="X133" s="55">
        <v>1566.105</v>
      </c>
      <c r="Y133" s="55">
        <v>53.31719360265494</v>
      </c>
      <c r="Z133" s="53">
        <v>0.218</v>
      </c>
      <c r="AA133" s="56">
        <v>0.2627</v>
      </c>
      <c r="AB133" s="57"/>
      <c r="AD133" s="35" t="s">
        <v>96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97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98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90</v>
      </c>
      <c r="D137" s="52">
        <v>28626.25</v>
      </c>
      <c r="E137" s="52">
        <v>27194.94</v>
      </c>
      <c r="F137" s="52">
        <v>1431.31</v>
      </c>
      <c r="G137" s="53">
        <v>0.0499999126675691</v>
      </c>
      <c r="H137" s="52">
        <v>21262.27</v>
      </c>
      <c r="I137" s="52">
        <v>24965.42</v>
      </c>
      <c r="J137" s="52">
        <v>11588.8</v>
      </c>
      <c r="K137" s="52">
        <v>11702.32</v>
      </c>
      <c r="L137" s="52">
        <v>-113.519999999997</v>
      </c>
      <c r="M137" s="53">
        <v>-0.0097956647797871</v>
      </c>
      <c r="N137" s="53">
        <v>0</v>
      </c>
      <c r="O137" s="52">
        <v>9673.47</v>
      </c>
      <c r="P137" s="52">
        <v>13263.1</v>
      </c>
      <c r="Q137" s="52">
        <v>-3589.63</v>
      </c>
      <c r="R137" s="53">
        <v>-0.3710798710287</v>
      </c>
      <c r="S137" s="54">
        <v>193.82</v>
      </c>
      <c r="T137" s="54">
        <v>266.75</v>
      </c>
      <c r="U137" s="54">
        <v>-72.93</v>
      </c>
      <c r="V137" s="53">
        <v>-0.37627695800227</v>
      </c>
      <c r="W137" s="53"/>
      <c r="X137" s="55">
        <v>8.35808809746954</v>
      </c>
      <c r="Y137" s="55">
        <v>37.9939118769993</v>
      </c>
      <c r="Z137" s="53">
        <v>0.0819828982891671</v>
      </c>
      <c r="AA137" s="56">
        <v>0.257245709794332</v>
      </c>
      <c r="AB137" s="57"/>
      <c r="AD137" s="35" t="s">
        <v>91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92</v>
      </c>
      <c r="D138" s="52">
        <v>28626.25</v>
      </c>
      <c r="E138" s="52">
        <v>27194.94</v>
      </c>
      <c r="F138" s="52">
        <v>1431.3100000000013</v>
      </c>
      <c r="G138" s="53">
        <v>0.049999912667569146</v>
      </c>
      <c r="H138" s="52">
        <v>21262.27</v>
      </c>
      <c r="I138" s="52">
        <v>25301.59</v>
      </c>
      <c r="J138" s="52">
        <v>11588.800000000001</v>
      </c>
      <c r="K138" s="52">
        <v>11737.47</v>
      </c>
      <c r="L138" s="52">
        <v>-148.66999999999825</v>
      </c>
      <c r="M138" s="53">
        <v>-0.012828765704818293</v>
      </c>
      <c r="N138" s="53"/>
      <c r="O138" s="52">
        <v>9673.47</v>
      </c>
      <c r="P138" s="52">
        <v>13564.12</v>
      </c>
      <c r="Q138" s="52">
        <v>-3890.6500000000015</v>
      </c>
      <c r="R138" s="53">
        <v>-0.40219797032502314</v>
      </c>
      <c r="S138" s="54">
        <v>193.82</v>
      </c>
      <c r="T138" s="54">
        <v>272.75</v>
      </c>
      <c r="U138" s="54">
        <v>-78.93</v>
      </c>
      <c r="V138" s="53">
        <v>-0.40723351563306165</v>
      </c>
      <c r="W138" s="53"/>
      <c r="X138" s="55">
        <v>6.941704857928506</v>
      </c>
      <c r="Y138" s="55">
        <v>37.993916491590134</v>
      </c>
      <c r="Z138" s="53">
        <v>0.0696</v>
      </c>
      <c r="AA138" s="56">
        <v>0.2572</v>
      </c>
      <c r="AB138" s="57"/>
      <c r="AD138" s="35" t="s">
        <v>93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94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25550.31</v>
      </c>
      <c r="J139" s="52">
        <v>12565.06</v>
      </c>
      <c r="K139" s="52">
        <v>11750.840000000002</v>
      </c>
      <c r="L139" s="52">
        <v>814.2199999999975</v>
      </c>
      <c r="M139" s="53">
        <v>0.06480032725669416</v>
      </c>
      <c r="N139" s="53"/>
      <c r="O139" s="52">
        <v>10022.83</v>
      </c>
      <c r="P139" s="52">
        <v>13799.47</v>
      </c>
      <c r="Q139" s="52">
        <v>-3776.6399999999994</v>
      </c>
      <c r="R139" s="53">
        <v>-0.37680375702271707</v>
      </c>
      <c r="S139" s="54">
        <v>200.82</v>
      </c>
      <c r="T139" s="54">
        <v>278.25</v>
      </c>
      <c r="U139" s="54">
        <v>-77.43</v>
      </c>
      <c r="V139" s="53">
        <v>-0.3855691664176875</v>
      </c>
      <c r="W139" s="53"/>
      <c r="X139" s="55">
        <v>18.68438454627134</v>
      </c>
      <c r="Y139" s="55">
        <v>40.64013272149188</v>
      </c>
      <c r="Z139" s="53">
        <v>0.1691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95</v>
      </c>
      <c r="D140" s="52">
        <v>30749.24</v>
      </c>
      <c r="E140" s="52">
        <v>30749.24</v>
      </c>
      <c r="F140" s="52">
        <v>0</v>
      </c>
      <c r="G140" s="53">
        <v>0</v>
      </c>
      <c r="H140" s="52">
        <v>22587.89</v>
      </c>
      <c r="I140" s="52">
        <v>25550.31</v>
      </c>
      <c r="J140" s="52">
        <v>12565.06</v>
      </c>
      <c r="K140" s="52">
        <v>11750.840000000002</v>
      </c>
      <c r="L140" s="52">
        <v>814.2199999999975</v>
      </c>
      <c r="M140" s="53">
        <v>0.06480032725669416</v>
      </c>
      <c r="N140" s="53"/>
      <c r="O140" s="52">
        <v>10022.83</v>
      </c>
      <c r="P140" s="52">
        <v>13799.47</v>
      </c>
      <c r="Q140" s="52">
        <v>-3776.6399999999994</v>
      </c>
      <c r="R140" s="53">
        <v>-0.37680375702271707</v>
      </c>
      <c r="S140" s="54">
        <v>200.82</v>
      </c>
      <c r="T140" s="54">
        <v>278.25</v>
      </c>
      <c r="U140" s="54">
        <v>-77.43</v>
      </c>
      <c r="V140" s="53">
        <v>-0.3855691664176875</v>
      </c>
      <c r="W140" s="53"/>
      <c r="X140" s="55">
        <v>18.68438454627134</v>
      </c>
      <c r="Y140" s="55">
        <v>40.64013272149188</v>
      </c>
      <c r="Z140" s="53">
        <v>0.1691</v>
      </c>
      <c r="AA140" s="56">
        <v>0.2654</v>
      </c>
      <c r="AB140" s="57"/>
      <c r="AD140" s="35" t="s">
        <v>96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97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98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90</v>
      </c>
      <c r="D144" s="52">
        <v>0</v>
      </c>
      <c r="E144" s="52">
        <v>0</v>
      </c>
      <c r="F144" s="52"/>
      <c r="G144" s="53"/>
      <c r="H144" s="52">
        <v>0</v>
      </c>
      <c r="I144" s="52"/>
      <c r="J144" s="52"/>
      <c r="K144" s="52"/>
      <c r="L144" s="52"/>
      <c r="M144" s="53"/>
      <c r="N144" s="53"/>
      <c r="O144" s="52">
        <v>0</v>
      </c>
      <c r="P144" s="52"/>
      <c r="Q144" s="52"/>
      <c r="R144" s="53"/>
      <c r="S144" s="54">
        <v>0</v>
      </c>
      <c r="T144" s="54">
        <v>0</v>
      </c>
      <c r="U144" s="54"/>
      <c r="V144" s="53"/>
      <c r="W144" s="53"/>
      <c r="X144" s="55"/>
      <c r="Y144" s="55"/>
      <c r="Z144" s="53"/>
      <c r="AA144" s="56"/>
      <c r="AB144" s="57"/>
      <c r="AD144" s="35" t="s">
        <v>91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92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93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94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95</v>
      </c>
      <c r="D147" s="52">
        <v>268228.26</v>
      </c>
      <c r="E147" s="52">
        <v>9034.53</v>
      </c>
      <c r="F147" s="52">
        <v>259193.73</v>
      </c>
      <c r="G147" s="53">
        <v>0.9663177548853353</v>
      </c>
      <c r="H147" s="52">
        <v>238611.58</v>
      </c>
      <c r="I147" s="52">
        <v>6362.08</v>
      </c>
      <c r="J147" s="52">
        <v>214154.25</v>
      </c>
      <c r="K147" s="52">
        <v>3465.35</v>
      </c>
      <c r="L147" s="52">
        <v>210688.9</v>
      </c>
      <c r="M147" s="53">
        <v>0.9838184392791645</v>
      </c>
      <c r="N147" s="53"/>
      <c r="O147" s="52">
        <v>24457.33</v>
      </c>
      <c r="P147" s="52">
        <v>2896.73</v>
      </c>
      <c r="Q147" s="52">
        <v>21560.600000000002</v>
      </c>
      <c r="R147" s="53">
        <v>0.8815598432044708</v>
      </c>
      <c r="S147" s="54">
        <v>497.55</v>
      </c>
      <c r="T147" s="54">
        <v>58.25</v>
      </c>
      <c r="U147" s="54">
        <v>439.3</v>
      </c>
      <c r="V147" s="53">
        <v>0.8829263390614008</v>
      </c>
      <c r="W147" s="53"/>
      <c r="X147" s="55">
        <v>45.878969957081544</v>
      </c>
      <c r="Y147" s="55">
        <v>59.525035875791396</v>
      </c>
      <c r="Z147" s="53">
        <v>0.2958</v>
      </c>
      <c r="AA147" s="56">
        <v>0.1104</v>
      </c>
      <c r="AB147" s="57"/>
      <c r="AD147" s="35" t="s">
        <v>96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97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98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90</v>
      </c>
      <c r="D151" s="52">
        <v>32773.41</v>
      </c>
      <c r="E151" s="52">
        <v>32773.41</v>
      </c>
      <c r="F151" s="52"/>
      <c r="G151" s="53"/>
      <c r="H151" s="52">
        <v>22750.99</v>
      </c>
      <c r="I151" s="52">
        <v>22238.62</v>
      </c>
      <c r="J151" s="52">
        <v>12243.41</v>
      </c>
      <c r="K151" s="52">
        <v>9324.41</v>
      </c>
      <c r="L151" s="52">
        <v>2919</v>
      </c>
      <c r="M151" s="53">
        <v>0.238413971271076</v>
      </c>
      <c r="N151" s="53"/>
      <c r="O151" s="52">
        <v>10507.58</v>
      </c>
      <c r="P151" s="52">
        <v>12914.21</v>
      </c>
      <c r="Q151" s="52">
        <v>-2406.63</v>
      </c>
      <c r="R151" s="53">
        <v>-0.229037513870939</v>
      </c>
      <c r="S151" s="54">
        <v>210.6</v>
      </c>
      <c r="T151" s="54">
        <v>260.75</v>
      </c>
      <c r="U151" s="54">
        <v>-50.15</v>
      </c>
      <c r="V151" s="53">
        <v>-0.238129154795822</v>
      </c>
      <c r="W151" s="53"/>
      <c r="X151" s="55">
        <v>40.4018791946309</v>
      </c>
      <c r="Y151" s="55">
        <v>47.5898385565052</v>
      </c>
      <c r="Z151" s="53">
        <v>0.321443206550676</v>
      </c>
      <c r="AA151" s="56">
        <v>0.30580949617388</v>
      </c>
      <c r="AB151" s="57"/>
      <c r="AD151" s="35" t="s">
        <v>91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92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93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94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95</v>
      </c>
      <c r="D154" s="52">
        <v>32773.41</v>
      </c>
      <c r="E154" s="52">
        <v>32773.41</v>
      </c>
      <c r="F154" s="52">
        <v>0</v>
      </c>
      <c r="G154" s="53">
        <v>0</v>
      </c>
      <c r="H154" s="52">
        <v>22750.99</v>
      </c>
      <c r="I154" s="52">
        <v>22254.11</v>
      </c>
      <c r="J154" s="52">
        <v>12243.410000000002</v>
      </c>
      <c r="K154" s="52">
        <v>9324.41</v>
      </c>
      <c r="L154" s="52">
        <v>2919.000000000002</v>
      </c>
      <c r="M154" s="53">
        <v>0.23841397127107575</v>
      </c>
      <c r="N154" s="53"/>
      <c r="O154" s="52">
        <v>10507.58</v>
      </c>
      <c r="P154" s="52">
        <v>12929.7</v>
      </c>
      <c r="Q154" s="52">
        <v>-2422.120000000001</v>
      </c>
      <c r="R154" s="53">
        <v>-0.23051168775303169</v>
      </c>
      <c r="S154" s="54">
        <v>210.6</v>
      </c>
      <c r="T154" s="54">
        <v>260.75</v>
      </c>
      <c r="U154" s="54">
        <v>-50.150000000000006</v>
      </c>
      <c r="V154" s="53">
        <v>-0.2381291547958215</v>
      </c>
      <c r="W154" s="53"/>
      <c r="X154" s="55">
        <v>40.342473633748796</v>
      </c>
      <c r="Y154" s="55">
        <v>47.58984852136751</v>
      </c>
      <c r="Z154" s="53">
        <v>0.321</v>
      </c>
      <c r="AA154" s="56">
        <v>0.3058</v>
      </c>
      <c r="AB154" s="57"/>
      <c r="AD154" s="35" t="s">
        <v>96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97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98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90</v>
      </c>
      <c r="D158" s="52">
        <v>17899.33</v>
      </c>
      <c r="E158" s="52">
        <v>0</v>
      </c>
      <c r="F158" s="52">
        <v>17899.33</v>
      </c>
      <c r="G158" s="53">
        <v>1</v>
      </c>
      <c r="H158" s="52">
        <v>13919.4</v>
      </c>
      <c r="I158" s="52">
        <v>7562.12</v>
      </c>
      <c r="J158" s="52">
        <v>0</v>
      </c>
      <c r="K158" s="52">
        <v>0</v>
      </c>
      <c r="L158" s="52"/>
      <c r="M158" s="53"/>
      <c r="N158" s="53"/>
      <c r="O158" s="52">
        <v>5508.47</v>
      </c>
      <c r="P158" s="52">
        <v>2298.36</v>
      </c>
      <c r="Q158" s="52">
        <v>3210.11</v>
      </c>
      <c r="R158" s="53">
        <v>0.582758914907406</v>
      </c>
      <c r="S158" s="54">
        <v>110.44</v>
      </c>
      <c r="T158" s="54">
        <v>44.75</v>
      </c>
      <c r="U158" s="54">
        <v>65.69</v>
      </c>
      <c r="V158" s="53">
        <v>0.594802607750815</v>
      </c>
      <c r="W158" s="53"/>
      <c r="X158" s="55">
        <v>-51.36</v>
      </c>
      <c r="Y158" s="55">
        <v>112.195400217313</v>
      </c>
      <c r="Z158" s="53"/>
      <c r="AA158" s="56">
        <v>0.222350780727547</v>
      </c>
      <c r="AB158" s="57"/>
      <c r="AD158" s="35" t="s">
        <v>91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92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10424.13</v>
      </c>
      <c r="J159" s="52">
        <v>8410.93</v>
      </c>
      <c r="K159" s="52">
        <v>7300.139999999999</v>
      </c>
      <c r="L159" s="52">
        <v>1110.7900000000009</v>
      </c>
      <c r="M159" s="53">
        <v>0.13206506295974416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49.388806584362136</v>
      </c>
      <c r="Y159" s="55">
        <v>36.03704967040926</v>
      </c>
      <c r="Z159" s="53">
        <v>0.2235</v>
      </c>
      <c r="AA159" s="56">
        <v>0.2224</v>
      </c>
      <c r="AB159" s="57"/>
      <c r="AD159" s="35" t="s">
        <v>93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94</v>
      </c>
      <c r="D160" s="52"/>
      <c r="E160" s="52"/>
      <c r="F160" s="52"/>
      <c r="G160" s="53"/>
      <c r="H160" s="52"/>
      <c r="I160" s="52"/>
      <c r="J160" s="52">
        <v>0</v>
      </c>
      <c r="K160" s="52">
        <v>0</v>
      </c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95</v>
      </c>
      <c r="D161" s="52">
        <v>17899.33</v>
      </c>
      <c r="E161" s="52">
        <v>13424.5</v>
      </c>
      <c r="F161" s="52">
        <v>4474.830000000002</v>
      </c>
      <c r="G161" s="53">
        <v>0.24999986032996774</v>
      </c>
      <c r="H161" s="52">
        <v>13919.4</v>
      </c>
      <c r="I161" s="52">
        <v>10424.13</v>
      </c>
      <c r="J161" s="52">
        <v>8410.93</v>
      </c>
      <c r="K161" s="52">
        <v>7300.139999999999</v>
      </c>
      <c r="L161" s="52">
        <v>1110.7900000000009</v>
      </c>
      <c r="M161" s="53">
        <v>0.13206506295974416</v>
      </c>
      <c r="N161" s="53"/>
      <c r="O161" s="52">
        <v>5508.47</v>
      </c>
      <c r="P161" s="52">
        <v>3123.99</v>
      </c>
      <c r="Q161" s="52">
        <v>2384.4800000000005</v>
      </c>
      <c r="R161" s="53">
        <v>0.43287519038861977</v>
      </c>
      <c r="S161" s="54">
        <v>110.44</v>
      </c>
      <c r="T161" s="54">
        <v>60.75</v>
      </c>
      <c r="U161" s="54">
        <v>49.69</v>
      </c>
      <c r="V161" s="53">
        <v>0.44992756247736326</v>
      </c>
      <c r="W161" s="53"/>
      <c r="X161" s="55">
        <v>49.388806584362136</v>
      </c>
      <c r="Y161" s="55">
        <v>36.03704967040926</v>
      </c>
      <c r="Z161" s="53">
        <v>0.2235</v>
      </c>
      <c r="AA161" s="56">
        <v>0.2224</v>
      </c>
      <c r="AB161" s="57"/>
      <c r="AD161" s="35" t="s">
        <v>96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97</v>
      </c>
      <c r="D162" s="52"/>
      <c r="E162" s="52"/>
      <c r="F162" s="52"/>
      <c r="G162" s="53"/>
      <c r="H162" s="52"/>
      <c r="I162" s="52"/>
      <c r="J162" s="52">
        <v>0</v>
      </c>
      <c r="K162" s="52">
        <v>0</v>
      </c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98</v>
      </c>
      <c r="D163" s="52"/>
      <c r="E163" s="52"/>
      <c r="F163" s="52"/>
      <c r="G163" s="53"/>
      <c r="H163" s="52"/>
      <c r="I163" s="52"/>
      <c r="J163" s="52">
        <v>0</v>
      </c>
      <c r="K163" s="52">
        <v>0</v>
      </c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90</v>
      </c>
      <c r="D165" s="52"/>
      <c r="E165" s="52"/>
      <c r="F165" s="52"/>
      <c r="G165" s="53"/>
      <c r="H165" s="52"/>
      <c r="I165" s="52"/>
      <c r="J165" s="52"/>
      <c r="K165" s="52"/>
      <c r="L165" s="52"/>
      <c r="M165" s="53"/>
      <c r="N165" s="53"/>
      <c r="O165" s="52"/>
      <c r="P165" s="52"/>
      <c r="Q165" s="52"/>
      <c r="R165" s="53"/>
      <c r="S165" s="54"/>
      <c r="T165" s="54"/>
      <c r="U165" s="54"/>
      <c r="V165" s="53"/>
      <c r="W165" s="53"/>
      <c r="X165" s="55"/>
      <c r="Y165" s="55"/>
      <c r="Z165" s="53"/>
      <c r="AA165" s="56"/>
      <c r="AB165" s="57"/>
      <c r="AD165" s="35" t="s">
        <v>91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92</v>
      </c>
      <c r="D166" s="52"/>
      <c r="E166" s="52"/>
      <c r="F166" s="52"/>
      <c r="G166" s="53"/>
      <c r="H166" s="52"/>
      <c r="I166" s="52"/>
      <c r="J166" s="52"/>
      <c r="K166" s="52"/>
      <c r="L166" s="52"/>
      <c r="M166" s="53"/>
      <c r="N166" s="53"/>
      <c r="O166" s="52"/>
      <c r="P166" s="52"/>
      <c r="Q166" s="52"/>
      <c r="R166" s="53"/>
      <c r="S166" s="54"/>
      <c r="T166" s="54"/>
      <c r="U166" s="54"/>
      <c r="V166" s="53"/>
      <c r="W166" s="53"/>
      <c r="X166" s="55"/>
      <c r="Y166" s="55"/>
      <c r="Z166" s="53"/>
      <c r="AA166" s="56"/>
      <c r="AB166" s="57"/>
      <c r="AD166" s="35" t="s">
        <v>93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94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95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96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97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98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90</v>
      </c>
      <c r="D172" s="52">
        <v>146237.11</v>
      </c>
      <c r="E172" s="52">
        <v>94266.45</v>
      </c>
      <c r="F172" s="52">
        <v>51970.66</v>
      </c>
      <c r="G172" s="53">
        <v>0.355386262761894</v>
      </c>
      <c r="H172" s="52">
        <v>114651.87</v>
      </c>
      <c r="I172" s="52">
        <v>75526.07</v>
      </c>
      <c r="J172" s="52">
        <v>82888.08</v>
      </c>
      <c r="K172" s="52">
        <v>0</v>
      </c>
      <c r="L172" s="52">
        <v>82888.08</v>
      </c>
      <c r="M172" s="53">
        <v>1</v>
      </c>
      <c r="N172" s="53"/>
      <c r="O172" s="52">
        <v>31763.79</v>
      </c>
      <c r="P172" s="52">
        <v>15117.97</v>
      </c>
      <c r="Q172" s="52">
        <v>16645.82</v>
      </c>
      <c r="R172" s="53">
        <v>0.524050184187718</v>
      </c>
      <c r="S172" s="54">
        <v>659.73</v>
      </c>
      <c r="T172" s="54">
        <v>304.75</v>
      </c>
      <c r="U172" s="54">
        <v>354.98</v>
      </c>
      <c r="V172" s="53">
        <v>0.538068603822776</v>
      </c>
      <c r="W172" s="53"/>
      <c r="X172" s="55">
        <v>259.716095159967</v>
      </c>
      <c r="Y172" s="55">
        <v>47.8760098828309</v>
      </c>
      <c r="Z172" s="53">
        <v>0.839625126436818</v>
      </c>
      <c r="AA172" s="56">
        <v>0.215986489339129</v>
      </c>
      <c r="AB172" s="57"/>
      <c r="AD172" s="35" t="s">
        <v>91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92</v>
      </c>
      <c r="D173" s="52">
        <v>146237.11</v>
      </c>
      <c r="E173" s="52">
        <v>94266.45</v>
      </c>
      <c r="F173" s="52">
        <v>51970.65999999999</v>
      </c>
      <c r="G173" s="53">
        <v>0.355386262761894</v>
      </c>
      <c r="H173" s="52">
        <v>114651.87</v>
      </c>
      <c r="I173" s="52">
        <v>91824.39</v>
      </c>
      <c r="J173" s="52">
        <v>82888.07999999999</v>
      </c>
      <c r="K173" s="52">
        <v>73131.34</v>
      </c>
      <c r="L173" s="52">
        <v>9756.73999999999</v>
      </c>
      <c r="M173" s="53">
        <v>0.11770980821367792</v>
      </c>
      <c r="N173" s="53"/>
      <c r="O173" s="52">
        <v>31763.79</v>
      </c>
      <c r="P173" s="52">
        <v>18693.05</v>
      </c>
      <c r="Q173" s="52">
        <v>13070.740000000002</v>
      </c>
      <c r="R173" s="53">
        <v>0.41149812412183817</v>
      </c>
      <c r="S173" s="54">
        <v>659.73</v>
      </c>
      <c r="T173" s="54">
        <v>378</v>
      </c>
      <c r="U173" s="54">
        <v>281.73</v>
      </c>
      <c r="V173" s="53">
        <v>0.4270383338638534</v>
      </c>
      <c r="W173" s="53"/>
      <c r="X173" s="55">
        <v>6.46047619047619</v>
      </c>
      <c r="Y173" s="55">
        <v>47.87601261940491</v>
      </c>
      <c r="Z173" s="53">
        <v>0.0259</v>
      </c>
      <c r="AA173" s="56">
        <v>0.216</v>
      </c>
      <c r="AB173" s="57"/>
      <c r="AD173" s="35" t="s">
        <v>93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94</v>
      </c>
      <c r="D174" s="52">
        <v>146237.11</v>
      </c>
      <c r="E174" s="52">
        <v>94266.45</v>
      </c>
      <c r="F174" s="52">
        <v>51970.65999999999</v>
      </c>
      <c r="G174" s="53">
        <v>0.355386262761894</v>
      </c>
      <c r="H174" s="52">
        <v>114651.87</v>
      </c>
      <c r="I174" s="52">
        <v>95876.35</v>
      </c>
      <c r="J174" s="52">
        <v>82888.07999999999</v>
      </c>
      <c r="K174" s="52">
        <v>74503.91</v>
      </c>
      <c r="L174" s="52">
        <v>8384.169999999984</v>
      </c>
      <c r="M174" s="53">
        <v>0.10115049112007402</v>
      </c>
      <c r="N174" s="53"/>
      <c r="O174" s="52">
        <v>31763.79</v>
      </c>
      <c r="P174" s="52">
        <v>21372.44</v>
      </c>
      <c r="Q174" s="52">
        <v>10391.350000000002</v>
      </c>
      <c r="R174" s="53">
        <v>0.32714452525973764</v>
      </c>
      <c r="S174" s="54">
        <v>659.73</v>
      </c>
      <c r="T174" s="54">
        <v>430</v>
      </c>
      <c r="U174" s="54">
        <v>229.73000000000002</v>
      </c>
      <c r="V174" s="53">
        <v>0.34821821048004487</v>
      </c>
      <c r="W174" s="53"/>
      <c r="X174" s="55">
        <v>-3.7439534883720933</v>
      </c>
      <c r="Y174" s="55">
        <v>47.87601261940491</v>
      </c>
      <c r="Z174" s="53">
        <v>-0.0171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95</v>
      </c>
      <c r="D175" s="52">
        <v>146237.11</v>
      </c>
      <c r="E175" s="52">
        <v>94266.45</v>
      </c>
      <c r="F175" s="52">
        <v>51970.65999999999</v>
      </c>
      <c r="G175" s="53">
        <v>0.355386262761894</v>
      </c>
      <c r="H175" s="52">
        <v>114651.87</v>
      </c>
      <c r="I175" s="52">
        <v>95876.35</v>
      </c>
      <c r="J175" s="52">
        <v>82888.07999999999</v>
      </c>
      <c r="K175" s="52">
        <v>74503.91</v>
      </c>
      <c r="L175" s="52">
        <v>8384.169999999984</v>
      </c>
      <c r="M175" s="53">
        <v>0.10115049112007402</v>
      </c>
      <c r="N175" s="53"/>
      <c r="O175" s="52">
        <v>31763.79</v>
      </c>
      <c r="P175" s="52">
        <v>21372.44</v>
      </c>
      <c r="Q175" s="52">
        <v>10391.350000000002</v>
      </c>
      <c r="R175" s="53">
        <v>0.32714452525973764</v>
      </c>
      <c r="S175" s="54">
        <v>659.73</v>
      </c>
      <c r="T175" s="54">
        <v>430</v>
      </c>
      <c r="U175" s="54">
        <v>229.73000000000002</v>
      </c>
      <c r="V175" s="53">
        <v>0.34821821048004487</v>
      </c>
      <c r="W175" s="53"/>
      <c r="X175" s="55">
        <v>-3.7439534883720933</v>
      </c>
      <c r="Y175" s="55">
        <v>47.87601261940491</v>
      </c>
      <c r="Z175" s="53">
        <v>-0.0171</v>
      </c>
      <c r="AA175" s="56">
        <v>0.216</v>
      </c>
      <c r="AB175" s="57"/>
      <c r="AD175" s="35" t="s">
        <v>96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97</v>
      </c>
      <c r="D176" s="52"/>
      <c r="E176" s="52"/>
      <c r="F176" s="52"/>
      <c r="G176" s="53"/>
      <c r="H176" s="52"/>
      <c r="I176" s="52"/>
      <c r="J176" s="52"/>
      <c r="K176" s="52">
        <v>0</v>
      </c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98</v>
      </c>
      <c r="D177" s="52"/>
      <c r="E177" s="52"/>
      <c r="F177" s="52"/>
      <c r="G177" s="53"/>
      <c r="H177" s="52"/>
      <c r="I177" s="52"/>
      <c r="J177" s="52"/>
      <c r="K177" s="52">
        <v>0</v>
      </c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90</v>
      </c>
      <c r="D179" s="52">
        <v>16897.53</v>
      </c>
      <c r="E179" s="52">
        <v>0</v>
      </c>
      <c r="F179" s="52">
        <v>16897.53</v>
      </c>
      <c r="G179" s="53">
        <v>1</v>
      </c>
      <c r="H179" s="52">
        <v>9226.27</v>
      </c>
      <c r="I179" s="52">
        <v>2946.15</v>
      </c>
      <c r="J179" s="52">
        <v>2977.11</v>
      </c>
      <c r="K179" s="52">
        <v>2298.71</v>
      </c>
      <c r="L179" s="52">
        <v>678.400000000001</v>
      </c>
      <c r="M179" s="53">
        <v>0.22787199666791</v>
      </c>
      <c r="N179" s="53"/>
      <c r="O179" s="52">
        <v>6249.16</v>
      </c>
      <c r="P179" s="52">
        <v>647.44</v>
      </c>
      <c r="Q179" s="52">
        <v>5601.72</v>
      </c>
      <c r="R179" s="53">
        <v>0.896395675578798</v>
      </c>
      <c r="S179" s="54">
        <v>125.17</v>
      </c>
      <c r="T179" s="54">
        <v>11.25</v>
      </c>
      <c r="U179" s="54">
        <v>113.92</v>
      </c>
      <c r="V179" s="53">
        <v>0.910122233762084</v>
      </c>
      <c r="W179" s="53"/>
      <c r="X179" s="55">
        <v>-261.88</v>
      </c>
      <c r="Y179" s="55">
        <v>61.2867300471359</v>
      </c>
      <c r="Z179" s="53"/>
      <c r="AA179" s="56">
        <v>0.453987062014389</v>
      </c>
      <c r="AB179" s="57"/>
      <c r="AD179" s="35" t="s">
        <v>91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92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93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94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95</v>
      </c>
      <c r="D182" s="52">
        <v>16897.53</v>
      </c>
      <c r="E182" s="52">
        <v>5491.7</v>
      </c>
      <c r="F182" s="52">
        <v>11405.829999999998</v>
      </c>
      <c r="G182" s="53">
        <v>0.6749998372543206</v>
      </c>
      <c r="H182" s="52">
        <v>9226.27</v>
      </c>
      <c r="I182" s="52">
        <v>3702.78</v>
      </c>
      <c r="J182" s="52">
        <v>2977.1100000000006</v>
      </c>
      <c r="K182" s="52">
        <v>2335.9700000000003</v>
      </c>
      <c r="L182" s="52">
        <v>641.1400000000003</v>
      </c>
      <c r="M182" s="53">
        <v>0.2153565034546927</v>
      </c>
      <c r="N182" s="53"/>
      <c r="O182" s="52">
        <v>6249.16</v>
      </c>
      <c r="P182" s="52">
        <v>1366.81</v>
      </c>
      <c r="Q182" s="52">
        <v>4882.35</v>
      </c>
      <c r="R182" s="53">
        <v>0.7812810041669601</v>
      </c>
      <c r="S182" s="54">
        <v>125.17</v>
      </c>
      <c r="T182" s="54">
        <v>23.75</v>
      </c>
      <c r="U182" s="54">
        <v>101.42</v>
      </c>
      <c r="V182" s="53">
        <v>0.8102580490532876</v>
      </c>
      <c r="W182" s="53"/>
      <c r="X182" s="55">
        <v>75.32294736842105</v>
      </c>
      <c r="Y182" s="55">
        <v>61.286703843093385</v>
      </c>
      <c r="Z182" s="53">
        <v>0.3257</v>
      </c>
      <c r="AA182" s="56">
        <v>0.454</v>
      </c>
      <c r="AB182" s="57"/>
      <c r="AD182" s="35" t="s">
        <v>96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97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98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90</v>
      </c>
      <c r="D186" s="52">
        <v>20992.12</v>
      </c>
      <c r="E186" s="52">
        <v>1232.58</v>
      </c>
      <c r="F186" s="52">
        <v>19759.54</v>
      </c>
      <c r="G186" s="53">
        <v>0.941283681686271</v>
      </c>
      <c r="H186" s="52">
        <v>16299.09</v>
      </c>
      <c r="I186" s="52">
        <v>4905.28</v>
      </c>
      <c r="J186" s="52">
        <v>9784.33</v>
      </c>
      <c r="K186" s="52">
        <v>0</v>
      </c>
      <c r="L186" s="52">
        <v>9784.33</v>
      </c>
      <c r="M186" s="53">
        <v>1</v>
      </c>
      <c r="N186" s="53"/>
      <c r="O186" s="52">
        <v>6514.76</v>
      </c>
      <c r="P186" s="52">
        <v>1444.13</v>
      </c>
      <c r="Q186" s="52">
        <v>5070.63</v>
      </c>
      <c r="R186" s="53">
        <v>0.778329516359774</v>
      </c>
      <c r="S186" s="54">
        <v>130.62</v>
      </c>
      <c r="T186" s="54">
        <v>32.25</v>
      </c>
      <c r="U186" s="54">
        <v>98.37</v>
      </c>
      <c r="V186" s="53">
        <v>0.753100597152044</v>
      </c>
      <c r="W186" s="53"/>
      <c r="X186" s="55">
        <v>-6.55968992248063</v>
      </c>
      <c r="Y186" s="55">
        <v>35.9288776603889</v>
      </c>
      <c r="Z186" s="53">
        <v>-0.171631861623586</v>
      </c>
      <c r="AA186" s="56">
        <v>0.22356150784199</v>
      </c>
      <c r="AB186" s="57"/>
      <c r="AD186" s="35" t="s">
        <v>91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92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9755.47</v>
      </c>
      <c r="J187" s="52">
        <v>9784.33</v>
      </c>
      <c r="K187" s="52">
        <v>8193.84</v>
      </c>
      <c r="L187" s="52">
        <v>1590.4899999999998</v>
      </c>
      <c r="M187" s="53">
        <v>0.16255481979859632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127.02762589928058</v>
      </c>
      <c r="Y187" s="55">
        <v>35.92887828502527</v>
      </c>
      <c r="Z187" s="53">
        <v>0.3115</v>
      </c>
      <c r="AA187" s="56">
        <v>0.2236</v>
      </c>
      <c r="AB187" s="57"/>
      <c r="AD187" s="35" t="s">
        <v>93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94</v>
      </c>
      <c r="D188" s="52"/>
      <c r="E188" s="52"/>
      <c r="F188" s="52"/>
      <c r="G188" s="53"/>
      <c r="H188" s="52"/>
      <c r="I188" s="52"/>
      <c r="J188" s="52"/>
      <c r="K188" s="52">
        <v>0</v>
      </c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95</v>
      </c>
      <c r="D189" s="52">
        <v>20992.12</v>
      </c>
      <c r="E189" s="52">
        <v>14169.68</v>
      </c>
      <c r="F189" s="52">
        <v>6822.439999999999</v>
      </c>
      <c r="G189" s="53">
        <v>0.32500004763692275</v>
      </c>
      <c r="H189" s="52">
        <v>16299.09</v>
      </c>
      <c r="I189" s="52">
        <v>9755.47</v>
      </c>
      <c r="J189" s="52">
        <v>9784.33</v>
      </c>
      <c r="K189" s="52">
        <v>8193.84</v>
      </c>
      <c r="L189" s="52">
        <v>1590.4899999999998</v>
      </c>
      <c r="M189" s="53">
        <v>0.16255481979859632</v>
      </c>
      <c r="N189" s="53"/>
      <c r="O189" s="52">
        <v>6514.76</v>
      </c>
      <c r="P189" s="52">
        <v>1561.63</v>
      </c>
      <c r="Q189" s="52">
        <v>4953.13</v>
      </c>
      <c r="R189" s="53">
        <v>0.7602935488030257</v>
      </c>
      <c r="S189" s="54">
        <v>130.62</v>
      </c>
      <c r="T189" s="54">
        <v>34.75</v>
      </c>
      <c r="U189" s="54">
        <v>95.87</v>
      </c>
      <c r="V189" s="53">
        <v>0.7339611085591793</v>
      </c>
      <c r="W189" s="53"/>
      <c r="X189" s="55">
        <v>127.02762589928058</v>
      </c>
      <c r="Y189" s="55">
        <v>35.92887828502527</v>
      </c>
      <c r="Z189" s="53">
        <v>0.3115</v>
      </c>
      <c r="AA189" s="56">
        <v>0.2236</v>
      </c>
      <c r="AB189" s="57"/>
      <c r="AD189" s="35" t="s">
        <v>96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97</v>
      </c>
      <c r="D190" s="52"/>
      <c r="E190" s="52"/>
      <c r="F190" s="52"/>
      <c r="G190" s="53"/>
      <c r="H190" s="52"/>
      <c r="I190" s="52"/>
      <c r="J190" s="52"/>
      <c r="K190" s="52">
        <v>0</v>
      </c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98</v>
      </c>
      <c r="D191" s="52"/>
      <c r="E191" s="52"/>
      <c r="F191" s="52"/>
      <c r="G191" s="53"/>
      <c r="H191" s="52"/>
      <c r="I191" s="52"/>
      <c r="J191" s="52"/>
      <c r="K191" s="52">
        <v>0</v>
      </c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90</v>
      </c>
      <c r="D193" s="52">
        <v>0</v>
      </c>
      <c r="E193" s="52">
        <v>0</v>
      </c>
      <c r="F193" s="52"/>
      <c r="G193" s="53"/>
      <c r="H193" s="52">
        <v>0</v>
      </c>
      <c r="I193" s="52">
        <v>0</v>
      </c>
      <c r="J193" s="52"/>
      <c r="K193" s="52">
        <v>0</v>
      </c>
      <c r="L193" s="52"/>
      <c r="M193" s="53"/>
      <c r="N193" s="53"/>
      <c r="O193" s="52">
        <v>0</v>
      </c>
      <c r="P193" s="52">
        <v>0</v>
      </c>
      <c r="Q193" s="52"/>
      <c r="R193" s="53"/>
      <c r="S193" s="54">
        <v>0</v>
      </c>
      <c r="T193" s="54">
        <v>0</v>
      </c>
      <c r="U193" s="54"/>
      <c r="V193" s="53"/>
      <c r="W193" s="53"/>
      <c r="X193" s="55"/>
      <c r="Y193" s="55"/>
      <c r="Z193" s="53"/>
      <c r="AA193" s="56"/>
      <c r="AB193" s="57"/>
      <c r="AD193" s="35" t="s">
        <v>91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92</v>
      </c>
      <c r="D194" s="52">
        <v>23770.95</v>
      </c>
      <c r="E194" s="52">
        <v>0</v>
      </c>
      <c r="F194" s="52">
        <v>23770.95</v>
      </c>
      <c r="G194" s="53">
        <v>1</v>
      </c>
      <c r="H194" s="52">
        <v>14310.96</v>
      </c>
      <c r="I194" s="52">
        <v>7180.07</v>
      </c>
      <c r="J194" s="52">
        <v>7389.339999999999</v>
      </c>
      <c r="K194" s="52">
        <v>6849.16</v>
      </c>
      <c r="L194" s="52">
        <v>540.1799999999994</v>
      </c>
      <c r="M194" s="53">
        <v>0.07310260456278903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-1248.7078260869564</v>
      </c>
      <c r="Y194" s="55">
        <v>67.49902570438813</v>
      </c>
      <c r="Z194" s="53">
        <v>0</v>
      </c>
      <c r="AA194" s="56">
        <v>0.398</v>
      </c>
      <c r="AB194" s="57"/>
      <c r="AD194" s="35" t="s">
        <v>93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94</v>
      </c>
      <c r="D195" s="52"/>
      <c r="E195" s="52"/>
      <c r="F195" s="52"/>
      <c r="G195" s="53"/>
      <c r="H195" s="52"/>
      <c r="I195" s="52"/>
      <c r="J195" s="52"/>
      <c r="K195" s="52">
        <v>0</v>
      </c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95</v>
      </c>
      <c r="D196" s="52">
        <v>23770.95</v>
      </c>
      <c r="E196" s="52">
        <v>0</v>
      </c>
      <c r="F196" s="52">
        <v>23770.95</v>
      </c>
      <c r="G196" s="53">
        <v>1</v>
      </c>
      <c r="H196" s="52">
        <v>14310.96</v>
      </c>
      <c r="I196" s="52">
        <v>7180.07</v>
      </c>
      <c r="J196" s="52">
        <v>7389.339999999999</v>
      </c>
      <c r="K196" s="52">
        <v>6849.16</v>
      </c>
      <c r="L196" s="52">
        <v>540.1799999999994</v>
      </c>
      <c r="M196" s="53">
        <v>0.07310260456278903</v>
      </c>
      <c r="N196" s="53"/>
      <c r="O196" s="52">
        <v>6921.62</v>
      </c>
      <c r="P196" s="52">
        <v>330.91</v>
      </c>
      <c r="Q196" s="52">
        <v>6590.71</v>
      </c>
      <c r="R196" s="53">
        <v>0.9521918279246766</v>
      </c>
      <c r="S196" s="54">
        <v>140.15</v>
      </c>
      <c r="T196" s="54">
        <v>5.75</v>
      </c>
      <c r="U196" s="54">
        <v>134.4</v>
      </c>
      <c r="V196" s="53">
        <v>0.9589725294327506</v>
      </c>
      <c r="W196" s="53"/>
      <c r="X196" s="55">
        <v>-1248.7078260869564</v>
      </c>
      <c r="Y196" s="55">
        <v>67.49902570438813</v>
      </c>
      <c r="Z196" s="53">
        <v>0</v>
      </c>
      <c r="AA196" s="56">
        <v>0.398</v>
      </c>
      <c r="AB196" s="57"/>
      <c r="AD196" s="35" t="s">
        <v>96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97</v>
      </c>
      <c r="D197" s="52"/>
      <c r="E197" s="52"/>
      <c r="F197" s="52"/>
      <c r="G197" s="53"/>
      <c r="H197" s="52"/>
      <c r="I197" s="52"/>
      <c r="J197" s="52"/>
      <c r="K197" s="52">
        <v>0</v>
      </c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98</v>
      </c>
      <c r="D198" s="52"/>
      <c r="E198" s="52"/>
      <c r="F198" s="52"/>
      <c r="G198" s="53"/>
      <c r="H198" s="52"/>
      <c r="I198" s="52"/>
      <c r="J198" s="52"/>
      <c r="K198" s="52">
        <v>0</v>
      </c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90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91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92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93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94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95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96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97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98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90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91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92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93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94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95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96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97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98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90</v>
      </c>
      <c r="D214" s="52">
        <v>137109.56</v>
      </c>
      <c r="E214" s="52">
        <v>0</v>
      </c>
      <c r="F214" s="52">
        <v>137109.56</v>
      </c>
      <c r="G214" s="53">
        <v>1</v>
      </c>
      <c r="H214" s="52">
        <v>117394.57</v>
      </c>
      <c r="I214" s="52">
        <v>0</v>
      </c>
      <c r="J214" s="52">
        <v>99479.62</v>
      </c>
      <c r="K214" s="52"/>
      <c r="L214" s="52">
        <v>99479.62</v>
      </c>
      <c r="M214" s="53">
        <v>1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/>
      <c r="Y214" s="55">
        <v>54.9378309089895</v>
      </c>
      <c r="Z214" s="53"/>
      <c r="AA214" s="56">
        <v>0.143790046441692</v>
      </c>
      <c r="AB214" s="57"/>
      <c r="AD214" s="35" t="s">
        <v>91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92</v>
      </c>
      <c r="D215" s="52">
        <v>137109.56</v>
      </c>
      <c r="E215" s="52">
        <v>0</v>
      </c>
      <c r="F215" s="52">
        <v>137109.56</v>
      </c>
      <c r="G215" s="53">
        <v>1</v>
      </c>
      <c r="H215" s="52">
        <v>117394.57</v>
      </c>
      <c r="I215" s="52">
        <v>1749.8</v>
      </c>
      <c r="J215" s="52">
        <v>99479.62000000001</v>
      </c>
      <c r="K215" s="52">
        <v>1749.8</v>
      </c>
      <c r="L215" s="52">
        <v>97729.82</v>
      </c>
      <c r="M215" s="53">
        <v>0.9824104675912513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</v>
      </c>
      <c r="AA215" s="56">
        <v>0.1438</v>
      </c>
      <c r="AB215" s="57"/>
      <c r="AD215" s="35" t="s">
        <v>93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94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95</v>
      </c>
      <c r="D217" s="52">
        <v>137109.56</v>
      </c>
      <c r="E217" s="52">
        <v>0</v>
      </c>
      <c r="F217" s="52">
        <v>137109.56</v>
      </c>
      <c r="G217" s="53">
        <v>1</v>
      </c>
      <c r="H217" s="52">
        <v>117394.57</v>
      </c>
      <c r="I217" s="52">
        <v>1749.8</v>
      </c>
      <c r="J217" s="52">
        <v>99479.62000000001</v>
      </c>
      <c r="K217" s="52">
        <v>1749.8</v>
      </c>
      <c r="L217" s="52">
        <v>97729.82</v>
      </c>
      <c r="M217" s="53">
        <v>0.9824104675912513</v>
      </c>
      <c r="N217" s="53"/>
      <c r="O217" s="52">
        <v>17914.95</v>
      </c>
      <c r="P217" s="52">
        <v>0</v>
      </c>
      <c r="Q217" s="52">
        <v>17914.95</v>
      </c>
      <c r="R217" s="53">
        <v>1</v>
      </c>
      <c r="S217" s="54">
        <v>358.86</v>
      </c>
      <c r="T217" s="54">
        <v>0</v>
      </c>
      <c r="U217" s="54">
        <v>358.86</v>
      </c>
      <c r="V217" s="53">
        <v>1</v>
      </c>
      <c r="W217" s="53"/>
      <c r="X217" s="55">
        <v>0</v>
      </c>
      <c r="Y217" s="55">
        <v>54.93783457863793</v>
      </c>
      <c r="Z217" s="53">
        <v>0</v>
      </c>
      <c r="AA217" s="56">
        <v>0.1438</v>
      </c>
      <c r="AB217" s="57"/>
      <c r="AD217" s="35" t="s">
        <v>96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97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98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90</v>
      </c>
      <c r="D221" s="52">
        <v>389318.35</v>
      </c>
      <c r="E221" s="52">
        <v>271388.15</v>
      </c>
      <c r="F221" s="52">
        <v>117930.2</v>
      </c>
      <c r="G221" s="53">
        <v>0.302914568501587</v>
      </c>
      <c r="H221" s="52">
        <v>289549.48</v>
      </c>
      <c r="I221" s="52">
        <v>224459.32</v>
      </c>
      <c r="J221" s="52">
        <v>0</v>
      </c>
      <c r="K221" s="52">
        <v>0</v>
      </c>
      <c r="L221" s="52"/>
      <c r="M221" s="53"/>
      <c r="N221" s="53"/>
      <c r="O221" s="52">
        <v>115269.5</v>
      </c>
      <c r="P221" s="52">
        <v>48310.19</v>
      </c>
      <c r="Q221" s="52">
        <v>66959.31</v>
      </c>
      <c r="R221" s="53">
        <v>0.580893558139838</v>
      </c>
      <c r="S221" s="54">
        <v>2312.68</v>
      </c>
      <c r="T221" s="54">
        <v>1014.25</v>
      </c>
      <c r="U221" s="54">
        <v>1298.43</v>
      </c>
      <c r="V221" s="53">
        <v>0.561439542003217</v>
      </c>
      <c r="W221" s="53"/>
      <c r="X221" s="55">
        <v>219.943761400049</v>
      </c>
      <c r="Y221" s="55">
        <v>118.498387152568</v>
      </c>
      <c r="Z221" s="53">
        <v>0.821988579825611</v>
      </c>
      <c r="AA221" s="56">
        <v>0.256265521519856</v>
      </c>
      <c r="AB221" s="57"/>
      <c r="AD221" s="35" t="s">
        <v>91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92</v>
      </c>
      <c r="D222" s="52">
        <v>389318.35</v>
      </c>
      <c r="E222" s="52">
        <v>271388.15</v>
      </c>
      <c r="F222" s="52">
        <v>117930.19999999995</v>
      </c>
      <c r="G222" s="53">
        <v>0.3029145685015874</v>
      </c>
      <c r="H222" s="52">
        <v>289549.48</v>
      </c>
      <c r="I222" s="52">
        <v>228314.4</v>
      </c>
      <c r="J222" s="52">
        <v>174279.97999999998</v>
      </c>
      <c r="K222" s="52">
        <v>175133.49</v>
      </c>
      <c r="L222" s="52">
        <v>-853.5100000000093</v>
      </c>
      <c r="M222" s="53">
        <v>-0.004897349655422324</v>
      </c>
      <c r="N222" s="53"/>
      <c r="O222" s="52">
        <v>115269.5</v>
      </c>
      <c r="P222" s="52">
        <v>53180.91</v>
      </c>
      <c r="Q222" s="52">
        <v>62088.59</v>
      </c>
      <c r="R222" s="53">
        <v>0.5386384950051835</v>
      </c>
      <c r="S222" s="54">
        <v>2312.68</v>
      </c>
      <c r="T222" s="54">
        <v>1120.5</v>
      </c>
      <c r="U222" s="54">
        <v>1192.1799999999998</v>
      </c>
      <c r="V222" s="53">
        <v>0.5154971721120085</v>
      </c>
      <c r="W222" s="53"/>
      <c r="X222" s="55">
        <v>38.441543953592145</v>
      </c>
      <c r="Y222" s="55">
        <v>43.1399392286741</v>
      </c>
      <c r="Z222" s="53">
        <v>0.15869999999999998</v>
      </c>
      <c r="AA222" s="56">
        <v>0.2563</v>
      </c>
      <c r="AB222" s="57"/>
      <c r="AD222" s="35" t="s">
        <v>93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94</v>
      </c>
      <c r="D223" s="52"/>
      <c r="E223" s="52"/>
      <c r="F223" s="52"/>
      <c r="G223" s="53"/>
      <c r="H223" s="52"/>
      <c r="I223" s="52"/>
      <c r="J223" s="52">
        <v>0</v>
      </c>
      <c r="K223" s="52">
        <v>0</v>
      </c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95</v>
      </c>
      <c r="D224" s="52">
        <v>389318.35</v>
      </c>
      <c r="E224" s="52">
        <v>271388.15</v>
      </c>
      <c r="F224" s="52">
        <v>117930.19999999995</v>
      </c>
      <c r="G224" s="53">
        <v>0.3029145685015874</v>
      </c>
      <c r="H224" s="52">
        <v>289549.48</v>
      </c>
      <c r="I224" s="52">
        <v>227043.56</v>
      </c>
      <c r="J224" s="52">
        <v>174279.97999999998</v>
      </c>
      <c r="K224" s="52">
        <v>173862.65</v>
      </c>
      <c r="L224" s="52">
        <v>417.3299999999872</v>
      </c>
      <c r="M224" s="53">
        <v>0.0023945951795495226</v>
      </c>
      <c r="N224" s="53"/>
      <c r="O224" s="52">
        <v>115269.5</v>
      </c>
      <c r="P224" s="52">
        <v>53180.91</v>
      </c>
      <c r="Q224" s="52">
        <v>62088.59</v>
      </c>
      <c r="R224" s="53">
        <v>0.5386384950051835</v>
      </c>
      <c r="S224" s="54">
        <v>2312.68</v>
      </c>
      <c r="T224" s="54">
        <v>1120.5</v>
      </c>
      <c r="U224" s="54">
        <v>1192.1799999999998</v>
      </c>
      <c r="V224" s="53">
        <v>0.5154971721120085</v>
      </c>
      <c r="W224" s="53"/>
      <c r="X224" s="55">
        <v>39.57571619812583</v>
      </c>
      <c r="Y224" s="55">
        <v>43.1399392286741</v>
      </c>
      <c r="Z224" s="53">
        <v>0.1634</v>
      </c>
      <c r="AA224" s="56">
        <v>0.2563</v>
      </c>
      <c r="AB224" s="57"/>
      <c r="AD224" s="35" t="s">
        <v>96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97</v>
      </c>
      <c r="D225" s="52"/>
      <c r="E225" s="52"/>
      <c r="F225" s="52"/>
      <c r="G225" s="53"/>
      <c r="H225" s="52"/>
      <c r="I225" s="52"/>
      <c r="J225" s="52">
        <v>0</v>
      </c>
      <c r="K225" s="52">
        <v>0</v>
      </c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98</v>
      </c>
      <c r="D226" s="52"/>
      <c r="E226" s="52"/>
      <c r="F226" s="52"/>
      <c r="G226" s="53"/>
      <c r="H226" s="52"/>
      <c r="I226" s="52"/>
      <c r="J226" s="52">
        <v>0</v>
      </c>
      <c r="K226" s="52">
        <v>0</v>
      </c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18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16" x14ac:dyDescent="0.25">
      <c r="A2" s="80" t="s">
        <v>99</v>
      </c>
      <c r="B2" s="81" t="s">
        <v>100</v>
      </c>
      <c r="C2" s="82" t="s">
        <v>101</v>
      </c>
      <c r="D2" s="82" t="s">
        <v>102</v>
      </c>
      <c r="E2" s="82" t="s">
        <v>103</v>
      </c>
      <c r="F2" s="82" t="s">
        <v>104</v>
      </c>
      <c r="G2" s="83" t="s">
        <v>105</v>
      </c>
      <c r="H2" s="83" t="s">
        <v>106</v>
      </c>
      <c r="I2" s="81" t="s">
        <v>107</v>
      </c>
      <c r="J2" s="82" t="s">
        <v>108</v>
      </c>
      <c r="K2" s="82" t="s">
        <v>109</v>
      </c>
      <c r="L2" s="83" t="s">
        <v>110</v>
      </c>
      <c r="M2" s="83" t="s">
        <v>111</v>
      </c>
      <c r="N2" s="81" t="s">
        <v>112</v>
      </c>
      <c r="O2" s="84" t="s">
        <v>113</v>
      </c>
      <c r="P2" s="35"/>
    </row>
    <row r="3" ht="15" customHeight="1" spans="1:16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15" x14ac:dyDescent="0.25">
      <c r="A4" s="85">
        <f>'Main Sheet'!A4</f>
        <v>7658</v>
      </c>
      <c r="B4" s="54" t="str">
        <f>'Main Sheet'!B4</f>
        <v>Charity Hospital</v>
      </c>
      <c r="C4" s="52">
        <v>0</v>
      </c>
      <c r="D4" s="52">
        <v>51687.05</v>
      </c>
      <c r="E4" s="52">
        <v>-51687.05</v>
      </c>
      <c r="F4" s="52">
        <v>0</v>
      </c>
      <c r="G4" s="53">
        <v>0</v>
      </c>
      <c r="H4" s="53">
        <v>0.2149</v>
      </c>
      <c r="I4" s="86">
        <v>0</v>
      </c>
      <c r="J4" s="87">
        <v>90</v>
      </c>
      <c r="K4" s="52">
        <v>90</v>
      </c>
      <c r="L4" s="53">
        <v>0</v>
      </c>
      <c r="M4" s="52">
        <v>-51777.05</v>
      </c>
      <c r="N4" s="54">
        <v>20</v>
      </c>
      <c r="O4" s="58">
        <v>-2588.8525</v>
      </c>
    </row>
    <row r="5" ht="7.5" customHeight="1" spans="1:15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17" x14ac:dyDescent="0.25">
      <c r="A6" s="85">
        <f>'Main Sheet'!A6</f>
        <v>8142</v>
      </c>
      <c r="B6" s="54" t="str">
        <f>'Main Sheet'!B6</f>
        <v>Fisher Developements</v>
      </c>
      <c r="C6" s="52">
        <v>3912</v>
      </c>
      <c r="D6" s="52">
        <v>5791.1500000000015</v>
      </c>
      <c r="E6" s="52">
        <v>-1879.1500000000015</v>
      </c>
      <c r="F6" s="52">
        <v>0</v>
      </c>
      <c r="G6" s="53">
        <v>-0.4803553169734155</v>
      </c>
      <c r="H6" s="53">
        <f>'Deliverables Sheet'!AA11</f>
        <v>0.239214585617637</v>
      </c>
      <c r="I6" s="54">
        <v>16</v>
      </c>
      <c r="J6" s="52">
        <v>272.6</v>
      </c>
      <c r="K6" s="52">
        <v>912.6</v>
      </c>
      <c r="L6" s="53">
        <v>-0.7136375255623726</v>
      </c>
      <c r="M6" s="52">
        <v>-2791.7500000000014</v>
      </c>
      <c r="N6" s="54">
        <f>'Deliverables Sheet'!AE11</f>
        <v>-52.5</v>
      </c>
      <c r="O6" s="58">
        <v>76.48630136986306</v>
      </c>
      <c r="Q6" s="35" t="s">
        <v>114</v>
      </c>
    </row>
    <row r="7" ht="7.5" customHeight="1" spans="1:15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15" x14ac:dyDescent="0.25">
      <c r="A8" s="85">
        <f>'Main Sheet'!A8</f>
        <v>8824</v>
      </c>
      <c r="B8" s="54" t="str">
        <f>'Main Sheet'!B8</f>
        <v>3 Innovation Road</v>
      </c>
      <c r="C8" s="52">
        <v>0</v>
      </c>
      <c r="D8" s="52">
        <v>0</v>
      </c>
      <c r="E8" s="52">
        <v>0</v>
      </c>
      <c r="F8" s="52"/>
      <c r="G8" s="53">
        <v>0</v>
      </c>
      <c r="H8" s="53">
        <f>'Deliverables Sheet'!AA18</f>
        <v>0.288523551725943</v>
      </c>
      <c r="I8" s="54">
        <v>16</v>
      </c>
      <c r="J8" s="52"/>
      <c r="K8" s="52">
        <v>640</v>
      </c>
      <c r="L8" s="53">
        <v>0</v>
      </c>
      <c r="M8" s="52">
        <v>-640</v>
      </c>
      <c r="N8" s="54">
        <f>'Deliverables Sheet'!AE18</f>
        <v>-34.75</v>
      </c>
      <c r="O8" s="58">
        <v>34.13333333333333</v>
      </c>
    </row>
    <row r="9" ht="7.5" customHeight="1" spans="1:15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15" x14ac:dyDescent="0.25">
      <c r="A10" s="85">
        <f>'Main Sheet'!A10</f>
        <v>8127</v>
      </c>
      <c r="B10" s="54" t="str">
        <f>'Main Sheet'!B10</f>
        <v>Rolly Autowash</v>
      </c>
      <c r="C10" s="52">
        <v>0</v>
      </c>
      <c r="D10" s="52">
        <v>8827.48999999999</v>
      </c>
      <c r="E10" s="52">
        <v>-8827.48999999999</v>
      </c>
      <c r="F10" s="52">
        <v>0</v>
      </c>
      <c r="G10" s="53">
        <v>0</v>
      </c>
      <c r="H10" s="53">
        <f>'Deliverables Sheet'!AA25</f>
        <v>0.32265253844825</v>
      </c>
      <c r="I10" s="54">
        <v>48</v>
      </c>
      <c r="J10" s="52">
        <v>3000</v>
      </c>
      <c r="K10" s="52">
        <v>4920</v>
      </c>
      <c r="L10" s="53">
        <v>0</v>
      </c>
      <c r="M10" s="52">
        <v>-13747.48999999999</v>
      </c>
      <c r="N10" s="54">
        <f>'Deliverables Sheet'!AE25</f>
        <v>-388.25</v>
      </c>
      <c r="O10" s="58">
        <v>40.40408523144744</v>
      </c>
    </row>
    <row r="11" ht="7.5" customHeight="1" spans="1:15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17" x14ac:dyDescent="0.25">
      <c r="A12" s="85">
        <v>8183</v>
      </c>
      <c r="B12" s="54" t="s">
        <v>115</v>
      </c>
      <c r="C12" s="52">
        <v>0</v>
      </c>
      <c r="D12" s="52">
        <v>1154.6499999999942</v>
      </c>
      <c r="E12" s="52">
        <v>-1154.6499999999942</v>
      </c>
      <c r="F12" s="52"/>
      <c r="G12" s="53">
        <v>0</v>
      </c>
      <c r="H12" s="53">
        <f>'Deliverables Sheet'!AA32</f>
        <v>0.176316261575212</v>
      </c>
      <c r="I12" s="54">
        <v>16</v>
      </c>
      <c r="J12" s="52">
        <v>2000</v>
      </c>
      <c r="K12" s="52">
        <v>2640</v>
      </c>
      <c r="L12" s="53">
        <v>0</v>
      </c>
      <c r="M12" s="52">
        <v>-3794.649999999994</v>
      </c>
      <c r="N12" s="54">
        <v>53</v>
      </c>
      <c r="O12" s="58">
        <v>-54.9949275362318</v>
      </c>
      <c r="Q12" s="35" t="s">
        <v>116</v>
      </c>
    </row>
    <row r="13" ht="7.5" customHeight="1" spans="1:15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15" x14ac:dyDescent="0.25">
      <c r="A14" s="85">
        <f>'Main Sheet'!A14</f>
        <v>8886</v>
      </c>
      <c r="B14" s="54" t="str">
        <f>'Main Sheet'!B14</f>
        <v>Monkey Toe - Fisher fit out</v>
      </c>
      <c r="C14" s="52">
        <v>0</v>
      </c>
      <c r="D14" s="52">
        <v>2138.1600000000035</v>
      </c>
      <c r="E14" s="52">
        <v>-2138.1600000000035</v>
      </c>
      <c r="F14" s="52">
        <v>0</v>
      </c>
      <c r="G14" s="53">
        <v>0</v>
      </c>
      <c r="H14" s="53">
        <f>'Deliverables Sheet'!AA39</f>
        <v>0.266338527271097</v>
      </c>
      <c r="I14" s="54">
        <v>0</v>
      </c>
      <c r="J14" s="52">
        <v>3000</v>
      </c>
      <c r="K14" s="52">
        <v>3000</v>
      </c>
      <c r="L14" s="53">
        <v>0</v>
      </c>
      <c r="M14" s="52">
        <v>-5138.1600000000035</v>
      </c>
      <c r="N14" s="54">
        <f>'Deliverables Sheet'!AE39</f>
        <v>-112</v>
      </c>
      <c r="O14" s="58">
        <v>45.876428571428605</v>
      </c>
    </row>
    <row r="15" ht="7.5" customHeight="1" spans="1:15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15" x14ac:dyDescent="0.25">
      <c r="A16" s="85">
        <f>'Main Sheet'!A16</f>
        <v>8887</v>
      </c>
      <c r="B16" s="54" t="str">
        <f>'Main Sheet'!B16</f>
        <v>Tenancy 2 - Fisher Fit out</v>
      </c>
      <c r="C16" s="52">
        <v>0</v>
      </c>
      <c r="D16" s="52">
        <v>5565.0300000000025</v>
      </c>
      <c r="E16" s="52">
        <v>-5565.0300000000025</v>
      </c>
      <c r="F16" s="52"/>
      <c r="G16" s="53">
        <v>0</v>
      </c>
      <c r="H16" s="53">
        <f>'Deliverables Sheet'!AA46</f>
        <v>0.226353821097855</v>
      </c>
      <c r="I16" s="54">
        <v>0</v>
      </c>
      <c r="J16" s="52">
        <v>3000</v>
      </c>
      <c r="K16" s="52">
        <v>3000</v>
      </c>
      <c r="L16" s="53">
        <v>0</v>
      </c>
      <c r="M16" s="52">
        <v>-8565.030000000002</v>
      </c>
      <c r="N16" s="54">
        <f>'Deliverables Sheet'!AE46</f>
        <v>-86.75</v>
      </c>
      <c r="O16" s="58">
        <v>98.73233429394816</v>
      </c>
    </row>
    <row r="17" ht="7.5" customHeight="1" spans="1:15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17" x14ac:dyDescent="0.25">
      <c r="A18" s="85">
        <f>'Main Sheet'!A18</f>
        <v>8670</v>
      </c>
      <c r="B18" s="54" t="str">
        <f>'Main Sheet'!B18</f>
        <v>Studio DB - tautara fit out</v>
      </c>
      <c r="C18" s="52">
        <v>0</v>
      </c>
      <c r="D18" s="52">
        <v>10982.64</v>
      </c>
      <c r="E18" s="52">
        <v>-10982.64</v>
      </c>
      <c r="F18" s="52">
        <v>0</v>
      </c>
      <c r="G18" s="53">
        <v>0</v>
      </c>
      <c r="H18" s="53">
        <f>'Deliverables Sheet'!AA53</f>
        <v>0.296537658865514</v>
      </c>
      <c r="I18" s="54">
        <v>80</v>
      </c>
      <c r="J18" s="52">
        <v>5000</v>
      </c>
      <c r="K18" s="52">
        <v>8200</v>
      </c>
      <c r="L18" s="53">
        <v>0</v>
      </c>
      <c r="M18" s="52">
        <v>-19182.64</v>
      </c>
      <c r="N18" s="54">
        <f>'Deliverables Sheet'!AE53</f>
        <v>-269</v>
      </c>
      <c r="O18" s="58">
        <v>101.49544973544974</v>
      </c>
      <c r="Q18" s="35" t="s">
        <v>117</v>
      </c>
    </row>
    <row r="19" ht="7.5" customHeight="1" spans="1:15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15" x14ac:dyDescent="0.25">
      <c r="A20" s="85">
        <f>'Main Sheet'!A20</f>
        <v>8907</v>
      </c>
      <c r="B20" s="54" t="str">
        <f>'Main Sheet'!B20</f>
        <v>35 Mania</v>
      </c>
      <c r="C20" s="52">
        <v>0</v>
      </c>
      <c r="D20" s="52">
        <v>1407.8799999999992</v>
      </c>
      <c r="E20" s="52">
        <v>-1407.8799999999992</v>
      </c>
      <c r="F20" s="52"/>
      <c r="G20" s="53">
        <v>0</v>
      </c>
      <c r="H20" s="53">
        <f>'Deliverables Sheet'!AA60</f>
        <v>0.223347449825078</v>
      </c>
      <c r="I20" s="54"/>
      <c r="J20" s="52"/>
      <c r="K20" s="52">
        <v>0</v>
      </c>
      <c r="L20" s="53">
        <v>0</v>
      </c>
      <c r="M20" s="52">
        <v>-1407.8799999999992</v>
      </c>
      <c r="N20" s="54"/>
      <c r="O20" s="58">
        <v>0</v>
      </c>
    </row>
    <row r="21" ht="7.5" customHeight="1" spans="1:15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15" x14ac:dyDescent="0.25">
      <c r="A22" s="85">
        <f>'Main Sheet'!A22</f>
        <v>9065</v>
      </c>
      <c r="B22" s="54" t="str">
        <f>'Main Sheet'!B22</f>
        <v>Cooltranz stage 4</v>
      </c>
      <c r="C22" s="52">
        <v>0</v>
      </c>
      <c r="D22" s="52">
        <v>4584.16</v>
      </c>
      <c r="E22" s="52">
        <v>-4584.16</v>
      </c>
      <c r="F22" s="52">
        <v>0</v>
      </c>
      <c r="G22" s="53">
        <v>0</v>
      </c>
      <c r="H22" s="53">
        <f>'Deliverables Sheet'!AA67</f>
        <v>0.252488256827238</v>
      </c>
      <c r="I22" s="54"/>
      <c r="J22" s="52"/>
      <c r="K22" s="52">
        <v>0</v>
      </c>
      <c r="L22" s="53">
        <v>0</v>
      </c>
      <c r="M22" s="52">
        <v>-4584.16</v>
      </c>
      <c r="N22" s="54">
        <f>'Deliverables Sheet'!AE67</f>
        <v>0</v>
      </c>
      <c r="O22" s="58">
        <v>0</v>
      </c>
    </row>
    <row r="23" ht="7.5" customHeight="1" spans="1:15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15" x14ac:dyDescent="0.25">
      <c r="A24" s="19">
        <f>'Main Sheet'!A24</f>
        <v>9259</v>
      </c>
      <c r="B24" s="54" t="str">
        <f>'Main Sheet'!B24</f>
        <v>Andrew Reeve Stage 2</v>
      </c>
      <c r="C24" s="52">
        <v>0</v>
      </c>
      <c r="D24" s="52">
        <v>22353.17</v>
      </c>
      <c r="E24" s="52">
        <v>-22353.17</v>
      </c>
      <c r="F24" s="52"/>
      <c r="G24" s="53">
        <v>0</v>
      </c>
      <c r="H24" s="53" t="e">
        <f>'Deliverables Sheet'!AA74</f>
        <v>#DIV/0!</v>
      </c>
      <c r="I24" s="54"/>
      <c r="J24" s="52"/>
      <c r="K24" s="52">
        <v>0</v>
      </c>
      <c r="L24" s="53">
        <v>0</v>
      </c>
      <c r="M24" s="52">
        <v>-22353.17</v>
      </c>
      <c r="N24" s="54">
        <f>'Deliverables Sheet'!AE74</f>
        <v>0</v>
      </c>
      <c r="O24" s="58">
        <v>0</v>
      </c>
    </row>
    <row r="25" ht="7.5" customHeight="1" spans="1:15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15" x14ac:dyDescent="0.25">
      <c r="A26" s="19">
        <f>'Main Sheet'!A26</f>
        <v>8352</v>
      </c>
      <c r="B26" s="54" t="str">
        <f>'Main Sheet'!B26</f>
        <v>5 Sanscrit Place</v>
      </c>
      <c r="C26" s="52">
        <v>0</v>
      </c>
      <c r="D26" s="52">
        <v>-192.5</v>
      </c>
      <c r="E26" s="52">
        <v>192.5</v>
      </c>
      <c r="F26" s="52">
        <v>0</v>
      </c>
      <c r="G26" s="53">
        <v>0</v>
      </c>
      <c r="H26" s="53">
        <f>'Deliverables Sheet'!AA81</f>
        <v>0.347929388593615</v>
      </c>
      <c r="I26" s="54"/>
      <c r="J26" s="52">
        <v>0</v>
      </c>
      <c r="K26" s="52">
        <v>0</v>
      </c>
      <c r="L26" s="53">
        <v>0</v>
      </c>
      <c r="M26" s="52">
        <v>192.5</v>
      </c>
      <c r="N26" s="54">
        <f>'Deliverables Sheet'!AE81</f>
        <v>-143.25</v>
      </c>
      <c r="O26" s="58">
        <v>-1.343804537521815</v>
      </c>
    </row>
    <row r="27" ht="7.5" customHeight="1" spans="1:15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15" x14ac:dyDescent="0.25">
      <c r="A28" s="19">
        <f>'Main Sheet'!A28</f>
        <v>8234</v>
      </c>
      <c r="B28" s="54" t="str">
        <f>'Main Sheet'!B28</f>
        <v>Melhuish House</v>
      </c>
      <c r="C28" s="52">
        <v>0</v>
      </c>
      <c r="D28" s="52">
        <v>4476.1500000000015</v>
      </c>
      <c r="E28" s="52">
        <v>-4476.1500000000015</v>
      </c>
      <c r="F28" s="52">
        <v>0</v>
      </c>
      <c r="G28" s="53">
        <v>0</v>
      </c>
      <c r="H28" s="53">
        <f>'Deliverables Sheet'!AA88</f>
        <v>0.271825144816915</v>
      </c>
      <c r="I28" s="54"/>
      <c r="J28" s="52"/>
      <c r="K28" s="52">
        <v>0</v>
      </c>
      <c r="L28" s="53">
        <v>0</v>
      </c>
      <c r="M28" s="52">
        <v>-4476.1500000000015</v>
      </c>
      <c r="N28" s="54">
        <f>'Deliverables Sheet'!AE88</f>
        <v>-148.5</v>
      </c>
      <c r="O28" s="58">
        <v>30.14242424242425</v>
      </c>
    </row>
    <row r="29" ht="7.5" customHeight="1" spans="1:15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15" x14ac:dyDescent="0.25">
      <c r="A30" s="19">
        <f>'Main Sheet'!A30</f>
        <v>8214</v>
      </c>
      <c r="B30" s="54" t="str">
        <f>'Main Sheet'!B30</f>
        <v>6 Tiroroa Lane</v>
      </c>
      <c r="C30" s="52">
        <v>0</v>
      </c>
      <c r="D30" s="52">
        <v>0</v>
      </c>
      <c r="E30" s="52">
        <v>0</v>
      </c>
      <c r="F30" s="52">
        <v>0</v>
      </c>
      <c r="G30" s="53">
        <v>0</v>
      </c>
      <c r="H30" s="53">
        <f>'Deliverables Sheet'!AA95</f>
        <v>0.258043377145314</v>
      </c>
      <c r="I30" s="54"/>
      <c r="J30" s="52"/>
      <c r="K30" s="52">
        <v>0</v>
      </c>
      <c r="L30" s="53">
        <v>0</v>
      </c>
      <c r="M30" s="52">
        <v>0</v>
      </c>
      <c r="N30" s="54">
        <f>'Deliverables Sheet'!AE95</f>
        <v>-5</v>
      </c>
      <c r="O30" s="58">
        <v>0</v>
      </c>
    </row>
    <row r="31" ht="7.5" customHeight="1" spans="1:15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15" x14ac:dyDescent="0.25">
      <c r="A32" s="19">
        <f>'Main Sheet'!A32</f>
        <v>6792</v>
      </c>
      <c r="B32" s="54" t="str">
        <f>'Main Sheet'!B32</f>
        <v>Major Hornbrook </v>
      </c>
      <c r="C32" s="52">
        <v>0</v>
      </c>
      <c r="D32" s="52">
        <v>-1171.8899999999994</v>
      </c>
      <c r="E32" s="52">
        <v>1171.8899999999994</v>
      </c>
      <c r="F32" s="52">
        <v>0</v>
      </c>
      <c r="G32" s="53">
        <v>0</v>
      </c>
      <c r="H32" s="53">
        <f>'Deliverables Sheet'!AA102</f>
        <v>0.283172964220222</v>
      </c>
      <c r="I32" s="54">
        <v>64</v>
      </c>
      <c r="J32" s="52">
        <v>0</v>
      </c>
      <c r="K32" s="52">
        <v>2560</v>
      </c>
      <c r="L32" s="53">
        <v>0</v>
      </c>
      <c r="M32" s="52">
        <v>-1388.1100000000006</v>
      </c>
      <c r="N32" s="54">
        <f>'Deliverables Sheet'!AE102</f>
        <v>-317.25</v>
      </c>
      <c r="O32" s="58">
        <v>5.481184600197436</v>
      </c>
    </row>
    <row r="33" ht="7.5" customHeight="1" spans="1:15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15" x14ac:dyDescent="0.25">
      <c r="A34" s="19">
        <f>'Main Sheet'!A34</f>
        <v>8840</v>
      </c>
      <c r="B34" s="54" t="str">
        <f>'Main Sheet'!B34</f>
        <v>Inline Architecture</v>
      </c>
      <c r="C34" s="52">
        <v>-35454.43</v>
      </c>
      <c r="D34" s="52">
        <v>16334.04</v>
      </c>
      <c r="E34" s="52">
        <v>-51788.47</v>
      </c>
      <c r="F34" s="52">
        <v>0</v>
      </c>
      <c r="G34" s="53">
        <v>1.4607051925528065</v>
      </c>
      <c r="H34" s="53">
        <f>'Deliverables Sheet'!AA109</f>
        <v>0.364182044343228</v>
      </c>
      <c r="I34" s="54"/>
      <c r="J34" s="52">
        <v>0</v>
      </c>
      <c r="K34" s="52">
        <v>0</v>
      </c>
      <c r="L34" s="53">
        <v>1.4607051925528065</v>
      </c>
      <c r="M34" s="52">
        <v>-51788.47</v>
      </c>
      <c r="N34" s="54">
        <f>'Deliverables Sheet'!AE109</f>
        <v>-204.75</v>
      </c>
      <c r="O34" s="58">
        <v>252.9351404151404</v>
      </c>
    </row>
    <row r="35" ht="7.5" customHeight="1" spans="1:15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15" x14ac:dyDescent="0.25">
      <c r="A36" s="19">
        <f>'Main Sheet'!A36</f>
        <v>8769</v>
      </c>
      <c r="B36" s="54" t="str">
        <f>'Main Sheet'!B36</f>
        <v>Percival Bach</v>
      </c>
      <c r="C36" s="52">
        <v>0</v>
      </c>
      <c r="D36" s="52">
        <v>0</v>
      </c>
      <c r="E36" s="52">
        <v>0</v>
      </c>
      <c r="F36" s="52">
        <v>0</v>
      </c>
      <c r="G36" s="53">
        <v>0</v>
      </c>
      <c r="H36" s="53" t="e">
        <f>'Deliverables Sheet'!AA116</f>
        <v>#DIV/0!</v>
      </c>
      <c r="I36" s="54">
        <v>80</v>
      </c>
      <c r="J36" s="52">
        <v>0</v>
      </c>
      <c r="K36" s="52">
        <v>3200</v>
      </c>
      <c r="L36" s="53">
        <v>0</v>
      </c>
      <c r="M36" s="52">
        <v>-3200</v>
      </c>
      <c r="N36" s="54">
        <f>'Deliverables Sheet'!AE116</f>
        <v>0</v>
      </c>
      <c r="O36" s="58">
        <v>-40</v>
      </c>
    </row>
    <row r="37" ht="7.5" customHeight="1" spans="1:15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15" x14ac:dyDescent="0.25">
      <c r="A38" s="19">
        <f>'Main Sheet'!A38</f>
        <v>7901</v>
      </c>
      <c r="B38" s="54" t="str">
        <f>'Main Sheet'!B38</f>
        <v>St Albans Street</v>
      </c>
      <c r="C38" s="52">
        <v>0</v>
      </c>
      <c r="D38" s="52">
        <v>6365.780000000001</v>
      </c>
      <c r="E38" s="52">
        <v>-6365.780000000001</v>
      </c>
      <c r="F38" s="52">
        <v>0</v>
      </c>
      <c r="G38" s="53">
        <v>0</v>
      </c>
      <c r="H38" s="53">
        <f>'Deliverables Sheet'!AA123</f>
        <v>0.1750921737769</v>
      </c>
      <c r="I38" s="54"/>
      <c r="J38" s="52"/>
      <c r="K38" s="52">
        <v>0</v>
      </c>
      <c r="L38" s="53">
        <v>0</v>
      </c>
      <c r="M38" s="52">
        <v>-6365.780000000001</v>
      </c>
      <c r="N38" s="54">
        <f>'Deliverables Sheet'!AE123</f>
        <v>0</v>
      </c>
      <c r="O38" s="58">
        <v>0</v>
      </c>
    </row>
    <row r="39" ht="7.5" customHeight="1" spans="1:15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15" x14ac:dyDescent="0.25">
      <c r="A40" s="19">
        <f>'Main Sheet'!A40</f>
        <v>8923</v>
      </c>
      <c r="B40" s="54" t="str">
        <f>'Main Sheet'!B40</f>
        <v>4 Perry St</v>
      </c>
      <c r="C40" s="52">
        <v>0</v>
      </c>
      <c r="D40" s="52">
        <v>0</v>
      </c>
      <c r="E40" s="52">
        <v>0</v>
      </c>
      <c r="F40" s="52">
        <v>0</v>
      </c>
      <c r="G40" s="53">
        <v>0</v>
      </c>
      <c r="H40" s="53">
        <f>'Deliverables Sheet'!AA130</f>
        <v>0.262692984588275</v>
      </c>
      <c r="I40" s="54"/>
      <c r="J40" s="52">
        <v>0</v>
      </c>
      <c r="K40" s="52">
        <v>0</v>
      </c>
      <c r="L40" s="53">
        <v>0</v>
      </c>
      <c r="M40" s="52">
        <v>0</v>
      </c>
      <c r="N40" s="54">
        <f>'Deliverables Sheet'!AE130</f>
        <v>-2</v>
      </c>
      <c r="O40" s="58">
        <v>0</v>
      </c>
    </row>
    <row r="41" ht="7.5" customHeight="1" spans="1:15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15" x14ac:dyDescent="0.25">
      <c r="A42" s="19">
        <f>'Main Sheet'!A42</f>
        <v>7864</v>
      </c>
      <c r="B42" s="54" t="str">
        <f>'Main Sheet'!B42</f>
        <v>Ryans House</v>
      </c>
      <c r="C42" s="52">
        <v>3554.300000000003</v>
      </c>
      <c r="D42" s="52">
        <v>584.890000000003</v>
      </c>
      <c r="E42" s="52">
        <v>2969.41</v>
      </c>
      <c r="F42" s="52"/>
      <c r="G42" s="53">
        <v>0.8354415778071624</v>
      </c>
      <c r="H42" s="53">
        <f>'Deliverables Sheet'!AA137</f>
        <v>0.257245709794332</v>
      </c>
      <c r="I42" s="54">
        <v>0</v>
      </c>
      <c r="J42" s="52"/>
      <c r="K42" s="52">
        <v>0</v>
      </c>
      <c r="L42" s="53">
        <v>0.8354415778071624</v>
      </c>
      <c r="M42" s="52">
        <v>2969.41</v>
      </c>
      <c r="N42" s="54">
        <f>'Deliverables Sheet'!AE137</f>
        <v>-266.75</v>
      </c>
      <c r="O42" s="58">
        <v>-11.131808809746953</v>
      </c>
    </row>
    <row r="43" ht="7.5" customHeight="1" spans="1:15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15" x14ac:dyDescent="0.25">
      <c r="A44" s="19">
        <f>'Main Sheet'!A44</f>
        <v>7912</v>
      </c>
      <c r="B44" s="54" t="str">
        <f>'Main Sheet'!B44</f>
        <v>71A Fendalton Road </v>
      </c>
      <c r="C44" s="52">
        <v>9034.53</v>
      </c>
      <c r="D44" s="52">
        <v>6362.08</v>
      </c>
      <c r="E44" s="52">
        <v>2672.4500000000007</v>
      </c>
      <c r="F44" s="52"/>
      <c r="G44" s="53">
        <v>0.29580398758983595</v>
      </c>
      <c r="H44" s="53" t="e">
        <f>'Deliverables Sheet'!AA144</f>
        <v>#DIV/0!</v>
      </c>
      <c r="I44" s="54"/>
      <c r="J44" s="52"/>
      <c r="K44" s="52">
        <v>0</v>
      </c>
      <c r="L44" s="53">
        <v>0.29580398758983595</v>
      </c>
      <c r="M44" s="52">
        <v>2672.4500000000007</v>
      </c>
      <c r="N44" s="54">
        <f>'Deliverables Sheet'!AE144</f>
        <v>0</v>
      </c>
      <c r="O44" s="58">
        <v>0</v>
      </c>
    </row>
    <row r="45" ht="7.5" customHeight="1" spans="1:15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15" x14ac:dyDescent="0.25">
      <c r="A46" s="59">
        <f>'Main Sheet'!A46</f>
        <v>8360</v>
      </c>
      <c r="B46" s="98" t="str">
        <f>'Main Sheet'!B46</f>
        <v>Dixon House</v>
      </c>
      <c r="C46" s="99">
        <v>0</v>
      </c>
      <c r="D46" s="99">
        <v>15.4900000000016</v>
      </c>
      <c r="E46" s="99">
        <v>-15.4900000000016</v>
      </c>
      <c r="F46" s="99"/>
      <c r="G46" s="100">
        <v>0</v>
      </c>
      <c r="H46" s="100">
        <f>'Deliverables Sheet'!AA151</f>
        <v>0.30580949617388</v>
      </c>
      <c r="I46" s="98"/>
      <c r="J46" s="99"/>
      <c r="K46" s="99">
        <v>0</v>
      </c>
      <c r="L46" s="100">
        <v>0</v>
      </c>
      <c r="M46" s="99">
        <v>-15.4900000000016</v>
      </c>
      <c r="N46" s="98">
        <f>'Deliverables Sheet'!AE151</f>
        <v>-260.75</v>
      </c>
      <c r="O46" s="60">
        <v>0.05940556088207709</v>
      </c>
    </row>
    <row r="47" ht="7.5" customHeight="1" spans="1:15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15" x14ac:dyDescent="0.25">
      <c r="A48" s="59">
        <f>'Main Sheet'!A48</f>
        <v>8337</v>
      </c>
      <c r="B48" s="98" t="str">
        <f>'Main Sheet'!B48</f>
        <v>Waimak Dairys </v>
      </c>
      <c r="C48" s="99">
        <v>13424.5</v>
      </c>
      <c r="D48" s="99">
        <v>2862.0099999999993</v>
      </c>
      <c r="E48" s="99">
        <v>10562.490000000002</v>
      </c>
      <c r="F48" s="99"/>
      <c r="G48" s="100">
        <v>0.7868069574285822</v>
      </c>
      <c r="H48" s="100">
        <f>'Deliverables Sheet'!AA158</f>
        <v>0.222350780727547</v>
      </c>
      <c r="I48" s="98"/>
      <c r="J48" s="99">
        <v>2530</v>
      </c>
      <c r="K48" s="99">
        <v>2530</v>
      </c>
      <c r="L48" s="100">
        <v>0.5983455622183322</v>
      </c>
      <c r="M48" s="99">
        <v>8032.490000000002</v>
      </c>
      <c r="N48" s="98">
        <f>'Deliverables Sheet'!AE158</f>
        <v>-44.75</v>
      </c>
      <c r="O48" s="60">
        <v>-179.4969832402235</v>
      </c>
    </row>
    <row r="49" ht="7.5" customHeight="1" spans="1:15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17" x14ac:dyDescent="0.25">
      <c r="A50" s="59">
        <f>'Main Sheet'!A50</f>
        <v>9240</v>
      </c>
      <c r="B50" s="98" t="str">
        <f>'Main Sheet'!B50</f>
        <v>Daves Twizel Shack</v>
      </c>
      <c r="C50" s="99">
        <v>0</v>
      </c>
      <c r="D50" s="99">
        <v>0</v>
      </c>
      <c r="E50" s="99">
        <v>0</v>
      </c>
      <c r="F50" s="99"/>
      <c r="G50" s="100">
        <v>0</v>
      </c>
      <c r="H50" s="100" t="e">
        <f>'Deliverables Sheet'!AA165</f>
        <v>#DIV/0!</v>
      </c>
      <c r="I50" s="98">
        <v>0</v>
      </c>
      <c r="J50" s="99"/>
      <c r="K50" s="99">
        <v>0</v>
      </c>
      <c r="L50" s="100">
        <v>0</v>
      </c>
      <c r="M50" s="99">
        <v>0</v>
      </c>
      <c r="N50" s="98">
        <f>'Deliverables Sheet'!AE165</f>
        <v>0</v>
      </c>
      <c r="O50" s="60">
        <v>0</v>
      </c>
      <c r="Q50" s="35" t="s">
        <v>118</v>
      </c>
    </row>
    <row r="51" ht="7.5" customHeight="1" spans="1:15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15" x14ac:dyDescent="0.25">
      <c r="A52" s="101">
        <f>'Main Sheet'!A52</f>
        <v>7428</v>
      </c>
      <c r="B52" s="98" t="str">
        <f>'Main Sheet'!B52</f>
        <v>FAB Pegasus Lakeside</v>
      </c>
      <c r="C52" s="99">
        <v>0</v>
      </c>
      <c r="D52" s="99">
        <v>20350.28</v>
      </c>
      <c r="E52" s="99">
        <v>-20350.28</v>
      </c>
      <c r="F52" s="99"/>
      <c r="G52" s="100">
        <v>0</v>
      </c>
      <c r="H52" s="100">
        <f>'Deliverables Sheet'!AA172</f>
        <v>0.215986489339129</v>
      </c>
      <c r="I52" s="98">
        <v>32</v>
      </c>
      <c r="J52" s="99">
        <v>0</v>
      </c>
      <c r="K52" s="99">
        <v>1280</v>
      </c>
      <c r="L52" s="100">
        <v>0</v>
      </c>
      <c r="M52" s="99">
        <v>-21630.28</v>
      </c>
      <c r="N52" s="98">
        <f>'Deliverables Sheet'!AE172</f>
        <v>-304.75</v>
      </c>
      <c r="O52" s="60">
        <v>79.30441796516956</v>
      </c>
    </row>
    <row r="53" ht="7.5" customHeight="1" spans="1:15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15" x14ac:dyDescent="0.25">
      <c r="A54" s="59">
        <f>'Main Sheet'!A54</f>
        <v>9351</v>
      </c>
      <c r="B54" s="98" t="str">
        <f>'Main Sheet'!B54</f>
        <v>Harewood Golf Club</v>
      </c>
      <c r="C54" s="99">
        <v>5491.7</v>
      </c>
      <c r="D54" s="99">
        <v>756.6300000000001</v>
      </c>
      <c r="E54" s="99">
        <v>4735.07</v>
      </c>
      <c r="F54" s="99"/>
      <c r="G54" s="100">
        <v>0.8622229910592348</v>
      </c>
      <c r="H54" s="100">
        <f>'Deliverables Sheet'!AA179</f>
        <v>0.453987062014389</v>
      </c>
      <c r="I54" s="98">
        <v>16</v>
      </c>
      <c r="J54" s="99">
        <v>0</v>
      </c>
      <c r="K54" s="99">
        <v>640</v>
      </c>
      <c r="L54" s="100">
        <v>0.7456834859879454</v>
      </c>
      <c r="M54" s="99">
        <v>4095.0699999999997</v>
      </c>
      <c r="N54" s="98">
        <f>'Deliverables Sheet'!AE179</f>
        <v>-11.25</v>
      </c>
      <c r="O54" s="60">
        <v>862.1199999999999</v>
      </c>
    </row>
    <row r="55" ht="7.5" customHeight="1" spans="1:15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15" x14ac:dyDescent="0.25">
      <c r="A56" s="59">
        <f>'Main Sheet'!A56</f>
        <v>7429</v>
      </c>
      <c r="B56" s="98" t="str">
        <f>'Main Sheet'!B56</f>
        <v>Taggart House</v>
      </c>
      <c r="C56" s="99">
        <v>12937.1</v>
      </c>
      <c r="D56" s="99">
        <v>4850.19</v>
      </c>
      <c r="E56" s="99">
        <v>8086.910000000001</v>
      </c>
      <c r="F56" s="99"/>
      <c r="G56" s="100">
        <v>0.6250944956752287</v>
      </c>
      <c r="H56" s="100">
        <f>'Deliverables Sheet'!AA186</f>
        <v>0.22356150784199</v>
      </c>
      <c r="I56" s="98">
        <v>10</v>
      </c>
      <c r="J56" s="99">
        <v>5000</v>
      </c>
      <c r="K56" s="99">
        <v>5400</v>
      </c>
      <c r="L56" s="100">
        <v>0.20769028607647777</v>
      </c>
      <c r="M56" s="99">
        <v>2686.9100000000008</v>
      </c>
      <c r="N56" s="98">
        <f>'Deliverables Sheet'!AE186</f>
        <v>-32.25</v>
      </c>
      <c r="O56" s="60">
        <v>-120.76000000000003</v>
      </c>
    </row>
    <row r="57" ht="7.5" customHeight="1" spans="1:15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15" x14ac:dyDescent="0.25">
      <c r="A58" s="59">
        <f>'Main Sheet'!A58</f>
        <v>9508</v>
      </c>
      <c r="B58" s="98" t="str">
        <f>'Main Sheet'!B58</f>
        <v>St Barnabas Church</v>
      </c>
      <c r="C58" s="99">
        <v>0</v>
      </c>
      <c r="D58" s="99">
        <v>7180.07</v>
      </c>
      <c r="E58" s="99">
        <v>-7180.07</v>
      </c>
      <c r="F58" s="99"/>
      <c r="G58" s="100">
        <v>0</v>
      </c>
      <c r="H58" s="100" t="e">
        <f>'Deliverables Sheet'!AA193</f>
        <v>#DIV/0!</v>
      </c>
      <c r="I58" s="98"/>
      <c r="J58" s="99"/>
      <c r="K58" s="99">
        <v>0</v>
      </c>
      <c r="L58" s="100">
        <v>0</v>
      </c>
      <c r="M58" s="99">
        <v>-7180.07</v>
      </c>
      <c r="N58" s="98">
        <f>'Deliverables Sheet'!AE193</f>
        <v>0</v>
      </c>
      <c r="O58" s="60">
        <v>0</v>
      </c>
    </row>
    <row r="59" ht="7.5" customHeight="1" spans="1:15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15" x14ac:dyDescent="0.25">
      <c r="A60" s="59">
        <f>'Main Sheet'!A60</f>
        <v>0</v>
      </c>
      <c r="B60" s="98">
        <f>'Main Sheet'!B60</f>
        <v>0</v>
      </c>
      <c r="C60" s="99"/>
      <c r="D60" s="99"/>
      <c r="E60" s="99">
        <f>C60-D60</f>
        <v>0</v>
      </c>
      <c r="F60" s="99"/>
      <c r="G60" s="100" t="e">
        <f>(E60+F60)/C60</f>
        <v>#DIV/0!</v>
      </c>
      <c r="H60" s="100" t="e">
        <f>'Deliverables Sheet'!AA200</f>
        <v>#DIV/0!</v>
      </c>
      <c r="I60" s="98"/>
      <c r="J60" s="99"/>
      <c r="K60" s="99">
        <f>(I60*40)+J60</f>
        <v>0</v>
      </c>
      <c r="L60" s="100" t="e">
        <f>((E60-K60)+F60)/C60</f>
        <v>#DIV/0!</v>
      </c>
      <c r="M60" s="99">
        <f>SUM(E60:F60)-K60</f>
        <v>0</v>
      </c>
      <c r="N60" s="98">
        <f>'Deliverables Sheet'!AE200</f>
        <v>0</v>
      </c>
      <c r="O60" s="60" t="e">
        <f>SUM(M60/(N60+I60))</f>
        <v>#DIV/0!</v>
      </c>
    </row>
    <row r="61" ht="7.5" customHeight="1" spans="1:15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15" x14ac:dyDescent="0.25">
      <c r="A62" s="59">
        <f>'Main Sheet'!A62</f>
        <v>0</v>
      </c>
      <c r="B62" s="98" t="str">
        <f>'Main Sheet'!B62</f>
        <v>Contracting</v>
      </c>
      <c r="C62" s="99"/>
      <c r="D62" s="99"/>
      <c r="E62" s="99">
        <f>C62-D62</f>
        <v>0</v>
      </c>
      <c r="F62" s="99"/>
      <c r="G62" s="100" t="e">
        <f>(E62+F62)/C62</f>
        <v>#DIV/0!</v>
      </c>
      <c r="H62" s="100" t="e">
        <f>'Deliverables Sheet'!AA207</f>
        <v>#DIV/0!</v>
      </c>
      <c r="I62" s="98">
        <v>0</v>
      </c>
      <c r="J62" s="99"/>
      <c r="K62" s="99">
        <f>(I62*40)+J62</f>
        <v>0</v>
      </c>
      <c r="L62" s="100" t="e">
        <f>((E62-K62)+F62)/C62</f>
        <v>#DIV/0!</v>
      </c>
      <c r="M62" s="99">
        <f>SUM(E62:F62)-K62</f>
        <v>0</v>
      </c>
      <c r="N62" s="98">
        <f>'Deliverables Sheet'!AE207</f>
        <v>0</v>
      </c>
      <c r="O62" s="60" t="e">
        <f>SUM(M62/(N62+I62))</f>
        <v>#DIV/0!</v>
      </c>
    </row>
    <row r="63" ht="7.5" customHeight="1" spans="1:15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15" x14ac:dyDescent="0.25">
      <c r="A64" s="59">
        <f>'Main Sheet'!A64</f>
        <v>8946</v>
      </c>
      <c r="B64" s="98" t="str">
        <f>'Main Sheet'!B64</f>
        <v>Westcoast Vaults</v>
      </c>
      <c r="C64" s="99">
        <v>0</v>
      </c>
      <c r="D64" s="99">
        <v>1749.8</v>
      </c>
      <c r="E64" s="99">
        <v>-1749.8</v>
      </c>
      <c r="F64" s="99"/>
      <c r="G64" s="100">
        <v>0</v>
      </c>
      <c r="H64" s="100">
        <f>'Deliverables Sheet'!AA214</f>
        <v>0.143790046441692</v>
      </c>
      <c r="I64" s="98"/>
      <c r="J64" s="99">
        <v>1750</v>
      </c>
      <c r="K64" s="99">
        <v>1750</v>
      </c>
      <c r="L64" s="100">
        <v>0</v>
      </c>
      <c r="M64" s="99">
        <v>-3499.8</v>
      </c>
      <c r="N64" s="98">
        <f>'Deliverables Sheet'!AE214</f>
        <v>0</v>
      </c>
      <c r="O64" s="60">
        <v>0</v>
      </c>
    </row>
    <row r="65" ht="7.5" customHeight="1" spans="1:15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15" x14ac:dyDescent="0.25">
      <c r="A66" s="102">
        <v>8308</v>
      </c>
      <c r="B66" s="98" t="str">
        <f>'Main Sheet'!B66</f>
        <v>Roydvale</v>
      </c>
      <c r="C66" s="99">
        <v>0</v>
      </c>
      <c r="D66" s="99">
        <v>2584.2399999999907</v>
      </c>
      <c r="E66" s="99">
        <v>-2584.2399999999907</v>
      </c>
      <c r="F66" s="99"/>
      <c r="G66" s="100">
        <v>0</v>
      </c>
      <c r="H66" s="100">
        <f>'Deliverables Sheet'!AA221</f>
        <v>0.256265521519856</v>
      </c>
      <c r="I66" s="98">
        <v>80</v>
      </c>
      <c r="J66" s="99">
        <v>0</v>
      </c>
      <c r="K66" s="99">
        <v>3200</v>
      </c>
      <c r="L66" s="100">
        <v>0</v>
      </c>
      <c r="M66" s="99">
        <v>-5784.239999999991</v>
      </c>
      <c r="N66" s="98">
        <f>'Deliverables Sheet'!AE221</f>
        <v>-1014.25</v>
      </c>
      <c r="O66" s="60">
        <v>6.191319240032102</v>
      </c>
    </row>
    <row r="67" ht="15" customHeight="1" spans="1:15" x14ac:dyDescent="0.25">
      <c r="A67" s="35"/>
      <c r="B67" s="35"/>
      <c r="C67" s="36"/>
      <c r="D67" s="36"/>
      <c r="E67" s="36"/>
      <c r="F67" s="36"/>
      <c r="G67" s="37"/>
      <c r="H67" s="37"/>
      <c r="I67" s="35"/>
      <c r="J67" s="36"/>
      <c r="K67" s="36"/>
      <c r="L67" s="37"/>
      <c r="M67" s="36"/>
      <c r="N67" s="35"/>
      <c r="O67" s="36"/>
    </row>
    <row r="68" spans="1:15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7"/>
      <c r="N68" s="35"/>
      <c r="O68" s="35"/>
    </row>
    <row r="69" ht="15" customHeight="1" spans="1:15" x14ac:dyDescent="0.25">
      <c r="A69" s="49" t="s">
        <v>119</v>
      </c>
      <c r="B69" s="103" t="s">
        <v>120</v>
      </c>
      <c r="C69" s="104">
        <v>3912</v>
      </c>
      <c r="D69" s="104">
        <v>114491.38</v>
      </c>
      <c r="E69" s="105">
        <v>-110579.38</v>
      </c>
      <c r="F69" s="106" t="s">
        <v>121</v>
      </c>
      <c r="G69" s="107">
        <v>-28.266712678936607</v>
      </c>
      <c r="H69" s="108" t="s">
        <v>122</v>
      </c>
      <c r="I69" s="109">
        <v>-34.24897239263804</v>
      </c>
      <c r="J69" s="36"/>
      <c r="K69" s="36"/>
      <c r="L69" s="37"/>
      <c r="M69" s="37"/>
      <c r="N69" s="35"/>
      <c r="O69" s="35"/>
    </row>
    <row r="70" ht="15" customHeight="1" spans="1:15" x14ac:dyDescent="0.25">
      <c r="A70" s="59"/>
      <c r="B70" s="98" t="s">
        <v>123</v>
      </c>
      <c r="C70" s="99">
        <v>-22865.6</v>
      </c>
      <c r="D70" s="99">
        <v>32774.04000000001</v>
      </c>
      <c r="E70" s="110">
        <v>-55639.640000000014</v>
      </c>
      <c r="F70" s="111" t="s">
        <v>121</v>
      </c>
      <c r="G70" s="112">
        <v>2.433333916450914</v>
      </c>
      <c r="H70" s="113" t="s">
        <v>122</v>
      </c>
      <c r="I70" s="114">
        <v>2.685240710936954</v>
      </c>
      <c r="J70" s="36"/>
      <c r="K70" s="36"/>
      <c r="L70" s="37"/>
      <c r="M70" s="37"/>
      <c r="N70" s="35"/>
      <c r="O70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28" x14ac:dyDescent="0.25">
      <c r="A2" s="115"/>
      <c r="B2" s="116" t="s">
        <v>124</v>
      </c>
      <c r="C2" s="117" t="s">
        <v>125</v>
      </c>
      <c r="D2" s="117" t="s">
        <v>126</v>
      </c>
      <c r="E2" s="117" t="s">
        <v>127</v>
      </c>
      <c r="F2" s="117" t="s">
        <v>128</v>
      </c>
      <c r="G2" s="117" t="s">
        <v>129</v>
      </c>
      <c r="H2" s="117" t="s">
        <v>130</v>
      </c>
      <c r="I2" s="117" t="s">
        <v>131</v>
      </c>
      <c r="J2" s="117" t="s">
        <v>132</v>
      </c>
      <c r="K2" s="117" t="s">
        <v>133</v>
      </c>
      <c r="L2" s="117" t="s">
        <v>134</v>
      </c>
      <c r="M2" s="117" t="s">
        <v>135</v>
      </c>
      <c r="N2" s="117" t="s">
        <v>136</v>
      </c>
      <c r="O2" s="117" t="s">
        <v>137</v>
      </c>
      <c r="P2" s="117" t="s">
        <v>138</v>
      </c>
      <c r="Q2" s="118" t="s">
        <v>139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28" x14ac:dyDescent="0.25">
      <c r="A3" s="122" t="s">
        <v>140</v>
      </c>
      <c r="B3" s="123" t="s">
        <v>141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19" x14ac:dyDescent="0.25">
      <c r="A4" s="19">
        <f>'Main Sheet'!A4</f>
        <v>7658</v>
      </c>
      <c r="B4" s="20" t="str">
        <f>'Main Sheet'!B4</f>
        <v>Charity Hospital</v>
      </c>
      <c r="C4" s="54">
        <f t="array" ref="C4:C4">LOOKUP(2,1/('Deliverables Sheet'!S4:S9&lt;&gt;0),'Deliverables Sheet'!S4:S9)</f>
        <v>530.95</v>
      </c>
      <c r="D4" s="54">
        <f t="array" ref="D4:D4">LOOKUP(2,1/('Deliverables Sheet'!T4:T9&lt;&gt;0),'Deliverables Sheet'!T4:T9)</f>
        <v>418</v>
      </c>
      <c r="E4" s="54">
        <f t="array" ref="E4:E4">LOOKUP(2,1/('Deliverables Sheet'!U4:U9&lt;&gt;0),'Deliverables Sheet'!U4:U9)</f>
        <v>112.95</v>
      </c>
      <c r="F4" s="54"/>
      <c r="G4" s="54"/>
      <c r="H4" s="54"/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142</v>
      </c>
    </row>
    <row r="5" ht="6" customHeight="1" spans="1:17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19" x14ac:dyDescent="0.25">
      <c r="A6" s="19">
        <f>'Main Sheet'!A6</f>
        <v>8142</v>
      </c>
      <c r="B6" s="20" t="str">
        <f>'Main Sheet'!B6</f>
        <v>Fisher Developements</v>
      </c>
      <c r="C6" s="54">
        <f t="array" ref="C6:C6">LOOKUP(2,1/('Deliverables Sheet'!S11:S16&lt;&gt;0),'Deliverables Sheet'!S11:S16)</f>
        <v>311.89</v>
      </c>
      <c r="D6" s="54">
        <f t="array" ref="D6:D6">LOOKUP(2,1/('Deliverables Sheet'!T11:T16&lt;&gt;0),'Deliverables Sheet'!T11:T16)</f>
        <v>52.5</v>
      </c>
      <c r="E6" s="54">
        <f t="array" ref="E6:E6">LOOKUP(2,1/('Deliverables Sheet'!U11:U16&lt;&gt;0),'Deliverables Sheet'!U11:U16)</f>
        <v>259.39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143</v>
      </c>
    </row>
    <row r="7" ht="6" customHeight="1" spans="1:17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19" x14ac:dyDescent="0.25">
      <c r="A8" s="19">
        <f>'Main Sheet'!A8</f>
        <v>8824</v>
      </c>
      <c r="B8" s="20" t="str">
        <f>'Main Sheet'!B8</f>
        <v>3 Innovation Road</v>
      </c>
      <c r="C8" s="54">
        <f t="array" ref="C8:C8">LOOKUP(2,1/('Deliverables Sheet'!S18:S23&lt;&gt;0),'Deliverables Sheet'!S18:S23)</f>
        <v>125.39</v>
      </c>
      <c r="D8" s="54">
        <f t="array" ref="D8:D8">LOOKUP(2,1/('Deliverables Sheet'!T18:T23&lt;&gt;0),'Deliverables Sheet'!T18:T23)</f>
        <v>34.75</v>
      </c>
      <c r="E8" s="54">
        <f t="array" ref="E8:E8">LOOKUP(2,1/('Deliverables Sheet'!U18:U23&lt;&gt;0),'Deliverables Sheet'!U18:U23)</f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142</v>
      </c>
    </row>
    <row r="9" ht="6" customHeight="1" spans="1:17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19" x14ac:dyDescent="0.25">
      <c r="A10" s="19">
        <f>'Main Sheet'!A10</f>
        <v>8127</v>
      </c>
      <c r="B10" s="20" t="str">
        <f>'Main Sheet'!B10</f>
        <v>Rolly Autowash</v>
      </c>
      <c r="C10" s="54">
        <f t="array" ref="C10:C10">LOOKUP(2,1/('Deliverables Sheet'!S25:S30&lt;&gt;0),'Deliverables Sheet'!S25:S30)</f>
        <v>795.22</v>
      </c>
      <c r="D10" s="54">
        <f t="array" ref="D10:D10">LOOKUP(2,1/('Deliverables Sheet'!T25:T30&lt;&gt;0),'Deliverables Sheet'!T25:T30)</f>
        <v>388.25</v>
      </c>
      <c r="E10" s="54">
        <f t="array" ref="E10:E10">LOOKUP(2,1/('Deliverables Sheet'!U25:U30&lt;&gt;0),'Deliverables Sheet'!U25:U30)</f>
        <v>406.97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/>
      <c r="P10" s="54"/>
      <c r="Q10" s="131"/>
      <c r="S10" s="35" t="s">
        <v>142</v>
      </c>
    </row>
    <row r="11" ht="6" customHeight="1" spans="1:17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19" x14ac:dyDescent="0.25">
      <c r="A12" s="19">
        <v>8183</v>
      </c>
      <c r="B12" s="20" t="s">
        <v>115</v>
      </c>
      <c r="C12" s="54">
        <f>'Deliverables Sheet'!S32</f>
        <v>1120.27</v>
      </c>
      <c r="D12" s="54">
        <f>'Deliverables Sheet'!T32</f>
        <v>387.5</v>
      </c>
      <c r="E12" s="54">
        <f t="array" ref="E12:E12">LOOKUP(2,1/('Deliverables Sheet'!U32:U37&lt;&gt;0),'Deliverables Sheet'!U32:U37)</f>
        <v>732.77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142</v>
      </c>
    </row>
    <row r="13" ht="6" customHeight="1" spans="1:1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19" x14ac:dyDescent="0.25">
      <c r="A14" s="19">
        <f>'Main Sheet'!A14</f>
        <v>8886</v>
      </c>
      <c r="B14" s="20" t="str">
        <f>'Main Sheet'!B14</f>
        <v>Monkey Toe - Fisher fit out</v>
      </c>
      <c r="C14" s="54">
        <f>'Deliverables Sheet'!S39</f>
        <v>501</v>
      </c>
      <c r="D14" s="54">
        <f>'Deliverables Sheet'!T39</f>
        <v>112</v>
      </c>
      <c r="E14" s="54">
        <f t="array" ref="E14:E14">LOOKUP(2,1/('Deliverables Sheet'!U39:U44&lt;&gt;0),'Deliverables Sheet'!U39:U44)</f>
        <v>389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142</v>
      </c>
    </row>
    <row r="15" ht="6" customHeight="1" spans="1:1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17" x14ac:dyDescent="0.25">
      <c r="A16" s="19">
        <f>'Main Sheet'!A16</f>
        <v>8887</v>
      </c>
      <c r="B16" s="20" t="str">
        <f>'Main Sheet'!B16</f>
        <v>Tenancy 2 - Fisher Fit out</v>
      </c>
      <c r="C16" s="54">
        <f t="array" ref="C16:C16">LOOKUP(2,1/('Deliverables Sheet'!S46:S51&lt;&gt;0),'Deliverables Sheet'!S46:S51)</f>
        <v>212.3</v>
      </c>
      <c r="D16" s="54">
        <f t="array" ref="D16:D16">LOOKUP(2,1/('Deliverables Sheet'!T46:T51&lt;&gt;0),'Deliverables Sheet'!T46:T51)</f>
        <v>86.75</v>
      </c>
      <c r="E16" s="54">
        <f t="array" ref="E16:E16">LOOKUP(2,1/('Deliverables Sheet'!U46:U51&lt;&gt;0),'Deliverables Sheet'!U46:U51)</f>
        <v>125.55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17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17" x14ac:dyDescent="0.25">
      <c r="A18" s="19">
        <f>'Main Sheet'!A18</f>
        <v>8670</v>
      </c>
      <c r="B18" s="20" t="str">
        <f>'Main Sheet'!B18</f>
        <v>Studio DB - tautara fit out</v>
      </c>
      <c r="C18" s="54">
        <f t="array" ref="C18:C18">LOOKUP(2,1/('Deliverables Sheet'!S53:S58&lt;&gt;0),'Deliverables Sheet'!S53:S58)</f>
        <v>668.92</v>
      </c>
      <c r="D18" s="54">
        <f t="array" ref="D18:D18">LOOKUP(2,1/('Deliverables Sheet'!T53:T58&lt;&gt;0),'Deliverables Sheet'!T53:T58)</f>
        <v>269</v>
      </c>
      <c r="E18" s="54">
        <f t="array" ref="E18:E18">LOOKUP(2,1/('Deliverables Sheet'!U53:U58&lt;&gt;0),'Deliverables Sheet'!U53:U58)</f>
        <v>399.92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1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17" x14ac:dyDescent="0.25">
      <c r="A20" s="19">
        <f>'Main Sheet'!A20</f>
        <v>8907</v>
      </c>
      <c r="B20" s="20" t="str">
        <f>'Main Sheet'!B20</f>
        <v>35 Mania</v>
      </c>
      <c r="C20" s="54">
        <f t="array" ref="C20:C20">LOOKUP(2,1/('Deliverables Sheet'!S60:S65&lt;&gt;0),'Deliverables Sheet'!S60:S65)</f>
        <v>63.5</v>
      </c>
      <c r="D20" s="54">
        <f t="array" ref="D20:D20">LOOKUP(2,1/('Deliverables Sheet'!T60:T65&lt;&gt;0),'Deliverables Sheet'!T60:T65)</f>
        <v>26.75</v>
      </c>
      <c r="E20" s="54">
        <f t="array" ref="E20:E20">LOOKUP(2,1/('Deliverables Sheet'!U60:U65&lt;&gt;0),'Deliverables Sheet'!U60:U65)</f>
        <v>36.75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1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17" x14ac:dyDescent="0.25">
      <c r="A22" s="19">
        <f>'Main Sheet'!A22</f>
        <v>9065</v>
      </c>
      <c r="B22" s="20" t="str">
        <f>'Main Sheet'!B22</f>
        <v>Cooltranz stage 4</v>
      </c>
      <c r="C22" s="54">
        <f t="array" ref="C22:C22">LOOKUP(2,1/('Deliverables Sheet'!S67:S72&lt;&gt;0),'Deliverables Sheet'!S67:S72)</f>
        <v>160.82</v>
      </c>
      <c r="D22" s="54" t="e">
        <f t="array" ref="D22:D22">LOOKUP(2,1/('Deliverables Sheet'!T67:T72&lt;&gt;0),'Deliverables Sheet'!T67:T72)</f>
        <v>#N/A</v>
      </c>
      <c r="E22" s="54">
        <f t="array" ref="E22:E22">LOOKUP(2,1/('Deliverables Sheet'!U67:U72&lt;&gt;0),'Deliverables Sheet'!U67:U72)</f>
        <v>160.82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17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17" x14ac:dyDescent="0.25">
      <c r="A24" s="19">
        <f>'Main Sheet'!A24</f>
        <v>9259</v>
      </c>
      <c r="B24" s="20" t="str">
        <f>'Main Sheet'!B24</f>
        <v>Andrew Reeve Stage 2</v>
      </c>
      <c r="C24" s="54"/>
      <c r="D24" s="54"/>
      <c r="E24" s="54" t="e">
        <f t="array" ref="E24:E24">LOOKUP(2,1/('Deliverables Sheet'!U69:U74&lt;&gt;0),'Deliverables Sheet'!U69:U74)</f>
        <v>#N/A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17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17" x14ac:dyDescent="0.25">
      <c r="A26" s="19">
        <f>'Main Sheet'!A26</f>
        <v>8352</v>
      </c>
      <c r="B26" s="20" t="str">
        <f>'Main Sheet'!B26</f>
        <v>5 Sanscrit Place</v>
      </c>
      <c r="C26" s="54">
        <f t="array" ref="C26:C26">LOOKUP(2,1/('Deliverables Sheet'!S81:S86&lt;&gt;0),'Deliverables Sheet'!S81:S86)</f>
        <v>139.07</v>
      </c>
      <c r="D26" s="54">
        <f t="array" ref="D26:D26">LOOKUP(2,1/('Deliverables Sheet'!T81:T86&lt;&gt;0),'Deliverables Sheet'!T81:T86)</f>
        <v>143.25</v>
      </c>
      <c r="E26" s="54">
        <f t="array" ref="E26:E26">LOOKUP(2,1/('Deliverables Sheet'!U81:U86&lt;&gt;0),'Deliverables Sheet'!U81:U86)</f>
        <v>-4.18000000000001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1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19" x14ac:dyDescent="0.25">
      <c r="A28" s="19">
        <f>'Main Sheet'!A28</f>
        <v>8234</v>
      </c>
      <c r="B28" s="20" t="str">
        <f>'Main Sheet'!B28</f>
        <v>Melhuish House</v>
      </c>
      <c r="C28" s="54">
        <f t="array" ref="C28:C28">LOOKUP(2,1/('Deliverables Sheet'!S88:S93&lt;&gt;0),'Deliverables Sheet'!S88:S93)</f>
        <v>231.75</v>
      </c>
      <c r="D28" s="54">
        <f t="array" ref="D28:D28">LOOKUP(2,1/('Deliverables Sheet'!T88:T93&lt;&gt;0),'Deliverables Sheet'!T88:T93)</f>
        <v>148.5</v>
      </c>
      <c r="E28" s="54">
        <f t="array" ref="E28:E28">LOOKUP(2,1/('Deliverables Sheet'!U88:U93&lt;&gt;0),'Deliverables Sheet'!U88:U93)</f>
        <v>83.25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17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19" x14ac:dyDescent="0.25">
      <c r="A30" s="19">
        <f>'Main Sheet'!A30</f>
        <v>8214</v>
      </c>
      <c r="B30" s="20" t="str">
        <f>'Main Sheet'!B30</f>
        <v>6 Tiroroa Lane</v>
      </c>
      <c r="C30" s="54">
        <f t="array" ref="C30:C30">LOOKUP(2,1/('Deliverables Sheet'!S95:S100&lt;&gt;0),'Deliverables Sheet'!S95:S100)</f>
        <v>147.9</v>
      </c>
      <c r="D30" s="54">
        <f t="array" ref="D30:D30">LOOKUP(2,1/('Deliverables Sheet'!T95:T100&lt;&gt;0),'Deliverables Sheet'!T95:T100)</f>
        <v>5</v>
      </c>
      <c r="E30" s="54">
        <f t="array" ref="E30:E30">LOOKUP(2,1/('Deliverables Sheet'!U95:U100&lt;&gt;0),'Deliverables Sheet'!U95:U100)</f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17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17" x14ac:dyDescent="0.25">
      <c r="A32" s="19">
        <f>'Main Sheet'!A32</f>
        <v>6792</v>
      </c>
      <c r="B32" s="20" t="str">
        <f>'Main Sheet'!B32</f>
        <v>Major Hornbrook </v>
      </c>
      <c r="C32" s="54">
        <f t="array" ref="C32:C32">LOOKUP(2,1/('Deliverables Sheet'!S102:S107&lt;&gt;0),'Deliverables Sheet'!S102:S107)</f>
        <v>208.2</v>
      </c>
      <c r="D32" s="54">
        <f t="array" ref="D32:D32">LOOKUP(2,1/('Deliverables Sheet'!T102:T107&lt;&gt;0),'Deliverables Sheet'!T102:T107)</f>
        <v>317.25</v>
      </c>
      <c r="E32" s="54">
        <f t="array" ref="E32:E32">LOOKUP(2,1/('Deliverables Sheet'!U102:U107&lt;&gt;0),'Deliverables Sheet'!U102:U107)</f>
        <v>-109.05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17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17" x14ac:dyDescent="0.25">
      <c r="A34" s="19">
        <f>'Main Sheet'!A34</f>
        <v>8840</v>
      </c>
      <c r="B34" s="20" t="str">
        <f>'Main Sheet'!B34</f>
        <v>Inline Architecture</v>
      </c>
      <c r="C34" s="54">
        <f t="array" ref="C34:C34">LOOKUP(2,1/('Deliverables Sheet'!S109:S114&lt;&gt;0),'Deliverables Sheet'!S109:S114)</f>
        <v>316.34</v>
      </c>
      <c r="D34" s="54">
        <f t="array" ref="D34:D34">LOOKUP(2,1/('Deliverables Sheet'!T109:T114&lt;&gt;0),'Deliverables Sheet'!T109:T114)</f>
        <v>204.75</v>
      </c>
      <c r="E34" s="54">
        <f t="array" ref="E34:E34">LOOKUP(2,1/('Deliverables Sheet'!U109:U114&lt;&gt;0),'Deliverables Sheet'!U109:U114)</f>
        <v>111.59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17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17" x14ac:dyDescent="0.25">
      <c r="A36" s="19">
        <f>'Main Sheet'!A36</f>
        <v>8769</v>
      </c>
      <c r="B36" s="20" t="str">
        <f>'Main Sheet'!B36</f>
        <v>Percival Bach</v>
      </c>
      <c r="C36" s="54" t="e">
        <f t="array" ref="C36:C36">LOOKUP(2,1/('Deliverables Sheet'!S116:S121&lt;&gt;0),'Deliverables Sheet'!S116:S121)</f>
        <v>#N/A</v>
      </c>
      <c r="D36" s="54" t="e">
        <f t="array" ref="D36:D36">LOOKUP(2,1/('Deliverables Sheet'!T116:T121&lt;&gt;0),'Deliverables Sheet'!T116:T121)</f>
        <v>#N/A</v>
      </c>
      <c r="E36" s="54" t="e">
        <f t="array" ref="E36:E36">LOOKUP(2,1/('Deliverables Sheet'!U116:U121&lt;&gt;0),'Deliverables Sheet'!U116:U121)</f>
        <v>#N/A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17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19" x14ac:dyDescent="0.25">
      <c r="A38" s="19">
        <f>'Main Sheet'!A38</f>
        <v>7901</v>
      </c>
      <c r="B38" s="20" t="str">
        <f>'Main Sheet'!B38</f>
        <v>St Albans Street</v>
      </c>
      <c r="C38" s="54">
        <f t="array" ref="C38:C38">LOOKUP(2,1/('Deliverables Sheet'!S123:S128&lt;&gt;0),'Deliverables Sheet'!S123:S128)</f>
        <v>273.37</v>
      </c>
      <c r="D38" s="54" t="e">
        <f t="array" ref="D38:D38">LOOKUP(2,1/('Deliverables Sheet'!T123:T128&lt;&gt;0),'Deliverables Sheet'!T123:T128)</f>
        <v>#N/A</v>
      </c>
      <c r="E38" s="54">
        <f t="array" ref="E38:E38">LOOKUP(2,1/('Deliverables Sheet'!U123:U128&lt;&gt;0),'Deliverables Sheet'!U123:U128)</f>
        <v>273.37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17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17" x14ac:dyDescent="0.25">
      <c r="A40" s="19">
        <f>'Main Sheet'!A40</f>
        <v>8923</v>
      </c>
      <c r="B40" s="20" t="str">
        <f>'Main Sheet'!B40</f>
        <v>4 Perry St</v>
      </c>
      <c r="C40" s="54">
        <f t="array" ref="C40:C40">LOOKUP(2,1/('Deliverables Sheet'!S130:S135&lt;&gt;0),'Deliverables Sheet'!S130:S135)</f>
        <v>157</v>
      </c>
      <c r="D40" s="54">
        <f t="array" ref="D40:D40">LOOKUP(2,1/('Deliverables Sheet'!T130:T135&lt;&gt;0),'Deliverables Sheet'!T130:T135)</f>
        <v>2</v>
      </c>
      <c r="E40" s="54">
        <f t="array" ref="E40:E40">LOOKUP(2,1/('Deliverables Sheet'!U130:U135&lt;&gt;0),'Deliverables Sheet'!U130:U135)</f>
        <v>155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17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19" x14ac:dyDescent="0.25">
      <c r="A42" s="19">
        <f>'Main Sheet'!A42</f>
        <v>7864</v>
      </c>
      <c r="B42" s="20" t="str">
        <f>'Main Sheet'!B42</f>
        <v>Ryans House</v>
      </c>
      <c r="C42" s="54">
        <f t="array" ref="C42:C42">LOOKUP(2,1/('Deliverables Sheet'!S137:S142&lt;&gt;0),'Deliverables Sheet'!S137:S142)</f>
        <v>193.82</v>
      </c>
      <c r="D42" s="54">
        <f t="array" ref="D42:D42">LOOKUP(2,1/('Deliverables Sheet'!T137:T142&lt;&gt;0),'Deliverables Sheet'!T137:T142)</f>
        <v>266.75</v>
      </c>
      <c r="E42" s="54">
        <f t="array" ref="E42:E42">LOOKUP(2,1/('Deliverables Sheet'!U137:U142&lt;&gt;0),'Deliverables Sheet'!U137:U142)</f>
        <v>-72.93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17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19" x14ac:dyDescent="0.25">
      <c r="A44" s="19">
        <f>'Main Sheet'!A44</f>
        <v>7912</v>
      </c>
      <c r="B44" s="20" t="str">
        <f>'Main Sheet'!B44</f>
        <v>71A Fendalton Road </v>
      </c>
      <c r="C44" s="54" t="e">
        <f t="array" ref="C44:C44">LOOKUP(2,1/('Deliverables Sheet'!S144:S149&lt;&gt;0),'Deliverables Sheet'!S144:S149)</f>
        <v>#N/A</v>
      </c>
      <c r="D44" s="54" t="e">
        <f t="array" ref="D44:D44">LOOKUP(2,1/('Deliverables Sheet'!T144:T149&lt;&gt;0),'Deliverables Sheet'!T144:T149)</f>
        <v>#N/A</v>
      </c>
      <c r="E44" s="54" t="e">
        <f t="array" ref="E44:E44">LOOKUP(2,1/('Deliverables Sheet'!U144:U149&lt;&gt;0),'Deliverables Sheet'!U144:U149)</f>
        <v>#N/A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17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17" x14ac:dyDescent="0.25">
      <c r="A46" s="59">
        <f>'Main Sheet'!A46</f>
        <v>8360</v>
      </c>
      <c r="B46" s="75" t="str">
        <f>'Main Sheet'!B46</f>
        <v>Dixon House</v>
      </c>
      <c r="C46" s="54">
        <f t="array" ref="C46:C46">LOOKUP(2,1/('Deliverables Sheet'!S151:S156&lt;&gt;0),'Deliverables Sheet'!S151:S156)</f>
        <v>210.6</v>
      </c>
      <c r="D46" s="54">
        <f t="array" ref="D46:D46">LOOKUP(2,1/('Deliverables Sheet'!T151:T156&lt;&gt;0),'Deliverables Sheet'!T151:T156)</f>
        <v>260.75</v>
      </c>
      <c r="E46" s="54">
        <f t="array" ref="E46:E46">LOOKUP(2,1/('Deliverables Sheet'!U151:U156&lt;&gt;0),'Deliverables Sheet'!U151:U156)</f>
        <v>-50.15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17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17" x14ac:dyDescent="0.25">
      <c r="A48" s="19">
        <f>'Main Sheet'!A48</f>
        <v>8337</v>
      </c>
      <c r="B48" s="20" t="str">
        <f>'Main Sheet'!B48</f>
        <v>Waimak Dairys </v>
      </c>
      <c r="C48" s="54">
        <f t="array" ref="C48:C48">LOOKUP(2,1/('Deliverables Sheet'!S158:S163&lt;&gt;0),'Deliverables Sheet'!S158:S163)</f>
        <v>110.44</v>
      </c>
      <c r="D48" s="54">
        <f t="array" ref="D48:D48">LOOKUP(2,1/('Deliverables Sheet'!T158:T163&lt;&gt;0),'Deliverables Sheet'!T158:T163)</f>
        <v>44.75</v>
      </c>
      <c r="E48" s="54">
        <f t="array" ref="E48:E48">LOOKUP(2,1/('Deliverables Sheet'!U158:U163&lt;&gt;0),'Deliverables Sheet'!U158:U163)</f>
        <v>65.69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17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17" x14ac:dyDescent="0.25">
      <c r="A50" s="19">
        <f>'Main Sheet'!A50</f>
        <v>9240</v>
      </c>
      <c r="B50" s="20" t="str">
        <f>'Main Sheet'!B50</f>
        <v>Daves Twizel Shack</v>
      </c>
      <c r="C50" s="54" t="e">
        <f t="array" ref="C50:C50">LOOKUP(2,1/('Deliverables Sheet'!S165:S170&lt;&gt;0),'Deliverables Sheet'!S165:S170)</f>
        <v>#N/A</v>
      </c>
      <c r="D50" s="54" t="e">
        <f t="array" ref="D50:D50">LOOKUP(2,1/('Deliverables Sheet'!T165:T170&lt;&gt;0),'Deliverables Sheet'!T165:T170)</f>
        <v>#N/A</v>
      </c>
      <c r="E50" s="54" t="e">
        <f t="array" ref="E50:E50">LOOKUP(2,1/('Deliverables Sheet'!U165:U170&lt;&gt;0),'Deliverables Sheet'!U165:U170)</f>
        <v>#N/A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17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19" x14ac:dyDescent="0.25">
      <c r="A52" s="19">
        <f>'Main Sheet'!A52</f>
        <v>7428</v>
      </c>
      <c r="B52" s="20" t="str">
        <f>'Main Sheet'!B52</f>
        <v>FAB Pegasus Lakeside</v>
      </c>
      <c r="C52" s="54">
        <f t="array" ref="C52:C52">LOOKUP(2,1/('Deliverables Sheet'!S172:S177&lt;&gt;0),'Deliverables Sheet'!S172:S177)</f>
        <v>659.73</v>
      </c>
      <c r="D52" s="54">
        <f t="array" ref="D52:D52">LOOKUP(2,1/('Deliverables Sheet'!T172:T177&lt;&gt;0),'Deliverables Sheet'!T172:T177)</f>
        <v>304.75</v>
      </c>
      <c r="E52" s="54">
        <f t="array" ref="E52:E52">LOOKUP(2,1/('Deliverables Sheet'!U172:U177&lt;&gt;0),'Deliverables Sheet'!U172:U177)</f>
        <v>354.98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17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19" x14ac:dyDescent="0.25">
      <c r="A54" s="19">
        <f>'Main Sheet'!A54</f>
        <v>9351</v>
      </c>
      <c r="B54" s="20" t="str">
        <f>'Main Sheet'!B54</f>
        <v>Harewood Golf Club</v>
      </c>
      <c r="C54" s="54">
        <f t="array" ref="C54:C54">LOOKUP(2,1/('Deliverables Sheet'!S179:S184&lt;&gt;0),'Deliverables Sheet'!S179:S184)</f>
        <v>125.17</v>
      </c>
      <c r="D54" s="54">
        <f t="array" ref="D54:D54">LOOKUP(2,1/('Deliverables Sheet'!T179:T184&lt;&gt;0),'Deliverables Sheet'!T179:T184)</f>
        <v>11.25</v>
      </c>
      <c r="E54" s="54">
        <f t="array" ref="E54:E54">LOOKUP(2,1/('Deliverables Sheet'!U179:U184&lt;&gt;0),'Deliverables Sheet'!U179:U184)</f>
        <v>113.92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17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19" x14ac:dyDescent="0.25">
      <c r="A56" s="19">
        <f>'Main Sheet'!A56</f>
        <v>7429</v>
      </c>
      <c r="B56" s="20" t="str">
        <f>'Main Sheet'!B56</f>
        <v>Taggart House</v>
      </c>
      <c r="C56" s="54">
        <f t="array" ref="C56:C56">LOOKUP(2,1/('Deliverables Sheet'!S186:S191&lt;&gt;0),'Deliverables Sheet'!S186:S191)</f>
        <v>130.62</v>
      </c>
      <c r="D56" s="54">
        <f t="array" ref="D56:D56">LOOKUP(2,1/('Deliverables Sheet'!T186:T191&lt;&gt;0),'Deliverables Sheet'!T186:T191)</f>
        <v>32.25</v>
      </c>
      <c r="E56" s="54">
        <f t="array" ref="E56:E56">LOOKUP(2,1/('Deliverables Sheet'!U186:U191&lt;&gt;0),'Deliverables Sheet'!U186:U191)</f>
        <v>98.37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17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17" x14ac:dyDescent="0.25">
      <c r="A58" s="19">
        <f>'Main Sheet'!A58</f>
        <v>9508</v>
      </c>
      <c r="B58" s="20" t="str">
        <f>'Main Sheet'!B58</f>
        <v>St Barnabas Church</v>
      </c>
      <c r="C58" s="54" t="e">
        <f t="array" ref="C58:C58">LOOKUP(2,1/('Deliverables Sheet'!S193:S198&lt;&gt;0),'Deliverables Sheet'!S193:S198)</f>
        <v>#N/A</v>
      </c>
      <c r="D58" s="54" t="e">
        <f t="array" ref="D58:D58">LOOKUP(2,1/('Deliverables Sheet'!T193:T198&lt;&gt;0),'Deliverables Sheet'!T193:T198)</f>
        <v>#N/A</v>
      </c>
      <c r="E58" s="54" t="e">
        <f t="array" ref="E58:E58">LOOKUP(2,1/('Deliverables Sheet'!U193:U198&lt;&gt;0),'Deliverables Sheet'!U193:U198)</f>
        <v>#N/A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17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17" x14ac:dyDescent="0.25">
      <c r="A60" s="19">
        <f>'Main Sheet'!A60</f>
        <v>0</v>
      </c>
      <c r="B60" s="20">
        <f>'Main Sheet'!B60</f>
        <v>0</v>
      </c>
      <c r="C60" s="54" t="e">
        <f t="array" ref="C60:C60">LOOKUP(2,1/('Deliverables Sheet'!S200:S205&lt;&gt;0),'Deliverables Sheet'!S200:S205)</f>
        <v>#N/A</v>
      </c>
      <c r="D60" s="54" t="e">
        <f t="array" ref="D60:D60">LOOKUP(2,1/('Deliverables Sheet'!T200:T205&lt;&gt;0),'Deliverables Sheet'!T200:T205)</f>
        <v>#N/A</v>
      </c>
      <c r="E60" s="54" t="e">
        <f t="array" ref="E60:E60">LOOKUP(2,1/('Deliverables Sheet'!U200:U205&lt;&gt;0),'Deliverables Sheet'!U200:U205)</f>
        <v>#N/A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17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17" x14ac:dyDescent="0.25">
      <c r="A62" s="19">
        <f>'Main Sheet'!A62</f>
        <v>0</v>
      </c>
      <c r="B62" s="20" t="str">
        <f>'Main Sheet'!B62</f>
        <v>Contracting</v>
      </c>
      <c r="C62" s="54" t="e">
        <f t="array" ref="C62:C62">LOOKUP(2,1/('Deliverables Sheet'!S207:S212&lt;&gt;0),'Deliverables Sheet'!S207:S212)</f>
        <v>#N/A</v>
      </c>
      <c r="D62" s="54" t="e">
        <f t="array" ref="D62:D62">LOOKUP(2,1/('Deliverables Sheet'!T207:T212&lt;&gt;0),'Deliverables Sheet'!T207:T212)</f>
        <v>#N/A</v>
      </c>
      <c r="E62" s="54" t="e">
        <f t="array" ref="E62:E62">LOOKUP(2,1/('Deliverables Sheet'!U207:U212&lt;&gt;0),'Deliverables Sheet'!U207:U212)</f>
        <v>#N/A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17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17" x14ac:dyDescent="0.25">
      <c r="A64" s="19">
        <f>'Main Sheet'!A64</f>
        <v>8946</v>
      </c>
      <c r="B64" s="20" t="str">
        <f>'Main Sheet'!B64</f>
        <v>Westcoast Vaults</v>
      </c>
      <c r="C64" s="54">
        <f t="array" ref="C64:C64">LOOKUP(2,1/('Deliverables Sheet'!S214:S219&lt;&gt;0),'Deliverables Sheet'!S214:S219)</f>
        <v>358.86</v>
      </c>
      <c r="D64" s="54" t="e">
        <f t="array" ref="D64:D64">LOOKUP(2,1/('Deliverables Sheet'!T214:T219&lt;&gt;0),'Deliverables Sheet'!T214:T219)</f>
        <v>#N/A</v>
      </c>
      <c r="E64" s="54">
        <f t="array" ref="E64:E64">LOOKUP(2,1/('Deliverables Sheet'!U214:U219&lt;&gt;0),'Deliverables Sheet'!U214:U219)</f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17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17" x14ac:dyDescent="0.25">
      <c r="A66" s="19">
        <f>'Main Sheet'!A66</f>
        <v>8308</v>
      </c>
      <c r="B66" s="20" t="str">
        <f>'Main Sheet'!B66</f>
        <v>Roydvale</v>
      </c>
      <c r="C66" s="54">
        <f t="array" ref="C66:C66">LOOKUP(2,1/('Deliverables Sheet'!S221:S226&lt;&gt;0),'Deliverables Sheet'!S221:S226)</f>
        <v>2312.68</v>
      </c>
      <c r="D66" s="54">
        <f t="array" ref="D66:D66">LOOKUP(2,1/('Deliverables Sheet'!T221:T226&lt;&gt;0),'Deliverables Sheet'!T221:T226)</f>
        <v>1014.25</v>
      </c>
      <c r="E66" s="54">
        <f t="array" ref="E66:E66">LOOKUP(2,1/('Deliverables Sheet'!U221:U226&lt;&gt;0),'Deliverables Sheet'!U221:U226)</f>
        <v>1298.43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17" x14ac:dyDescent="0.25">
      <c r="A67" s="142"/>
      <c r="B67" s="14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144"/>
    </row>
    <row r="68" ht="15" customHeight="1" spans="1:17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.75" customHeight="1" spans="1:17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ht="15" customHeight="1" spans="1:17" x14ac:dyDescent="0.25">
      <c r="A70" s="142"/>
      <c r="B70" s="146" t="s">
        <v>144</v>
      </c>
      <c r="C70" s="147" t="e">
        <f>C3+C71+C72</f>
        <v>#N/A</v>
      </c>
      <c r="D70" s="147" t="e">
        <f>D3+D71+D72</f>
        <v>#N/A</v>
      </c>
      <c r="E70" s="147" t="e">
        <f>E3+E71+E72</f>
        <v>#N/A</v>
      </c>
      <c r="F70" s="147">
        <f>F3+F71+F72</f>
        <v>640</v>
      </c>
      <c r="G70" s="147">
        <f>G3+G71+G72</f>
        <v>715</v>
      </c>
      <c r="H70" s="147">
        <f>H3+H71+H72</f>
        <v>790</v>
      </c>
      <c r="I70" s="147">
        <f>I3+I71+I72</f>
        <v>700</v>
      </c>
      <c r="J70" s="147">
        <f>J3+J71+J72</f>
        <v>700</v>
      </c>
      <c r="K70" s="147">
        <f>K3+K71+K72</f>
        <v>700</v>
      </c>
      <c r="L70" s="147">
        <f>L3+L71+L72</f>
        <v>716</v>
      </c>
      <c r="M70" s="147">
        <f>M3+M71+M72</f>
        <v>2520</v>
      </c>
      <c r="N70" s="147">
        <f>N3+N71+N72</f>
        <v>3060</v>
      </c>
      <c r="O70" s="147">
        <f>O3+O71+O72</f>
        <v>1316</v>
      </c>
      <c r="P70" s="147">
        <f>P3+P71+P72</f>
        <v>914</v>
      </c>
      <c r="Q70" s="147">
        <f>Q3+Q71+Q72</f>
        <v>650</v>
      </c>
    </row>
    <row r="71" ht="15" customHeight="1" spans="1:17" x14ac:dyDescent="0.25">
      <c r="A71" s="142"/>
      <c r="B71" s="77" t="s">
        <v>145</v>
      </c>
      <c r="C71" s="20" t="e">
        <f>SUM(C26:C46)</f>
        <v>#N/A</v>
      </c>
      <c r="D71" s="20" t="e">
        <f>SUM(D26:D46)</f>
        <v>#N/A</v>
      </c>
      <c r="E71" s="20" t="e">
        <f>SUM(E26:E46)</f>
        <v>#N/A</v>
      </c>
      <c r="F71" s="20">
        <f>SUM(F26:F46)</f>
        <v>140</v>
      </c>
      <c r="G71" s="20">
        <f>SUM(G26:G46)</f>
        <v>15</v>
      </c>
      <c r="H71" s="20">
        <f>SUM(H26:H46)</f>
        <v>90</v>
      </c>
      <c r="I71" s="20">
        <f>SUM(I26:I66)</f>
        <v>0</v>
      </c>
      <c r="J71" s="20">
        <f>SUM(J26:J66)</f>
        <v>0</v>
      </c>
      <c r="K71" s="20">
        <f>SUM(K26:K66)</f>
        <v>0</v>
      </c>
      <c r="L71" s="20">
        <f>SUM(L26:L66)</f>
        <v>16</v>
      </c>
      <c r="M71" s="20">
        <f>SUM(M26:M66)</f>
        <v>800</v>
      </c>
      <c r="N71" s="20">
        <f>SUM(N26:N66)</f>
        <v>858</v>
      </c>
      <c r="O71" s="20">
        <f>SUM(O26:O46)</f>
        <v>476</v>
      </c>
      <c r="P71" s="20">
        <f>SUM(P26:P46)</f>
        <v>214</v>
      </c>
      <c r="Q71" s="20">
        <f>SUM(Q26:Q46)</f>
        <v>150</v>
      </c>
    </row>
    <row r="72" ht="15" customHeight="1" spans="1:17" x14ac:dyDescent="0.25">
      <c r="A72" s="142"/>
      <c r="B72" s="77" t="s">
        <v>146</v>
      </c>
      <c r="C72" s="20">
        <f>SUM(C4:C24)</f>
        <v>4490.26</v>
      </c>
      <c r="D72" s="20" t="e">
        <f>SUM(D4:D24)</f>
        <v>#N/A</v>
      </c>
      <c r="E72" s="20" t="e">
        <f>SUM(E4:E24)</f>
        <v>#N/A</v>
      </c>
      <c r="F72" s="20">
        <f>SUM(F4:F24)</f>
        <v>0</v>
      </c>
      <c r="G72" s="20">
        <f>SUM(G4:G24)</f>
        <v>0</v>
      </c>
      <c r="H72" s="20">
        <f>SUM(H4:H24)</f>
        <v>0</v>
      </c>
      <c r="I72" s="20">
        <f>SUM(I4:I24)</f>
        <v>0</v>
      </c>
      <c r="J72" s="20">
        <f>SUM(J4:J24)</f>
        <v>0</v>
      </c>
      <c r="K72" s="20">
        <f>SUM(K4:K24)</f>
        <v>0</v>
      </c>
      <c r="L72" s="20">
        <f>SUM(L4:L24)</f>
        <v>0</v>
      </c>
      <c r="M72" s="20">
        <f>SUM(M4:M24)</f>
        <v>1020</v>
      </c>
      <c r="N72" s="20">
        <f>SUM(N4:N24)</f>
        <v>1502</v>
      </c>
      <c r="O72" s="20">
        <f>SUM(O4:O24)</f>
        <v>140</v>
      </c>
      <c r="P72" s="20">
        <f>SUM(P4:P24)</f>
        <v>0</v>
      </c>
      <c r="Q72" s="20">
        <f>SUM(Q4:Q24)</f>
        <v>0</v>
      </c>
    </row>
    <row r="73" ht="15" customHeight="1" spans="1:17" x14ac:dyDescent="0.25">
      <c r="A73" s="142"/>
      <c r="B73" s="148" t="s">
        <v>147</v>
      </c>
      <c r="C73" s="149"/>
      <c r="D73" s="149"/>
      <c r="E73" s="149"/>
      <c r="F73" s="149">
        <f>F77*F76*8*0.8</f>
        <v>1488</v>
      </c>
      <c r="G73" s="149">
        <f>G77*G76*8*0.8</f>
        <v>2112</v>
      </c>
      <c r="H73" s="149">
        <f>H77*H76*8*0.8</f>
        <v>1984</v>
      </c>
      <c r="I73" s="149">
        <f>I77*I76*8*0.8</f>
        <v>1884.8</v>
      </c>
      <c r="J73" s="149">
        <f>J77*J76*8*0.8</f>
        <v>1948.8</v>
      </c>
      <c r="K73" s="149">
        <f>K77*K76*8*0.8</f>
        <v>2083.2</v>
      </c>
      <c r="L73" s="149">
        <f>L77*L76*8*0.8</f>
        <v>2604.8</v>
      </c>
      <c r="M73" s="149">
        <f>M77*M76*8*0.8</f>
        <v>2486.4</v>
      </c>
      <c r="N73" s="149">
        <f>N77*N76*8*0.8</f>
        <v>2604.8</v>
      </c>
      <c r="O73" s="149">
        <f>O77*O76*8*0.8</f>
        <v>2217.6</v>
      </c>
      <c r="P73" s="149">
        <f>P77*P76*8*0.8</f>
        <v>2112</v>
      </c>
      <c r="Q73" s="150">
        <f>Q77*Q76*8*0.8</f>
        <v>1478.4</v>
      </c>
    </row>
    <row r="74" ht="15" customHeight="1" spans="1:17" x14ac:dyDescent="0.25">
      <c r="A74" s="142"/>
      <c r="B74" s="151" t="s">
        <v>148</v>
      </c>
      <c r="C74" s="152"/>
      <c r="D74" s="152"/>
      <c r="E74" s="152"/>
      <c r="F74" s="153">
        <f>F70-F73</f>
        <v>-848</v>
      </c>
      <c r="G74" s="153">
        <f>G70-G73</f>
        <v>-1397</v>
      </c>
      <c r="H74" s="154">
        <f>H70-H73</f>
        <v>-1194</v>
      </c>
      <c r="I74" s="153">
        <f>I70-I73</f>
        <v>-1184.8</v>
      </c>
      <c r="J74" s="153">
        <f>J70-J73</f>
        <v>-1248.8</v>
      </c>
      <c r="K74" s="153">
        <f>K70-K73</f>
        <v>-1383.2</v>
      </c>
      <c r="L74" s="153">
        <f>L70-L73</f>
        <v>-1888.8</v>
      </c>
      <c r="M74" s="153">
        <f>M70-M73</f>
        <v>33.5999999999999</v>
      </c>
      <c r="N74" s="153">
        <f>N70-N73</f>
        <v>455.2</v>
      </c>
      <c r="O74" s="153">
        <f>O70-O73</f>
        <v>-901.6</v>
      </c>
      <c r="P74" s="153">
        <f>P70-P73</f>
        <v>-1198</v>
      </c>
      <c r="Q74" s="155">
        <f>Q70-Q73</f>
        <v>-828.4</v>
      </c>
    </row>
    <row r="75" ht="15" customHeight="1" spans="1:17" x14ac:dyDescent="0.25">
      <c r="A75" s="142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44"/>
    </row>
    <row r="76" ht="15" customHeight="1" spans="1:17" x14ac:dyDescent="0.25">
      <c r="A76" s="142"/>
      <c r="B76" s="156" t="s">
        <v>149</v>
      </c>
      <c r="C76" s="157" t="s">
        <v>150</v>
      </c>
      <c r="D76" s="157"/>
      <c r="E76" s="157"/>
      <c r="F76" s="158">
        <v>15</v>
      </c>
      <c r="G76" s="159">
        <v>20</v>
      </c>
      <c r="H76" s="159">
        <v>20</v>
      </c>
      <c r="I76" s="159">
        <v>19</v>
      </c>
      <c r="J76" s="159">
        <v>21</v>
      </c>
      <c r="K76" s="159">
        <v>21</v>
      </c>
      <c r="L76" s="159">
        <v>22</v>
      </c>
      <c r="M76" s="159">
        <v>21</v>
      </c>
      <c r="N76" s="159">
        <v>22</v>
      </c>
      <c r="O76" s="159">
        <v>21</v>
      </c>
      <c r="P76" s="159">
        <v>20</v>
      </c>
      <c r="Q76" s="160">
        <v>14</v>
      </c>
    </row>
    <row r="77" ht="15" customHeight="1" spans="1:17" x14ac:dyDescent="0.25">
      <c r="A77" s="161"/>
      <c r="B77" s="162" t="s">
        <v>151</v>
      </c>
      <c r="C77" s="157"/>
      <c r="D77" s="157"/>
      <c r="E77" s="157"/>
      <c r="F77" s="163">
        <v>15.5</v>
      </c>
      <c r="G77" s="163">
        <v>16.5</v>
      </c>
      <c r="H77" s="163">
        <v>15.5</v>
      </c>
      <c r="I77" s="163">
        <v>15.5</v>
      </c>
      <c r="J77" s="163">
        <v>14.5</v>
      </c>
      <c r="K77" s="163">
        <v>15.5</v>
      </c>
      <c r="L77" s="163">
        <v>18.5</v>
      </c>
      <c r="M77" s="163">
        <v>18.5</v>
      </c>
      <c r="N77" s="163">
        <v>18.5</v>
      </c>
      <c r="O77" s="163">
        <v>16.5</v>
      </c>
      <c r="P77" s="163">
        <v>16.5</v>
      </c>
      <c r="Q77" s="163">
        <v>16.5</v>
      </c>
    </row>
    <row r="78" spans="1:17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5" customHeight="1" spans="1:17" x14ac:dyDescent="0.25">
      <c r="A79" s="35"/>
      <c r="B79" s="164" t="s">
        <v>152</v>
      </c>
      <c r="C79" s="165"/>
      <c r="D79" s="35"/>
      <c r="E79" s="35"/>
      <c r="F79" s="35"/>
      <c r="G79" s="35"/>
      <c r="H79" s="35"/>
      <c r="I79" s="35"/>
      <c r="J79" s="35"/>
      <c r="K79" s="35"/>
      <c r="L79" s="166" t="s">
        <v>153</v>
      </c>
      <c r="M79" s="166"/>
      <c r="N79" s="35"/>
      <c r="O79" s="35"/>
      <c r="P79" s="35"/>
      <c r="Q79" s="35"/>
    </row>
    <row r="80" ht="15" customHeight="1" spans="1:17" x14ac:dyDescent="0.25">
      <c r="A80" s="35"/>
      <c r="B80" s="167" t="s">
        <v>154</v>
      </c>
      <c r="C80" s="168">
        <v>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5" customHeight="1" spans="1:17" x14ac:dyDescent="0.25">
      <c r="A81" s="35"/>
      <c r="B81" s="19" t="s">
        <v>155</v>
      </c>
      <c r="C81" s="131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17" x14ac:dyDescent="0.25">
      <c r="A82" s="35"/>
      <c r="B82" s="19" t="s">
        <v>156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17" x14ac:dyDescent="0.25">
      <c r="A83" s="35"/>
      <c r="B83" s="19" t="s">
        <v>157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17" x14ac:dyDescent="0.25">
      <c r="A84" s="35"/>
      <c r="B84" s="19" t="s">
        <v>158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17" x14ac:dyDescent="0.25">
      <c r="A85" s="35"/>
      <c r="B85" s="19" t="s">
        <v>159</v>
      </c>
      <c r="C85" s="131">
        <v>0.5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17" x14ac:dyDescent="0.25">
      <c r="A86" s="35"/>
      <c r="B86" s="19" t="s">
        <v>160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17" x14ac:dyDescent="0.25">
      <c r="A87" s="35"/>
      <c r="B87" s="19" t="s">
        <v>161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17" x14ac:dyDescent="0.25">
      <c r="A88" s="35"/>
      <c r="B88" s="19" t="s">
        <v>162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17" x14ac:dyDescent="0.25">
      <c r="A89" s="35"/>
      <c r="B89" s="19" t="s">
        <v>163</v>
      </c>
      <c r="C89" s="131"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17" x14ac:dyDescent="0.25">
      <c r="A90" s="35"/>
      <c r="B90" s="19" t="s">
        <v>164</v>
      </c>
      <c r="C90" s="131">
        <v>1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17" x14ac:dyDescent="0.25">
      <c r="A91" s="35"/>
      <c r="B91" s="19"/>
      <c r="C91" s="131"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17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17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17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17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17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17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17" x14ac:dyDescent="0.25">
      <c r="A98" s="35"/>
      <c r="B98" s="19" t="s">
        <v>165</v>
      </c>
      <c r="C98" s="131">
        <v>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17" x14ac:dyDescent="0.25">
      <c r="A99" s="35"/>
      <c r="B99" s="19" t="s">
        <v>166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17" x14ac:dyDescent="0.25">
      <c r="A100" s="35"/>
      <c r="B100" s="19" t="s">
        <v>167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17" x14ac:dyDescent="0.25">
      <c r="A101" s="35"/>
      <c r="B101" s="19" t="s">
        <v>168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17" x14ac:dyDescent="0.25">
      <c r="A102" s="35"/>
      <c r="B102" s="19" t="s">
        <v>169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17" x14ac:dyDescent="0.25">
      <c r="A103" s="35"/>
      <c r="B103" s="19" t="s">
        <v>170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17" x14ac:dyDescent="0.25">
      <c r="A104" s="35"/>
      <c r="B104" s="19" t="s">
        <v>171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17" x14ac:dyDescent="0.25">
      <c r="A105" s="35"/>
      <c r="B105" s="19"/>
      <c r="C105" s="13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17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17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17" x14ac:dyDescent="0.25">
      <c r="A108" s="35"/>
      <c r="B108" s="169"/>
      <c r="C108" s="150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17" x14ac:dyDescent="0.25">
      <c r="A109" s="35"/>
      <c r="B109" s="164" t="s">
        <v>172</v>
      </c>
      <c r="C109" s="170">
        <f>SUM(C80:C108)</f>
        <v>16.5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173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 t="s">
        <v>174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 t="s">
        <v>175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175" t="s">
        <v>176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29" x14ac:dyDescent="0.25">
      <c r="A6" s="176" t="s">
        <v>177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177" t="s">
        <v>178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29" x14ac:dyDescent="0.25">
      <c r="A8" s="176" t="s">
        <v>179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178" t="s">
        <v>180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29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29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29" x14ac:dyDescent="0.25">
      <c r="A12" s="181" t="s">
        <v>181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29" x14ac:dyDescent="0.25">
      <c r="A13" s="182" t="s">
        <v>182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29" x14ac:dyDescent="0.25">
      <c r="A14" s="183" t="s">
        <v>183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29" x14ac:dyDescent="0.25">
      <c r="A15" s="172" t="s">
        <v>184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29" x14ac:dyDescent="0.25">
      <c r="A16" s="184" t="s">
        <v>185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29" x14ac:dyDescent="0.25">
      <c r="A17" s="185" t="s">
        <v>186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29" x14ac:dyDescent="0.25">
      <c r="A18" s="186" t="s">
        <v>187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29" x14ac:dyDescent="0.25">
      <c r="A19" s="178" t="s">
        <v>188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29" x14ac:dyDescent="0.25">
      <c r="A20" s="187" t="s">
        <v>189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29" x14ac:dyDescent="0.25">
      <c r="A21" s="188" t="s">
        <v>190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29" x14ac:dyDescent="0.25">
      <c r="A22" s="188" t="s">
        <v>191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29" x14ac:dyDescent="0.25">
      <c r="A23" s="188" t="s">
        <v>192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29" x14ac:dyDescent="0.25">
      <c r="A24" s="188" t="s">
        <v>193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29" x14ac:dyDescent="0.25">
      <c r="A25" s="189" t="s">
        <v>194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29" x14ac:dyDescent="0.25">
      <c r="A26" s="181" t="s">
        <v>195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29" x14ac:dyDescent="0.25">
      <c r="A27" s="190" t="s">
        <v>196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28" x14ac:dyDescent="0.25">
      <c r="A28" s="172" t="s">
        <v>197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190" t="s">
        <v>198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28" x14ac:dyDescent="0.25">
      <c r="A30" s="191" t="s">
        <v>199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28" x14ac:dyDescent="0.25">
      <c r="A31" s="191" t="s">
        <v>200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28" x14ac:dyDescent="0.25">
      <c r="A32" s="191" t="s">
        <v>201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28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28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28" x14ac:dyDescent="0.25">
      <c r="A35" s="192" t="s">
        <v>202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28" x14ac:dyDescent="0.25">
      <c r="A36" s="193" t="s">
        <v>203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28" x14ac:dyDescent="0.25">
      <c r="A37" s="194" t="s">
        <v>204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28" x14ac:dyDescent="0.25">
      <c r="A38" s="179" t="s">
        <v>205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28" x14ac:dyDescent="0.25">
      <c r="A39" s="181" t="s">
        <v>206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28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28" x14ac:dyDescent="0.25">
      <c r="A41" s="172" t="s">
        <v>207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28" x14ac:dyDescent="0.25">
      <c r="A42" s="196" t="s">
        <v>208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28" x14ac:dyDescent="0.25">
      <c r="A43" s="172" t="s">
        <v>209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28" x14ac:dyDescent="0.25">
      <c r="A44" s="197" t="s">
        <v>210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28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28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28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28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28" x14ac:dyDescent="0.25">
      <c r="A49" s="172" t="s">
        <v>211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28" x14ac:dyDescent="0.25">
      <c r="A50" s="200" t="s">
        <v>212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28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28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28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28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28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28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213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29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29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29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29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29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29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29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29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29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29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29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29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29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29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28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28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28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28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28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28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28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28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28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28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28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28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28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28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28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28" x14ac:dyDescent="0.25">
      <c r="A38" s="172" t="s">
        <v>211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28" x14ac:dyDescent="0.25">
      <c r="A39" s="200" t="s">
        <v>212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28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28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28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28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28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28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63</v>
      </c>
      <c r="D2" s="43" t="s">
        <v>64</v>
      </c>
      <c r="E2" s="43" t="s">
        <v>65</v>
      </c>
      <c r="F2" s="39" t="s">
        <v>66</v>
      </c>
      <c r="G2" s="40" t="s">
        <v>67</v>
      </c>
      <c r="H2" s="43" t="s">
        <v>68</v>
      </c>
      <c r="I2" s="43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2" t="s">
        <v>214</v>
      </c>
      <c r="P2" s="42" t="s">
        <v>215</v>
      </c>
      <c r="Q2" s="42" t="s">
        <v>216</v>
      </c>
      <c r="R2" s="43" t="s">
        <v>75</v>
      </c>
      <c r="S2" s="43" t="s">
        <v>76</v>
      </c>
      <c r="T2" s="39" t="s">
        <v>77</v>
      </c>
      <c r="U2" s="40" t="s">
        <v>78</v>
      </c>
      <c r="V2" s="214" t="s">
        <v>79</v>
      </c>
      <c r="W2" s="214" t="s">
        <v>80</v>
      </c>
      <c r="X2" s="45" t="s">
        <v>81</v>
      </c>
      <c r="Y2" s="40" t="s">
        <v>82</v>
      </c>
      <c r="Z2" s="42" t="s">
        <v>83</v>
      </c>
      <c r="AA2" s="46" t="s">
        <v>84</v>
      </c>
      <c r="AB2" s="47" t="s">
        <v>85</v>
      </c>
      <c r="AC2" s="46" t="s">
        <v>86</v>
      </c>
      <c r="AD2" s="48" t="s">
        <v>87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88</v>
      </c>
      <c r="AL3" s="50" t="s">
        <v>89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90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91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92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93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94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95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96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97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98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90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91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92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93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94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95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96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97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98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90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91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92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93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94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95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96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97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98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90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91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92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93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94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95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96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97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98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90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91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92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93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94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95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96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97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98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90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91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92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93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94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95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96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97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98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90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91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92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93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94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95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96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97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98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90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91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92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93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94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95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96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97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98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90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91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92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93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94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95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96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97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98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90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91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92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93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94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95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96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97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98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90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91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92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93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94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95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96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97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98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90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91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92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93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94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95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96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97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98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90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91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92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93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94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95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96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97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98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90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91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92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93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94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95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96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97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98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90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91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92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93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94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95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96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97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98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90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91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92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93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94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95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96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97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98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90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91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92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93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94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95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96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97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98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90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91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92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93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94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95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96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97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98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90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91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92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93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94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95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96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97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98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90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91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92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93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94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95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96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97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98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90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91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92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93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94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95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96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97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98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90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91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92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93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94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95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96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97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98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90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91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92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93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94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95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96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97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98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90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91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92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93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94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95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96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97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98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90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91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92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93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94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95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96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97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98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90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91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92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93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94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95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96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97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98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90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91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92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93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94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95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96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97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98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90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91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92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93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94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95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96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97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98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90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91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92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93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94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95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96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97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98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90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91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92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93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94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95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96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97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98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90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91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92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93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94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95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96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97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98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90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91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92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93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94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95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96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97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98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1" x14ac:dyDescent="0.25">
      <c r="A1" s="35"/>
    </row>
    <row r="2" spans="1:1" x14ac:dyDescent="0.25">
      <c r="A2" s="35"/>
    </row>
    <row r="3" ht="15" customHeight="1" spans="1:4" x14ac:dyDescent="0.25">
      <c r="A3" s="35">
        <v>340</v>
      </c>
      <c r="B3" s="35" t="s">
        <v>217</v>
      </c>
      <c r="C3" s="35" t="s">
        <v>218</v>
      </c>
      <c r="D3" s="35" t="s">
        <v>219</v>
      </c>
    </row>
    <row r="4" ht="15" customHeight="1" spans="1:4" x14ac:dyDescent="0.25">
      <c r="A4" s="35" t="s">
        <v>220</v>
      </c>
      <c r="B4" s="35">
        <v>30</v>
      </c>
      <c r="D4" s="37">
        <f>SUM(B4/A3)</f>
        <v>0.0882352941176471</v>
      </c>
    </row>
    <row r="5" ht="15" customHeight="1" spans="1:16" x14ac:dyDescent="0.25">
      <c r="A5" s="35" t="s">
        <v>221</v>
      </c>
      <c r="B5" s="35">
        <v>60</v>
      </c>
      <c r="P5" s="35">
        <v>95.35</v>
      </c>
    </row>
    <row r="6" ht="15" customHeight="1" spans="1:16" x14ac:dyDescent="0.25">
      <c r="A6" s="35" t="s">
        <v>222</v>
      </c>
      <c r="B6" s="35">
        <v>100</v>
      </c>
      <c r="P6" s="35">
        <v>102.69</v>
      </c>
    </row>
    <row r="7" ht="15" customHeight="1" spans="1:16" x14ac:dyDescent="0.25">
      <c r="A7" s="35" t="s">
        <v>223</v>
      </c>
      <c r="B7" s="35">
        <v>150</v>
      </c>
      <c r="P7" s="35">
        <v>134.82</v>
      </c>
    </row>
    <row r="8" ht="15" customHeight="1" spans="1:16" x14ac:dyDescent="0.25">
      <c r="A8" s="35"/>
      <c r="P8" s="35">
        <v>324.19</v>
      </c>
    </row>
    <row r="9" ht="15" customHeight="1" spans="1:16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