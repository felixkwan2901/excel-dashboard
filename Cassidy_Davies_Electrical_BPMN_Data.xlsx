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<sst xmlns="http://schemas.openxmlformats.org/spreadsheetml/2006/main" count="1139" uniqueCount="227">
  <si>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</si>
  <si>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</si>
  <si>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</si>
  <si>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</si>
  <si>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</si>
  <si>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</si>
  <si>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</si>
  <si>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</si>
  <si>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</si>
  <si>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</si>
  <si>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</si>
  <si>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</si>
  <si>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</si>
  <si>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</si>
  <si>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</si>
  <si>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</si>
  <si>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</si>
  <si>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</si>
  <si>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</si>
  <si>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</si>
  <si>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</si>
  <si>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</si>
  <si>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</si>
  <si>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</si>
  <si>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</si>
  <si>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</si>
  <si>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</si>
  <si>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</si>
  <si>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</si>
  <si>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</si>
  <si>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>yes</t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</si>
  <si>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</si>
  <si>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</si>
  <si>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</si>
  <si>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</si>
  <si>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</si>
  <si>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</si>
  <si>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</si>
  <si>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</si>
  <si>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</si>
  <si>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</si>
  <si>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</si>
  <si>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</si>
  <si>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</si>
  <si>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</si>
  <si>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</si>
  <si>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/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</si>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</sst>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68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46</v>
      </c>
      <c r="Q32" s="15" t="s">
        <v>47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48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49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50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51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52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53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54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55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56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57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58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59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60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61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62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63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64</v>
      </c>
      <c r="C68" s="29" t="s">
        <v>46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33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65</v>
      </c>
      <c r="D2" s="38" t="s">
        <v>66</v>
      </c>
      <c r="E2" s="38" t="s">
        <v>67</v>
      </c>
      <c r="F2" s="39" t="s">
        <v>68</v>
      </c>
      <c r="G2" s="40" t="s">
        <v>69</v>
      </c>
      <c r="H2" s="38" t="s">
        <v>70</v>
      </c>
      <c r="I2" s="38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3" t="s">
        <v>77</v>
      </c>
      <c r="P2" s="43" t="s">
        <v>78</v>
      </c>
      <c r="Q2" s="39" t="s">
        <v>79</v>
      </c>
      <c r="R2" s="40" t="s">
        <v>80</v>
      </c>
      <c r="S2" s="44" t="s">
        <v>81</v>
      </c>
      <c r="T2" s="44" t="s">
        <v>82</v>
      </c>
      <c r="U2" s="45" t="s">
        <v>83</v>
      </c>
      <c r="V2" s="40" t="s">
        <v>84</v>
      </c>
      <c r="W2" s="42" t="s">
        <v>85</v>
      </c>
      <c r="X2" s="46" t="s">
        <v>86</v>
      </c>
      <c r="Y2" s="47" t="s">
        <v>87</v>
      </c>
      <c r="Z2" s="46" t="s">
        <v>88</v>
      </c>
      <c r="AA2" s="48" t="s">
        <v>89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90</v>
      </c>
      <c r="AI3" s="50" t="s">
        <v>91</v>
      </c>
    </row>
    <row r="4" ht="15" customHeight="1" spans="1:35" x14ac:dyDescent="0.25">
      <c r="A4" s="19">
        <v>7658</v>
      </c>
      <c r="B4" s="20" t="s">
        <v>25</v>
      </c>
      <c r="C4" s="51" t="s">
        <v>92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93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94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95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96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97</v>
      </c>
      <c r="D7" s="52"/>
      <c r="E7" s="52"/>
      <c r="F7" s="52"/>
      <c r="G7" s="53"/>
      <c r="H7" s="52"/>
      <c r="I7" s="52"/>
      <c r="J7" s="52"/>
      <c r="K7" s="52"/>
      <c r="L7" s="52"/>
      <c r="M7" s="53"/>
      <c r="N7" s="53"/>
      <c r="O7" s="52"/>
      <c r="P7" s="52"/>
      <c r="Q7" s="52"/>
      <c r="R7" s="53"/>
      <c r="S7" s="54"/>
      <c r="T7" s="54"/>
      <c r="U7" s="54"/>
      <c r="V7" s="53"/>
      <c r="W7" s="53"/>
      <c r="X7" s="55"/>
      <c r="Y7" s="55"/>
      <c r="Z7" s="53"/>
      <c r="AA7" s="56"/>
      <c r="AB7" s="57"/>
      <c r="AD7" s="35" t="s">
        <v>98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99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100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92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93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94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95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96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79864.19</v>
      </c>
      <c r="J13" s="52">
        <v>83735.42000000001</v>
      </c>
      <c r="K13" s="52">
        <v>71677.66</v>
      </c>
      <c r="L13" s="52">
        <v>12057.76000000001</v>
      </c>
      <c r="M13" s="53">
        <v>0.14399832233480178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35.660564635958394</v>
      </c>
      <c r="Y13" s="55">
        <v>77.32043896850674</v>
      </c>
      <c r="Z13" s="53">
        <v>0.0699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97</v>
      </c>
      <c r="D14" s="52"/>
      <c r="E14" s="62"/>
      <c r="F14" s="52"/>
      <c r="G14" s="53"/>
      <c r="H14" s="52"/>
      <c r="I14" s="52"/>
      <c r="J14" s="52"/>
      <c r="K14" s="52"/>
      <c r="L14" s="52"/>
      <c r="M14" s="53"/>
      <c r="N14" s="53"/>
      <c r="O14" s="52"/>
      <c r="P14" s="52"/>
      <c r="Q14" s="52"/>
      <c r="R14" s="53"/>
      <c r="S14" s="54"/>
      <c r="T14" s="54"/>
      <c r="U14" s="54"/>
      <c r="V14" s="53"/>
      <c r="W14" s="53"/>
      <c r="X14" s="55"/>
      <c r="Y14" s="55"/>
      <c r="Z14" s="53"/>
      <c r="AA14" s="56"/>
      <c r="AB14" s="57"/>
      <c r="AD14" s="35" t="s">
        <v>98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99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100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92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93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94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95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96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97</v>
      </c>
      <c r="D21" s="52"/>
      <c r="E21" s="52"/>
      <c r="F21" s="52"/>
      <c r="G21" s="53"/>
      <c r="H21" s="52"/>
      <c r="I21" s="52"/>
      <c r="J21" s="52"/>
      <c r="K21" s="52"/>
      <c r="L21" s="52"/>
      <c r="M21" s="53"/>
      <c r="N21" s="53"/>
      <c r="O21" s="52"/>
      <c r="P21" s="52"/>
      <c r="Q21" s="52"/>
      <c r="R21" s="53"/>
      <c r="S21" s="54"/>
      <c r="T21" s="54"/>
      <c r="U21" s="54"/>
      <c r="V21" s="53"/>
      <c r="W21" s="53"/>
      <c r="X21" s="55"/>
      <c r="Y21" s="55"/>
      <c r="Z21" s="53"/>
      <c r="AA21" s="56"/>
      <c r="AB21" s="57"/>
      <c r="AD21" s="35" t="s">
        <v>98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99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100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92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93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94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95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96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89600.47</v>
      </c>
      <c r="J27" s="52">
        <v>63812.49</v>
      </c>
      <c r="K27" s="52">
        <v>59331.43</v>
      </c>
      <c r="L27" s="52">
        <v>4481.059999999998</v>
      </c>
      <c r="M27" s="53">
        <v>0.07022230287518945</v>
      </c>
      <c r="N27" s="53"/>
      <c r="O27" s="52">
        <v>40213.6</v>
      </c>
      <c r="P27" s="52">
        <v>30269.04</v>
      </c>
      <c r="Q27" s="52">
        <v>9944.559999999998</v>
      </c>
      <c r="R27" s="53">
        <v>0.2472934529611872</v>
      </c>
      <c r="S27" s="54">
        <v>805.22</v>
      </c>
      <c r="T27" s="54">
        <v>615.5</v>
      </c>
      <c r="U27" s="54">
        <v>189.72000000000003</v>
      </c>
      <c r="V27" s="53">
        <v>0.2356126276048782</v>
      </c>
      <c r="W27" s="53"/>
      <c r="X27" s="55">
        <v>88.9851015434606</v>
      </c>
      <c r="Y27" s="55">
        <v>61.50814037389784</v>
      </c>
      <c r="Z27" s="53">
        <v>0.37939999999999996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97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98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99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100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92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93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94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95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96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223743.65</v>
      </c>
      <c r="J34" s="52">
        <v>271925.57</v>
      </c>
      <c r="K34" s="52">
        <v>197386.58</v>
      </c>
      <c r="L34" s="52">
        <v>74538.99000000002</v>
      </c>
      <c r="M34" s="53">
        <v>0.27411541327283057</v>
      </c>
      <c r="N34" s="53"/>
      <c r="O34" s="52">
        <v>56121.36</v>
      </c>
      <c r="P34" s="52">
        <v>26357.07</v>
      </c>
      <c r="Q34" s="52">
        <v>29764.29</v>
      </c>
      <c r="R34" s="53">
        <v>0.5303558217405994</v>
      </c>
      <c r="S34" s="54">
        <v>1124.47</v>
      </c>
      <c r="T34" s="54">
        <v>609</v>
      </c>
      <c r="U34" s="54">
        <v>515.47</v>
      </c>
      <c r="V34" s="53">
        <v>0.4584115183152952</v>
      </c>
      <c r="W34" s="53"/>
      <c r="X34" s="55">
        <v>58.463152709359605</v>
      </c>
      <c r="Y34" s="55">
        <v>61.532703026350184</v>
      </c>
      <c r="Z34" s="53">
        <v>0.1373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97</v>
      </c>
      <c r="D35" s="52"/>
      <c r="E35" s="52"/>
      <c r="F35" s="52"/>
      <c r="G35" s="53"/>
      <c r="H35" s="52"/>
      <c r="I35" s="65"/>
      <c r="J35" s="52"/>
      <c r="K35" s="52"/>
      <c r="L35" s="52"/>
      <c r="M35" s="53"/>
      <c r="N35" s="53"/>
      <c r="O35" s="52"/>
      <c r="P35" s="52"/>
      <c r="Q35" s="52"/>
      <c r="R35" s="53"/>
      <c r="S35" s="54"/>
      <c r="T35" s="54"/>
      <c r="U35" s="54"/>
      <c r="V35" s="53"/>
      <c r="W35" s="53"/>
      <c r="X35" s="55"/>
      <c r="Y35" s="55"/>
      <c r="Z35" s="53"/>
      <c r="AA35" s="56"/>
      <c r="AB35" s="57"/>
      <c r="AD35" s="35" t="s">
        <v>98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99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100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92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93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94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95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96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49519.82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13836.08</v>
      </c>
      <c r="Q41" s="52">
        <v>11220.15</v>
      </c>
      <c r="R41" s="53">
        <v>0.44779881091449114</v>
      </c>
      <c r="S41" s="54">
        <v>501.83</v>
      </c>
      <c r="T41" s="54">
        <v>308.25</v>
      </c>
      <c r="U41" s="54">
        <v>193.57999999999998</v>
      </c>
      <c r="V41" s="53">
        <v>0.38574816172807525</v>
      </c>
      <c r="W41" s="53"/>
      <c r="X41" s="55">
        <v>14.355263584752636</v>
      </c>
      <c r="Y41" s="55">
        <v>68.07122423898531</v>
      </c>
      <c r="Z41" s="53">
        <v>0.08199999999999999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97</v>
      </c>
      <c r="D42" s="52"/>
      <c r="E42" s="52"/>
      <c r="F42" s="52"/>
      <c r="G42" s="53"/>
      <c r="H42" s="52"/>
      <c r="I42" s="52"/>
      <c r="J42" s="52"/>
      <c r="K42" s="52"/>
      <c r="L42" s="52"/>
      <c r="M42" s="53"/>
      <c r="N42" s="53"/>
      <c r="O42" s="52"/>
      <c r="P42" s="52"/>
      <c r="Q42" s="52"/>
      <c r="R42" s="53"/>
      <c r="S42" s="54"/>
      <c r="T42" s="54"/>
      <c r="U42" s="54"/>
      <c r="V42" s="53"/>
      <c r="W42" s="53"/>
      <c r="X42" s="55"/>
      <c r="Y42" s="55"/>
      <c r="Z42" s="53"/>
      <c r="AA42" s="56"/>
      <c r="AB42" s="57"/>
      <c r="AD42" s="35" t="s">
        <v>98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99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100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92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93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94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95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96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97</v>
      </c>
      <c r="D49" s="52"/>
      <c r="E49" s="52"/>
      <c r="F49" s="52"/>
      <c r="G49" s="53"/>
      <c r="H49" s="52"/>
      <c r="I49" s="52"/>
      <c r="J49" s="52"/>
      <c r="K49" s="52"/>
      <c r="L49" s="52"/>
      <c r="M49" s="53"/>
      <c r="N49" s="53"/>
      <c r="O49" s="52"/>
      <c r="P49" s="52"/>
      <c r="Q49" s="52"/>
      <c r="R49" s="53"/>
      <c r="S49" s="54"/>
      <c r="T49" s="54"/>
      <c r="U49" s="54"/>
      <c r="V49" s="53"/>
      <c r="W49" s="53"/>
      <c r="X49" s="55"/>
      <c r="Y49" s="55"/>
      <c r="Z49" s="53"/>
      <c r="AA49" s="56"/>
      <c r="AB49" s="57"/>
      <c r="AD49" s="35" t="s">
        <v>98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99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100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92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93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94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95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96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97978.14</v>
      </c>
      <c r="J55" s="52">
        <v>75135.01000000001</v>
      </c>
      <c r="K55" s="52">
        <v>71357.43</v>
      </c>
      <c r="L55" s="52">
        <v>3777.5800000000163</v>
      </c>
      <c r="M55" s="53">
        <v>0.050277227619987215</v>
      </c>
      <c r="N55" s="53"/>
      <c r="O55" s="52">
        <v>34229.96</v>
      </c>
      <c r="P55" s="52">
        <v>26620.71</v>
      </c>
      <c r="Q55" s="52">
        <v>7609.25</v>
      </c>
      <c r="R55" s="53">
        <v>0.22229795185270448</v>
      </c>
      <c r="S55" s="54">
        <v>685.48</v>
      </c>
      <c r="T55" s="54">
        <v>561.5</v>
      </c>
      <c r="U55" s="54">
        <v>123.98000000000002</v>
      </c>
      <c r="V55" s="53">
        <v>0.18086596253720022</v>
      </c>
      <c r="W55" s="53"/>
      <c r="X55" s="55">
        <v>53.13684772929653</v>
      </c>
      <c r="Y55" s="55">
        <v>67.00679527854935</v>
      </c>
      <c r="Z55" s="53">
        <v>0.2334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97</v>
      </c>
      <c r="D56" s="52"/>
      <c r="E56" s="52"/>
      <c r="F56" s="52"/>
      <c r="G56" s="53"/>
      <c r="H56" s="52"/>
      <c r="I56" s="52"/>
      <c r="J56" s="52"/>
      <c r="K56" s="52"/>
      <c r="L56" s="52"/>
      <c r="M56" s="53"/>
      <c r="N56" s="53"/>
      <c r="O56" s="52"/>
      <c r="P56" s="52"/>
      <c r="Q56" s="52"/>
      <c r="R56" s="53"/>
      <c r="S56" s="54"/>
      <c r="T56" s="54"/>
      <c r="U56" s="54"/>
      <c r="V56" s="53"/>
      <c r="W56" s="53"/>
      <c r="X56" s="55"/>
      <c r="Y56" s="55"/>
      <c r="Z56" s="53"/>
      <c r="AA56" s="56"/>
      <c r="AB56" s="57"/>
      <c r="AD56" s="35" t="s">
        <v>98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99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100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92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93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94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95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96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97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98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99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100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92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93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94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95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96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97</v>
      </c>
      <c r="D70" s="52"/>
      <c r="E70" s="52"/>
      <c r="F70" s="52"/>
      <c r="G70" s="53"/>
      <c r="H70" s="52"/>
      <c r="I70" s="52"/>
      <c r="J70" s="52"/>
      <c r="K70" s="52"/>
      <c r="L70" s="52"/>
      <c r="M70" s="53"/>
      <c r="N70" s="53"/>
      <c r="O70" s="52"/>
      <c r="P70" s="52"/>
      <c r="Q70" s="52"/>
      <c r="R70" s="53"/>
      <c r="S70" s="54"/>
      <c r="T70" s="54"/>
      <c r="U70" s="54"/>
      <c r="V70" s="53"/>
      <c r="W70" s="53"/>
      <c r="X70" s="55"/>
      <c r="Y70" s="55"/>
      <c r="Z70" s="53"/>
      <c r="AA70" s="56"/>
      <c r="AB70" s="57"/>
      <c r="AD70" s="35" t="s">
        <v>98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99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100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92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93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94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95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96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31054.89</v>
      </c>
      <c r="J76" s="52">
        <v>31451.700000000004</v>
      </c>
      <c r="K76" s="52">
        <v>23776.52</v>
      </c>
      <c r="L76" s="52">
        <v>7675.180000000004</v>
      </c>
      <c r="M76" s="53">
        <v>0.24403068832527344</v>
      </c>
      <c r="N76" s="53"/>
      <c r="O76" s="52">
        <v>22995.03</v>
      </c>
      <c r="P76" s="52">
        <v>7278.37</v>
      </c>
      <c r="Q76" s="52">
        <v>15716.66</v>
      </c>
      <c r="R76" s="53">
        <v>0.6834807347500743</v>
      </c>
      <c r="S76" s="54">
        <v>472.14</v>
      </c>
      <c r="T76" s="54">
        <v>144.25</v>
      </c>
      <c r="U76" s="54">
        <v>327.89</v>
      </c>
      <c r="V76" s="53">
        <v>0.6944762146820859</v>
      </c>
      <c r="W76" s="53"/>
      <c r="X76" s="55">
        <v>95.04402079722703</v>
      </c>
      <c r="Y76" s="55">
        <v>48.63296805100184</v>
      </c>
      <c r="Z76" s="53">
        <v>0.3063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97</v>
      </c>
      <c r="D77" s="52"/>
      <c r="E77" s="52"/>
      <c r="F77" s="52"/>
      <c r="G77" s="53"/>
      <c r="H77" s="52"/>
      <c r="I77" s="52"/>
      <c r="J77" s="52"/>
      <c r="K77" s="52"/>
      <c r="L77" s="52"/>
      <c r="M77" s="53"/>
      <c r="N77" s="53"/>
      <c r="O77" s="52"/>
      <c r="P77" s="52"/>
      <c r="Q77" s="52"/>
      <c r="R77" s="53"/>
      <c r="S77" s="54"/>
      <c r="T77" s="54"/>
      <c r="U77" s="54"/>
      <c r="V77" s="53"/>
      <c r="W77" s="53"/>
      <c r="X77" s="55"/>
      <c r="Y77" s="55"/>
      <c r="Z77" s="53"/>
      <c r="AA77" s="56"/>
      <c r="AB77" s="57"/>
      <c r="AD77" s="35" t="s">
        <v>98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99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100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92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93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94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95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96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97</v>
      </c>
      <c r="D84" s="52"/>
      <c r="E84" s="52"/>
      <c r="F84" s="52"/>
      <c r="G84" s="53"/>
      <c r="H84" s="52"/>
      <c r="I84" s="52"/>
      <c r="J84" s="52"/>
      <c r="K84" s="52"/>
      <c r="L84" s="52"/>
      <c r="M84" s="53"/>
      <c r="N84" s="53"/>
      <c r="O84" s="52"/>
      <c r="P84" s="52"/>
      <c r="Q84" s="52"/>
      <c r="R84" s="53"/>
      <c r="S84" s="54"/>
      <c r="T84" s="54"/>
      <c r="U84" s="54"/>
      <c r="V84" s="53"/>
      <c r="W84" s="53"/>
      <c r="X84" s="55"/>
      <c r="Y84" s="55"/>
      <c r="Z84" s="53"/>
      <c r="AA84" s="56"/>
      <c r="AB84" s="57"/>
      <c r="AD84" s="35" t="s">
        <v>98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99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100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92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93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94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95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96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97</v>
      </c>
      <c r="D91" s="67"/>
      <c r="E91" s="67"/>
      <c r="F91" s="52"/>
      <c r="G91" s="53"/>
      <c r="H91" s="52"/>
      <c r="I91" s="52"/>
      <c r="J91" s="52"/>
      <c r="K91" s="52"/>
      <c r="L91" s="52"/>
      <c r="M91" s="53"/>
      <c r="N91" s="53"/>
      <c r="O91" s="52"/>
      <c r="P91" s="52"/>
      <c r="Q91" s="52"/>
      <c r="R91" s="53"/>
      <c r="S91" s="68"/>
      <c r="T91" s="68"/>
      <c r="U91" s="54"/>
      <c r="V91" s="53"/>
      <c r="W91" s="53"/>
      <c r="X91" s="55"/>
      <c r="Y91" s="55"/>
      <c r="Z91" s="53"/>
      <c r="AA91" s="56"/>
      <c r="AB91" s="57"/>
      <c r="AD91" s="35" t="s">
        <v>98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99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100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92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93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94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95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96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97</v>
      </c>
      <c r="D98" s="52"/>
      <c r="E98" s="52"/>
      <c r="F98" s="52"/>
      <c r="G98" s="53"/>
      <c r="H98" s="52"/>
      <c r="I98" s="52"/>
      <c r="J98" s="52"/>
      <c r="K98" s="52"/>
      <c r="L98" s="52"/>
      <c r="M98" s="53"/>
      <c r="N98" s="53"/>
      <c r="O98" s="52"/>
      <c r="P98" s="52"/>
      <c r="Q98" s="52"/>
      <c r="R98" s="53"/>
      <c r="S98" s="54"/>
      <c r="T98" s="54"/>
      <c r="U98" s="54"/>
      <c r="V98" s="53"/>
      <c r="W98" s="53"/>
      <c r="X98" s="55"/>
      <c r="Y98" s="55"/>
      <c r="Z98" s="53"/>
      <c r="AA98" s="56"/>
      <c r="AB98" s="57"/>
      <c r="AD98" s="35" t="s">
        <v>98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99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100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92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93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94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95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96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97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98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99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100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48</v>
      </c>
      <c r="C109" s="51" t="s">
        <v>92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93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94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95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96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97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98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99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100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49</v>
      </c>
      <c r="C116" s="51" t="s">
        <v>92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93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94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95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96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97</v>
      </c>
      <c r="D119" s="52"/>
      <c r="E119" s="52"/>
      <c r="F119" s="52"/>
      <c r="G119" s="53"/>
      <c r="H119" s="52"/>
      <c r="I119" s="52"/>
      <c r="J119" s="52"/>
      <c r="K119" s="52"/>
      <c r="L119" s="52"/>
      <c r="M119" s="53"/>
      <c r="N119" s="53"/>
      <c r="O119" s="52"/>
      <c r="P119" s="52"/>
      <c r="Q119" s="52"/>
      <c r="R119" s="53"/>
      <c r="S119" s="54"/>
      <c r="T119" s="54"/>
      <c r="U119" s="54"/>
      <c r="V119" s="53"/>
      <c r="W119" s="53"/>
      <c r="X119" s="55"/>
      <c r="Y119" s="55"/>
      <c r="Z119" s="53"/>
      <c r="AA119" s="56"/>
      <c r="AB119" s="57"/>
      <c r="AD119" s="35" t="s">
        <v>98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99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100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50</v>
      </c>
      <c r="C123" s="51" t="s">
        <v>92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93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94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95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96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97</v>
      </c>
      <c r="D126" s="52"/>
      <c r="E126" s="52"/>
      <c r="F126" s="52"/>
      <c r="G126" s="53"/>
      <c r="H126" s="52"/>
      <c r="I126" s="52"/>
      <c r="J126" s="52"/>
      <c r="K126" s="52"/>
      <c r="L126" s="52"/>
      <c r="M126" s="53"/>
      <c r="N126" s="53"/>
      <c r="O126" s="52"/>
      <c r="P126" s="52"/>
      <c r="Q126" s="52"/>
      <c r="R126" s="53"/>
      <c r="S126" s="54"/>
      <c r="T126" s="54"/>
      <c r="U126" s="54"/>
      <c r="V126" s="53"/>
      <c r="W126" s="53"/>
      <c r="X126" s="55"/>
      <c r="Y126" s="55"/>
      <c r="Z126" s="53"/>
      <c r="AA126" s="56"/>
      <c r="AB126" s="57"/>
      <c r="AD126" s="35" t="s">
        <v>98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99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100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51</v>
      </c>
      <c r="C130" s="51" t="s">
        <v>92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93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94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95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96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97</v>
      </c>
      <c r="D133" s="52"/>
      <c r="E133" s="52"/>
      <c r="F133" s="52"/>
      <c r="G133" s="53"/>
      <c r="H133" s="52"/>
      <c r="I133" s="52"/>
      <c r="J133" s="52"/>
      <c r="K133" s="52"/>
      <c r="L133" s="52"/>
      <c r="M133" s="53"/>
      <c r="N133" s="53"/>
      <c r="O133" s="52"/>
      <c r="P133" s="52"/>
      <c r="Q133" s="52"/>
      <c r="R133" s="53"/>
      <c r="S133" s="54"/>
      <c r="T133" s="54"/>
      <c r="U133" s="54"/>
      <c r="V133" s="53"/>
      <c r="W133" s="53"/>
      <c r="X133" s="55"/>
      <c r="Y133" s="55"/>
      <c r="Z133" s="53"/>
      <c r="AA133" s="56"/>
      <c r="AB133" s="57"/>
      <c r="AD133" s="35" t="s">
        <v>98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99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100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52</v>
      </c>
      <c r="C137" s="51" t="s">
        <v>92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93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94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95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96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97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98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99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100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53</v>
      </c>
      <c r="C144" s="51" t="s">
        <v>92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93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94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95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96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97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98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99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100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54</v>
      </c>
      <c r="C151" s="51" t="s">
        <v>92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93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94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95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96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97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98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99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100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55</v>
      </c>
      <c r="C158" s="51" t="s">
        <v>92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93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94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95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96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97</v>
      </c>
      <c r="D161" s="52"/>
      <c r="E161" s="52"/>
      <c r="F161" s="52"/>
      <c r="G161" s="53"/>
      <c r="H161" s="52"/>
      <c r="I161" s="52"/>
      <c r="J161" s="52"/>
      <c r="K161" s="52"/>
      <c r="L161" s="52"/>
      <c r="M161" s="53"/>
      <c r="N161" s="53"/>
      <c r="O161" s="52"/>
      <c r="P161" s="52"/>
      <c r="Q161" s="52"/>
      <c r="R161" s="53"/>
      <c r="S161" s="54"/>
      <c r="T161" s="54"/>
      <c r="U161" s="54"/>
      <c r="V161" s="53"/>
      <c r="W161" s="53"/>
      <c r="X161" s="55"/>
      <c r="Y161" s="55"/>
      <c r="Z161" s="53"/>
      <c r="AA161" s="56"/>
      <c r="AB161" s="57"/>
      <c r="AD161" s="35" t="s">
        <v>98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99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100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56</v>
      </c>
      <c r="C165" s="51" t="s">
        <v>92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101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93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94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95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96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97</v>
      </c>
      <c r="D168" s="52"/>
      <c r="E168" s="52"/>
      <c r="F168" s="52"/>
      <c r="G168" s="53"/>
      <c r="H168" s="52"/>
      <c r="I168" s="52"/>
      <c r="J168" s="52"/>
      <c r="K168" s="52"/>
      <c r="L168" s="52"/>
      <c r="M168" s="53"/>
      <c r="N168" s="53"/>
      <c r="O168" s="52"/>
      <c r="P168" s="52"/>
      <c r="Q168" s="52"/>
      <c r="R168" s="53"/>
      <c r="S168" s="54"/>
      <c r="T168" s="54"/>
      <c r="U168" s="54"/>
      <c r="V168" s="53"/>
      <c r="W168" s="53"/>
      <c r="X168" s="55"/>
      <c r="Y168" s="55"/>
      <c r="Z168" s="53"/>
      <c r="AA168" s="56"/>
      <c r="AB168" s="57"/>
      <c r="AD168" s="35" t="s">
        <v>98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99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100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57</v>
      </c>
      <c r="C172" s="51" t="s">
        <v>92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93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94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95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96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105118.87</v>
      </c>
      <c r="J174" s="52">
        <v>82888.07999999999</v>
      </c>
      <c r="K174" s="52">
        <v>77768.29999999999</v>
      </c>
      <c r="L174" s="52">
        <v>5119.779999999999</v>
      </c>
      <c r="M174" s="53">
        <v>0.06176738561202044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36.933649202733484</v>
      </c>
      <c r="Y174" s="55">
        <v>47.87601261940491</v>
      </c>
      <c r="Z174" s="53">
        <v>0.1616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97</v>
      </c>
      <c r="D175" s="52"/>
      <c r="E175" s="52"/>
      <c r="F175" s="52"/>
      <c r="G175" s="53"/>
      <c r="H175" s="52"/>
      <c r="I175" s="52"/>
      <c r="J175" s="52"/>
      <c r="K175" s="52"/>
      <c r="L175" s="52"/>
      <c r="M175" s="53"/>
      <c r="N175" s="53"/>
      <c r="O175" s="52"/>
      <c r="P175" s="52"/>
      <c r="Q175" s="52"/>
      <c r="R175" s="53"/>
      <c r="S175" s="54"/>
      <c r="T175" s="54"/>
      <c r="U175" s="54"/>
      <c r="V175" s="53"/>
      <c r="W175" s="53"/>
      <c r="X175" s="55"/>
      <c r="Y175" s="55"/>
      <c r="Z175" s="53"/>
      <c r="AA175" s="56"/>
      <c r="AB175" s="57"/>
      <c r="AD175" s="35" t="s">
        <v>98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99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100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58</v>
      </c>
      <c r="C179" s="51" t="s">
        <v>92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93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94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95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96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97</v>
      </c>
      <c r="D182" s="52"/>
      <c r="E182" s="52"/>
      <c r="F182" s="52"/>
      <c r="G182" s="53"/>
      <c r="H182" s="52"/>
      <c r="I182" s="52"/>
      <c r="J182" s="52"/>
      <c r="K182" s="52"/>
      <c r="L182" s="52"/>
      <c r="M182" s="53"/>
      <c r="N182" s="53"/>
      <c r="O182" s="52"/>
      <c r="P182" s="52"/>
      <c r="Q182" s="52"/>
      <c r="R182" s="53"/>
      <c r="S182" s="54"/>
      <c r="T182" s="54"/>
      <c r="U182" s="54"/>
      <c r="V182" s="53"/>
      <c r="W182" s="53"/>
      <c r="X182" s="55"/>
      <c r="Y182" s="55"/>
      <c r="Z182" s="53"/>
      <c r="AA182" s="56"/>
      <c r="AB182" s="57"/>
      <c r="AD182" s="35" t="s">
        <v>98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99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100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59</v>
      </c>
      <c r="C186" s="51" t="s">
        <v>92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93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94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95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96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97</v>
      </c>
      <c r="D189" s="52"/>
      <c r="E189" s="52"/>
      <c r="F189" s="52"/>
      <c r="G189" s="53"/>
      <c r="H189" s="52"/>
      <c r="I189" s="52"/>
      <c r="J189" s="52"/>
      <c r="K189" s="52"/>
      <c r="L189" s="52"/>
      <c r="M189" s="53"/>
      <c r="N189" s="53"/>
      <c r="O189" s="52"/>
      <c r="P189" s="52"/>
      <c r="Q189" s="52"/>
      <c r="R189" s="53"/>
      <c r="S189" s="54"/>
      <c r="T189" s="54"/>
      <c r="U189" s="54"/>
      <c r="V189" s="53"/>
      <c r="W189" s="53"/>
      <c r="X189" s="55"/>
      <c r="Y189" s="55"/>
      <c r="Z189" s="53"/>
      <c r="AA189" s="56"/>
      <c r="AB189" s="57"/>
      <c r="AD189" s="35" t="s">
        <v>98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99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100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60</v>
      </c>
      <c r="C193" s="51" t="s">
        <v>92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93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94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95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96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6935.96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330.91</v>
      </c>
      <c r="Q195" s="52">
        <v>6590.71</v>
      </c>
      <c r="R195" s="53">
        <v>0.9521918279246766</v>
      </c>
      <c r="S195" s="54">
        <v>140.15</v>
      </c>
      <c r="T195" s="54">
        <v>5.75</v>
      </c>
      <c r="U195" s="54">
        <v>134.4</v>
      </c>
      <c r="V195" s="53">
        <v>0.9589725294327506</v>
      </c>
      <c r="W195" s="53"/>
      <c r="X195" s="55">
        <v>568.4486956521739</v>
      </c>
      <c r="Y195" s="55">
        <v>67.49902570438813</v>
      </c>
      <c r="Z195" s="53">
        <v>0.32030000000000003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97</v>
      </c>
      <c r="D196" s="52"/>
      <c r="E196" s="52"/>
      <c r="F196" s="52"/>
      <c r="G196" s="53"/>
      <c r="H196" s="52"/>
      <c r="I196" s="52"/>
      <c r="J196" s="52"/>
      <c r="K196" s="52"/>
      <c r="L196" s="52"/>
      <c r="M196" s="53"/>
      <c r="N196" s="53"/>
      <c r="O196" s="52"/>
      <c r="P196" s="52"/>
      <c r="Q196" s="52"/>
      <c r="R196" s="53"/>
      <c r="S196" s="54"/>
      <c r="T196" s="54"/>
      <c r="U196" s="54"/>
      <c r="V196" s="53"/>
      <c r="W196" s="53"/>
      <c r="X196" s="55"/>
      <c r="Y196" s="55"/>
      <c r="Z196" s="53"/>
      <c r="AA196" s="56"/>
      <c r="AB196" s="57"/>
      <c r="AD196" s="35" t="s">
        <v>98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99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100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92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93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94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95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96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97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98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99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100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61</v>
      </c>
      <c r="C207" s="51" t="s">
        <v>92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93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94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95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96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97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98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99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100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62</v>
      </c>
      <c r="C214" s="51" t="s">
        <v>92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93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94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95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96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97</v>
      </c>
      <c r="D217" s="52"/>
      <c r="E217" s="52"/>
      <c r="F217" s="52"/>
      <c r="G217" s="53"/>
      <c r="H217" s="52"/>
      <c r="I217" s="52"/>
      <c r="J217" s="52"/>
      <c r="K217" s="52"/>
      <c r="L217" s="52"/>
      <c r="M217" s="53"/>
      <c r="N217" s="53"/>
      <c r="O217" s="52"/>
      <c r="P217" s="52"/>
      <c r="Q217" s="52"/>
      <c r="R217" s="53"/>
      <c r="S217" s="54"/>
      <c r="T217" s="54"/>
      <c r="U217" s="54"/>
      <c r="V217" s="53"/>
      <c r="W217" s="53"/>
      <c r="X217" s="55"/>
      <c r="Y217" s="55"/>
      <c r="Z217" s="53"/>
      <c r="AA217" s="56"/>
      <c r="AB217" s="57"/>
      <c r="AD217" s="35" t="s">
        <v>98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99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100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63</v>
      </c>
      <c r="C221" s="51" t="s">
        <v>92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93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94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95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96</v>
      </c>
      <c r="D223" s="52">
        <v>396453.46</v>
      </c>
      <c r="E223" s="52">
        <v>306038.55</v>
      </c>
      <c r="F223" s="52">
        <v>90414.91000000003</v>
      </c>
      <c r="G223" s="53">
        <v>0.2280593288301735</v>
      </c>
      <c r="H223" s="52">
        <v>295569.99</v>
      </c>
      <c r="I223" s="52">
        <v>246358.99</v>
      </c>
      <c r="J223" s="52">
        <v>178700.37</v>
      </c>
      <c r="K223" s="52">
        <v>180550.95</v>
      </c>
      <c r="L223" s="52">
        <v>-1850.5800000000163</v>
      </c>
      <c r="M223" s="53">
        <v>-0.010355770388164369</v>
      </c>
      <c r="N223" s="53"/>
      <c r="O223" s="52">
        <v>116869.62</v>
      </c>
      <c r="P223" s="52">
        <v>65808.04</v>
      </c>
      <c r="Q223" s="52">
        <v>51061.58</v>
      </c>
      <c r="R223" s="53">
        <v>0.43691063597194896</v>
      </c>
      <c r="S223" s="54">
        <v>2344.68</v>
      </c>
      <c r="T223" s="54">
        <v>1401.92</v>
      </c>
      <c r="U223" s="54">
        <v>942.7599999999998</v>
      </c>
      <c r="V223" s="53">
        <v>0.40208471944998886</v>
      </c>
      <c r="W223" s="53"/>
      <c r="X223" s="55">
        <v>42.56987559917827</v>
      </c>
      <c r="Y223" s="55">
        <v>43.0265399367206</v>
      </c>
      <c r="Z223" s="53">
        <v>0.195</v>
      </c>
      <c r="AA223" s="56">
        <v>0.2545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97</v>
      </c>
      <c r="D224" s="52"/>
      <c r="E224" s="52"/>
      <c r="F224" s="52"/>
      <c r="G224" s="53"/>
      <c r="H224" s="52"/>
      <c r="I224" s="52"/>
      <c r="J224" s="52"/>
      <c r="K224" s="52"/>
      <c r="L224" s="52"/>
      <c r="M224" s="53"/>
      <c r="N224" s="53"/>
      <c r="O224" s="52"/>
      <c r="P224" s="52"/>
      <c r="Q224" s="52"/>
      <c r="R224" s="53"/>
      <c r="S224" s="54"/>
      <c r="T224" s="54"/>
      <c r="U224" s="54"/>
      <c r="V224" s="53"/>
      <c r="W224" s="53"/>
      <c r="X224" s="55"/>
      <c r="Y224" s="55"/>
      <c r="Z224" s="53"/>
      <c r="AA224" s="56"/>
      <c r="AB224" s="57"/>
      <c r="AD224" s="35" t="s">
        <v>98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99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100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64</v>
      </c>
      <c r="C228" s="51" t="s">
        <v>92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94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96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97</v>
      </c>
      <c r="D231" s="52"/>
      <c r="E231" s="52"/>
      <c r="F231" s="52"/>
      <c r="G231" s="53"/>
      <c r="H231" s="52"/>
      <c r="I231" s="52"/>
      <c r="J231" s="52"/>
      <c r="K231" s="52"/>
      <c r="L231" s="52"/>
      <c r="M231" s="53"/>
      <c r="N231" s="53"/>
      <c r="O231" s="52"/>
      <c r="P231" s="52"/>
      <c r="Q231" s="52"/>
      <c r="R231" s="53"/>
      <c r="S231" s="54"/>
      <c r="T231" s="54"/>
      <c r="U231" s="54"/>
      <c r="V231" s="53"/>
      <c r="W231" s="53"/>
      <c r="X231" s="55"/>
      <c r="Y231" s="55"/>
      <c r="Z231" s="53"/>
      <c r="AA231" s="56"/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99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100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1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102</v>
      </c>
      <c r="B2" s="81" t="s">
        <v>103</v>
      </c>
      <c r="C2" s="82" t="s">
        <v>104</v>
      </c>
      <c r="D2" s="82" t="s">
        <v>105</v>
      </c>
      <c r="E2" s="82" t="s">
        <v>106</v>
      </c>
      <c r="F2" s="82" t="s">
        <v>107</v>
      </c>
      <c r="G2" s="83" t="s">
        <v>108</v>
      </c>
      <c r="H2" s="83" t="s">
        <v>109</v>
      </c>
      <c r="I2" s="81" t="s">
        <v>110</v>
      </c>
      <c r="J2" s="82" t="s">
        <v>111</v>
      </c>
      <c r="K2" s="82" t="s">
        <v>112</v>
      </c>
      <c r="L2" s="83" t="s">
        <v>113</v>
      </c>
      <c r="M2" s="83" t="s">
        <v>114</v>
      </c>
      <c r="N2" s="81" t="s">
        <v>115</v>
      </c>
      <c r="O2" s="84" t="s">
        <v>116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403.9200000000128</v>
      </c>
      <c r="E4" s="52">
        <v>-403.9200000000128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-7403.920000000013</v>
      </c>
      <c r="N4" s="54">
        <v>20</v>
      </c>
      <c r="O4" s="58">
        <v>-105.77028571428589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5726.869999999995</v>
      </c>
      <c r="E6" s="52">
        <v>-5726.869999999995</v>
      </c>
      <c r="F6" s="52">
        <v>7</v>
      </c>
      <c r="G6" s="53">
        <v>0</v>
      </c>
      <c r="H6" s="53">
        <v>0.239214585617637</v>
      </c>
      <c r="I6" s="54">
        <v>40</v>
      </c>
      <c r="J6" s="52">
        <v>272.6</v>
      </c>
      <c r="K6" s="52">
        <v>1872.6</v>
      </c>
      <c r="L6" s="53">
        <v>0</v>
      </c>
      <c r="M6" s="52">
        <v>-7599.469999999996</v>
      </c>
      <c r="N6" s="54">
        <v>-52.5</v>
      </c>
      <c r="O6" s="58">
        <v>607.9575999999996</v>
      </c>
      <c r="Q6" s="35" t="s">
        <v>117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3752.0599999999977</v>
      </c>
      <c r="E10" s="52">
        <v>-3752.0599999999977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-8672.059999999998</v>
      </c>
      <c r="N10" s="54">
        <v>-388.25</v>
      </c>
      <c r="O10" s="58">
        <v>25.48731814842027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118</v>
      </c>
      <c r="C12" s="52">
        <v>0</v>
      </c>
      <c r="D12" s="52">
        <v>7399.049999999988</v>
      </c>
      <c r="E12" s="52">
        <v>-7399.049999999988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-10036.049999999988</v>
      </c>
      <c r="N12" s="54">
        <v>53</v>
      </c>
      <c r="O12" s="58">
        <v>-145.44999999999982</v>
      </c>
      <c r="Q12" s="35" t="s">
        <v>119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7246.129999999997</v>
      </c>
      <c r="E14" s="52">
        <v>-7246.129999999997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-10246.129999999997</v>
      </c>
      <c r="N14" s="54">
        <v>-112</v>
      </c>
      <c r="O14" s="58">
        <v>91.48330357142855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-15.220000000001164</v>
      </c>
      <c r="E16" s="52">
        <v>15.220000000001164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-2984.779999999999</v>
      </c>
      <c r="N16" s="54">
        <v>-86.75</v>
      </c>
      <c r="O16" s="58">
        <v>34.40668587896252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2657.6300000000047</v>
      </c>
      <c r="E18" s="52">
        <v>-2657.6300000000047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-10857.630000000005</v>
      </c>
      <c r="N18" s="54">
        <v>-269</v>
      </c>
      <c r="O18" s="58">
        <v>57.4477777777778</v>
      </c>
      <c r="Q18" s="35" t="s">
        <v>120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6826.489999999998</v>
      </c>
      <c r="E22" s="52">
        <v>-6826.489999999998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-6823.489999999998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-864.0400000000009</v>
      </c>
      <c r="E24" s="52">
        <v>864.0400000000009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867.0400000000009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-1125.8799999999992</v>
      </c>
      <c r="E26" s="52">
        <v>1125.8799999999992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1125.8799999999992</v>
      </c>
      <c r="N26" s="54">
        <v>-143.25</v>
      </c>
      <c r="O26" s="58">
        <v>-7.859546247818494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48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49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50</v>
      </c>
      <c r="C38" s="52">
        <v>52040.560000000005</v>
      </c>
      <c r="D38" s="52">
        <v>576.9800000000032</v>
      </c>
      <c r="E38" s="52">
        <v>51463.58</v>
      </c>
      <c r="F38" s="52">
        <v>0</v>
      </c>
      <c r="G38" s="53">
        <v>0.9889128787238262</v>
      </c>
      <c r="H38" s="53">
        <v>0.1750921737769</v>
      </c>
      <c r="I38" s="54"/>
      <c r="J38" s="52"/>
      <c r="K38" s="52">
        <v>0</v>
      </c>
      <c r="L38" s="53">
        <v>0.9889128787238262</v>
      </c>
      <c r="M38" s="52">
        <v>51463.58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51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52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53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54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55</v>
      </c>
      <c r="C48" s="99">
        <v>0</v>
      </c>
      <c r="D48" s="99">
        <v>0</v>
      </c>
      <c r="E48" s="99">
        <v>0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-2530</v>
      </c>
      <c r="N48" s="98">
        <v>-44.75</v>
      </c>
      <c r="O48" s="60">
        <v>56.53631284916201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56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121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57</v>
      </c>
      <c r="C52" s="99">
        <v>0</v>
      </c>
      <c r="D52" s="99">
        <v>2236.75</v>
      </c>
      <c r="E52" s="99">
        <v>-2236.75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-3516.75</v>
      </c>
      <c r="N52" s="98">
        <v>-304.75</v>
      </c>
      <c r="O52" s="60">
        <v>12.893675527039413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58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59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60</v>
      </c>
      <c r="C58" s="99">
        <v>0</v>
      </c>
      <c r="D58" s="99">
        <v>0</v>
      </c>
      <c r="E58" s="99">
        <v>0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0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61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62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63</v>
      </c>
      <c r="C66" s="99">
        <v>34650.399999999965</v>
      </c>
      <c r="D66" s="99">
        <v>12036.179999999993</v>
      </c>
      <c r="E66" s="99">
        <v>22614.219999999972</v>
      </c>
      <c r="F66" s="99"/>
      <c r="G66" s="100">
        <v>0.6526395077690299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0.5602884815182506</v>
      </c>
      <c r="M66" s="99">
        <v>19414.219999999972</v>
      </c>
      <c r="N66" s="98">
        <v>-1014.25</v>
      </c>
      <c r="O66" s="60">
        <v>-20.78054054054051</v>
      </c>
    </row>
    <row r="67" ht="15" customHeight="1" spans="1:15" x14ac:dyDescent="0.25">
      <c r="A67" s="102">
        <f>'Main Sheet'!A68</f>
      </c>
      <c r="B67" s="98">
        <f>'Main Sheet'!B68</f>
      </c>
      <c r="C67" s="99"/>
      <c r="D67" s="99"/>
      <c r="E67" s="99">
        <f>C67-D67</f>
      </c>
      <c r="F67" s="99"/>
      <c r="G67" s="100">
        <f>(E67+F67)/C67</f>
      </c>
      <c r="H67" s="100">
        <f>'Deliverables Sheet'!AA228</f>
      </c>
      <c r="I67" s="98"/>
      <c r="J67" s="99"/>
      <c r="K67" s="99">
        <f>(I67*40)+J67</f>
      </c>
      <c r="L67" s="100">
        <f>((E67-K67)+F67)/C67</f>
      </c>
      <c r="M67" s="99">
        <f>SUM(E67:F67)-K67</f>
      </c>
      <c r="N67" s="98"/>
      <c r="O67" s="60">
        <f>SUM(M67/(N67+I67))</f>
      </c>
    </row>
    <row r="68" ht="15" customHeight="1" spans="1:15" x14ac:dyDescent="0.25">
      <c r="A68" s="35"/>
      <c r="B68" s="35"/>
      <c r="C68" s="36"/>
      <c r="D68" s="36"/>
      <c r="E68" s="36"/>
      <c r="F68" s="36"/>
      <c r="G68" s="37"/>
      <c r="H68" s="37"/>
      <c r="I68" s="35"/>
      <c r="J68" s="36"/>
      <c r="K68" s="36"/>
      <c r="L68" s="37"/>
      <c r="M68" s="36"/>
      <c r="N68" s="35"/>
      <c r="O68" s="36"/>
    </row>
    <row r="69" spans="1:15" x14ac:dyDescent="0.25">
      <c r="A69" s="35"/>
      <c r="B69" s="35"/>
      <c r="C69" s="36"/>
      <c r="D69" s="36"/>
      <c r="E69" s="36"/>
      <c r="F69" s="36"/>
      <c r="G69" s="37"/>
      <c r="H69" s="37"/>
      <c r="I69" s="35"/>
      <c r="J69" s="36"/>
      <c r="K69" s="36"/>
      <c r="L69" s="37"/>
      <c r="M69" s="37"/>
      <c r="N69" s="35"/>
      <c r="O69" s="35"/>
    </row>
    <row r="70" ht="15" customHeight="1" spans="1:15" x14ac:dyDescent="0.25">
      <c r="A70" s="49" t="s">
        <v>122</v>
      </c>
      <c r="B70" s="103" t="s">
        <v>123</v>
      </c>
      <c r="C70" s="104">
        <v>88103.76999999996</v>
      </c>
      <c r="D70" s="104">
        <v>53954.86999999998</v>
      </c>
      <c r="E70" s="105">
        <v>34148.89999999998</v>
      </c>
      <c r="F70" s="106" t="s">
        <v>124</v>
      </c>
      <c r="G70" s="107">
        <v>0.38759862375923293</v>
      </c>
      <c r="H70" s="108" t="s">
        <v>125</v>
      </c>
      <c r="I70" s="109">
        <v>-0.20071445296835796</v>
      </c>
      <c r="J70" s="36"/>
      <c r="K70" s="36"/>
      <c r="L70" s="37"/>
      <c r="M70" s="37"/>
      <c r="N70" s="35"/>
      <c r="O70" s="35"/>
    </row>
    <row r="71" ht="15" customHeight="1" spans="1:15" x14ac:dyDescent="0.25">
      <c r="A71" s="59"/>
      <c r="B71" s="98" t="s">
        <v>126</v>
      </c>
      <c r="C71" s="99">
        <v>-22865.6</v>
      </c>
      <c r="D71" s="99">
        <v>32774.04000000001</v>
      </c>
      <c r="E71" s="110">
        <v>-55639.640000000014</v>
      </c>
      <c r="F71" s="111"/>
      <c r="G71" s="112">
        <v>2.433333916450914</v>
      </c>
      <c r="H71" s="113" t="s">
        <v>125</v>
      </c>
      <c r="I71" s="114">
        <v>2.685240710936954</v>
      </c>
      <c r="J71" s="36"/>
      <c r="K71" s="36"/>
      <c r="L71" s="37"/>
      <c r="M71" s="37"/>
      <c r="N71" s="35"/>
      <c r="O71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0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127</v>
      </c>
      <c r="C2" s="117" t="s">
        <v>128</v>
      </c>
      <c r="D2" s="117" t="s">
        <v>129</v>
      </c>
      <c r="E2" s="117" t="s">
        <v>130</v>
      </c>
      <c r="F2" s="117" t="s">
        <v>131</v>
      </c>
      <c r="G2" s="117" t="s">
        <v>132</v>
      </c>
      <c r="H2" s="117" t="s">
        <v>133</v>
      </c>
      <c r="I2" s="117" t="s">
        <v>134</v>
      </c>
      <c r="J2" s="117" t="s">
        <v>135</v>
      </c>
      <c r="K2" s="117" t="s">
        <v>136</v>
      </c>
      <c r="L2" s="117" t="s">
        <v>137</v>
      </c>
      <c r="M2" s="117" t="s">
        <v>138</v>
      </c>
      <c r="N2" s="117" t="s">
        <v>139</v>
      </c>
      <c r="O2" s="117" t="s">
        <v>140</v>
      </c>
      <c r="P2" s="117" t="s">
        <v>141</v>
      </c>
      <c r="Q2" s="118" t="s">
        <v>142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143</v>
      </c>
      <c r="B3" s="123" t="s">
        <v>144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565.45</v>
      </c>
      <c r="D4" s="54">
        <v>600.25</v>
      </c>
      <c r="E4" s="54">
        <v>-34.799999999999955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80</v>
      </c>
      <c r="N4" s="54"/>
      <c r="O4" s="54"/>
      <c r="P4" s="54"/>
      <c r="Q4" s="131"/>
      <c r="S4" s="35" t="s">
        <v>145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80</v>
      </c>
      <c r="O6" s="54"/>
      <c r="P6" s="54"/>
      <c r="Q6" s="131"/>
      <c r="S6" s="35" t="s">
        <v>146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90</v>
      </c>
      <c r="O8" s="54"/>
      <c r="P8" s="54"/>
      <c r="Q8" s="131"/>
      <c r="S8" s="35" t="s">
        <v>145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615.5</v>
      </c>
      <c r="E10" s="54">
        <v>189.72000000000003</v>
      </c>
      <c r="F10" s="54"/>
      <c r="G10" s="54"/>
      <c r="H10" s="54"/>
      <c r="I10" s="54"/>
      <c r="J10" s="54"/>
      <c r="K10" s="54"/>
      <c r="L10" s="54"/>
      <c r="M10" s="54">
        <v>200</v>
      </c>
      <c r="N10" s="54">
        <v>80</v>
      </c>
      <c r="O10" s="54">
        <v>0</v>
      </c>
      <c r="P10" s="54"/>
      <c r="Q10" s="131"/>
      <c r="S10" s="35" t="s">
        <v>145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118</v>
      </c>
      <c r="C12" s="54">
        <v>1124.47</v>
      </c>
      <c r="D12" s="54">
        <v>609</v>
      </c>
      <c r="E12" s="54">
        <v>515.47</v>
      </c>
      <c r="F12" s="54"/>
      <c r="G12" s="54"/>
      <c r="H12" s="54"/>
      <c r="I12" s="54"/>
      <c r="J12" s="54"/>
      <c r="K12" s="54"/>
      <c r="L12" s="54"/>
      <c r="M12" s="54">
        <v>160</v>
      </c>
      <c r="N12" s="54">
        <v>320</v>
      </c>
      <c r="O12" s="86">
        <v>80</v>
      </c>
      <c r="P12" s="54"/>
      <c r="Q12" s="131"/>
      <c r="S12" s="35" t="s">
        <v>145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308.25</v>
      </c>
      <c r="E14" s="54">
        <v>193.57999999999998</v>
      </c>
      <c r="F14" s="54"/>
      <c r="G14" s="54"/>
      <c r="H14" s="54"/>
      <c r="I14" s="54"/>
      <c r="J14" s="54"/>
      <c r="K14" s="54"/>
      <c r="L14" s="54">
        <v>0</v>
      </c>
      <c r="M14" s="54">
        <v>80</v>
      </c>
      <c r="N14" s="54">
        <v>300</v>
      </c>
      <c r="O14" s="54"/>
      <c r="P14" s="54"/>
      <c r="Q14" s="131"/>
      <c r="S14" s="35" t="s">
        <v>145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113.25</v>
      </c>
      <c r="E16" s="54">
        <v>109.97</v>
      </c>
      <c r="F16" s="54"/>
      <c r="G16" s="54"/>
      <c r="H16" s="54"/>
      <c r="I16" s="54"/>
      <c r="J16" s="54"/>
      <c r="K16" s="54"/>
      <c r="L16" s="54"/>
      <c r="M16" s="54">
        <v>16</v>
      </c>
      <c r="N16" s="54">
        <v>110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561.5</v>
      </c>
      <c r="E18" s="54">
        <v>123.98000000000002</v>
      </c>
      <c r="F18" s="54"/>
      <c r="G18" s="54"/>
      <c r="H18" s="54"/>
      <c r="I18" s="54"/>
      <c r="J18" s="54"/>
      <c r="K18" s="54"/>
      <c r="L18" s="54"/>
      <c r="M18" s="54">
        <v>240</v>
      </c>
      <c r="N18" s="54">
        <v>160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36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20</v>
      </c>
      <c r="N22" s="54">
        <v>80</v>
      </c>
      <c r="O22" s="54">
        <v>60</v>
      </c>
      <c r="P22" s="54"/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144.25</v>
      </c>
      <c r="E24" s="54">
        <v>327.89</v>
      </c>
      <c r="F24" s="54"/>
      <c r="G24" s="54"/>
      <c r="H24" s="54"/>
      <c r="I24" s="54"/>
      <c r="J24" s="54"/>
      <c r="K24" s="54"/>
      <c r="L24" s="54"/>
      <c r="M24" s="54">
        <v>188</v>
      </c>
      <c r="N24" s="54">
        <v>282</v>
      </c>
      <c r="O24" s="54"/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48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32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48</v>
      </c>
      <c r="O30" s="54">
        <v>16</v>
      </c>
      <c r="P30" s="54">
        <v>64</v>
      </c>
      <c r="Q30" s="131"/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48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130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49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30</v>
      </c>
      <c r="N36" s="54">
        <v>50</v>
      </c>
      <c r="O36" s="54"/>
      <c r="P36" s="54"/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50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80</v>
      </c>
      <c r="N38" s="54">
        <v>40</v>
      </c>
      <c r="O38" s="54">
        <v>160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51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52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53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40</v>
      </c>
      <c r="O44" s="54">
        <v>300</v>
      </c>
      <c r="P44" s="54">
        <v>150</v>
      </c>
      <c r="Q44" s="131">
        <v>150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54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55</v>
      </c>
      <c r="C48" s="54">
        <v>110.44</v>
      </c>
      <c r="D48" s="54">
        <v>60.75</v>
      </c>
      <c r="E48" s="54">
        <v>49.69</v>
      </c>
      <c r="F48" s="54"/>
      <c r="G48" s="54"/>
      <c r="H48" s="54"/>
      <c r="I48" s="54"/>
      <c r="J48" s="54"/>
      <c r="K48" s="54"/>
      <c r="L48" s="54"/>
      <c r="M48" s="54">
        <v>16</v>
      </c>
      <c r="N48" s="54">
        <v>32</v>
      </c>
      <c r="O48" s="54"/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56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16</v>
      </c>
      <c r="N50" s="54">
        <v>40</v>
      </c>
      <c r="O50" s="54"/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57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80</v>
      </c>
      <c r="N52" s="54">
        <v>80</v>
      </c>
      <c r="O52" s="141">
        <v>180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58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16</v>
      </c>
      <c r="M54" s="54">
        <v>32</v>
      </c>
      <c r="N54" s="54">
        <v>65</v>
      </c>
      <c r="O54" s="54"/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59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16</v>
      </c>
      <c r="N56" s="54">
        <v>70</v>
      </c>
      <c r="O56" s="54"/>
      <c r="P56" s="54"/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60</v>
      </c>
      <c r="C58" s="54">
        <v>140.15</v>
      </c>
      <c r="D58" s="54">
        <v>5.75</v>
      </c>
      <c r="E58" s="54">
        <v>134.4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61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62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143</v>
      </c>
      <c r="O64" s="54"/>
      <c r="P64" s="54">
        <v>215</v>
      </c>
      <c r="Q64" s="131"/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63</v>
      </c>
      <c r="C66" s="54">
        <v>2344.68</v>
      </c>
      <c r="D66" s="54">
        <v>1401.92</v>
      </c>
      <c r="E66" s="54">
        <v>942.7599999999998</v>
      </c>
      <c r="F66" s="54"/>
      <c r="G66" s="54"/>
      <c r="H66" s="54"/>
      <c r="I66" s="54"/>
      <c r="J66" s="54"/>
      <c r="K66" s="54"/>
      <c r="L66" s="54"/>
      <c r="M66" s="54">
        <v>320</v>
      </c>
      <c r="N66" s="54">
        <v>250</v>
      </c>
      <c r="O66" s="54">
        <v>250</v>
      </c>
      <c r="P66" s="54">
        <v>240</v>
      </c>
      <c r="Q66" s="54">
        <v>80</v>
      </c>
    </row>
    <row r="67" ht="15" customHeight="1" spans="1:17" x14ac:dyDescent="0.25">
      <c r="A67" s="19">
        <f>'Main Sheet'!A68</f>
      </c>
      <c r="B67" s="20">
        <f>'Main Sheet'!B68</f>
      </c>
      <c r="C67" s="54">
        <f>LOOKUP(2,1/('Deliverables Sheet'!S229:S233&lt;&gt;0),'Deliverables Sheet'!S229:S233)</f>
      </c>
      <c r="D67" s="54">
        <f>LOOKUP(2,1/('Deliverables Sheet'!T229:T233&lt;&gt;0),'Deliverables Sheet'!T229:T233)</f>
      </c>
      <c r="E67" s="54">
        <f>LOOKUP(2,1/('Deliverables Sheet'!U229:U233&lt;&gt;0),'Deliverables Sheet'!U229:U233)</f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</row>
    <row r="68" ht="15" customHeight="1" spans="1:17" x14ac:dyDescent="0.25">
      <c r="A68" s="142"/>
      <c r="B68" s="143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144"/>
    </row>
    <row r="69" ht="15" customHeight="1" spans="1:17" x14ac:dyDescent="0.25">
      <c r="A69" s="142"/>
      <c r="B69" s="143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144"/>
    </row>
    <row r="70" ht="15.75" customHeight="1" spans="1:17" x14ac:dyDescent="0.25">
      <c r="A70" s="145"/>
      <c r="B70" s="145"/>
      <c r="C70" s="145"/>
      <c r="D70" s="145"/>
      <c r="E70" s="145"/>
      <c r="F70" s="145"/>
      <c r="G70" s="145"/>
      <c r="H70" s="145"/>
      <c r="I70" s="145"/>
      <c r="J70" s="145"/>
      <c r="K70" s="145"/>
      <c r="L70" s="145"/>
      <c r="M70" s="145"/>
      <c r="N70" s="145"/>
      <c r="O70" s="145"/>
      <c r="P70" s="145"/>
      <c r="Q70" s="145"/>
    </row>
    <row r="71" ht="15" customHeight="1" spans="1:17" x14ac:dyDescent="0.25">
      <c r="A71" s="142"/>
      <c r="B71" s="146" t="s">
        <v>147</v>
      </c>
      <c r="C71" s="147"/>
      <c r="D71" s="147"/>
      <c r="E71" s="147"/>
      <c r="F71" s="147">
        <v>640</v>
      </c>
      <c r="G71" s="147">
        <v>715</v>
      </c>
      <c r="H71" s="147">
        <v>790</v>
      </c>
      <c r="I71" s="147">
        <v>700</v>
      </c>
      <c r="J71" s="147">
        <v>700</v>
      </c>
      <c r="K71" s="147">
        <v>700</v>
      </c>
      <c r="L71" s="147">
        <v>716</v>
      </c>
      <c r="M71" s="147">
        <v>2520</v>
      </c>
      <c r="N71" s="147">
        <v>3060</v>
      </c>
      <c r="O71" s="147">
        <v>1316</v>
      </c>
      <c r="P71" s="147">
        <v>914</v>
      </c>
      <c r="Q71" s="147">
        <v>650</v>
      </c>
    </row>
    <row r="72" ht="15" customHeight="1" spans="1:17" x14ac:dyDescent="0.25">
      <c r="A72" s="142"/>
      <c r="B72" s="77" t="s">
        <v>148</v>
      </c>
      <c r="C72" s="20"/>
      <c r="D72" s="20"/>
      <c r="E72" s="20"/>
      <c r="F72" s="20">
        <v>140</v>
      </c>
      <c r="G72" s="20">
        <v>15</v>
      </c>
      <c r="H72" s="20">
        <v>90</v>
      </c>
      <c r="I72" s="20"/>
      <c r="J72" s="20"/>
      <c r="K72" s="20"/>
      <c r="L72" s="20">
        <v>16</v>
      </c>
      <c r="M72" s="20">
        <v>800</v>
      </c>
      <c r="N72" s="20">
        <v>858</v>
      </c>
      <c r="O72" s="20">
        <v>476</v>
      </c>
      <c r="P72" s="20">
        <v>214</v>
      </c>
      <c r="Q72" s="20">
        <v>150</v>
      </c>
    </row>
    <row r="73" ht="15" customHeight="1" spans="1:17" x14ac:dyDescent="0.25">
      <c r="A73" s="142"/>
      <c r="B73" s="77" t="s">
        <v>149</v>
      </c>
      <c r="C73" s="20">
        <v>4490.26</v>
      </c>
      <c r="D73" s="20"/>
      <c r="E73" s="20"/>
      <c r="F73" s="20"/>
      <c r="G73" s="20"/>
      <c r="H73" s="20"/>
      <c r="I73" s="20"/>
      <c r="J73" s="20"/>
      <c r="K73" s="20"/>
      <c r="L73" s="20"/>
      <c r="M73" s="20">
        <v>1020</v>
      </c>
      <c r="N73" s="20">
        <v>1502</v>
      </c>
      <c r="O73" s="20">
        <v>140</v>
      </c>
      <c r="P73" s="20"/>
      <c r="Q73" s="20"/>
    </row>
    <row r="74" ht="15" customHeight="1" spans="1:17" x14ac:dyDescent="0.25">
      <c r="A74" s="142"/>
      <c r="B74" s="148" t="s">
        <v>150</v>
      </c>
      <c r="C74" s="149"/>
      <c r="D74" s="149"/>
      <c r="E74" s="149"/>
      <c r="F74" s="149">
        <v>1488</v>
      </c>
      <c r="G74" s="149">
        <v>2112</v>
      </c>
      <c r="H74" s="149">
        <v>1984</v>
      </c>
      <c r="I74" s="149">
        <v>1884.8</v>
      </c>
      <c r="J74" s="149">
        <v>1948.8</v>
      </c>
      <c r="K74" s="149">
        <v>2083.2</v>
      </c>
      <c r="L74" s="149">
        <v>2604.8</v>
      </c>
      <c r="M74" s="149">
        <v>2486.4</v>
      </c>
      <c r="N74" s="149">
        <v>2604.8</v>
      </c>
      <c r="O74" s="149">
        <v>2217.6</v>
      </c>
      <c r="P74" s="149">
        <v>2112</v>
      </c>
      <c r="Q74" s="150">
        <v>1478.4</v>
      </c>
    </row>
    <row r="75" ht="15" customHeight="1" spans="1:17" x14ac:dyDescent="0.25">
      <c r="A75" s="142"/>
      <c r="B75" s="151" t="s">
        <v>151</v>
      </c>
      <c r="C75" s="152"/>
      <c r="D75" s="152"/>
      <c r="E75" s="152"/>
      <c r="F75" s="153">
        <v>-848</v>
      </c>
      <c r="G75" s="153">
        <v>-1397</v>
      </c>
      <c r="H75" s="154">
        <v>-1194</v>
      </c>
      <c r="I75" s="153">
        <v>-1184.8</v>
      </c>
      <c r="J75" s="153">
        <v>-1248.8</v>
      </c>
      <c r="K75" s="153">
        <v>-1383.2</v>
      </c>
      <c r="L75" s="153">
        <v>-1888.8</v>
      </c>
      <c r="M75" s="153">
        <v>33.5999999999999</v>
      </c>
      <c r="N75" s="153">
        <v>455.2</v>
      </c>
      <c r="O75" s="153">
        <v>-901.6</v>
      </c>
      <c r="P75" s="153">
        <v>-1198</v>
      </c>
      <c r="Q75" s="155">
        <v>-828.4</v>
      </c>
    </row>
    <row r="76" ht="15" customHeight="1" spans="1:17" x14ac:dyDescent="0.25">
      <c r="A76" s="142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144"/>
    </row>
    <row r="77" ht="15" customHeight="1" spans="1:17" x14ac:dyDescent="0.25">
      <c r="A77" s="142"/>
      <c r="B77" s="156" t="s">
        <v>152</v>
      </c>
      <c r="C77" s="157" t="s">
        <v>153</v>
      </c>
      <c r="D77" s="157"/>
      <c r="E77" s="157"/>
      <c r="F77" s="158">
        <v>15</v>
      </c>
      <c r="G77" s="159">
        <v>20</v>
      </c>
      <c r="H77" s="159">
        <v>20</v>
      </c>
      <c r="I77" s="159">
        <v>19</v>
      </c>
      <c r="J77" s="159">
        <v>21</v>
      </c>
      <c r="K77" s="159">
        <v>21</v>
      </c>
      <c r="L77" s="159">
        <v>22</v>
      </c>
      <c r="M77" s="159">
        <v>21</v>
      </c>
      <c r="N77" s="159">
        <v>22</v>
      </c>
      <c r="O77" s="159">
        <v>21</v>
      </c>
      <c r="P77" s="159">
        <v>20</v>
      </c>
      <c r="Q77" s="160">
        <v>14</v>
      </c>
    </row>
    <row r="78" ht="15" customHeight="1" spans="1:17" x14ac:dyDescent="0.25">
      <c r="A78" s="161"/>
      <c r="B78" s="162" t="s">
        <v>154</v>
      </c>
      <c r="C78" s="157"/>
      <c r="D78" s="157"/>
      <c r="E78" s="157"/>
      <c r="F78" s="163">
        <v>15.5</v>
      </c>
      <c r="G78" s="163">
        <v>16.5</v>
      </c>
      <c r="H78" s="163">
        <v>15.5</v>
      </c>
      <c r="I78" s="163">
        <v>15.5</v>
      </c>
      <c r="J78" s="163">
        <v>14.5</v>
      </c>
      <c r="K78" s="163">
        <v>15.5</v>
      </c>
      <c r="L78" s="163">
        <v>18.5</v>
      </c>
      <c r="M78" s="163">
        <v>18.5</v>
      </c>
      <c r="N78" s="163">
        <v>18.5</v>
      </c>
      <c r="O78" s="163">
        <v>16.5</v>
      </c>
      <c r="P78" s="163">
        <v>16.5</v>
      </c>
      <c r="Q78" s="163">
        <v>16.5</v>
      </c>
    </row>
    <row r="79" spans="1:17" x14ac:dyDescent="0.25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</row>
    <row r="80" ht="15" customHeight="1" spans="1:17" x14ac:dyDescent="0.25">
      <c r="A80" s="35"/>
      <c r="B80" s="164" t="s">
        <v>155</v>
      </c>
      <c r="C80" s="165"/>
      <c r="D80" s="35"/>
      <c r="E80" s="35"/>
      <c r="F80" s="35"/>
      <c r="G80" s="35"/>
      <c r="H80" s="35"/>
      <c r="I80" s="35"/>
      <c r="J80" s="35"/>
      <c r="K80" s="35"/>
      <c r="L80" s="166" t="s">
        <v>156</v>
      </c>
      <c r="M80" s="166"/>
      <c r="N80" s="35"/>
      <c r="O80" s="35"/>
      <c r="P80" s="35"/>
      <c r="Q80" s="35"/>
    </row>
    <row r="81" ht="15" customHeight="1" spans="1:17" x14ac:dyDescent="0.25">
      <c r="A81" s="35"/>
      <c r="B81" s="167" t="s">
        <v>157</v>
      </c>
      <c r="C81" s="168">
        <v>1</v>
      </c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</row>
    <row r="82" ht="15" customHeight="1" spans="1:17" x14ac:dyDescent="0.25">
      <c r="A82" s="35"/>
      <c r="B82" s="19" t="s">
        <v>158</v>
      </c>
      <c r="C82" s="131">
        <v>1</v>
      </c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</row>
    <row r="83" ht="15" customHeight="1" spans="1:17" x14ac:dyDescent="0.25">
      <c r="A83" s="35"/>
      <c r="B83" s="19" t="s">
        <v>159</v>
      </c>
      <c r="C83" s="131">
        <v>1</v>
      </c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9" t="s">
        <v>160</v>
      </c>
      <c r="C84" s="131">
        <v>1</v>
      </c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</row>
    <row r="85" ht="15" customHeight="1" spans="1:17" x14ac:dyDescent="0.25">
      <c r="A85" s="35"/>
      <c r="B85" s="19" t="s">
        <v>161</v>
      </c>
      <c r="C85" s="131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0.5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0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/>
      <c r="C92" s="131">
        <v>0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/>
      <c r="C93" s="131">
        <v>0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/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/>
      <c r="C95" s="131">
        <v>0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 t="s">
        <v>168</v>
      </c>
      <c r="C99" s="131">
        <v>1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 t="s">
        <v>169</v>
      </c>
      <c r="C100" s="131">
        <v>1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 t="s">
        <v>170</v>
      </c>
      <c r="C101" s="131">
        <v>1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 t="s">
        <v>171</v>
      </c>
      <c r="C102" s="131">
        <v>1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/>
      <c r="C106" s="131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/>
      <c r="C107" s="131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/>
      <c r="C108" s="131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69"/>
      <c r="C109" s="150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64" t="s">
        <v>175</v>
      </c>
      <c r="C110" s="170">
        <v>16.5</v>
      </c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0:Q70"/>
    <mergeCell ref="C77:E78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176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177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178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179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180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181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182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184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185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186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187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188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189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190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191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192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193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194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195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196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197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198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199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200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201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202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203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204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205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206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207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208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209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210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211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212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213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214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215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216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214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215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65</v>
      </c>
      <c r="D2" s="43" t="s">
        <v>66</v>
      </c>
      <c r="E2" s="43" t="s">
        <v>67</v>
      </c>
      <c r="F2" s="39" t="s">
        <v>68</v>
      </c>
      <c r="G2" s="40" t="s">
        <v>69</v>
      </c>
      <c r="H2" s="43" t="s">
        <v>70</v>
      </c>
      <c r="I2" s="43" t="s">
        <v>71</v>
      </c>
      <c r="J2" s="41" t="s">
        <v>72</v>
      </c>
      <c r="K2" s="41" t="s">
        <v>73</v>
      </c>
      <c r="L2" s="39" t="s">
        <v>74</v>
      </c>
      <c r="M2" s="40" t="s">
        <v>75</v>
      </c>
      <c r="N2" s="42" t="s">
        <v>76</v>
      </c>
      <c r="O2" s="42" t="s">
        <v>217</v>
      </c>
      <c r="P2" s="42" t="s">
        <v>218</v>
      </c>
      <c r="Q2" s="42" t="s">
        <v>219</v>
      </c>
      <c r="R2" s="43" t="s">
        <v>77</v>
      </c>
      <c r="S2" s="43" t="s">
        <v>78</v>
      </c>
      <c r="T2" s="39" t="s">
        <v>79</v>
      </c>
      <c r="U2" s="40" t="s">
        <v>80</v>
      </c>
      <c r="V2" s="214" t="s">
        <v>81</v>
      </c>
      <c r="W2" s="214" t="s">
        <v>82</v>
      </c>
      <c r="X2" s="45" t="s">
        <v>83</v>
      </c>
      <c r="Y2" s="40" t="s">
        <v>84</v>
      </c>
      <c r="Z2" s="42" t="s">
        <v>85</v>
      </c>
      <c r="AA2" s="46" t="s">
        <v>86</v>
      </c>
      <c r="AB2" s="47" t="s">
        <v>87</v>
      </c>
      <c r="AC2" s="46" t="s">
        <v>88</v>
      </c>
      <c r="AD2" s="48" t="s">
        <v>89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90</v>
      </c>
      <c r="AL3" s="50" t="s">
        <v>91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92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93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94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95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96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97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98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99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100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92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93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94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95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96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97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98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99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100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92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93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94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95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96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97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98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99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100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92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93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94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95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96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97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98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99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100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92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93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94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95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96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97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98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99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100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92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93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94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95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96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97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98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99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100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92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93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94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95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96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97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98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99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100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92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93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94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95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96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97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98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99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100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92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93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94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95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96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97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98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99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100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92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93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94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95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96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97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98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99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100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92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93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94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95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96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97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98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99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100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92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93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94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95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96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97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98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99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100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92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93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94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95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96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97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98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99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100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92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93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94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95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96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97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98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99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100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92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93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94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95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96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97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98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99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100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92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93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94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95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96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97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98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99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100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92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93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94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95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96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97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98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99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100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92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93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94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95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96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97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98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99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100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92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93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94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95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96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97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98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99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100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92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93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94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95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96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97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98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99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100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92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93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94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95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96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97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98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99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100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92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93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94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95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96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97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98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99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100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92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93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94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95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96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97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98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99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100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92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93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94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95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96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97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98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99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100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92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93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94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95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96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97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98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99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100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92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93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94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95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96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97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98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99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100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92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93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94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95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96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97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98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99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100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92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93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94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95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96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97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98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99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100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92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93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94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95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96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97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98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99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100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92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93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94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95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96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97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98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99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100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92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93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94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95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96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97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98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99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100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92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93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94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95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96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97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98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99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100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220</v>
      </c>
      <c r="C3" s="35" t="s">
        <v>221</v>
      </c>
      <c r="D3" s="35" t="s">
        <v>222</v>
      </c>
    </row>
    <row r="4" ht="15" customHeight="1" spans="1:4" x14ac:dyDescent="0.25">
      <c r="A4" s="35" t="s">
        <v>223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224</v>
      </c>
      <c r="B5" s="35">
        <v>60</v>
      </c>
      <c r="P5" s="35">
        <v>95.35</v>
      </c>
    </row>
    <row r="6" ht="15" customHeight="1" spans="1:16" x14ac:dyDescent="0.25">
      <c r="A6" s="35" t="s">
        <v>225</v>
      </c>
      <c r="B6" s="35">
        <v>100</v>
      </c>
      <c r="P6" s="35">
        <v>102.69</v>
      </c>
    </row>
    <row r="7" ht="15" customHeight="1" spans="1:16" x14ac:dyDescent="0.25">
      <c r="A7" s="35" t="s">
        <v>226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