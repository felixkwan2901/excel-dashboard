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<sst xmlns="http://schemas.openxmlformats.org/spreadsheetml/2006/main" count="1185" uniqueCount="230">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</sst>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100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/>
      <c r="E238" s="52"/>
      <c r="F238" s="52"/>
      <c r="G238" s="53"/>
      <c r="H238" s="52"/>
      <c r="I238" s="52"/>
      <c r="J238" s="52"/>
      <c r="K238" s="52"/>
      <c r="L238" s="52"/>
      <c r="M238" s="53"/>
      <c r="N238" s="53"/>
      <c r="O238" s="52"/>
      <c r="P238" s="52"/>
      <c r="Q238" s="52"/>
      <c r="R238" s="53"/>
      <c r="S238" s="54"/>
      <c r="T238" s="54"/>
      <c r="U238" s="54"/>
      <c r="V238" s="53"/>
      <c r="W238" s="53"/>
      <c r="X238" s="55"/>
      <c r="Y238" s="55"/>
      <c r="Z238" s="53"/>
      <c r="AA238" s="56"/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/>
      <c r="E245" s="52"/>
      <c r="F245" s="52"/>
      <c r="G245" s="53"/>
      <c r="H245" s="52"/>
      <c r="I245" s="52"/>
      <c r="J245" s="52"/>
      <c r="K245" s="52"/>
      <c r="L245" s="52"/>
      <c r="M245" s="53"/>
      <c r="N245" s="53"/>
      <c r="O245" s="52"/>
      <c r="P245" s="52"/>
      <c r="Q245" s="52"/>
      <c r="R245" s="53"/>
      <c r="S245" s="54"/>
      <c r="T245" s="54"/>
      <c r="U245" s="54"/>
      <c r="V245" s="53"/>
      <c r="W245" s="53"/>
      <c r="X245" s="55"/>
      <c r="Y245" s="55"/>
      <c r="Z245" s="53"/>
      <c r="AA245" s="56"/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/>
      <c r="E252" s="52"/>
      <c r="F252" s="52"/>
      <c r="G252" s="53"/>
      <c r="H252" s="52"/>
      <c r="I252" s="52"/>
      <c r="J252" s="52"/>
      <c r="K252" s="52"/>
      <c r="L252" s="52"/>
      <c r="M252" s="53"/>
      <c r="N252" s="53"/>
      <c r="O252" s="52"/>
      <c r="P252" s="52"/>
      <c r="Q252" s="52"/>
      <c r="R252" s="53"/>
      <c r="S252" s="54"/>
      <c r="T252" s="54"/>
      <c r="U252" s="54"/>
      <c r="V252" s="53"/>
      <c r="W252" s="53"/>
      <c r="X252" s="55"/>
      <c r="Y252" s="55"/>
      <c r="Z252" s="53"/>
      <c r="AA252" s="56"/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/>
      <c r="E259" s="52"/>
      <c r="F259" s="52"/>
      <c r="G259" s="53"/>
      <c r="H259" s="52"/>
      <c r="I259" s="52"/>
      <c r="J259" s="52"/>
      <c r="K259" s="52"/>
      <c r="L259" s="52"/>
      <c r="M259" s="53"/>
      <c r="N259" s="53"/>
      <c r="O259" s="52"/>
      <c r="P259" s="52"/>
      <c r="Q259" s="52"/>
      <c r="R259" s="53"/>
      <c r="S259" s="54"/>
      <c r="T259" s="54"/>
      <c r="U259" s="54"/>
      <c r="V259" s="53"/>
      <c r="W259" s="53"/>
      <c r="X259" s="55"/>
      <c r="Y259" s="55"/>
      <c r="Z259" s="53"/>
      <c r="AA259" s="56"/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5716.309999999998</v>
      </c>
      <c r="E6" s="52">
        <v>-5716.309999999998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-25981.909999999996</v>
      </c>
      <c r="N6" s="54">
        <v>-52.5</v>
      </c>
      <c r="O6" s="58">
        <v>-58.06013407821228</v>
      </c>
      <c r="Q6" s="35" t="s">
        <v>120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121</v>
      </c>
      <c r="C12" s="52">
        <v>0</v>
      </c>
      <c r="D12" s="52">
        <v>8195.619999999995</v>
      </c>
      <c r="E12" s="52">
        <v>-8195.619999999995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-10832.619999999995</v>
      </c>
      <c r="N12" s="54">
        <v>53</v>
      </c>
      <c r="O12" s="58">
        <v>-156.99449275362312</v>
      </c>
      <c r="Q12" s="35" t="s">
        <v>122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7982.0899999999965</v>
      </c>
      <c r="E14" s="52">
        <v>-7982.0899999999965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-10982.089999999997</v>
      </c>
      <c r="N14" s="54">
        <v>-112</v>
      </c>
      <c r="O14" s="58">
        <v>98.05437499999996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3516.810000000012</v>
      </c>
      <c r="E18" s="52">
        <v>-3516.810000000012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-11716.810000000012</v>
      </c>
      <c r="N18" s="54">
        <v>-269</v>
      </c>
      <c r="O18" s="58">
        <v>61.993703703703765</v>
      </c>
      <c r="Q18" s="35" t="s">
        <v>123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-249.79000000000087</v>
      </c>
      <c r="E24" s="52">
        <v>249.79000000000087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252.79000000000087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2773.090000000011</v>
      </c>
      <c r="E52" s="99">
        <v>-2773.090000000011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-4053.090000000011</v>
      </c>
      <c r="N52" s="98">
        <v>-304.75</v>
      </c>
      <c r="O52" s="60">
        <v>14.860091659028456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59</v>
      </c>
      <c r="C58" s="99">
        <v>0</v>
      </c>
      <c r="D58" s="99">
        <v>178.1800000000003</v>
      </c>
      <c r="E58" s="99">
        <v>-178.1800000000003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-178.1800000000003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62</v>
      </c>
      <c r="C66" s="99">
        <v>34650.399999999965</v>
      </c>
      <c r="D66" s="99">
        <v>14857.690000000002</v>
      </c>
      <c r="E66" s="99">
        <v>19792.709999999963</v>
      </c>
      <c r="F66" s="99"/>
      <c r="G66" s="100">
        <v>0.5712115877450183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0.478860561494239</v>
      </c>
      <c r="M66" s="99">
        <v>16592.709999999963</v>
      </c>
      <c r="N66" s="98">
        <v>-1014.25</v>
      </c>
      <c r="O66" s="60">
        <v>-17.7604602622424</v>
      </c>
    </row>
    <row r="67" ht="15" customHeight="1" spans="1:15" x14ac:dyDescent="0.25">
      <c r="A67" s="102">
        <v>9437</v>
      </c>
      <c r="B67" s="98" t="s">
        <v>67</v>
      </c>
      <c r="C67" s="99"/>
      <c r="D67" s="99"/>
      <c r="E67" s="99">
        <f>C67-D67</f>
      </c>
      <c r="F67" s="99"/>
      <c r="G67" s="100">
        <f>(E67+F67)/C67</f>
      </c>
      <c r="H67" s="100">
        <f>'Deliverables Sheet'!AA256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102">
        <v>7480</v>
      </c>
      <c r="B68" s="98" t="s">
        <v>66</v>
      </c>
      <c r="C68" s="99"/>
      <c r="D68" s="99"/>
      <c r="E68" s="99">
        <f>C67-D67</f>
      </c>
      <c r="F68" s="99"/>
      <c r="G68" s="100">
        <f>(E67+F67)/C67</f>
      </c>
      <c r="H68" s="100">
        <f>'Deliverables Sheet'!AA249</f>
      </c>
      <c r="I68" s="98"/>
      <c r="J68" s="99"/>
      <c r="K68" s="99">
        <f>(I67*40)+J67</f>
      </c>
      <c r="L68" s="100">
        <f>((E67-K67)+F67)/C67</f>
      </c>
      <c r="M68" s="99">
        <f>SUM(E67:F67)-K67</f>
      </c>
      <c r="N68" s="98"/>
      <c r="O68" s="60">
        <f>SUM(M67/(N67+I67))</f>
      </c>
    </row>
    <row r="69" ht="15" customHeight="1" spans="1:15" x14ac:dyDescent="0.25">
      <c r="A69" s="102">
        <v>8829</v>
      </c>
      <c r="B69" s="98" t="s">
        <v>65</v>
      </c>
      <c r="C69" s="99"/>
      <c r="D69" s="99"/>
      <c r="E69" s="99">
        <f>C67-D67</f>
      </c>
      <c r="F69" s="99"/>
      <c r="G69" s="100">
        <f>(E67+F67)/C67</f>
      </c>
      <c r="H69" s="100">
        <f>'Deliverables Sheet'!AA242</f>
      </c>
      <c r="I69" s="98"/>
      <c r="J69" s="99"/>
      <c r="K69" s="99">
        <f>(I67*40)+J67</f>
      </c>
      <c r="L69" s="100">
        <f>((E67-K67)+F67)/C67</f>
      </c>
      <c r="M69" s="99">
        <f>SUM(E67:F67)-K67</f>
      </c>
      <c r="N69" s="98"/>
      <c r="O69" s="60">
        <f>SUM(M67/(N67+I67))</f>
      </c>
    </row>
    <row r="70" ht="15" customHeight="1" spans="1:15" x14ac:dyDescent="0.25">
      <c r="A70" s="102">
        <v>8386</v>
      </c>
      <c r="B70" s="98" t="s">
        <v>64</v>
      </c>
      <c r="C70" s="99"/>
      <c r="D70" s="99"/>
      <c r="E70" s="99">
        <f>C67-D67</f>
      </c>
      <c r="F70" s="99"/>
      <c r="G70" s="100">
        <f>(E67+F67)/C67</f>
      </c>
      <c r="H70" s="100">
        <f>'Deliverables Sheet'!AA235</f>
      </c>
      <c r="I70" s="98"/>
      <c r="J70" s="99"/>
      <c r="K70" s="99">
        <f>(I67*40)+J67</f>
      </c>
      <c r="L70" s="100">
        <f>((E67-K67)+F67)/C67</f>
      </c>
      <c r="M70" s="99">
        <f>SUM(E67:F67)-K67</f>
      </c>
      <c r="N70" s="98"/>
      <c r="O70" s="60">
        <f>SUM(M67/(N67+I67))</f>
      </c>
    </row>
    <row r="71" ht="15" customHeight="1" spans="1:15" x14ac:dyDescent="0.25">
      <c r="A71" s="102">
        <v>8530</v>
      </c>
      <c r="B71" s="98" t="s">
        <v>63</v>
      </c>
      <c r="C71" s="99"/>
      <c r="D71" s="99"/>
      <c r="E71" s="99">
        <f>C67-D67</f>
      </c>
      <c r="F71" s="99"/>
      <c r="G71" s="100">
        <f>(E67+F67)/C67</f>
      </c>
      <c r="H71" s="100">
        <f>'Deliverables Sheet'!AA228</f>
      </c>
      <c r="I71" s="98"/>
      <c r="J71" s="99"/>
      <c r="K71" s="99">
        <f>(I67*40)+J67</f>
      </c>
      <c r="L71" s="100">
        <f>((E67-K67)+F67)/C67</f>
      </c>
      <c r="M71" s="99">
        <f>SUM(E67:F67)-K67</f>
      </c>
      <c r="N71" s="98"/>
      <c r="O71" s="60">
        <f>SUM(M67/(N67+I67))</f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125</v>
      </c>
      <c r="B74" s="103" t="s">
        <v>126</v>
      </c>
      <c r="C74" s="104">
        <v>88103.76999999996</v>
      </c>
      <c r="D74" s="104">
        <v>61273.50000000002</v>
      </c>
      <c r="E74" s="105">
        <v>26830.26999999995</v>
      </c>
      <c r="F74" s="106" t="s">
        <v>127</v>
      </c>
      <c r="G74" s="107">
        <v>0.30453032827085563</v>
      </c>
      <c r="H74" s="108" t="s">
        <v>128</v>
      </c>
      <c r="I74" s="109">
        <v>-0.4926273870005799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121</v>
      </c>
      <c r="C12" s="54">
        <v>1124.47</v>
      </c>
      <c r="D12" s="54">
        <v>627.75</v>
      </c>
      <c r="E12" s="54">
        <v>496.72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325.75</v>
      </c>
      <c r="E14" s="54">
        <v>176.07999999999998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578.5</v>
      </c>
      <c r="E18" s="54">
        <v>106.98000000000002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156</v>
      </c>
      <c r="E24" s="54">
        <v>316.14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62</v>
      </c>
      <c r="C66" s="54">
        <v>2397.2</v>
      </c>
      <c r="D66" s="54">
        <v>1427.42</v>
      </c>
      <c r="E66" s="54">
        <v>969.7799999999997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67</v>
      </c>
      <c r="C67" s="54">
        <f>LOOKUP(2,1/('Deliverables Sheet'!S257:S261&lt;&gt;0),'Deliverables Sheet'!S257:S261)</f>
      </c>
      <c r="D67" s="54">
        <f>LOOKUP(2,1/('Deliverables Sheet'!T257:T261&lt;&gt;0),'Deliverables Sheet'!T257:T261)</f>
      </c>
      <c r="E67" s="54">
        <f>LOOKUP(2,1/('Deliverables Sheet'!U257:U261&lt;&gt;0),'Deliverables Sheet'!U257:U261)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>
        <v>160</v>
      </c>
      <c r="Q67" s="54">
        <v>160</v>
      </c>
    </row>
    <row r="68" ht="15" customHeight="1" spans="1:17" x14ac:dyDescent="0.25">
      <c r="A68" s="19">
        <v>7480</v>
      </c>
      <c r="B68" s="20" t="s">
        <v>66</v>
      </c>
      <c r="C68" s="54">
        <f>LOOKUP(2,1/('Deliverables Sheet'!S250:S254&lt;&gt;0),'Deliverables Sheet'!S250:S254)</f>
      </c>
      <c r="D68" s="54">
        <f>LOOKUP(2,1/('Deliverables Sheet'!T250:T254&lt;&gt;0),'Deliverables Sheet'!T250:T254)</f>
      </c>
      <c r="E68" s="54">
        <f>LOOKUP(2,1/('Deliverables Sheet'!U250:U254&lt;&gt;0),'Deliverables Sheet'!U250:U254)</f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17" x14ac:dyDescent="0.25">
      <c r="A69" s="19">
        <v>8829</v>
      </c>
      <c r="B69" s="20" t="s">
        <v>65</v>
      </c>
      <c r="C69" s="54">
        <f>LOOKUP(2,1/('Deliverables Sheet'!S243:S247&lt;&gt;0),'Deliverables Sheet'!S243:S247)</f>
      </c>
      <c r="D69" s="54">
        <f>LOOKUP(2,1/('Deliverables Sheet'!T243:T247&lt;&gt;0),'Deliverables Sheet'!T243:T247)</f>
      </c>
      <c r="E69" s="54">
        <f>LOOKUP(2,1/('Deliverables Sheet'!U243:U247&lt;&gt;0),'Deliverables Sheet'!U243:U247)</f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64</v>
      </c>
      <c r="C70" s="54">
        <f>LOOKUP(2,1/('Deliverables Sheet'!S236:S240&lt;&gt;0),'Deliverables Sheet'!S236:S240)</f>
      </c>
      <c r="D70" s="54">
        <f>LOOKUP(2,1/('Deliverables Sheet'!T236:T240&lt;&gt;0),'Deliverables Sheet'!T236:T240)</f>
      </c>
      <c r="E70" s="54">
        <f>LOOKUP(2,1/('Deliverables Sheet'!U236:U240&lt;&gt;0),'Deliverables Sheet'!U236:U240)</f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17" x14ac:dyDescent="0.25">
      <c r="A71" s="19">
        <v>8530</v>
      </c>
      <c r="B71" s="20" t="s">
        <v>63</v>
      </c>
      <c r="C71" s="54">
        <f>LOOKUP(2,1/('Deliverables Sheet'!S229:S233&lt;&gt;0),'Deliverables Sheet'!S229:S233)</f>
      </c>
      <c r="D71" s="54">
        <f>LOOKUP(2,1/('Deliverables Sheet'!T229:T233&lt;&gt;0),'Deliverables Sheet'!T229:T233)</f>
      </c>
      <c r="E71" s="54">
        <f>LOOKUP(2,1/('Deliverables Sheet'!U229:U233&lt;&gt;0),'Deliverables Sheet'!U229:U233)</f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4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227</v>
      </c>
      <c r="B5" s="35">
        <v>60</v>
      </c>
      <c r="P5" s="35">
        <v>95.35</v>
      </c>
    </row>
    <row r="6" ht="15" customHeight="1" spans="1:16" x14ac:dyDescent="0.25">
      <c r="A6" s="35" t="s">
        <v>228</v>
      </c>
      <c r="B6" s="35">
        <v>100</v>
      </c>
      <c r="P6" s="35">
        <v>102.69</v>
      </c>
    </row>
    <row r="7" ht="15" customHeight="1" spans="1:16" x14ac:dyDescent="0.25">
      <c r="A7" s="35" t="s">
        <v>229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