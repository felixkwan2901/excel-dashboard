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<sst xmlns="http://schemas.openxmlformats.org/spreadsheetml/2006/main" count="1191" uniqueCount="231">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</sst>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188603.61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30291.56</v>
      </c>
      <c r="Q8" s="52">
        <v>1331.7441999999974</v>
      </c>
      <c r="R8" s="53">
        <v>0.042112746712912985</v>
      </c>
      <c r="S8" s="54">
        <v>638.02</v>
      </c>
      <c r="T8" s="54">
        <v>608.25</v>
      </c>
      <c r="U8" s="54">
        <v>29.769999999999982</v>
      </c>
      <c r="V8" s="53">
        <v>0.04665997931099336</v>
      </c>
      <c r="W8" s="53"/>
      <c r="X8" s="55">
        <v>82.4157172215372</v>
      </c>
      <c r="Y8" s="55">
        <v>66.57519091683645</v>
      </c>
      <c r="Z8" s="53">
        <v>0.21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131888.19931324</v>
      </c>
      <c r="E15" s="62">
        <v>85864.08</v>
      </c>
      <c r="F15" s="52">
        <v>46024.11931324001</v>
      </c>
      <c r="G15" s="53">
        <v>0.34896313356990183</v>
      </c>
      <c r="H15" s="52">
        <v>103653.873895</v>
      </c>
      <c r="I15" s="52">
        <v>91501.08</v>
      </c>
      <c r="J15" s="52">
        <v>85503.774895</v>
      </c>
      <c r="K15" s="52">
        <v>80310.8</v>
      </c>
      <c r="L15" s="52">
        <v>5192.974894999992</v>
      </c>
      <c r="M15" s="53">
        <v>0.060733867029579086</v>
      </c>
      <c r="N15" s="53"/>
      <c r="O15" s="52">
        <v>18150.099</v>
      </c>
      <c r="P15" s="52">
        <v>11190.28</v>
      </c>
      <c r="Q15" s="52">
        <v>6959.818999999998</v>
      </c>
      <c r="R15" s="53">
        <v>0.3834590103337727</v>
      </c>
      <c r="S15" s="54">
        <v>363.57</v>
      </c>
      <c r="T15" s="54">
        <v>242.5</v>
      </c>
      <c r="U15" s="54">
        <v>121.07</v>
      </c>
      <c r="V15" s="53">
        <v>0.33300327309734024</v>
      </c>
      <c r="W15" s="53"/>
      <c r="X15" s="55">
        <v>-23.245360824742267</v>
      </c>
      <c r="Y15" s="55">
        <v>77.65856758874499</v>
      </c>
      <c r="Z15" s="53">
        <v>-0.06570000000000001</v>
      </c>
      <c r="AA15" s="56">
        <v>0.2141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259347.71</v>
      </c>
      <c r="F36" s="52">
        <v>137890.90073204003</v>
      </c>
      <c r="G36" s="53">
        <v>0.3471236103608651</v>
      </c>
      <c r="H36" s="52">
        <v>328046.93216</v>
      </c>
      <c r="I36" s="52">
        <v>276751.71</v>
      </c>
      <c r="J36" s="52">
        <v>271925.57216000004</v>
      </c>
      <c r="K36" s="52">
        <v>243603.26</v>
      </c>
      <c r="L36" s="52">
        <v>28322.31216000003</v>
      </c>
      <c r="M36" s="53">
        <v>0.10415464766710239</v>
      </c>
      <c r="N36" s="53"/>
      <c r="O36" s="52">
        <v>56121.36</v>
      </c>
      <c r="P36" s="52">
        <v>33148.45</v>
      </c>
      <c r="Q36" s="52">
        <v>22972.910000000003</v>
      </c>
      <c r="R36" s="53">
        <v>0.40934343002379137</v>
      </c>
      <c r="S36" s="54">
        <v>1124.47</v>
      </c>
      <c r="T36" s="54">
        <v>766.5</v>
      </c>
      <c r="U36" s="54">
        <v>357.97</v>
      </c>
      <c r="V36" s="53">
        <v>0.31834553167269913</v>
      </c>
      <c r="W36" s="53"/>
      <c r="X36" s="55">
        <v>-22.7058056099152</v>
      </c>
      <c r="Y36" s="55">
        <v>61.532703026350184</v>
      </c>
      <c r="Z36" s="53">
        <v>-0.06709999999999999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53944.83</v>
      </c>
      <c r="F43" s="52">
        <v>74313.66930985</v>
      </c>
      <c r="G43" s="53">
        <v>0.5794054172606622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-7.866871080139372</v>
      </c>
      <c r="Y43" s="55">
        <v>68.07122423898531</v>
      </c>
      <c r="Z43" s="53">
        <v>-0.052300000000000006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33326.49</v>
      </c>
      <c r="F50" s="52">
        <v>32366.868503190002</v>
      </c>
      <c r="G50" s="53">
        <v>0.49269620614111703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17.207621247113163</v>
      </c>
      <c r="Y50" s="55">
        <v>67.69550512136009</v>
      </c>
      <c r="Z50" s="53">
        <v>0.1118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127814.48</v>
      </c>
      <c r="F57" s="52">
        <v>27482.31012754001</v>
      </c>
      <c r="G57" s="53">
        <v>0.17696637583410268</v>
      </c>
      <c r="H57" s="52">
        <v>109364.9721</v>
      </c>
      <c r="I57" s="52">
        <v>110172.19</v>
      </c>
      <c r="J57" s="52">
        <v>75135.0159</v>
      </c>
      <c r="K57" s="52">
        <v>78187.74</v>
      </c>
      <c r="L57" s="52">
        <v>-3052.7241000000067</v>
      </c>
      <c r="M57" s="53">
        <v>-0.04062984566427711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26.371136023916293</v>
      </c>
      <c r="Y57" s="55">
        <v>67.00679527854935</v>
      </c>
      <c r="Z57" s="53">
        <v>0.138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67407.3</v>
      </c>
      <c r="F127" s="52">
        <v>38489.656771199996</v>
      </c>
      <c r="G127" s="53">
        <v>0.3634632943641657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8.172358490566037</v>
      </c>
      <c r="Y127" s="55">
        <v>62.79176131227983</v>
      </c>
      <c r="Z127" s="53">
        <v>0.0129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306038.55</v>
      </c>
      <c r="F225" s="52">
        <v>106262.18261826999</v>
      </c>
      <c r="G225" s="53">
        <v>0.257729793356087</v>
      </c>
      <c r="H225" s="52">
        <v>306356.278672</v>
      </c>
      <c r="I225" s="52">
        <v>256209</v>
      </c>
      <c r="J225" s="52">
        <v>186357.488872</v>
      </c>
      <c r="K225" s="52">
        <v>184474.91</v>
      </c>
      <c r="L225" s="52">
        <v>1882.5788719999837</v>
      </c>
      <c r="M225" s="53">
        <v>0.010101975957043706</v>
      </c>
      <c r="N225" s="53"/>
      <c r="O225" s="52">
        <v>119998.7898</v>
      </c>
      <c r="P225" s="52">
        <v>71734.09</v>
      </c>
      <c r="Q225" s="52">
        <v>48264.6998</v>
      </c>
      <c r="R225" s="53">
        <v>0.4022098879533867</v>
      </c>
      <c r="S225" s="54">
        <v>2412.45</v>
      </c>
      <c r="T225" s="54">
        <v>1531.67</v>
      </c>
      <c r="U225" s="54">
        <v>880.7799999999997</v>
      </c>
      <c r="V225" s="53">
        <v>0.3650977222325851</v>
      </c>
      <c r="W225" s="53"/>
      <c r="X225" s="55">
        <v>32.53282365000294</v>
      </c>
      <c r="Y225" s="55">
        <v>43.91570973337064</v>
      </c>
      <c r="Z225" s="53">
        <v>0.1628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20645.929999999993</v>
      </c>
      <c r="E4" s="52">
        <v>1556.960000000021</v>
      </c>
      <c r="F4" s="52">
        <v>0</v>
      </c>
      <c r="G4" s="53">
        <v>0.0701242045517507</v>
      </c>
      <c r="H4" s="53">
        <v>0.2149</v>
      </c>
      <c r="I4" s="86">
        <v>50</v>
      </c>
      <c r="J4" s="87">
        <v>5000</v>
      </c>
      <c r="K4" s="52">
        <v>7000</v>
      </c>
      <c r="L4" s="53">
        <v>-0.24515006830191816</v>
      </c>
      <c r="M4" s="52">
        <v>-5443.039999999979</v>
      </c>
      <c r="N4" s="54">
        <v>20</v>
      </c>
      <c r="O4" s="58">
        <v>-77.75771428571399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17363.759999999995</v>
      </c>
      <c r="E6" s="52">
        <v>-17363.759999999995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-37629.35999999999</v>
      </c>
      <c r="N6" s="54">
        <v>-52.5</v>
      </c>
      <c r="O6" s="58">
        <v>-84.08795530726256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0</v>
      </c>
      <c r="D12" s="52">
        <v>60407.110000000015</v>
      </c>
      <c r="E12" s="52">
        <v>-60407.110000000015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-63044.110000000015</v>
      </c>
      <c r="N12" s="54">
        <v>53</v>
      </c>
      <c r="O12" s="58">
        <v>-913.6827536231887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14493.379999999997</v>
      </c>
      <c r="E14" s="52">
        <v>-14493.379999999997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-17493.379999999997</v>
      </c>
      <c r="N14" s="54">
        <v>-112</v>
      </c>
      <c r="O14" s="58">
        <v>156.19089285714284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4389.459999999999</v>
      </c>
      <c r="E16" s="52">
        <v>-4389.459999999999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-7389.459999999999</v>
      </c>
      <c r="N16" s="54">
        <v>-86.75</v>
      </c>
      <c r="O16" s="58">
        <v>85.18109510086454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14851.680000000008</v>
      </c>
      <c r="E18" s="52">
        <v>-14851.680000000008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-23051.680000000008</v>
      </c>
      <c r="N18" s="54">
        <v>-269</v>
      </c>
      <c r="O18" s="58">
        <v>121.96656084656088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12195.39</v>
      </c>
      <c r="E22" s="52">
        <v>-12195.39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-12192.39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9681.120000000003</v>
      </c>
      <c r="E24" s="52">
        <v>-9681.120000000003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-9678.120000000003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10303.779999999999</v>
      </c>
      <c r="E38" s="52">
        <v>41736.780000000006</v>
      </c>
      <c r="F38" s="52">
        <v>0</v>
      </c>
      <c r="G38" s="53">
        <v>0.8020048208551177</v>
      </c>
      <c r="H38" s="53">
        <v>0.1750921737769</v>
      </c>
      <c r="I38" s="54"/>
      <c r="J38" s="52"/>
      <c r="K38" s="52">
        <v>0</v>
      </c>
      <c r="L38" s="53">
        <v>0.8020048208551177</v>
      </c>
      <c r="M38" s="52">
        <v>41736.780000000006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2218.25</v>
      </c>
      <c r="E48" s="99">
        <v>-2218.25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-4748.25</v>
      </c>
      <c r="N48" s="98">
        <v>-44.75</v>
      </c>
      <c r="O48" s="60">
        <v>106.10614525139665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2942.1800000000076</v>
      </c>
      <c r="E52" s="99">
        <v>-2942.1800000000076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-4222.180000000008</v>
      </c>
      <c r="N52" s="98">
        <v>-304.75</v>
      </c>
      <c r="O52" s="60">
        <v>15.480036663611394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1718.2499999999995</v>
      </c>
      <c r="E54" s="99">
        <v>-1718.2499999999995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-2358.2499999999995</v>
      </c>
      <c r="N54" s="98">
        <v>-11.25</v>
      </c>
      <c r="O54" s="60">
        <v>-496.47368421052624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11037.14</v>
      </c>
      <c r="E64" s="99">
        <v>-11037.14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-12787.14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21886.190000000002</v>
      </c>
      <c r="E66" s="99">
        <v>12764.209999999963</v>
      </c>
      <c r="F66" s="99"/>
      <c r="G66" s="100">
        <v>0.3683712164938926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0.2760201902431133</v>
      </c>
      <c r="M66" s="99">
        <v>9564.209999999963</v>
      </c>
      <c r="N66" s="98">
        <v>-1014.25</v>
      </c>
      <c r="O66" s="60">
        <v>-10.237313352956878</v>
      </c>
    </row>
    <row r="67" ht="15" customHeight="1" spans="1:30" x14ac:dyDescent="0.25">
      <c r="A67" s="102">
        <v>9437</v>
      </c>
      <c r="B67" s="98" t="s">
        <v>68</v>
      </c>
      <c r="C67" s="99">
        <v>10598.48</v>
      </c>
      <c r="D67" s="99">
        <v>18235.02</v>
      </c>
      <c r="E67" s="99">
        <v>-7636.540000000001</v>
      </c>
      <c r="F67" s="99"/>
      <c r="G67" s="100">
        <v>-0.7205316234026012</v>
      </c>
      <c r="H67" s="100">
        <f>'Deliverables Sheet'!AA256</f>
      </c>
      <c r="I67" s="98"/>
      <c r="J67" s="99"/>
      <c r="K67" s="99">
        <v>0</v>
      </c>
      <c r="L67" s="100">
        <v>-0.7205316234026012</v>
      </c>
      <c r="M67" s="99">
        <v>-7636.540000000001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397</v>
      </c>
      <c r="E71" s="99">
        <v>-397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-397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120905.13999999997</v>
      </c>
      <c r="D74" s="104">
        <v>231571.33</v>
      </c>
      <c r="E74" s="105">
        <v>-110666.19000000003</v>
      </c>
      <c r="F74" s="106" t="s">
        <v>128</v>
      </c>
      <c r="G74" s="107">
        <v>-0.915314187635034</v>
      </c>
      <c r="H74" s="108" t="s">
        <v>129</v>
      </c>
      <c r="I74" s="109">
        <v>-1.496204297021616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608.25</v>
      </c>
      <c r="E4" s="54">
        <v>29.769999999999982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242.5</v>
      </c>
      <c r="E6" s="54">
        <v>121.07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766.5</v>
      </c>
      <c r="E12" s="54">
        <v>357.97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358.75</v>
      </c>
      <c r="E14" s="54">
        <v>143.07999999999998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669</v>
      </c>
      <c r="E18" s="54">
        <v>16.480000000000018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52.75</v>
      </c>
      <c r="E22" s="54">
        <v>140.57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86.01</v>
      </c>
      <c r="D36" s="54">
        <v>0</v>
      </c>
      <c r="E36" s="54">
        <v>86.01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95.5</v>
      </c>
      <c r="E48" s="54">
        <v>14.939999999999998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49.25</v>
      </c>
      <c r="E54" s="54">
        <v>75.92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1531.67</v>
      </c>
      <c r="E66" s="54">
        <v>880.7799999999997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