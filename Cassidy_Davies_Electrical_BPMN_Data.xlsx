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<sst xmlns="http://schemas.openxmlformats.org/spreadsheetml/2006/main" count="1191" uniqueCount="231">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</sst>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>
        <v>267886.84883856</v>
      </c>
      <c r="E9" s="52">
        <v>238732.97</v>
      </c>
      <c r="F9" s="52">
        <v>29153.87883855999</v>
      </c>
      <c r="G9" s="53">
        <v>0.10882907826553799</v>
      </c>
      <c r="H9" s="52">
        <v>225410.5455298</v>
      </c>
      <c r="I9" s="52">
        <v>189455.97</v>
      </c>
      <c r="J9" s="52">
        <v>193787.2413298</v>
      </c>
      <c r="K9" s="52">
        <v>158286.35</v>
      </c>
      <c r="L9" s="52">
        <v>35500.89132979998</v>
      </c>
      <c r="M9" s="53">
        <v>0.18319519430787606</v>
      </c>
      <c r="N9" s="53"/>
      <c r="O9" s="52">
        <v>31623.3042</v>
      </c>
      <c r="P9" s="52">
        <v>31169.62</v>
      </c>
      <c r="Q9" s="52">
        <v>453.6841999999997</v>
      </c>
      <c r="R9" s="53">
        <v>0.014346514745287108</v>
      </c>
      <c r="S9" s="54">
        <v>638.02</v>
      </c>
      <c r="T9" s="54">
        <v>625.25</v>
      </c>
      <c r="U9" s="54">
        <v>12.769999999999982</v>
      </c>
      <c r="V9" s="53">
        <v>0.020015046550264853</v>
      </c>
      <c r="W9" s="53"/>
      <c r="X9" s="55">
        <v>78.81167532986805</v>
      </c>
      <c r="Y9" s="55">
        <v>66.57519091683645</v>
      </c>
      <c r="Z9" s="53">
        <v>0.2064</v>
      </c>
      <c r="AA9" s="56">
        <v>0.1586</v>
      </c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>
        <v>132076.08820213</v>
      </c>
      <c r="E16" s="62">
        <v>127883.98</v>
      </c>
      <c r="F16" s="52">
        <v>4192.108202129995</v>
      </c>
      <c r="G16" s="53">
        <v>0.031740099659178046</v>
      </c>
      <c r="H16" s="52">
        <v>103822.973895</v>
      </c>
      <c r="I16" s="52">
        <v>95219.95</v>
      </c>
      <c r="J16" s="52">
        <v>85672.874895</v>
      </c>
      <c r="K16" s="52">
        <v>80502.31</v>
      </c>
      <c r="L16" s="52">
        <v>5170.564895000003</v>
      </c>
      <c r="M16" s="53">
        <v>0.060352414942734287</v>
      </c>
      <c r="N16" s="53"/>
      <c r="O16" s="52">
        <v>18150.099</v>
      </c>
      <c r="P16" s="52">
        <v>14717.64</v>
      </c>
      <c r="Q16" s="52">
        <v>3432.458999999999</v>
      </c>
      <c r="R16" s="53">
        <v>0.1891151668098339</v>
      </c>
      <c r="S16" s="54">
        <v>363.57</v>
      </c>
      <c r="T16" s="54">
        <v>331.25</v>
      </c>
      <c r="U16" s="54">
        <v>32.31999999999999</v>
      </c>
      <c r="V16" s="53">
        <v>0.08889622356079983</v>
      </c>
      <c r="W16" s="53"/>
      <c r="X16" s="55">
        <v>98.60839245283019</v>
      </c>
      <c r="Y16" s="55">
        <v>77.71024646458726</v>
      </c>
      <c r="Z16" s="53">
        <v>0.2554</v>
      </c>
      <c r="AA16" s="56">
        <v>0.2139</v>
      </c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>
        <v>27500.3157</v>
      </c>
      <c r="E23" s="52">
        <v>11999.08</v>
      </c>
      <c r="F23" s="52">
        <v>15501.2357</v>
      </c>
      <c r="G23" s="53">
        <v>0.563674827194802</v>
      </c>
      <c r="H23" s="52">
        <v>19565.829</v>
      </c>
      <c r="I23" s="52">
        <v>8083.92</v>
      </c>
      <c r="J23" s="52">
        <v>13767.337200000002</v>
      </c>
      <c r="K23" s="52">
        <v>6373.24</v>
      </c>
      <c r="L23" s="52">
        <v>7394.097200000002</v>
      </c>
      <c r="M23" s="53">
        <v>0.5370753321855152</v>
      </c>
      <c r="N23" s="53"/>
      <c r="O23" s="52">
        <v>5798.4918</v>
      </c>
      <c r="P23" s="52">
        <v>1710.68</v>
      </c>
      <c r="Q23" s="52">
        <v>4087.8117999999995</v>
      </c>
      <c r="R23" s="53">
        <v>0.7049784566393626</v>
      </c>
      <c r="S23" s="54">
        <v>125.39</v>
      </c>
      <c r="T23" s="54">
        <v>34.75</v>
      </c>
      <c r="U23" s="54">
        <v>90.64</v>
      </c>
      <c r="V23" s="53">
        <v>0.7228646622537682</v>
      </c>
      <c r="W23" s="53"/>
      <c r="X23" s="55">
        <v>112.66647482014388</v>
      </c>
      <c r="Y23" s="55">
        <v>63.27846478985563</v>
      </c>
      <c r="Z23" s="53">
        <v>0.32630000000000003</v>
      </c>
      <c r="AA23" s="56">
        <v>0.2885</v>
      </c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>
        <v>397238.61073204</v>
      </c>
      <c r="E37" s="52">
        <v>352623.79</v>
      </c>
      <c r="F37" s="52">
        <v>44614.82073204004</v>
      </c>
      <c r="G37" s="53">
        <v>0.112312397452561</v>
      </c>
      <c r="H37" s="52">
        <v>328046.93216</v>
      </c>
      <c r="I37" s="52">
        <v>279095.37</v>
      </c>
      <c r="J37" s="52">
        <v>271925.57216000004</v>
      </c>
      <c r="K37" s="52">
        <v>243619.32</v>
      </c>
      <c r="L37" s="52">
        <v>28306.252160000033</v>
      </c>
      <c r="M37" s="53">
        <v>0.10409558738868713</v>
      </c>
      <c r="N37" s="53"/>
      <c r="O37" s="52">
        <v>56121.36</v>
      </c>
      <c r="P37" s="52">
        <v>35476.05</v>
      </c>
      <c r="Q37" s="52">
        <v>20645.309999999998</v>
      </c>
      <c r="R37" s="53">
        <v>0.367869025269523</v>
      </c>
      <c r="S37" s="54">
        <v>1124.47</v>
      </c>
      <c r="T37" s="54">
        <v>821.5</v>
      </c>
      <c r="U37" s="54">
        <v>302.97</v>
      </c>
      <c r="V37" s="53">
        <v>0.2694335998292529</v>
      </c>
      <c r="W37" s="53"/>
      <c r="X37" s="55">
        <v>89.50507608034084</v>
      </c>
      <c r="Y37" s="55">
        <v>61.532703026350184</v>
      </c>
      <c r="Z37" s="53">
        <v>0.20850000000000002</v>
      </c>
      <c r="AA37" s="56">
        <v>0.1742</v>
      </c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>
        <v>128258.49930985</v>
      </c>
      <c r="E44" s="52">
        <v>115314.55</v>
      </c>
      <c r="F44" s="52">
        <v>12943.949309849995</v>
      </c>
      <c r="G44" s="53">
        <v>0.10092079183446305</v>
      </c>
      <c r="H44" s="52">
        <v>94098.31685</v>
      </c>
      <c r="I44" s="52">
        <v>58294.37</v>
      </c>
      <c r="J44" s="52">
        <v>69042.08885</v>
      </c>
      <c r="K44" s="52">
        <v>42068.630000000005</v>
      </c>
      <c r="L44" s="52">
        <v>26973.458849999995</v>
      </c>
      <c r="M44" s="53">
        <v>0.39068138434516664</v>
      </c>
      <c r="N44" s="53"/>
      <c r="O44" s="52">
        <v>25056.228</v>
      </c>
      <c r="P44" s="52">
        <v>16225.74</v>
      </c>
      <c r="Q44" s="52">
        <v>8830.488</v>
      </c>
      <c r="R44" s="53">
        <v>0.3524268696788678</v>
      </c>
      <c r="S44" s="54">
        <v>501.83</v>
      </c>
      <c r="T44" s="54">
        <v>366.25</v>
      </c>
      <c r="U44" s="54">
        <v>135.57999999999998</v>
      </c>
      <c r="V44" s="53">
        <v>0.2701711735049718</v>
      </c>
      <c r="W44" s="53"/>
      <c r="X44" s="55">
        <v>155.68649829351537</v>
      </c>
      <c r="Y44" s="55">
        <v>68.07122423898531</v>
      </c>
      <c r="Z44" s="53">
        <v>0.49450000000000005</v>
      </c>
      <c r="AA44" s="56">
        <v>0.2663</v>
      </c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>
        <v>65693.35850319</v>
      </c>
      <c r="E51" s="52">
        <v>61277.97</v>
      </c>
      <c r="F51" s="52">
        <v>4415.388503189999</v>
      </c>
      <c r="G51" s="53">
        <v>0.06721209881476212</v>
      </c>
      <c r="H51" s="52">
        <v>50582.36785</v>
      </c>
      <c r="I51" s="52">
        <v>29601.04</v>
      </c>
      <c r="J51" s="52">
        <v>39438.99025</v>
      </c>
      <c r="K51" s="52">
        <v>20244.31</v>
      </c>
      <c r="L51" s="52">
        <v>19194.68025</v>
      </c>
      <c r="M51" s="53">
        <v>0.4866929941240065</v>
      </c>
      <c r="N51" s="53"/>
      <c r="O51" s="52">
        <v>11143.3776</v>
      </c>
      <c r="P51" s="52">
        <v>9356.73</v>
      </c>
      <c r="Q51" s="52">
        <v>1786.6476000000002</v>
      </c>
      <c r="R51" s="53">
        <v>0.1603326804612634</v>
      </c>
      <c r="S51" s="54">
        <v>223.22</v>
      </c>
      <c r="T51" s="54">
        <v>216.5</v>
      </c>
      <c r="U51" s="54">
        <v>6.719999999999999</v>
      </c>
      <c r="V51" s="53">
        <v>0.030104829316369496</v>
      </c>
      <c r="W51" s="53"/>
      <c r="X51" s="55">
        <v>146.31376443418014</v>
      </c>
      <c r="Y51" s="55">
        <v>67.69550512136009</v>
      </c>
      <c r="Z51" s="53">
        <v>0.5169</v>
      </c>
      <c r="AA51" s="56">
        <v>0.23</v>
      </c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>
        <v>155296.79012754</v>
      </c>
      <c r="E58" s="52">
        <v>155296.8</v>
      </c>
      <c r="F58" s="52">
        <v>-0.009872459981124848</v>
      </c>
      <c r="G58" s="53">
        <v>-6.357156495647419e-8</v>
      </c>
      <c r="H58" s="52">
        <v>109364.9721</v>
      </c>
      <c r="I58" s="52">
        <v>114553.44</v>
      </c>
      <c r="J58" s="52">
        <v>75135.0159</v>
      </c>
      <c r="K58" s="52">
        <v>81185.24</v>
      </c>
      <c r="L58" s="52">
        <v>-6050.224100000007</v>
      </c>
      <c r="M58" s="53">
        <v>-0.08052469314776584</v>
      </c>
      <c r="N58" s="53"/>
      <c r="O58" s="52">
        <v>34229.9562</v>
      </c>
      <c r="P58" s="52">
        <v>33368.2</v>
      </c>
      <c r="Q58" s="52">
        <v>861.7562000000034</v>
      </c>
      <c r="R58" s="53">
        <v>0.025175498179574166</v>
      </c>
      <c r="S58" s="54">
        <v>685.48</v>
      </c>
      <c r="T58" s="54">
        <v>699.75</v>
      </c>
      <c r="U58" s="54">
        <v>-14.269999999999982</v>
      </c>
      <c r="V58" s="53">
        <v>-0.0208175293225185</v>
      </c>
      <c r="W58" s="53"/>
      <c r="X58" s="55">
        <v>58.22559485530547</v>
      </c>
      <c r="Y58" s="55">
        <v>67.00679527854935</v>
      </c>
      <c r="Z58" s="53">
        <v>0.26239999999999997</v>
      </c>
      <c r="AA58" s="56">
        <v>0.2958</v>
      </c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>
        <v>53029.71458947</v>
      </c>
      <c r="E72" s="52">
        <v>29715.67</v>
      </c>
      <c r="F72" s="52">
        <v>23314.044589470002</v>
      </c>
      <c r="G72" s="53">
        <v>0.43964114779715263</v>
      </c>
      <c r="H72" s="52">
        <v>39055.77825</v>
      </c>
      <c r="I72" s="52">
        <v>30684.03</v>
      </c>
      <c r="J72" s="52">
        <v>29537.289750000004</v>
      </c>
      <c r="K72" s="52">
        <v>26364.309999999998</v>
      </c>
      <c r="L72" s="52">
        <v>3172.979750000006</v>
      </c>
      <c r="M72" s="53">
        <v>0.10742284674239638</v>
      </c>
      <c r="N72" s="53"/>
      <c r="O72" s="52">
        <v>9518.4885</v>
      </c>
      <c r="P72" s="52">
        <v>4319.72</v>
      </c>
      <c r="Q72" s="52">
        <v>5198.768499999999</v>
      </c>
      <c r="R72" s="53">
        <v>0.5461758450409432</v>
      </c>
      <c r="S72" s="54">
        <v>193.32</v>
      </c>
      <c r="T72" s="54">
        <v>90.75</v>
      </c>
      <c r="U72" s="54">
        <v>102.57</v>
      </c>
      <c r="V72" s="53">
        <v>0.5305710738671633</v>
      </c>
      <c r="W72" s="53"/>
      <c r="X72" s="55">
        <v>-10.670633608815427</v>
      </c>
      <c r="Y72" s="55">
        <v>72.28396616733912</v>
      </c>
      <c r="Z72" s="53">
        <v>-0.0326</v>
      </c>
      <c r="AA72" s="56">
        <v>0.2635</v>
      </c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>
        <v>78753.06644148</v>
      </c>
      <c r="E79" s="52">
        <v>61764.82</v>
      </c>
      <c r="F79" s="52">
        <v>16988.246441479998</v>
      </c>
      <c r="G79" s="53">
        <v>0.21571536460873764</v>
      </c>
      <c r="H79" s="52">
        <v>55589.7822</v>
      </c>
      <c r="I79" s="52">
        <v>47207.1</v>
      </c>
      <c r="J79" s="52">
        <v>32594.7534</v>
      </c>
      <c r="K79" s="52">
        <v>35050.6</v>
      </c>
      <c r="L79" s="52">
        <v>-2455.846599999997</v>
      </c>
      <c r="M79" s="53">
        <v>-0.07534484368886181</v>
      </c>
      <c r="N79" s="53"/>
      <c r="O79" s="52">
        <v>22995.0288</v>
      </c>
      <c r="P79" s="52">
        <v>12156.5</v>
      </c>
      <c r="Q79" s="52">
        <v>10838.5288</v>
      </c>
      <c r="R79" s="53">
        <v>0.4713422581145017</v>
      </c>
      <c r="S79" s="54">
        <v>472.14</v>
      </c>
      <c r="T79" s="54">
        <v>237.25</v>
      </c>
      <c r="U79" s="54">
        <v>234.89</v>
      </c>
      <c r="V79" s="53">
        <v>0.49750074130554495</v>
      </c>
      <c r="W79" s="53"/>
      <c r="X79" s="55">
        <v>61.36025289778714</v>
      </c>
      <c r="Y79" s="55">
        <v>49.060202993773025</v>
      </c>
      <c r="Z79" s="53">
        <v>0.2357</v>
      </c>
      <c r="AA79" s="56">
        <v>0.2941</v>
      </c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>
        <v>25467.8441072</v>
      </c>
      <c r="E86" s="52">
        <v>19598.41</v>
      </c>
      <c r="F86" s="52">
        <v>5869.434107199999</v>
      </c>
      <c r="G86" s="53">
        <v>0.23046450584879521</v>
      </c>
      <c r="H86" s="52">
        <v>16606.829916</v>
      </c>
      <c r="I86" s="52">
        <v>14118.07</v>
      </c>
      <c r="J86" s="52">
        <v>9659.986716</v>
      </c>
      <c r="K86" s="52">
        <v>5298.48</v>
      </c>
      <c r="L86" s="52">
        <v>4361.506716</v>
      </c>
      <c r="M86" s="53">
        <v>0.4515023513206248</v>
      </c>
      <c r="N86" s="53"/>
      <c r="O86" s="52">
        <v>6946.8432</v>
      </c>
      <c r="P86" s="52">
        <v>8819.59</v>
      </c>
      <c r="Q86" s="52">
        <v>-1872.7468</v>
      </c>
      <c r="R86" s="53">
        <v>-0.26958241982487813</v>
      </c>
      <c r="S86" s="54">
        <v>139.07</v>
      </c>
      <c r="T86" s="54">
        <v>167.75</v>
      </c>
      <c r="U86" s="54">
        <v>-28.680000000000007</v>
      </c>
      <c r="V86" s="53">
        <v>-0.20622707988782632</v>
      </c>
      <c r="W86" s="53"/>
      <c r="X86" s="55">
        <v>32.669687034277196</v>
      </c>
      <c r="Y86" s="55">
        <v>63.7162162306752</v>
      </c>
      <c r="Z86" s="53">
        <v>0.2796</v>
      </c>
      <c r="AA86" s="56">
        <v>0.3479</v>
      </c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>
        <v>37083.0313712</v>
      </c>
      <c r="E93" s="67">
        <v>36381.33</v>
      </c>
      <c r="F93" s="52">
        <v>701.7013711999971</v>
      </c>
      <c r="G93" s="53">
        <v>0.018922438248804095</v>
      </c>
      <c r="H93" s="52">
        <v>27002.93286</v>
      </c>
      <c r="I93" s="52">
        <v>25103.82</v>
      </c>
      <c r="J93" s="52">
        <v>15440.324460000002</v>
      </c>
      <c r="K93" s="52">
        <v>13974.73</v>
      </c>
      <c r="L93" s="52">
        <v>1465.594460000002</v>
      </c>
      <c r="M93" s="53">
        <v>0.0949199263135175</v>
      </c>
      <c r="N93" s="53"/>
      <c r="O93" s="52">
        <v>11562.6084</v>
      </c>
      <c r="P93" s="52">
        <v>11129.09</v>
      </c>
      <c r="Q93" s="52">
        <v>433.518399999999</v>
      </c>
      <c r="R93" s="53">
        <v>0.03749313174006646</v>
      </c>
      <c r="S93" s="68">
        <v>231.75</v>
      </c>
      <c r="T93" s="68">
        <v>225.5</v>
      </c>
      <c r="U93" s="54">
        <v>6.25</v>
      </c>
      <c r="V93" s="53">
        <v>0.02696871628910464</v>
      </c>
      <c r="W93" s="53"/>
      <c r="X93" s="55">
        <v>50.01113082039912</v>
      </c>
      <c r="Y93" s="55">
        <v>43.49557070636461</v>
      </c>
      <c r="Z93" s="53">
        <v>0.31</v>
      </c>
      <c r="AA93" s="56">
        <v>0.2718</v>
      </c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>
        <v>26186.1354</v>
      </c>
      <c r="E100" s="52">
        <v>5762.27</v>
      </c>
      <c r="F100" s="52">
        <v>20423.8654</v>
      </c>
      <c r="G100" s="53">
        <v>0.7799495835494686</v>
      </c>
      <c r="H100" s="52">
        <v>19428.9760178</v>
      </c>
      <c r="I100" s="52">
        <v>8019.36</v>
      </c>
      <c r="J100" s="52">
        <v>12051.3142178</v>
      </c>
      <c r="K100" s="52">
        <v>7687.129999999999</v>
      </c>
      <c r="L100" s="52">
        <v>4364.184217800001</v>
      </c>
      <c r="M100" s="53">
        <v>0.3621334685103493</v>
      </c>
      <c r="N100" s="53"/>
      <c r="O100" s="52">
        <v>7377.6618</v>
      </c>
      <c r="P100" s="52">
        <v>332.23</v>
      </c>
      <c r="Q100" s="52">
        <v>7045.4318</v>
      </c>
      <c r="R100" s="53">
        <v>0.954968117405436</v>
      </c>
      <c r="S100" s="54">
        <v>147.9</v>
      </c>
      <c r="T100" s="54">
        <v>6.5</v>
      </c>
      <c r="U100" s="54">
        <v>141.4</v>
      </c>
      <c r="V100" s="53">
        <v>0.9560513860716701</v>
      </c>
      <c r="W100" s="53"/>
      <c r="X100" s="55">
        <v>-347.24461538461543</v>
      </c>
      <c r="Y100" s="55">
        <v>45.687352144692355</v>
      </c>
      <c r="Z100" s="53">
        <v>-0.3917</v>
      </c>
      <c r="AA100" s="56">
        <v>0.258</v>
      </c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>
        <v>20278.45679756</v>
      </c>
      <c r="E121" s="52">
        <v>0</v>
      </c>
      <c r="F121" s="52">
        <v>20278.45679756</v>
      </c>
      <c r="G121" s="53">
        <v>1</v>
      </c>
      <c r="H121" s="52">
        <v>16648.056795</v>
      </c>
      <c r="I121" s="52">
        <v>58.32</v>
      </c>
      <c r="J121" s="52">
        <v>12536.982795</v>
      </c>
      <c r="K121" s="52">
        <v>58.32</v>
      </c>
      <c r="L121" s="52">
        <v>12478.662795</v>
      </c>
      <c r="M121" s="53">
        <v>0.9953481630346291</v>
      </c>
      <c r="N121" s="53"/>
      <c r="O121" s="52">
        <v>4111.074</v>
      </c>
      <c r="P121" s="52">
        <v>0</v>
      </c>
      <c r="Q121" s="52">
        <v>4111.074</v>
      </c>
      <c r="R121" s="53">
        <v>1</v>
      </c>
      <c r="S121" s="54">
        <v>82.37</v>
      </c>
      <c r="T121" s="54">
        <v>0</v>
      </c>
      <c r="U121" s="54">
        <v>82.37</v>
      </c>
      <c r="V121" s="53">
        <v>1</v>
      </c>
      <c r="W121" s="53"/>
      <c r="X121" s="55">
        <v>0</v>
      </c>
      <c r="Y121" s="55">
        <v>44.07429892630812</v>
      </c>
      <c r="Z121" s="53">
        <v>0</v>
      </c>
      <c r="AA121" s="56">
        <v>0.179</v>
      </c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>
        <v>105896.9567712</v>
      </c>
      <c r="E128" s="52">
        <v>79457.73</v>
      </c>
      <c r="F128" s="52">
        <v>26439.226771200003</v>
      </c>
      <c r="G128" s="53">
        <v>0.2496693727311197</v>
      </c>
      <c r="H128" s="52">
        <v>85934.2000148</v>
      </c>
      <c r="I128" s="52">
        <v>64275.8</v>
      </c>
      <c r="J128" s="52">
        <v>70065.71561479999</v>
      </c>
      <c r="K128" s="52">
        <v>59394.21000000001</v>
      </c>
      <c r="L128" s="52">
        <v>10671.505614799986</v>
      </c>
      <c r="M128" s="53">
        <v>0.15230709514862703</v>
      </c>
      <c r="N128" s="53"/>
      <c r="O128" s="52">
        <v>15868.4844</v>
      </c>
      <c r="P128" s="52">
        <v>4881.59</v>
      </c>
      <c r="Q128" s="52">
        <v>10986.8944</v>
      </c>
      <c r="R128" s="53">
        <v>0.6923720074993425</v>
      </c>
      <c r="S128" s="54">
        <v>317.92</v>
      </c>
      <c r="T128" s="54">
        <v>106</v>
      </c>
      <c r="U128" s="54">
        <v>211.92000000000002</v>
      </c>
      <c r="V128" s="53">
        <v>0.6665827881227983</v>
      </c>
      <c r="W128" s="53"/>
      <c r="X128" s="55">
        <v>143.22575471698113</v>
      </c>
      <c r="Y128" s="55">
        <v>62.79176131227983</v>
      </c>
      <c r="Z128" s="53">
        <v>0.1911</v>
      </c>
      <c r="AA128" s="56">
        <v>0.1885</v>
      </c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>
        <v>31802.4136956</v>
      </c>
      <c r="E135" s="52">
        <v>16498.64</v>
      </c>
      <c r="F135" s="52">
        <v>15303.7736956</v>
      </c>
      <c r="G135" s="53">
        <v>0.48121421984134943</v>
      </c>
      <c r="H135" s="52">
        <v>23448.14263</v>
      </c>
      <c r="I135" s="52">
        <v>12360.83</v>
      </c>
      <c r="J135" s="52">
        <v>15632.028429999998</v>
      </c>
      <c r="K135" s="52">
        <v>11772.08</v>
      </c>
      <c r="L135" s="52">
        <v>3859.9484299999986</v>
      </c>
      <c r="M135" s="53">
        <v>0.24692562755273845</v>
      </c>
      <c r="N135" s="53"/>
      <c r="O135" s="52">
        <v>7816.1142</v>
      </c>
      <c r="P135" s="52">
        <v>588.75</v>
      </c>
      <c r="Q135" s="52">
        <v>7227.3642</v>
      </c>
      <c r="R135" s="53">
        <v>0.92467484674162</v>
      </c>
      <c r="S135" s="54">
        <v>156.69</v>
      </c>
      <c r="T135" s="54">
        <v>11.5</v>
      </c>
      <c r="U135" s="54">
        <v>145.19</v>
      </c>
      <c r="V135" s="53">
        <v>0.9266066756015061</v>
      </c>
      <c r="W135" s="53"/>
      <c r="X135" s="55">
        <v>359.80956521739137</v>
      </c>
      <c r="Y135" s="55">
        <v>53.31719360265494</v>
      </c>
      <c r="Z135" s="53">
        <v>0.25079999999999997</v>
      </c>
      <c r="AA135" s="56">
        <v>0.2627</v>
      </c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>
        <v>19505.5188968</v>
      </c>
      <c r="E163" s="52">
        <v>19505.52</v>
      </c>
      <c r="F163" s="52">
        <v>-0.0011032000002160203</v>
      </c>
      <c r="G163" s="53">
        <v>-5.655835182098165e-8</v>
      </c>
      <c r="H163" s="52">
        <v>14923.5903884</v>
      </c>
      <c r="I163" s="52">
        <v>14052.73</v>
      </c>
      <c r="J163" s="52">
        <v>8915.0763884</v>
      </c>
      <c r="K163" s="52">
        <v>8190.78</v>
      </c>
      <c r="L163" s="52">
        <v>724.296388400001</v>
      </c>
      <c r="M163" s="53">
        <v>0.08124399128452015</v>
      </c>
      <c r="N163" s="53"/>
      <c r="O163" s="52">
        <v>6008.514</v>
      </c>
      <c r="P163" s="52">
        <v>5861.95</v>
      </c>
      <c r="Q163" s="52">
        <v>146.5640000000003</v>
      </c>
      <c r="R163" s="53">
        <v>0.02439272006356319</v>
      </c>
      <c r="S163" s="54">
        <v>120.44</v>
      </c>
      <c r="T163" s="54">
        <v>116.25</v>
      </c>
      <c r="U163" s="54">
        <v>4.189999999999998</v>
      </c>
      <c r="V163" s="53">
        <v>0.03478910660909995</v>
      </c>
      <c r="W163" s="53"/>
      <c r="X163" s="55">
        <v>46.90572043010753</v>
      </c>
      <c r="Y163" s="55">
        <v>38.04324566921289</v>
      </c>
      <c r="Z163" s="53">
        <v>0.2796</v>
      </c>
      <c r="AA163" s="56">
        <v>0.2349</v>
      </c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>
        <v>10827.20261235</v>
      </c>
      <c r="E170" s="52">
        <v>0</v>
      </c>
      <c r="F170" s="52">
        <v>10827.20261235</v>
      </c>
      <c r="G170" s="53">
        <v>1</v>
      </c>
      <c r="H170" s="52">
        <v>7687.765097</v>
      </c>
      <c r="I170" s="52">
        <v>2097.39</v>
      </c>
      <c r="J170" s="52">
        <v>4437.133697</v>
      </c>
      <c r="K170" s="52">
        <v>1010.6899999999998</v>
      </c>
      <c r="L170" s="52">
        <v>3426.4436970000006</v>
      </c>
      <c r="M170" s="53">
        <v>0.7722200706543192</v>
      </c>
      <c r="N170" s="53"/>
      <c r="O170" s="52">
        <v>3250.6314</v>
      </c>
      <c r="P170" s="52">
        <v>1086.7</v>
      </c>
      <c r="Q170" s="52">
        <v>2163.9314000000004</v>
      </c>
      <c r="R170" s="53">
        <v>0.6656957168382734</v>
      </c>
      <c r="S170" s="54">
        <v>65.13</v>
      </c>
      <c r="T170" s="54">
        <v>24.33</v>
      </c>
      <c r="U170" s="54">
        <v>40.8</v>
      </c>
      <c r="V170" s="53">
        <v>0.6264394288346384</v>
      </c>
      <c r="W170" s="53"/>
      <c r="X170" s="55">
        <v>53.18249075215784</v>
      </c>
      <c r="Y170" s="55">
        <v>48.202633430830645</v>
      </c>
      <c r="Z170" s="53">
        <v>0.3815</v>
      </c>
      <c r="AA170" s="56">
        <v>0.29</v>
      </c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>
        <v>146237.1072</v>
      </c>
      <c r="E177" s="52">
        <v>125386.21</v>
      </c>
      <c r="F177" s="52">
        <v>20850.897199999992</v>
      </c>
      <c r="G177" s="53">
        <v>0.14258280678024784</v>
      </c>
      <c r="H177" s="52">
        <v>114651.8653946</v>
      </c>
      <c r="I177" s="52">
        <v>105507.56</v>
      </c>
      <c r="J177" s="52">
        <v>82888.0783946</v>
      </c>
      <c r="K177" s="52">
        <v>77881.66</v>
      </c>
      <c r="L177" s="52">
        <v>5006.418394599998</v>
      </c>
      <c r="M177" s="53">
        <v>0.060399740126273166</v>
      </c>
      <c r="N177" s="53"/>
      <c r="O177" s="52">
        <v>31763.787</v>
      </c>
      <c r="P177" s="52">
        <v>27625.9</v>
      </c>
      <c r="Q177" s="52">
        <v>4137.886999999999</v>
      </c>
      <c r="R177" s="53">
        <v>0.1302705814013927</v>
      </c>
      <c r="S177" s="54">
        <v>659.73</v>
      </c>
      <c r="T177" s="54">
        <v>550.75</v>
      </c>
      <c r="U177" s="54">
        <v>108.98000000000002</v>
      </c>
      <c r="V177" s="53">
        <v>0.1651887893532203</v>
      </c>
      <c r="W177" s="53"/>
      <c r="X177" s="55">
        <v>36.093781207444394</v>
      </c>
      <c r="Y177" s="55">
        <v>47.87601261940491</v>
      </c>
      <c r="Z177" s="53">
        <v>0.1585</v>
      </c>
      <c r="AA177" s="56">
        <v>0.216</v>
      </c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>
        <v>16897.52982004</v>
      </c>
      <c r="E184" s="52">
        <v>9293.64</v>
      </c>
      <c r="F184" s="52">
        <v>7603.88982004</v>
      </c>
      <c r="G184" s="53">
        <v>0.450000082912829</v>
      </c>
      <c r="H184" s="52">
        <v>9226.2731</v>
      </c>
      <c r="I184" s="52">
        <v>6976.46</v>
      </c>
      <c r="J184" s="52">
        <v>2977.1135000000004</v>
      </c>
      <c r="K184" s="52">
        <v>3448.13</v>
      </c>
      <c r="L184" s="52">
        <v>-471.0164999999997</v>
      </c>
      <c r="M184" s="53">
        <v>-0.15821247661535232</v>
      </c>
      <c r="N184" s="53"/>
      <c r="O184" s="52">
        <v>6249.1596</v>
      </c>
      <c r="P184" s="52">
        <v>3528.33</v>
      </c>
      <c r="Q184" s="52">
        <v>2720.8296</v>
      </c>
      <c r="R184" s="53">
        <v>0.43539128045313485</v>
      </c>
      <c r="S184" s="54">
        <v>125.17</v>
      </c>
      <c r="T184" s="54">
        <v>65.75</v>
      </c>
      <c r="U184" s="54">
        <v>59.42</v>
      </c>
      <c r="V184" s="53">
        <v>0.47471438843173286</v>
      </c>
      <c r="W184" s="53"/>
      <c r="X184" s="55">
        <v>35.24228136882129</v>
      </c>
      <c r="Y184" s="55">
        <v>61.286703843093385</v>
      </c>
      <c r="Z184" s="53">
        <v>0.2493</v>
      </c>
      <c r="AA184" s="56">
        <v>0.454</v>
      </c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>
        <v>20992.11525559</v>
      </c>
      <c r="E191" s="52">
        <v>14169.68</v>
      </c>
      <c r="F191" s="52">
        <v>6822.43525559</v>
      </c>
      <c r="G191" s="53">
        <v>0.3249998950807614</v>
      </c>
      <c r="H191" s="52">
        <v>16299.085174</v>
      </c>
      <c r="I191" s="52">
        <v>9699.51</v>
      </c>
      <c r="J191" s="52">
        <v>9784.324774</v>
      </c>
      <c r="K191" s="52">
        <v>8137.88</v>
      </c>
      <c r="L191" s="52">
        <v>1646.4447740000005</v>
      </c>
      <c r="M191" s="53">
        <v>0.16827372476178604</v>
      </c>
      <c r="N191" s="53"/>
      <c r="O191" s="52">
        <v>6514.7604</v>
      </c>
      <c r="P191" s="52">
        <v>1561.63</v>
      </c>
      <c r="Q191" s="52">
        <v>4953.1304</v>
      </c>
      <c r="R191" s="53">
        <v>0.7602935635207705</v>
      </c>
      <c r="S191" s="54">
        <v>130.62</v>
      </c>
      <c r="T191" s="54">
        <v>34.75</v>
      </c>
      <c r="U191" s="54">
        <v>95.87</v>
      </c>
      <c r="V191" s="53">
        <v>0.7339611085591793</v>
      </c>
      <c r="W191" s="53"/>
      <c r="X191" s="55">
        <v>128.6379856115108</v>
      </c>
      <c r="Y191" s="55">
        <v>35.92887828502527</v>
      </c>
      <c r="Z191" s="53">
        <v>0.3155</v>
      </c>
      <c r="AA191" s="56">
        <v>0.2236</v>
      </c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>
        <v>23770.94615247</v>
      </c>
      <c r="E198" s="52">
        <v>10204.54</v>
      </c>
      <c r="F198" s="52">
        <v>13566.406152469997</v>
      </c>
      <c r="G198" s="53">
        <v>0.5707137639980029</v>
      </c>
      <c r="H198" s="52">
        <v>14310.9577</v>
      </c>
      <c r="I198" s="52">
        <v>7116.73</v>
      </c>
      <c r="J198" s="52">
        <v>7389.335500000001</v>
      </c>
      <c r="K198" s="52">
        <v>6605.049999999999</v>
      </c>
      <c r="L198" s="52">
        <v>784.2855000000018</v>
      </c>
      <c r="M198" s="53">
        <v>0.10613748692287713</v>
      </c>
      <c r="N198" s="53"/>
      <c r="O198" s="52">
        <v>6921.6222</v>
      </c>
      <c r="P198" s="52">
        <v>511.68</v>
      </c>
      <c r="Q198" s="52">
        <v>6409.9421999999995</v>
      </c>
      <c r="R198" s="53">
        <v>0.9260751330807971</v>
      </c>
      <c r="S198" s="54">
        <v>140.15</v>
      </c>
      <c r="T198" s="54">
        <v>9.25</v>
      </c>
      <c r="U198" s="54">
        <v>130.9</v>
      </c>
      <c r="V198" s="53">
        <v>0.9339992864787727</v>
      </c>
      <c r="W198" s="53"/>
      <c r="X198" s="55">
        <v>333.8172972972973</v>
      </c>
      <c r="Y198" s="55">
        <v>67.49902570438813</v>
      </c>
      <c r="Z198" s="53">
        <v>0.30260000000000004</v>
      </c>
      <c r="AA198" s="56">
        <v>0.398</v>
      </c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>
        <v>137109.56054889</v>
      </c>
      <c r="E219" s="52">
        <v>42368.33</v>
      </c>
      <c r="F219" s="52">
        <v>94741.23054889</v>
      </c>
      <c r="G219" s="53">
        <v>0.6909892364151188</v>
      </c>
      <c r="H219" s="52">
        <v>117394.569232</v>
      </c>
      <c r="I219" s="52">
        <v>37161.14</v>
      </c>
      <c r="J219" s="52">
        <v>99479.615032</v>
      </c>
      <c r="K219" s="52">
        <v>37161.14</v>
      </c>
      <c r="L219" s="52">
        <v>62318.475032</v>
      </c>
      <c r="M219" s="53">
        <v>0.6264446742375689</v>
      </c>
      <c r="N219" s="53"/>
      <c r="O219" s="52">
        <v>17914.9542</v>
      </c>
      <c r="P219" s="52">
        <v>0</v>
      </c>
      <c r="Q219" s="52">
        <v>17914.9542</v>
      </c>
      <c r="R219" s="53">
        <v>1</v>
      </c>
      <c r="S219" s="54">
        <v>358.86</v>
      </c>
      <c r="T219" s="54">
        <v>0</v>
      </c>
      <c r="U219" s="54">
        <v>358.86</v>
      </c>
      <c r="V219" s="53">
        <v>1</v>
      </c>
      <c r="W219" s="53"/>
      <c r="X219" s="55">
        <v>0</v>
      </c>
      <c r="Y219" s="55">
        <v>54.93783457863793</v>
      </c>
      <c r="Z219" s="53">
        <v>0.1229</v>
      </c>
      <c r="AA219" s="56">
        <v>0.1438</v>
      </c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>
        <v>412300.73261827</v>
      </c>
      <c r="E226" s="52">
        <v>353667.87</v>
      </c>
      <c r="F226" s="52">
        <v>58632.86261826998</v>
      </c>
      <c r="G226" s="53">
        <v>0.1422089702483149</v>
      </c>
      <c r="H226" s="52">
        <v>306356.278672</v>
      </c>
      <c r="I226" s="52">
        <v>252680.7</v>
      </c>
      <c r="J226" s="52">
        <v>186357.488872</v>
      </c>
      <c r="K226" s="52">
        <v>180716.68</v>
      </c>
      <c r="L226" s="52">
        <v>5640.808871999994</v>
      </c>
      <c r="M226" s="53">
        <v>0.03026875338438583</v>
      </c>
      <c r="N226" s="53"/>
      <c r="O226" s="52">
        <v>119998.7898</v>
      </c>
      <c r="P226" s="52">
        <v>71964.02</v>
      </c>
      <c r="Q226" s="52">
        <v>48034.769799999995</v>
      </c>
      <c r="R226" s="53">
        <v>0.400293785296158</v>
      </c>
      <c r="S226" s="54">
        <v>2412.45</v>
      </c>
      <c r="T226" s="54">
        <v>1535.92</v>
      </c>
      <c r="U226" s="54">
        <v>876.5299999999997</v>
      </c>
      <c r="V226" s="53">
        <v>0.363336027689693</v>
      </c>
      <c r="W226" s="53"/>
      <c r="X226" s="55">
        <v>65.75027996249804</v>
      </c>
      <c r="Y226" s="55">
        <v>43.91570973337064</v>
      </c>
      <c r="Z226" s="53">
        <v>0.28550000000000003</v>
      </c>
      <c r="AA226" s="56">
        <v>0.257</v>
      </c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>
        <v>8795.02836582</v>
      </c>
      <c r="E233" s="52">
        <v>1740.2</v>
      </c>
      <c r="F233" s="52">
        <v>7054.828365820001</v>
      </c>
      <c r="G233" s="53">
        <v>0.8021382163174237</v>
      </c>
      <c r="H233" s="52">
        <v>6369.1218</v>
      </c>
      <c r="I233" s="52">
        <v>584.85</v>
      </c>
      <c r="J233" s="52">
        <v>4527.894</v>
      </c>
      <c r="K233" s="52">
        <v>239.55</v>
      </c>
      <c r="L233" s="52">
        <v>4288.344</v>
      </c>
      <c r="M233" s="53">
        <v>0.9470946095469549</v>
      </c>
      <c r="N233" s="53"/>
      <c r="O233" s="52">
        <v>1841.2278</v>
      </c>
      <c r="P233" s="52">
        <v>345.3</v>
      </c>
      <c r="Q233" s="52">
        <v>1495.9278</v>
      </c>
      <c r="R233" s="53">
        <v>0.8124620973026804</v>
      </c>
      <c r="S233" s="54">
        <v>36.92</v>
      </c>
      <c r="T233" s="54">
        <v>6</v>
      </c>
      <c r="U233" s="54">
        <v>30.92</v>
      </c>
      <c r="V233" s="53">
        <v>0.8374864572047671</v>
      </c>
      <c r="W233" s="53"/>
      <c r="X233" s="55">
        <v>192.5583333333333</v>
      </c>
      <c r="Y233" s="55">
        <v>65.70711175027087</v>
      </c>
      <c r="Z233" s="53">
        <v>0.6639</v>
      </c>
      <c r="AA233" s="56">
        <v>0.2758</v>
      </c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>
        <v>27503.13664251</v>
      </c>
      <c r="E240" s="52">
        <v>0</v>
      </c>
      <c r="F240" s="52">
        <v>27503.13664251</v>
      </c>
      <c r="G240" s="53">
        <v>1</v>
      </c>
      <c r="H240" s="52">
        <v>19683.280628</v>
      </c>
      <c r="I240" s="52">
        <v>0</v>
      </c>
      <c r="J240" s="52">
        <v>10693.531628</v>
      </c>
      <c r="K240" s="52">
        <v>0</v>
      </c>
      <c r="L240" s="52">
        <v>10693.531628</v>
      </c>
      <c r="M240" s="53">
        <v>1</v>
      </c>
      <c r="N240" s="53"/>
      <c r="O240" s="52">
        <v>8989.749</v>
      </c>
      <c r="P240" s="52">
        <v>0</v>
      </c>
      <c r="Q240" s="52">
        <v>8989.749</v>
      </c>
      <c r="R240" s="53">
        <v>1</v>
      </c>
      <c r="S240" s="54">
        <v>180.16</v>
      </c>
      <c r="T240" s="54">
        <v>0</v>
      </c>
      <c r="U240" s="54">
        <v>180.16</v>
      </c>
      <c r="V240" s="53">
        <v>1</v>
      </c>
      <c r="W240" s="53"/>
      <c r="X240" s="55">
        <v>0</v>
      </c>
      <c r="Y240" s="55">
        <v>43.40506224750221</v>
      </c>
      <c r="Z240" s="53">
        <v>0</v>
      </c>
      <c r="AA240" s="56">
        <v>0.2843</v>
      </c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>
        <v>40670.1518342</v>
      </c>
      <c r="E247" s="52">
        <v>0</v>
      </c>
      <c r="F247" s="52">
        <v>40670.1518342</v>
      </c>
      <c r="G247" s="53">
        <v>1</v>
      </c>
      <c r="H247" s="52">
        <v>29498.3116992</v>
      </c>
      <c r="I247" s="52">
        <v>0</v>
      </c>
      <c r="J247" s="52">
        <v>24964.3288992</v>
      </c>
      <c r="K247" s="52">
        <v>0</v>
      </c>
      <c r="L247" s="52">
        <v>24964.3288992</v>
      </c>
      <c r="M247" s="53">
        <v>1</v>
      </c>
      <c r="N247" s="53"/>
      <c r="O247" s="52">
        <v>4533.9828</v>
      </c>
      <c r="P247" s="52">
        <v>0</v>
      </c>
      <c r="Q247" s="52">
        <v>4533.9828</v>
      </c>
      <c r="R247" s="53">
        <v>1</v>
      </c>
      <c r="S247" s="54">
        <v>90.88</v>
      </c>
      <c r="T247" s="54">
        <v>0</v>
      </c>
      <c r="U247" s="54">
        <v>90.88</v>
      </c>
      <c r="V247" s="53">
        <v>1</v>
      </c>
      <c r="W247" s="53"/>
      <c r="X247" s="55">
        <v>0</v>
      </c>
      <c r="Y247" s="55">
        <v>122.92957895026407</v>
      </c>
      <c r="Z247" s="53">
        <v>0</v>
      </c>
      <c r="AA247" s="56">
        <v>0.2747</v>
      </c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>
        <v>21396.50036782</v>
      </c>
      <c r="E254" s="52">
        <v>0</v>
      </c>
      <c r="F254" s="52">
        <v>21396.50036782</v>
      </c>
      <c r="G254" s="53">
        <v>1</v>
      </c>
      <c r="H254" s="52">
        <v>15378.244372</v>
      </c>
      <c r="I254" s="52">
        <v>0</v>
      </c>
      <c r="J254" s="52">
        <v>8344.608772</v>
      </c>
      <c r="K254" s="52">
        <v>0</v>
      </c>
      <c r="L254" s="52">
        <v>8344.608772</v>
      </c>
      <c r="M254" s="53">
        <v>1</v>
      </c>
      <c r="N254" s="53"/>
      <c r="O254" s="52">
        <v>7033.6356</v>
      </c>
      <c r="P254" s="52">
        <v>0</v>
      </c>
      <c r="Q254" s="52">
        <v>7033.6356</v>
      </c>
      <c r="R254" s="53">
        <v>1</v>
      </c>
      <c r="S254" s="54">
        <v>140.9</v>
      </c>
      <c r="T254" s="54">
        <v>0</v>
      </c>
      <c r="U254" s="54">
        <v>140.9</v>
      </c>
      <c r="V254" s="53">
        <v>1</v>
      </c>
      <c r="W254" s="53"/>
      <c r="X254" s="55">
        <v>0</v>
      </c>
      <c r="Y254" s="55">
        <v>42.71295951611073</v>
      </c>
      <c r="Z254" s="53">
        <v>0</v>
      </c>
      <c r="AA254" s="56">
        <v>0.2813</v>
      </c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>
        <v>239296.88379393</v>
      </c>
      <c r="E261" s="52">
        <v>19872.16</v>
      </c>
      <c r="F261" s="52">
        <v>219424.72379393</v>
      </c>
      <c r="G261" s="53">
        <v>0.916956043534972</v>
      </c>
      <c r="H261" s="52">
        <v>203192.691868</v>
      </c>
      <c r="I261" s="52">
        <v>18292.87</v>
      </c>
      <c r="J261" s="52">
        <v>175849.529668</v>
      </c>
      <c r="K261" s="52">
        <v>16897.46</v>
      </c>
      <c r="L261" s="52">
        <v>158952.069668</v>
      </c>
      <c r="M261" s="53">
        <v>0.9039095524912576</v>
      </c>
      <c r="N261" s="53"/>
      <c r="O261" s="52">
        <v>27343.1622</v>
      </c>
      <c r="P261" s="52">
        <v>1395.41</v>
      </c>
      <c r="Q261" s="52">
        <v>25947.7522</v>
      </c>
      <c r="R261" s="53">
        <v>0.9489667658117465</v>
      </c>
      <c r="S261" s="54">
        <v>547.57</v>
      </c>
      <c r="T261" s="54">
        <v>27.84</v>
      </c>
      <c r="U261" s="54">
        <v>519.73</v>
      </c>
      <c r="V261" s="53">
        <v>0.9491571853826908</v>
      </c>
      <c r="W261" s="53"/>
      <c r="X261" s="55">
        <v>56.727370689655174</v>
      </c>
      <c r="Y261" s="55">
        <v>65.93529946112827</v>
      </c>
      <c r="Z261" s="53">
        <v>0.0795</v>
      </c>
      <c r="AA261" s="56">
        <v>0.1509</v>
      </c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21498.290000000008</v>
      </c>
      <c r="E4" s="52">
        <v>704.6000000000058</v>
      </c>
      <c r="F4" s="52">
        <v>0</v>
      </c>
      <c r="G4" s="53">
        <v>0.03173460752181385</v>
      </c>
      <c r="H4" s="53">
        <v>0.2149</v>
      </c>
      <c r="I4" s="86">
        <v>50</v>
      </c>
      <c r="J4" s="87">
        <v>5000</v>
      </c>
      <c r="K4" s="52">
        <v>7000</v>
      </c>
      <c r="L4" s="53">
        <v>-0.283539665331855</v>
      </c>
      <c r="M4" s="52">
        <v>-6295.399999999994</v>
      </c>
      <c r="N4" s="54">
        <v>20</v>
      </c>
      <c r="O4" s="58">
        <v>-89.93428571428564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21082.62999999999</v>
      </c>
      <c r="E6" s="52">
        <v>20937.270000000004</v>
      </c>
      <c r="F6" s="52">
        <v>7</v>
      </c>
      <c r="G6" s="53">
        <v>0.4984369310731346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0.01598456921601445</v>
      </c>
      <c r="M6" s="52">
        <v>671.6700000000055</v>
      </c>
      <c r="N6" s="54">
        <v>-52.5</v>
      </c>
      <c r="O6" s="58">
        <v>1.500938547486046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62750.76999999999</v>
      </c>
      <c r="E12" s="52">
        <v>30525.309999999998</v>
      </c>
      <c r="F12" s="52">
        <v>3</v>
      </c>
      <c r="G12" s="53">
        <v>0.327289804631584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0.2989867284302685</v>
      </c>
      <c r="M12" s="52">
        <v>27888.309999999998</v>
      </c>
      <c r="N12" s="54">
        <v>53</v>
      </c>
      <c r="O12" s="58">
        <v>404.1784057971014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16020.68</v>
      </c>
      <c r="E14" s="52">
        <v>45349.04</v>
      </c>
      <c r="F14" s="52">
        <v>0</v>
      </c>
      <c r="G14" s="53">
        <v>0.738948132727345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0.6900640902386389</v>
      </c>
      <c r="M14" s="52">
        <v>42349.04</v>
      </c>
      <c r="N14" s="54">
        <v>-112</v>
      </c>
      <c r="O14" s="58">
        <v>-378.11642857142857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19232.930000000008</v>
      </c>
      <c r="E18" s="52">
        <v>8249.389999999985</v>
      </c>
      <c r="F18" s="52">
        <v>0</v>
      </c>
      <c r="G18" s="53">
        <v>0.30017080071842506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0.0017971554075487397</v>
      </c>
      <c r="M18" s="52">
        <v>49.389999999984866</v>
      </c>
      <c r="N18" s="54">
        <v>-269</v>
      </c>
      <c r="O18" s="58">
        <v>-0.26132275132267124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19065.239999999998</v>
      </c>
      <c r="D22" s="52">
        <v>20702.6</v>
      </c>
      <c r="E22" s="52">
        <v>-1637.3600000000006</v>
      </c>
      <c r="F22" s="52">
        <v>3</v>
      </c>
      <c r="G22" s="53">
        <v>-0.08572459617607756</v>
      </c>
      <c r="H22" s="53">
        <v>0.252488256827238</v>
      </c>
      <c r="I22" s="54"/>
      <c r="J22" s="52"/>
      <c r="K22" s="52">
        <v>0</v>
      </c>
      <c r="L22" s="53">
        <v>-0.08572459617607756</v>
      </c>
      <c r="M22" s="52">
        <v>-1634.3600000000006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16999.83</v>
      </c>
      <c r="D24" s="52">
        <v>15288.169999999998</v>
      </c>
      <c r="E24" s="52">
        <v>1711.6600000000035</v>
      </c>
      <c r="F24" s="52">
        <v>3</v>
      </c>
      <c r="G24" s="53">
        <v>0.1008633615747924</v>
      </c>
      <c r="H24" s="53"/>
      <c r="I24" s="54"/>
      <c r="J24" s="52"/>
      <c r="K24" s="52">
        <v>0</v>
      </c>
      <c r="L24" s="53">
        <v>0.1008633615747924</v>
      </c>
      <c r="M24" s="52">
        <v>1714.6600000000035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58.32</v>
      </c>
      <c r="E36" s="52">
        <v>-58.32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-3258.32</v>
      </c>
      <c r="N36" s="54"/>
      <c r="O36" s="58">
        <v>-40.729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8038.550000000003</v>
      </c>
      <c r="E38" s="52">
        <v>56052.439999999995</v>
      </c>
      <c r="F38" s="52">
        <v>0</v>
      </c>
      <c r="G38" s="53">
        <v>0.8745759739395506</v>
      </c>
      <c r="H38" s="53">
        <v>0.1750921737769</v>
      </c>
      <c r="I38" s="54"/>
      <c r="J38" s="52"/>
      <c r="K38" s="52">
        <v>0</v>
      </c>
      <c r="L38" s="53">
        <v>0.8745759739395506</v>
      </c>
      <c r="M38" s="52">
        <v>56052.439999999995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6081.02</v>
      </c>
      <c r="D48" s="99">
        <v>3650.3599999999988</v>
      </c>
      <c r="E48" s="99">
        <v>2430.6600000000017</v>
      </c>
      <c r="F48" s="99"/>
      <c r="G48" s="100">
        <v>0.39971254822381797</v>
      </c>
      <c r="H48" s="100">
        <v>0.222350780727547</v>
      </c>
      <c r="I48" s="98"/>
      <c r="J48" s="99">
        <v>2530</v>
      </c>
      <c r="K48" s="99">
        <v>2530</v>
      </c>
      <c r="L48" s="100">
        <v>-0.0163360751979106</v>
      </c>
      <c r="M48" s="99">
        <v>-99.33999999999833</v>
      </c>
      <c r="N48" s="98">
        <v>-44.75</v>
      </c>
      <c r="O48" s="60">
        <v>2.2198882681563874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2097.39</v>
      </c>
      <c r="E50" s="99">
        <v>-2097.39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-2097.39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2625.4400000000023</v>
      </c>
      <c r="E52" s="99">
        <v>-2625.4400000000023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-3905.4400000000023</v>
      </c>
      <c r="N52" s="98">
        <v>-304.75</v>
      </c>
      <c r="O52" s="60">
        <v>14.318753437213575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3801.9399999999996</v>
      </c>
      <c r="D54" s="99">
        <v>3273.68</v>
      </c>
      <c r="E54" s="99">
        <v>528.2599999999998</v>
      </c>
      <c r="F54" s="99"/>
      <c r="G54" s="100">
        <v>0.13894485446903418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-0.029390258657422327</v>
      </c>
      <c r="M54" s="99">
        <v>-111.74000000000024</v>
      </c>
      <c r="N54" s="98">
        <v>-11.25</v>
      </c>
      <c r="O54" s="60">
        <v>-23.52421052631584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12193.580000000002</v>
      </c>
      <c r="D64" s="99">
        <v>11037.14</v>
      </c>
      <c r="E64" s="99">
        <v>1156.4400000000023</v>
      </c>
      <c r="F64" s="99"/>
      <c r="G64" s="100">
        <v>0.09484007157865058</v>
      </c>
      <c r="H64" s="100">
        <v>0.143790046441692</v>
      </c>
      <c r="I64" s="98"/>
      <c r="J64" s="99">
        <v>1750</v>
      </c>
      <c r="K64" s="99">
        <v>1750</v>
      </c>
      <c r="L64" s="100">
        <v>-0.04867807485578457</v>
      </c>
      <c r="M64" s="99">
        <v>-593.5599999999977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18357.890000000014</v>
      </c>
      <c r="E66" s="99">
        <v>63921.82999999996</v>
      </c>
      <c r="F66" s="99"/>
      <c r="G66" s="100">
        <v>0.7768843890086158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0.7379926669658086</v>
      </c>
      <c r="M66" s="99">
        <v>60721.82999999996</v>
      </c>
      <c r="N66" s="98">
        <v>-1014.25</v>
      </c>
      <c r="O66" s="60">
        <v>-64.99526893229859</v>
      </c>
    </row>
    <row r="67" ht="15" customHeight="1" spans="1:30" x14ac:dyDescent="0.25">
      <c r="A67" s="102">
        <v>9437</v>
      </c>
      <c r="B67" s="98" t="s">
        <v>68</v>
      </c>
      <c r="C67" s="99">
        <v>19872.16</v>
      </c>
      <c r="D67" s="99">
        <v>18292.87</v>
      </c>
      <c r="E67" s="99">
        <v>1579.2900000000009</v>
      </c>
      <c r="F67" s="99"/>
      <c r="G67" s="100">
        <v>0.07947248814421788</v>
      </c>
      <c r="H67" s="100">
        <f>'Deliverables Sheet'!AA256</f>
      </c>
      <c r="I67" s="98"/>
      <c r="J67" s="99"/>
      <c r="K67" s="99">
        <v>0</v>
      </c>
      <c r="L67" s="100">
        <v>0.07947248814421788</v>
      </c>
      <c r="M67" s="99">
        <v>1579.2900000000009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1740.2</v>
      </c>
      <c r="D71" s="99">
        <v>584.85</v>
      </c>
      <c r="E71" s="99">
        <v>1155.35</v>
      </c>
      <c r="F71" s="99"/>
      <c r="G71" s="100">
        <v>0.663917940466613</v>
      </c>
      <c r="H71" s="100">
        <f>'Deliverables Sheet'!AA228</f>
      </c>
      <c r="I71" s="98"/>
      <c r="J71" s="99"/>
      <c r="K71" s="99">
        <v>0</v>
      </c>
      <c r="L71" s="100">
        <v>0.663917940466613</v>
      </c>
      <c r="M71" s="99">
        <v>1155.35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501839.88</v>
      </c>
      <c r="D74" s="104">
        <v>255671.49999999997</v>
      </c>
      <c r="E74" s="105">
        <v>246168.37999999998</v>
      </c>
      <c r="F74" s="106" t="s">
        <v>128</v>
      </c>
      <c r="G74" s="107">
        <v>0.49053172099435377</v>
      </c>
      <c r="H74" s="108" t="s">
        <v>129</v>
      </c>
      <c r="I74" s="109">
        <v>0.3505815042040899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821.5</v>
      </c>
      <c r="E12" s="54">
        <v>302.97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366.25</v>
      </c>
      <c r="E14" s="54">
        <v>135.57999999999998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699.75</v>
      </c>
      <c r="E18" s="54">
        <v>-14.269999999999982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237.25</v>
      </c>
      <c r="E24" s="54">
        <v>234.89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6</v>
      </c>
      <c r="E71" s="54">
        <v>30.92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