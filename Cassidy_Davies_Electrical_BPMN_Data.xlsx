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<sst xmlns="http://schemas.openxmlformats.org/spreadsheetml/2006/main" count="1191" uniqueCount="231">
  <si>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</si>
  <si>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</si>
  <si>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</si>
  <si>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</si>
  <si>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</si>
  <si>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</si>
  <si>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</si>
  <si>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</si>
  <si>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</si>
  <si>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</si>
  <si>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</si>
  <si>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</si>
  <si>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</si>
  <si>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</si>
  <si>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</si>
  <si>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</si>
  <si>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</si>
  <si>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</si>
  <si>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</si>
  <si>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</si>
  <si>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</si>
  <si>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</si>
  <si>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</si>
  <si>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</si>
  <si>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</si>
  <si>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</si>
  <si>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</si>
  <si>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</si>
  <si>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</si>
  <si>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</si>
  <si>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</si>
  <si>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</si>
  <si>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</si>
  <si>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</si>
  <si>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</si>
  <si>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</si>
  <si>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</si>
  <si>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</si>
  <si>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</si>
  <si>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</si>
  <si>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</si>
  <si>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</si>
  <si>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</si>
  <si>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</si>
  <si>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</si>
  <si>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</si>
  <si>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</si>
  <si>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</si>
  <si>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</si>
  <si>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</si>
  <si>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</si>
  <si>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</si>
  <si>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</si>
  <si>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</si>
  <si>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</si>
  <si>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</si>
  <si>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</si>
  <si>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</si>
  <si>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</si>
  <si>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</si>
  <si>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</si>
  <si>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</si>
  <si>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</si>
  <si>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</si>
  <si>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Charles Roselier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</si>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</sst>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 t="s">
        <v>42</v>
      </c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 t="s">
        <v>42</v>
      </c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 t="s">
        <v>42</v>
      </c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27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64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42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42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>
        <v>267886.84883856</v>
      </c>
      <c r="E8" s="52">
        <v>238732.97</v>
      </c>
      <c r="F8" s="52">
        <v>29153.87883855999</v>
      </c>
      <c r="G8" s="53">
        <v>0.10882907826553799</v>
      </c>
      <c r="H8" s="52">
        <v>225410.5455298</v>
      </c>
      <c r="I8" s="52">
        <v>188979.91</v>
      </c>
      <c r="J8" s="52">
        <v>193787.2413298</v>
      </c>
      <c r="K8" s="52">
        <v>158312.05</v>
      </c>
      <c r="L8" s="52">
        <v>35475.1913298</v>
      </c>
      <c r="M8" s="53">
        <v>0.18306257463785228</v>
      </c>
      <c r="N8" s="53"/>
      <c r="O8" s="52">
        <v>31623.3042</v>
      </c>
      <c r="P8" s="52">
        <v>30667.86</v>
      </c>
      <c r="Q8" s="52">
        <v>955.4441999999981</v>
      </c>
      <c r="R8" s="53">
        <v>0.030213294409633454</v>
      </c>
      <c r="S8" s="54">
        <v>638.02</v>
      </c>
      <c r="T8" s="54">
        <v>616.75</v>
      </c>
      <c r="U8" s="54">
        <v>21.269999999999982</v>
      </c>
      <c r="V8" s="53">
        <v>0.03333751293062911</v>
      </c>
      <c r="W8" s="53"/>
      <c r="X8" s="55">
        <v>80.66973652209161</v>
      </c>
      <c r="Y8" s="55">
        <v>66.57519091683645</v>
      </c>
      <c r="Z8" s="53">
        <v>0.2084</v>
      </c>
      <c r="AA8" s="56">
        <v>0.1586</v>
      </c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>
        <v>132076.08820213</v>
      </c>
      <c r="E15" s="62">
        <v>127883.98</v>
      </c>
      <c r="F15" s="52">
        <v>4192.108202129995</v>
      </c>
      <c r="G15" s="53">
        <v>0.031740099659178046</v>
      </c>
      <c r="H15" s="52">
        <v>103822.973895</v>
      </c>
      <c r="I15" s="52">
        <v>92794.34</v>
      </c>
      <c r="J15" s="52">
        <v>85672.874895</v>
      </c>
      <c r="K15" s="52">
        <v>80310.79999999999</v>
      </c>
      <c r="L15" s="52">
        <v>5362.0748950000125</v>
      </c>
      <c r="M15" s="53">
        <v>0.0625877782386984</v>
      </c>
      <c r="N15" s="53"/>
      <c r="O15" s="52">
        <v>18150.099</v>
      </c>
      <c r="P15" s="52">
        <v>12483.54</v>
      </c>
      <c r="Q15" s="52">
        <v>5666.5589999999975</v>
      </c>
      <c r="R15" s="53">
        <v>0.31220540449944645</v>
      </c>
      <c r="S15" s="54">
        <v>363.57</v>
      </c>
      <c r="T15" s="54">
        <v>272.5</v>
      </c>
      <c r="U15" s="54">
        <v>91.07</v>
      </c>
      <c r="V15" s="53">
        <v>0.25048821409907307</v>
      </c>
      <c r="W15" s="53"/>
      <c r="X15" s="55">
        <v>128.76932110091744</v>
      </c>
      <c r="Y15" s="55">
        <v>77.71024646458726</v>
      </c>
      <c r="Z15" s="53">
        <v>0.27440000000000003</v>
      </c>
      <c r="AA15" s="56">
        <v>0.2139</v>
      </c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>
        <v>27500.3157</v>
      </c>
      <c r="E22" s="52">
        <v>11999.08</v>
      </c>
      <c r="F22" s="52">
        <v>15501.2357</v>
      </c>
      <c r="G22" s="53">
        <v>0.563674827194802</v>
      </c>
      <c r="H22" s="52">
        <v>19565.829</v>
      </c>
      <c r="I22" s="52">
        <v>8083.92</v>
      </c>
      <c r="J22" s="52">
        <v>13767.337200000002</v>
      </c>
      <c r="K22" s="52">
        <v>6373.24</v>
      </c>
      <c r="L22" s="52">
        <v>7394.097200000002</v>
      </c>
      <c r="M22" s="53">
        <v>0.5370753321855152</v>
      </c>
      <c r="N22" s="53"/>
      <c r="O22" s="52">
        <v>5798.4918</v>
      </c>
      <c r="P22" s="52">
        <v>1710.68</v>
      </c>
      <c r="Q22" s="52">
        <v>4087.8117999999995</v>
      </c>
      <c r="R22" s="53">
        <v>0.7049784566393626</v>
      </c>
      <c r="S22" s="54">
        <v>125.39</v>
      </c>
      <c r="T22" s="54">
        <v>34.75</v>
      </c>
      <c r="U22" s="54">
        <v>90.64</v>
      </c>
      <c r="V22" s="53">
        <v>0.7228646622537682</v>
      </c>
      <c r="W22" s="53"/>
      <c r="X22" s="55">
        <v>112.66647482014388</v>
      </c>
      <c r="Y22" s="55">
        <v>63.27846478985563</v>
      </c>
      <c r="Z22" s="53">
        <v>0.32630000000000003</v>
      </c>
      <c r="AA22" s="56">
        <v>0.2885</v>
      </c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>
        <v>397238.61073204</v>
      </c>
      <c r="E36" s="52">
        <v>352623.79</v>
      </c>
      <c r="F36" s="52">
        <v>44614.82073204004</v>
      </c>
      <c r="G36" s="53">
        <v>0.112312397452561</v>
      </c>
      <c r="H36" s="52">
        <v>328046.93216</v>
      </c>
      <c r="I36" s="52">
        <v>277449.99</v>
      </c>
      <c r="J36" s="52">
        <v>271925.57216000004</v>
      </c>
      <c r="K36" s="52">
        <v>243603.25999999998</v>
      </c>
      <c r="L36" s="52">
        <v>28322.31216000006</v>
      </c>
      <c r="M36" s="53">
        <v>0.1041546476671025</v>
      </c>
      <c r="N36" s="53"/>
      <c r="O36" s="52">
        <v>56121.36</v>
      </c>
      <c r="P36" s="52">
        <v>33846.73</v>
      </c>
      <c r="Q36" s="52">
        <v>22274.629999999997</v>
      </c>
      <c r="R36" s="53">
        <v>0.39690110859751077</v>
      </c>
      <c r="S36" s="54">
        <v>1124.47</v>
      </c>
      <c r="T36" s="54">
        <v>783</v>
      </c>
      <c r="U36" s="54">
        <v>341.47</v>
      </c>
      <c r="V36" s="53">
        <v>0.3036719521196653</v>
      </c>
      <c r="W36" s="53"/>
      <c r="X36" s="55">
        <v>96.00740740740741</v>
      </c>
      <c r="Y36" s="55">
        <v>61.532703026350184</v>
      </c>
      <c r="Z36" s="53">
        <v>0.2132</v>
      </c>
      <c r="AA36" s="56">
        <v>0.1742</v>
      </c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>
        <v>128258.49930985</v>
      </c>
      <c r="E43" s="52">
        <v>115314.55</v>
      </c>
      <c r="F43" s="52">
        <v>12943.949309849995</v>
      </c>
      <c r="G43" s="53">
        <v>0.10092079183446305</v>
      </c>
      <c r="H43" s="52">
        <v>94098.31685</v>
      </c>
      <c r="I43" s="52">
        <v>56767.07</v>
      </c>
      <c r="J43" s="52">
        <v>69042.08885</v>
      </c>
      <c r="K43" s="52">
        <v>40878.83</v>
      </c>
      <c r="L43" s="52">
        <v>28163.25885</v>
      </c>
      <c r="M43" s="53">
        <v>0.40791435078372484</v>
      </c>
      <c r="N43" s="53"/>
      <c r="O43" s="52">
        <v>25056.228</v>
      </c>
      <c r="P43" s="52">
        <v>15888.24</v>
      </c>
      <c r="Q43" s="52">
        <v>9167.988</v>
      </c>
      <c r="R43" s="53">
        <v>0.3658965746959199</v>
      </c>
      <c r="S43" s="54">
        <v>501.83</v>
      </c>
      <c r="T43" s="54">
        <v>358.75</v>
      </c>
      <c r="U43" s="54">
        <v>143.07999999999998</v>
      </c>
      <c r="V43" s="53">
        <v>0.28511647370623516</v>
      </c>
      <c r="W43" s="53"/>
      <c r="X43" s="55">
        <v>163.1985505226481</v>
      </c>
      <c r="Y43" s="55">
        <v>68.07122423898531</v>
      </c>
      <c r="Z43" s="53">
        <v>0.5077</v>
      </c>
      <c r="AA43" s="56">
        <v>0.2663</v>
      </c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>
        <v>65693.35850319</v>
      </c>
      <c r="E50" s="52">
        <v>33326.49</v>
      </c>
      <c r="F50" s="52">
        <v>32366.868503190002</v>
      </c>
      <c r="G50" s="53">
        <v>0.49269620614111703</v>
      </c>
      <c r="H50" s="52">
        <v>50582.36785</v>
      </c>
      <c r="I50" s="52">
        <v>29601.04</v>
      </c>
      <c r="J50" s="52">
        <v>39438.99025</v>
      </c>
      <c r="K50" s="52">
        <v>20244.31</v>
      </c>
      <c r="L50" s="52">
        <v>19194.68025</v>
      </c>
      <c r="M50" s="53">
        <v>0.4866929941240065</v>
      </c>
      <c r="N50" s="53"/>
      <c r="O50" s="52">
        <v>11143.3776</v>
      </c>
      <c r="P50" s="52">
        <v>9356.73</v>
      </c>
      <c r="Q50" s="52">
        <v>1786.6476000000002</v>
      </c>
      <c r="R50" s="53">
        <v>0.1603326804612634</v>
      </c>
      <c r="S50" s="54">
        <v>223.22</v>
      </c>
      <c r="T50" s="54">
        <v>216.5</v>
      </c>
      <c r="U50" s="54">
        <v>6.719999999999999</v>
      </c>
      <c r="V50" s="53">
        <v>0.030104829316369496</v>
      </c>
      <c r="W50" s="53"/>
      <c r="X50" s="55">
        <v>17.207621247113163</v>
      </c>
      <c r="Y50" s="55">
        <v>67.69550512136009</v>
      </c>
      <c r="Z50" s="53">
        <v>0.1118</v>
      </c>
      <c r="AA50" s="56">
        <v>0.23</v>
      </c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>
        <v>155296.79012754</v>
      </c>
      <c r="E57" s="52">
        <v>155296.8</v>
      </c>
      <c r="F57" s="52">
        <v>-0.009872459981124848</v>
      </c>
      <c r="G57" s="53">
        <v>-6.357156495647419e-8</v>
      </c>
      <c r="H57" s="52">
        <v>109364.9721</v>
      </c>
      <c r="I57" s="52">
        <v>110254.03</v>
      </c>
      <c r="J57" s="52">
        <v>75135.0159</v>
      </c>
      <c r="K57" s="52">
        <v>78269.58</v>
      </c>
      <c r="L57" s="52">
        <v>-3134.5641000000032</v>
      </c>
      <c r="M57" s="53">
        <v>-0.04171908480290883</v>
      </c>
      <c r="N57" s="53"/>
      <c r="O57" s="52">
        <v>34229.9562</v>
      </c>
      <c r="P57" s="52">
        <v>31984.45</v>
      </c>
      <c r="Q57" s="52">
        <v>2245.5062</v>
      </c>
      <c r="R57" s="53">
        <v>0.06560061563853242</v>
      </c>
      <c r="S57" s="54">
        <v>685.48</v>
      </c>
      <c r="T57" s="54">
        <v>669</v>
      </c>
      <c r="U57" s="54">
        <v>16.480000000000018</v>
      </c>
      <c r="V57" s="53">
        <v>0.02404154752873901</v>
      </c>
      <c r="W57" s="53"/>
      <c r="X57" s="55">
        <v>67.32850523168908</v>
      </c>
      <c r="Y57" s="55">
        <v>67.00679527854935</v>
      </c>
      <c r="Z57" s="53">
        <v>0.29</v>
      </c>
      <c r="AA57" s="56">
        <v>0.2958</v>
      </c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>
        <v>53029.71458947</v>
      </c>
      <c r="E71" s="52">
        <v>10650.43</v>
      </c>
      <c r="F71" s="52">
        <v>42379.28458947</v>
      </c>
      <c r="G71" s="53">
        <v>0.7991610914286378</v>
      </c>
      <c r="H71" s="52">
        <v>39055.77825</v>
      </c>
      <c r="I71" s="52">
        <v>22176.82</v>
      </c>
      <c r="J71" s="52">
        <v>29537.289750000004</v>
      </c>
      <c r="K71" s="52">
        <v>19672.02</v>
      </c>
      <c r="L71" s="52">
        <v>9865.269750000003</v>
      </c>
      <c r="M71" s="53">
        <v>0.3339937358335323</v>
      </c>
      <c r="N71" s="53"/>
      <c r="O71" s="52">
        <v>9518.4885</v>
      </c>
      <c r="P71" s="52">
        <v>2504.8</v>
      </c>
      <c r="Q71" s="52">
        <v>7013.688499999999</v>
      </c>
      <c r="R71" s="53">
        <v>0.7368489755490065</v>
      </c>
      <c r="S71" s="54">
        <v>193.32</v>
      </c>
      <c r="T71" s="54">
        <v>52.75</v>
      </c>
      <c r="U71" s="54">
        <v>140.57</v>
      </c>
      <c r="V71" s="53">
        <v>0.7271363542313263</v>
      </c>
      <c r="W71" s="53"/>
      <c r="X71" s="55">
        <v>-218.50976303317535</v>
      </c>
      <c r="Y71" s="55">
        <v>72.28396616733912</v>
      </c>
      <c r="Z71" s="53">
        <v>-1.0822</v>
      </c>
      <c r="AA71" s="56">
        <v>0.2635</v>
      </c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>
        <v>78753.06644148</v>
      </c>
      <c r="E78" s="52">
        <v>44764.99</v>
      </c>
      <c r="F78" s="52">
        <v>33988.07644148</v>
      </c>
      <c r="G78" s="53">
        <v>0.43157781629666364</v>
      </c>
      <c r="H78" s="52">
        <v>55589.7822</v>
      </c>
      <c r="I78" s="52">
        <v>41600.05</v>
      </c>
      <c r="J78" s="52">
        <v>32594.7534</v>
      </c>
      <c r="K78" s="52">
        <v>33198.87</v>
      </c>
      <c r="L78" s="52">
        <v>-604.1166000000012</v>
      </c>
      <c r="M78" s="53">
        <v>-0.018534166912887312</v>
      </c>
      <c r="N78" s="53"/>
      <c r="O78" s="52">
        <v>22995.0288</v>
      </c>
      <c r="P78" s="52">
        <v>8401.18</v>
      </c>
      <c r="Q78" s="52">
        <v>14593.8488</v>
      </c>
      <c r="R78" s="53">
        <v>0.6346523384219462</v>
      </c>
      <c r="S78" s="54">
        <v>472.14</v>
      </c>
      <c r="T78" s="54">
        <v>167.25</v>
      </c>
      <c r="U78" s="54">
        <v>304.89</v>
      </c>
      <c r="V78" s="53">
        <v>0.6457618502986402</v>
      </c>
      <c r="W78" s="53"/>
      <c r="X78" s="55">
        <v>18.92340807174888</v>
      </c>
      <c r="Y78" s="55">
        <v>49.060202993773025</v>
      </c>
      <c r="Z78" s="53">
        <v>0.0707</v>
      </c>
      <c r="AA78" s="56">
        <v>0.2941</v>
      </c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>
        <v>25467.8441072</v>
      </c>
      <c r="E85" s="52">
        <v>19598.41</v>
      </c>
      <c r="F85" s="52">
        <v>5869.434107199999</v>
      </c>
      <c r="G85" s="53">
        <v>0.23046450584879521</v>
      </c>
      <c r="H85" s="52">
        <v>16606.829916</v>
      </c>
      <c r="I85" s="52">
        <v>14118.07</v>
      </c>
      <c r="J85" s="52">
        <v>9659.986716</v>
      </c>
      <c r="K85" s="52">
        <v>5298.48</v>
      </c>
      <c r="L85" s="52">
        <v>4361.506716</v>
      </c>
      <c r="M85" s="53">
        <v>0.4515023513206248</v>
      </c>
      <c r="N85" s="53"/>
      <c r="O85" s="52">
        <v>6946.8432</v>
      </c>
      <c r="P85" s="52">
        <v>8819.59</v>
      </c>
      <c r="Q85" s="52">
        <v>-1872.7468</v>
      </c>
      <c r="R85" s="53">
        <v>-0.26958241982487813</v>
      </c>
      <c r="S85" s="54">
        <v>139.07</v>
      </c>
      <c r="T85" s="54">
        <v>167.75</v>
      </c>
      <c r="U85" s="54">
        <v>-28.680000000000007</v>
      </c>
      <c r="V85" s="53">
        <v>-0.20622707988782632</v>
      </c>
      <c r="W85" s="53"/>
      <c r="X85" s="55">
        <v>32.669687034277196</v>
      </c>
      <c r="Y85" s="55">
        <v>63.7162162306752</v>
      </c>
      <c r="Z85" s="53">
        <v>0.2796</v>
      </c>
      <c r="AA85" s="56">
        <v>0.3479</v>
      </c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>
        <v>37083.0313712</v>
      </c>
      <c r="E92" s="67">
        <v>36381.33</v>
      </c>
      <c r="F92" s="52">
        <v>701.7013711999971</v>
      </c>
      <c r="G92" s="53">
        <v>0.018922438248804095</v>
      </c>
      <c r="H92" s="52">
        <v>27002.93286</v>
      </c>
      <c r="I92" s="52">
        <v>25103.82</v>
      </c>
      <c r="J92" s="52">
        <v>15440.324460000002</v>
      </c>
      <c r="K92" s="52">
        <v>13974.73</v>
      </c>
      <c r="L92" s="52">
        <v>1465.594460000002</v>
      </c>
      <c r="M92" s="53">
        <v>0.0949199263135175</v>
      </c>
      <c r="N92" s="53"/>
      <c r="O92" s="52">
        <v>11562.6084</v>
      </c>
      <c r="P92" s="52">
        <v>11129.09</v>
      </c>
      <c r="Q92" s="52">
        <v>433.518399999999</v>
      </c>
      <c r="R92" s="53">
        <v>0.03749313174006646</v>
      </c>
      <c r="S92" s="68">
        <v>231.75</v>
      </c>
      <c r="T92" s="68">
        <v>225.5</v>
      </c>
      <c r="U92" s="54">
        <v>6.25</v>
      </c>
      <c r="V92" s="53">
        <v>0.02696871628910464</v>
      </c>
      <c r="W92" s="53"/>
      <c r="X92" s="55">
        <v>50.01113082039912</v>
      </c>
      <c r="Y92" s="55">
        <v>43.49557070636461</v>
      </c>
      <c r="Z92" s="53">
        <v>0.31</v>
      </c>
      <c r="AA92" s="56">
        <v>0.2718</v>
      </c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>
        <v>26186.1354</v>
      </c>
      <c r="E99" s="52">
        <v>5762.27</v>
      </c>
      <c r="F99" s="52">
        <v>20423.8654</v>
      </c>
      <c r="G99" s="53">
        <v>0.7799495835494686</v>
      </c>
      <c r="H99" s="52">
        <v>19428.9760178</v>
      </c>
      <c r="I99" s="52">
        <v>8019.36</v>
      </c>
      <c r="J99" s="52">
        <v>12051.3142178</v>
      </c>
      <c r="K99" s="52">
        <v>7687.129999999999</v>
      </c>
      <c r="L99" s="52">
        <v>4364.184217800001</v>
      </c>
      <c r="M99" s="53">
        <v>0.3621334685103493</v>
      </c>
      <c r="N99" s="53"/>
      <c r="O99" s="52">
        <v>7377.6618</v>
      </c>
      <c r="P99" s="52">
        <v>332.23</v>
      </c>
      <c r="Q99" s="52">
        <v>7045.4318</v>
      </c>
      <c r="R99" s="53">
        <v>0.954968117405436</v>
      </c>
      <c r="S99" s="54">
        <v>147.9</v>
      </c>
      <c r="T99" s="54">
        <v>6.5</v>
      </c>
      <c r="U99" s="54">
        <v>141.4</v>
      </c>
      <c r="V99" s="53">
        <v>0.9560513860716701</v>
      </c>
      <c r="W99" s="53"/>
      <c r="X99" s="55">
        <v>-347.24461538461543</v>
      </c>
      <c r="Y99" s="55">
        <v>45.687352144692355</v>
      </c>
      <c r="Z99" s="53">
        <v>-0.3917</v>
      </c>
      <c r="AA99" s="56">
        <v>0.258</v>
      </c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>
        <v>21978.65615186</v>
      </c>
      <c r="E120" s="52">
        <v>0</v>
      </c>
      <c r="F120" s="52">
        <v>21978.65615186</v>
      </c>
      <c r="G120" s="53">
        <v>1</v>
      </c>
      <c r="H120" s="52">
        <v>17872.766891</v>
      </c>
      <c r="I120" s="52">
        <v>0</v>
      </c>
      <c r="J120" s="52">
        <v>13579.636691</v>
      </c>
      <c r="K120" s="52">
        <v>0</v>
      </c>
      <c r="L120" s="52">
        <v>13579.636691</v>
      </c>
      <c r="M120" s="53">
        <v>1</v>
      </c>
      <c r="N120" s="53"/>
      <c r="O120" s="52">
        <v>4293.1302</v>
      </c>
      <c r="P120" s="52">
        <v>0</v>
      </c>
      <c r="Q120" s="52">
        <v>4293.1302</v>
      </c>
      <c r="R120" s="53">
        <v>1</v>
      </c>
      <c r="S120" s="54">
        <v>86.01</v>
      </c>
      <c r="T120" s="54">
        <v>0</v>
      </c>
      <c r="U120" s="54">
        <v>86.01</v>
      </c>
      <c r="V120" s="53">
        <v>1</v>
      </c>
      <c r="W120" s="53"/>
      <c r="X120" s="55">
        <v>0</v>
      </c>
      <c r="Y120" s="55">
        <v>47.73734752772933</v>
      </c>
      <c r="Z120" s="53">
        <v>0</v>
      </c>
      <c r="AA120" s="56">
        <v>0.1868</v>
      </c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>
        <v>105896.9567712</v>
      </c>
      <c r="E127" s="52">
        <v>79457.73</v>
      </c>
      <c r="F127" s="52">
        <v>26439.226771200003</v>
      </c>
      <c r="G127" s="53">
        <v>0.2496693727311197</v>
      </c>
      <c r="H127" s="52">
        <v>85934.2000148</v>
      </c>
      <c r="I127" s="52">
        <v>66541.03</v>
      </c>
      <c r="J127" s="52">
        <v>70065.71561479999</v>
      </c>
      <c r="K127" s="52">
        <v>61659.44</v>
      </c>
      <c r="L127" s="52">
        <v>8406.27561479999</v>
      </c>
      <c r="M127" s="53">
        <v>0.11997701787583442</v>
      </c>
      <c r="N127" s="53"/>
      <c r="O127" s="52">
        <v>15868.4844</v>
      </c>
      <c r="P127" s="52">
        <v>4881.59</v>
      </c>
      <c r="Q127" s="52">
        <v>10986.8944</v>
      </c>
      <c r="R127" s="53">
        <v>0.6923720074993425</v>
      </c>
      <c r="S127" s="54">
        <v>317.92</v>
      </c>
      <c r="T127" s="54">
        <v>106</v>
      </c>
      <c r="U127" s="54">
        <v>211.92000000000002</v>
      </c>
      <c r="V127" s="53">
        <v>0.6665827881227983</v>
      </c>
      <c r="W127" s="53"/>
      <c r="X127" s="55">
        <v>121.8556603773585</v>
      </c>
      <c r="Y127" s="55">
        <v>62.79176131227983</v>
      </c>
      <c r="Z127" s="53">
        <v>0.16260000000000002</v>
      </c>
      <c r="AA127" s="56">
        <v>0.1885</v>
      </c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>
        <v>31802.4136956</v>
      </c>
      <c r="E134" s="52">
        <v>16498.64</v>
      </c>
      <c r="F134" s="52">
        <v>15303.7736956</v>
      </c>
      <c r="G134" s="53">
        <v>0.48121421984134943</v>
      </c>
      <c r="H134" s="52">
        <v>23448.14263</v>
      </c>
      <c r="I134" s="52">
        <v>12360.83</v>
      </c>
      <c r="J134" s="52">
        <v>15632.028429999998</v>
      </c>
      <c r="K134" s="52">
        <v>11772.08</v>
      </c>
      <c r="L134" s="52">
        <v>3859.9484299999986</v>
      </c>
      <c r="M134" s="53">
        <v>0.24692562755273845</v>
      </c>
      <c r="N134" s="53"/>
      <c r="O134" s="52">
        <v>7816.1142</v>
      </c>
      <c r="P134" s="52">
        <v>588.75</v>
      </c>
      <c r="Q134" s="52">
        <v>7227.3642</v>
      </c>
      <c r="R134" s="53">
        <v>0.92467484674162</v>
      </c>
      <c r="S134" s="54">
        <v>156.69</v>
      </c>
      <c r="T134" s="54">
        <v>11.5</v>
      </c>
      <c r="U134" s="54">
        <v>145.19</v>
      </c>
      <c r="V134" s="53">
        <v>0.9266066756015061</v>
      </c>
      <c r="W134" s="53"/>
      <c r="X134" s="55">
        <v>359.80956521739137</v>
      </c>
      <c r="Y134" s="55">
        <v>53.31719360265494</v>
      </c>
      <c r="Z134" s="53">
        <v>0.25079999999999997</v>
      </c>
      <c r="AA134" s="56">
        <v>0.2627</v>
      </c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>
        <v>17899.333054</v>
      </c>
      <c r="E162" s="52">
        <v>13424.5</v>
      </c>
      <c r="F162" s="52">
        <v>4474.833053999999</v>
      </c>
      <c r="G162" s="53">
        <v>0.24999998829565323</v>
      </c>
      <c r="H162" s="52">
        <v>13919.4012884</v>
      </c>
      <c r="I162" s="52">
        <v>12620.62</v>
      </c>
      <c r="J162" s="52">
        <v>8410.9272884</v>
      </c>
      <c r="K162" s="52">
        <v>7749.860000000001</v>
      </c>
      <c r="L162" s="52">
        <v>661.0672883999996</v>
      </c>
      <c r="M162" s="53">
        <v>0.07859624340252186</v>
      </c>
      <c r="N162" s="53"/>
      <c r="O162" s="52">
        <v>5508.474</v>
      </c>
      <c r="P162" s="52">
        <v>4870.76</v>
      </c>
      <c r="Q162" s="52">
        <v>637.7139999999999</v>
      </c>
      <c r="R162" s="53">
        <v>0.11576963057282287</v>
      </c>
      <c r="S162" s="54">
        <v>110.44</v>
      </c>
      <c r="T162" s="54">
        <v>95.5</v>
      </c>
      <c r="U162" s="54">
        <v>14.939999999999998</v>
      </c>
      <c r="V162" s="53">
        <v>0.13527707352408547</v>
      </c>
      <c r="W162" s="53"/>
      <c r="X162" s="55">
        <v>8.41759162303665</v>
      </c>
      <c r="Y162" s="55">
        <v>36.03704967040926</v>
      </c>
      <c r="Z162" s="53">
        <v>0.0599</v>
      </c>
      <c r="AA162" s="56">
        <v>0.2224</v>
      </c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>
        <v>10827.20261235</v>
      </c>
      <c r="E169" s="52">
        <v>0</v>
      </c>
      <c r="F169" s="52">
        <v>10827.20261235</v>
      </c>
      <c r="G169" s="53">
        <v>1</v>
      </c>
      <c r="H169" s="52">
        <v>7687.765097</v>
      </c>
      <c r="I169" s="52">
        <v>2116.21</v>
      </c>
      <c r="J169" s="52">
        <v>4437.133697</v>
      </c>
      <c r="K169" s="52">
        <v>1029.51</v>
      </c>
      <c r="L169" s="52">
        <v>3407.623697</v>
      </c>
      <c r="M169" s="53">
        <v>0.7679785937719064</v>
      </c>
      <c r="N169" s="53"/>
      <c r="O169" s="52">
        <v>3250.6314</v>
      </c>
      <c r="P169" s="52">
        <v>1086.7</v>
      </c>
      <c r="Q169" s="52">
        <v>2163.9314000000004</v>
      </c>
      <c r="R169" s="53">
        <v>0.6656957168382734</v>
      </c>
      <c r="S169" s="54">
        <v>65.13</v>
      </c>
      <c r="T169" s="54">
        <v>24.33</v>
      </c>
      <c r="U169" s="54">
        <v>40.8</v>
      </c>
      <c r="V169" s="53">
        <v>0.6264394288346384</v>
      </c>
      <c r="W169" s="53"/>
      <c r="X169" s="55">
        <v>-86.97944923962187</v>
      </c>
      <c r="Y169" s="55">
        <v>48.202633430830645</v>
      </c>
      <c r="Z169" s="53">
        <v>0</v>
      </c>
      <c r="AA169" s="56">
        <v>0.29</v>
      </c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>
        <v>146237.1072</v>
      </c>
      <c r="E176" s="52">
        <v>125386.21</v>
      </c>
      <c r="F176" s="52">
        <v>20850.897199999992</v>
      </c>
      <c r="G176" s="53">
        <v>0.14258280678024784</v>
      </c>
      <c r="H176" s="52">
        <v>114651.8653946</v>
      </c>
      <c r="I176" s="52">
        <v>105824.3</v>
      </c>
      <c r="J176" s="52">
        <v>82888.0783946</v>
      </c>
      <c r="K176" s="52">
        <v>78304.64</v>
      </c>
      <c r="L176" s="52">
        <v>4583.438394600002</v>
      </c>
      <c r="M176" s="53">
        <v>0.055296714357159035</v>
      </c>
      <c r="N176" s="53"/>
      <c r="O176" s="52">
        <v>31763.787</v>
      </c>
      <c r="P176" s="52">
        <v>27519.66</v>
      </c>
      <c r="Q176" s="52">
        <v>4244.127</v>
      </c>
      <c r="R176" s="53">
        <v>0.1336152707484155</v>
      </c>
      <c r="S176" s="54">
        <v>659.73</v>
      </c>
      <c r="T176" s="54">
        <v>548.75</v>
      </c>
      <c r="U176" s="54">
        <v>110.98000000000002</v>
      </c>
      <c r="V176" s="53">
        <v>0.16822033256028984</v>
      </c>
      <c r="W176" s="53"/>
      <c r="X176" s="55">
        <v>35.648127562642365</v>
      </c>
      <c r="Y176" s="55">
        <v>47.87601261940491</v>
      </c>
      <c r="Z176" s="53">
        <v>0.156</v>
      </c>
      <c r="AA176" s="56">
        <v>0.216</v>
      </c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>
        <v>16897.52982004</v>
      </c>
      <c r="E183" s="52">
        <v>5491.7</v>
      </c>
      <c r="F183" s="52">
        <v>11405.829820039999</v>
      </c>
      <c r="G183" s="53">
        <v>0.6749998337930436</v>
      </c>
      <c r="H183" s="52">
        <v>9226.2731</v>
      </c>
      <c r="I183" s="52">
        <v>5421.03</v>
      </c>
      <c r="J183" s="52">
        <v>2977.1135000000004</v>
      </c>
      <c r="K183" s="52">
        <v>2842.2799999999997</v>
      </c>
      <c r="L183" s="52">
        <v>134.83350000000064</v>
      </c>
      <c r="M183" s="53">
        <v>0.04529000993747824</v>
      </c>
      <c r="N183" s="53"/>
      <c r="O183" s="52">
        <v>6249.1596</v>
      </c>
      <c r="P183" s="52">
        <v>2578.75</v>
      </c>
      <c r="Q183" s="52">
        <v>3670.4096</v>
      </c>
      <c r="R183" s="53">
        <v>0.5873445126925547</v>
      </c>
      <c r="S183" s="54">
        <v>125.17</v>
      </c>
      <c r="T183" s="54">
        <v>49.25</v>
      </c>
      <c r="U183" s="54">
        <v>75.92</v>
      </c>
      <c r="V183" s="53">
        <v>0.6065351122473436</v>
      </c>
      <c r="W183" s="53"/>
      <c r="X183" s="55">
        <v>1.4349238578680203</v>
      </c>
      <c r="Y183" s="55">
        <v>61.286703843093385</v>
      </c>
      <c r="Z183" s="53">
        <v>0.0129</v>
      </c>
      <c r="AA183" s="56">
        <v>0.454</v>
      </c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>
        <v>20992.11525559</v>
      </c>
      <c r="E190" s="52">
        <v>14169.68</v>
      </c>
      <c r="F190" s="52">
        <v>6822.43525559</v>
      </c>
      <c r="G190" s="53">
        <v>0.3249998950807614</v>
      </c>
      <c r="H190" s="52">
        <v>16299.085174</v>
      </c>
      <c r="I190" s="52">
        <v>9699.51</v>
      </c>
      <c r="J190" s="52">
        <v>9784.324774</v>
      </c>
      <c r="K190" s="52">
        <v>8137.88</v>
      </c>
      <c r="L190" s="52">
        <v>1646.4447740000005</v>
      </c>
      <c r="M190" s="53">
        <v>0.16827372476178604</v>
      </c>
      <c r="N190" s="53"/>
      <c r="O190" s="52">
        <v>6514.7604</v>
      </c>
      <c r="P190" s="52">
        <v>1561.63</v>
      </c>
      <c r="Q190" s="52">
        <v>4953.1304</v>
      </c>
      <c r="R190" s="53">
        <v>0.7602935635207705</v>
      </c>
      <c r="S190" s="54">
        <v>130.62</v>
      </c>
      <c r="T190" s="54">
        <v>34.75</v>
      </c>
      <c r="U190" s="54">
        <v>95.87</v>
      </c>
      <c r="V190" s="53">
        <v>0.7339611085591793</v>
      </c>
      <c r="W190" s="53"/>
      <c r="X190" s="55">
        <v>128.6379856115108</v>
      </c>
      <c r="Y190" s="55">
        <v>35.92887828502527</v>
      </c>
      <c r="Z190" s="53">
        <v>0.3155</v>
      </c>
      <c r="AA190" s="56">
        <v>0.2236</v>
      </c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>
        <v>23770.94615247</v>
      </c>
      <c r="E197" s="52">
        <v>10204.54</v>
      </c>
      <c r="F197" s="52">
        <v>13566.406152469997</v>
      </c>
      <c r="G197" s="53">
        <v>0.5707137639980029</v>
      </c>
      <c r="H197" s="52">
        <v>14310.9577</v>
      </c>
      <c r="I197" s="52">
        <v>7116.73</v>
      </c>
      <c r="J197" s="52">
        <v>7389.335500000001</v>
      </c>
      <c r="K197" s="52">
        <v>6605.049999999999</v>
      </c>
      <c r="L197" s="52">
        <v>784.2855000000018</v>
      </c>
      <c r="M197" s="53">
        <v>0.10613748692287713</v>
      </c>
      <c r="N197" s="53"/>
      <c r="O197" s="52">
        <v>6921.6222</v>
      </c>
      <c r="P197" s="52">
        <v>511.68</v>
      </c>
      <c r="Q197" s="52">
        <v>6409.9421999999995</v>
      </c>
      <c r="R197" s="53">
        <v>0.9260751330807971</v>
      </c>
      <c r="S197" s="54">
        <v>140.15</v>
      </c>
      <c r="T197" s="54">
        <v>9.25</v>
      </c>
      <c r="U197" s="54">
        <v>130.9</v>
      </c>
      <c r="V197" s="53">
        <v>0.9339992864787727</v>
      </c>
      <c r="W197" s="53"/>
      <c r="X197" s="55">
        <v>333.8172972972973</v>
      </c>
      <c r="Y197" s="55">
        <v>67.49902570438813</v>
      </c>
      <c r="Z197" s="53">
        <v>0.30260000000000004</v>
      </c>
      <c r="AA197" s="56">
        <v>0.398</v>
      </c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>
        <v>137109.56054889</v>
      </c>
      <c r="E218" s="52">
        <v>30174.75</v>
      </c>
      <c r="F218" s="52">
        <v>106934.81054889</v>
      </c>
      <c r="G218" s="53">
        <v>0.7799223491111664</v>
      </c>
      <c r="H218" s="52">
        <v>117394.569232</v>
      </c>
      <c r="I218" s="52">
        <v>37161.14</v>
      </c>
      <c r="J218" s="52">
        <v>99479.615032</v>
      </c>
      <c r="K218" s="52">
        <v>37161.14</v>
      </c>
      <c r="L218" s="52">
        <v>62318.475032</v>
      </c>
      <c r="M218" s="53">
        <v>0.6264446742375689</v>
      </c>
      <c r="N218" s="53"/>
      <c r="O218" s="52">
        <v>17914.9542</v>
      </c>
      <c r="P218" s="52">
        <v>0</v>
      </c>
      <c r="Q218" s="52">
        <v>17914.9542</v>
      </c>
      <c r="R218" s="53">
        <v>1</v>
      </c>
      <c r="S218" s="54">
        <v>358.86</v>
      </c>
      <c r="T218" s="54">
        <v>0</v>
      </c>
      <c r="U218" s="54">
        <v>358.86</v>
      </c>
      <c r="V218" s="53">
        <v>1</v>
      </c>
      <c r="W218" s="53"/>
      <c r="X218" s="55">
        <v>0</v>
      </c>
      <c r="Y218" s="55">
        <v>54.93783457863793</v>
      </c>
      <c r="Z218" s="53">
        <v>-0.23149999999999998</v>
      </c>
      <c r="AA218" s="56">
        <v>0.1438</v>
      </c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>
        <v>412300.73261827</v>
      </c>
      <c r="E225" s="52">
        <v>353667.87</v>
      </c>
      <c r="F225" s="52">
        <v>58632.86261826998</v>
      </c>
      <c r="G225" s="53">
        <v>0.1422089702483149</v>
      </c>
      <c r="H225" s="52">
        <v>306356.278672</v>
      </c>
      <c r="I225" s="52">
        <v>256729.4</v>
      </c>
      <c r="J225" s="52">
        <v>186357.488872</v>
      </c>
      <c r="K225" s="52">
        <v>184765.38</v>
      </c>
      <c r="L225" s="52">
        <v>1592.1088719999825</v>
      </c>
      <c r="M225" s="53">
        <v>0.008543305029686924</v>
      </c>
      <c r="N225" s="53"/>
      <c r="O225" s="52">
        <v>119998.7898</v>
      </c>
      <c r="P225" s="52">
        <v>71964.02</v>
      </c>
      <c r="Q225" s="52">
        <v>48034.769799999995</v>
      </c>
      <c r="R225" s="53">
        <v>0.400293785296158</v>
      </c>
      <c r="S225" s="54">
        <v>2412.45</v>
      </c>
      <c r="T225" s="54">
        <v>1535.92</v>
      </c>
      <c r="U225" s="54">
        <v>876.5299999999997</v>
      </c>
      <c r="V225" s="53">
        <v>0.363336027689693</v>
      </c>
      <c r="W225" s="53"/>
      <c r="X225" s="55">
        <v>63.114270274493464</v>
      </c>
      <c r="Y225" s="55">
        <v>43.91570973337064</v>
      </c>
      <c r="Z225" s="53">
        <v>0.2741</v>
      </c>
      <c r="AA225" s="56">
        <v>0.257</v>
      </c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>
        <v>8795.02836582</v>
      </c>
      <c r="E232" s="52">
        <v>0</v>
      </c>
      <c r="F232" s="52">
        <v>8795.02836582</v>
      </c>
      <c r="G232" s="53">
        <v>1</v>
      </c>
      <c r="H232" s="52">
        <v>6369.1218</v>
      </c>
      <c r="I232" s="52">
        <v>397</v>
      </c>
      <c r="J232" s="52">
        <v>4527.894</v>
      </c>
      <c r="K232" s="52">
        <v>397</v>
      </c>
      <c r="L232" s="52">
        <v>4130.894</v>
      </c>
      <c r="M232" s="53">
        <v>0.9123212690049723</v>
      </c>
      <c r="N232" s="53"/>
      <c r="O232" s="52">
        <v>1841.2278</v>
      </c>
      <c r="P232" s="52">
        <v>0</v>
      </c>
      <c r="Q232" s="52">
        <v>1841.2278</v>
      </c>
      <c r="R232" s="53">
        <v>1</v>
      </c>
      <c r="S232" s="54">
        <v>36.92</v>
      </c>
      <c r="T232" s="54">
        <v>0</v>
      </c>
      <c r="U232" s="54">
        <v>36.92</v>
      </c>
      <c r="V232" s="53">
        <v>1</v>
      </c>
      <c r="W232" s="53"/>
      <c r="X232" s="55">
        <v>0</v>
      </c>
      <c r="Y232" s="55">
        <v>65.70711175027087</v>
      </c>
      <c r="Z232" s="53">
        <v>0</v>
      </c>
      <c r="AA232" s="56">
        <v>0.2758</v>
      </c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>
        <v>27503.13664251</v>
      </c>
      <c r="E239" s="52">
        <v>0</v>
      </c>
      <c r="F239" s="52">
        <v>27503.13664251</v>
      </c>
      <c r="G239" s="53">
        <v>1</v>
      </c>
      <c r="H239" s="52">
        <v>19683.280628</v>
      </c>
      <c r="I239" s="52">
        <v>0</v>
      </c>
      <c r="J239" s="52">
        <v>10693.531628</v>
      </c>
      <c r="K239" s="52">
        <v>0</v>
      </c>
      <c r="L239" s="52">
        <v>10693.531628</v>
      </c>
      <c r="M239" s="53">
        <v>1</v>
      </c>
      <c r="N239" s="53"/>
      <c r="O239" s="52">
        <v>8989.749</v>
      </c>
      <c r="P239" s="52">
        <v>0</v>
      </c>
      <c r="Q239" s="52">
        <v>8989.749</v>
      </c>
      <c r="R239" s="53">
        <v>1</v>
      </c>
      <c r="S239" s="54">
        <v>180.16</v>
      </c>
      <c r="T239" s="54">
        <v>0</v>
      </c>
      <c r="U239" s="54">
        <v>180.16</v>
      </c>
      <c r="V239" s="53">
        <v>1</v>
      </c>
      <c r="W239" s="53"/>
      <c r="X239" s="55">
        <v>0</v>
      </c>
      <c r="Y239" s="55">
        <v>43.40506224750221</v>
      </c>
      <c r="Z239" s="53">
        <v>0</v>
      </c>
      <c r="AA239" s="56">
        <v>0.2843</v>
      </c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>
        <v>40670.1518342</v>
      </c>
      <c r="E246" s="52">
        <v>0</v>
      </c>
      <c r="F246" s="52">
        <v>40670.1518342</v>
      </c>
      <c r="G246" s="53">
        <v>1</v>
      </c>
      <c r="H246" s="52">
        <v>29498.3116992</v>
      </c>
      <c r="I246" s="52">
        <v>0</v>
      </c>
      <c r="J246" s="52">
        <v>24964.3288992</v>
      </c>
      <c r="K246" s="52">
        <v>0</v>
      </c>
      <c r="L246" s="52">
        <v>24964.3288992</v>
      </c>
      <c r="M246" s="53">
        <v>1</v>
      </c>
      <c r="N246" s="53"/>
      <c r="O246" s="52">
        <v>4533.9828</v>
      </c>
      <c r="P246" s="52">
        <v>0</v>
      </c>
      <c r="Q246" s="52">
        <v>4533.9828</v>
      </c>
      <c r="R246" s="53">
        <v>1</v>
      </c>
      <c r="S246" s="54">
        <v>90.88</v>
      </c>
      <c r="T246" s="54">
        <v>0</v>
      </c>
      <c r="U246" s="54">
        <v>90.88</v>
      </c>
      <c r="V246" s="53">
        <v>1</v>
      </c>
      <c r="W246" s="53"/>
      <c r="X246" s="55">
        <v>0</v>
      </c>
      <c r="Y246" s="55">
        <v>122.92957895026407</v>
      </c>
      <c r="Z246" s="53">
        <v>0</v>
      </c>
      <c r="AA246" s="56">
        <v>0.2747</v>
      </c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>
        <v>21396.50036782</v>
      </c>
      <c r="E253" s="52">
        <v>0</v>
      </c>
      <c r="F253" s="52">
        <v>21396.50036782</v>
      </c>
      <c r="G253" s="53">
        <v>1</v>
      </c>
      <c r="H253" s="52">
        <v>15378.244372</v>
      </c>
      <c r="I253" s="52">
        <v>0</v>
      </c>
      <c r="J253" s="52">
        <v>8344.608772</v>
      </c>
      <c r="K253" s="52">
        <v>0</v>
      </c>
      <c r="L253" s="52">
        <v>8344.608772</v>
      </c>
      <c r="M253" s="53">
        <v>1</v>
      </c>
      <c r="N253" s="53"/>
      <c r="O253" s="52">
        <v>7033.6356</v>
      </c>
      <c r="P253" s="52">
        <v>0</v>
      </c>
      <c r="Q253" s="52">
        <v>7033.6356</v>
      </c>
      <c r="R253" s="53">
        <v>1</v>
      </c>
      <c r="S253" s="54">
        <v>140.9</v>
      </c>
      <c r="T253" s="54">
        <v>0</v>
      </c>
      <c r="U253" s="54">
        <v>140.9</v>
      </c>
      <c r="V253" s="53">
        <v>1</v>
      </c>
      <c r="W253" s="53"/>
      <c r="X253" s="55">
        <v>0</v>
      </c>
      <c r="Y253" s="55">
        <v>42.71295951611073</v>
      </c>
      <c r="Z253" s="53">
        <v>0</v>
      </c>
      <c r="AA253" s="56">
        <v>0.2813</v>
      </c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>
        <v>239296.88379393</v>
      </c>
      <c r="E260" s="52">
        <v>10598.48</v>
      </c>
      <c r="F260" s="52">
        <v>228698.40379393</v>
      </c>
      <c r="G260" s="53">
        <v>0.9557099121728352</v>
      </c>
      <c r="H260" s="52">
        <v>203192.691868</v>
      </c>
      <c r="I260" s="52">
        <v>18235.02</v>
      </c>
      <c r="J260" s="52">
        <v>175849.529668</v>
      </c>
      <c r="K260" s="52">
        <v>16839.61</v>
      </c>
      <c r="L260" s="52">
        <v>159009.91966800002</v>
      </c>
      <c r="M260" s="53">
        <v>0.9042385269281482</v>
      </c>
      <c r="N260" s="53"/>
      <c r="O260" s="52">
        <v>27343.1622</v>
      </c>
      <c r="P260" s="52">
        <v>1395.41</v>
      </c>
      <c r="Q260" s="52">
        <v>25947.7522</v>
      </c>
      <c r="R260" s="53">
        <v>0.9489667658117465</v>
      </c>
      <c r="S260" s="54">
        <v>547.57</v>
      </c>
      <c r="T260" s="54">
        <v>27.84</v>
      </c>
      <c r="U260" s="54">
        <v>519.73</v>
      </c>
      <c r="V260" s="53">
        <v>0.9491571853826908</v>
      </c>
      <c r="W260" s="53"/>
      <c r="X260" s="55">
        <v>-274.30100574712645</v>
      </c>
      <c r="Y260" s="55">
        <v>65.93529946112827</v>
      </c>
      <c r="Z260" s="53">
        <v>-0.7204999999999999</v>
      </c>
      <c r="AA260" s="56">
        <v>0.1509</v>
      </c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22202.890000000014</v>
      </c>
      <c r="D4" s="52">
        <v>21022.23000000001</v>
      </c>
      <c r="E4" s="52">
        <v>1180.6600000000035</v>
      </c>
      <c r="F4" s="52">
        <v>0</v>
      </c>
      <c r="G4" s="53">
        <v>0.053175960426773396</v>
      </c>
      <c r="H4" s="53">
        <v>0.2149</v>
      </c>
      <c r="I4" s="86">
        <v>50</v>
      </c>
      <c r="J4" s="87">
        <v>5000</v>
      </c>
      <c r="K4" s="52">
        <v>7000</v>
      </c>
      <c r="L4" s="53">
        <v>-0.26209831242689546</v>
      </c>
      <c r="M4" s="52">
        <v>-5819.3399999999965</v>
      </c>
      <c r="N4" s="54">
        <v>20</v>
      </c>
      <c r="O4" s="58">
        <v>-83.13342857142852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42019.899999999994</v>
      </c>
      <c r="D6" s="52">
        <v>18657.01999999999</v>
      </c>
      <c r="E6" s="52">
        <v>23362.880000000005</v>
      </c>
      <c r="F6" s="52">
        <v>7</v>
      </c>
      <c r="G6" s="53">
        <v>0.5561621993388849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0.07370983748176475</v>
      </c>
      <c r="M6" s="52">
        <v>3097.280000000006</v>
      </c>
      <c r="N6" s="54">
        <v>-52.5</v>
      </c>
      <c r="O6" s="58">
        <v>6.921296089385488</v>
      </c>
      <c r="Q6" s="35" t="s">
        <v>121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462</v>
      </c>
      <c r="E8" s="52">
        <v>-462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-1102</v>
      </c>
      <c r="N8" s="54">
        <v>-34.75</v>
      </c>
      <c r="O8" s="58">
        <v>58.77333333333333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122</v>
      </c>
      <c r="C12" s="52">
        <v>93276.07999999999</v>
      </c>
      <c r="D12" s="52">
        <v>61105.389999999985</v>
      </c>
      <c r="E12" s="52">
        <v>32170.690000000002</v>
      </c>
      <c r="F12" s="52">
        <v>3</v>
      </c>
      <c r="G12" s="53">
        <v>0.34492969687405395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0.31662662067273845</v>
      </c>
      <c r="M12" s="52">
        <v>29533.690000000002</v>
      </c>
      <c r="N12" s="54">
        <v>53</v>
      </c>
      <c r="O12" s="58">
        <v>428.02449275362324</v>
      </c>
      <c r="Q12" s="35" t="s">
        <v>123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61369.72</v>
      </c>
      <c r="D14" s="52">
        <v>14493.379999999997</v>
      </c>
      <c r="E14" s="52">
        <v>46876.340000000004</v>
      </c>
      <c r="F14" s="52">
        <v>0</v>
      </c>
      <c r="G14" s="53">
        <v>0.7638349987583454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0.7149509562696392</v>
      </c>
      <c r="M14" s="52">
        <v>43876.340000000004</v>
      </c>
      <c r="N14" s="54">
        <v>-112</v>
      </c>
      <c r="O14" s="58">
        <v>-391.7530357142858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4389.459999999999</v>
      </c>
      <c r="E16" s="52">
        <v>-4389.459999999999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-7389.459999999999</v>
      </c>
      <c r="N16" s="54">
        <v>-86.75</v>
      </c>
      <c r="O16" s="58">
        <v>85.18109510086454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27482.319999999992</v>
      </c>
      <c r="D18" s="52">
        <v>14933.520000000004</v>
      </c>
      <c r="E18" s="52">
        <v>12548.799999999988</v>
      </c>
      <c r="F18" s="52">
        <v>0</v>
      </c>
      <c r="G18" s="53">
        <v>0.45661356100940503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0.15823991569852872</v>
      </c>
      <c r="M18" s="52">
        <v>4348.799999999988</v>
      </c>
      <c r="N18" s="54">
        <v>-269</v>
      </c>
      <c r="O18" s="58">
        <v>-23.00952380952375</v>
      </c>
      <c r="Q18" s="35" t="s">
        <v>124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12195.39</v>
      </c>
      <c r="E22" s="52">
        <v>-12195.39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-12192.39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9681.120000000003</v>
      </c>
      <c r="E24" s="52">
        <v>-9681.120000000003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-9678.120000000003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1159.83</v>
      </c>
      <c r="E26" s="52">
        <v>-1159.83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-1159.83</v>
      </c>
      <c r="N26" s="54">
        <v>-143.25</v>
      </c>
      <c r="O26" s="58">
        <v>8.096544502617801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-902.1700000000019</v>
      </c>
      <c r="E28" s="52">
        <v>902.1700000000019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902.1700000000019</v>
      </c>
      <c r="N28" s="54">
        <v>-148.5</v>
      </c>
      <c r="O28" s="58">
        <v>-6.075218855218868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93.54999999999927</v>
      </c>
      <c r="E30" s="52">
        <v>-93.54999999999927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-93.54999999999927</v>
      </c>
      <c r="N30" s="54">
        <v>-5</v>
      </c>
      <c r="O30" s="58">
        <v>18.709999999999855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64090.99</v>
      </c>
      <c r="D38" s="52">
        <v>10303.779999999999</v>
      </c>
      <c r="E38" s="52">
        <v>53787.21</v>
      </c>
      <c r="F38" s="52">
        <v>0</v>
      </c>
      <c r="G38" s="53">
        <v>0.8392320043737818</v>
      </c>
      <c r="H38" s="53">
        <v>0.1750921737769</v>
      </c>
      <c r="I38" s="54"/>
      <c r="J38" s="52"/>
      <c r="K38" s="52">
        <v>0</v>
      </c>
      <c r="L38" s="53">
        <v>0.8392320043737818</v>
      </c>
      <c r="M38" s="52">
        <v>53787.21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2218.25</v>
      </c>
      <c r="E48" s="99">
        <v>-2218.25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-4748.25</v>
      </c>
      <c r="N48" s="98">
        <v>-44.75</v>
      </c>
      <c r="O48" s="60">
        <v>106.10614525139665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2942.1800000000076</v>
      </c>
      <c r="E52" s="99">
        <v>-2942.1800000000076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-4222.180000000008</v>
      </c>
      <c r="N52" s="98">
        <v>-304.75</v>
      </c>
      <c r="O52" s="60">
        <v>15.480036663611394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1718.2499999999995</v>
      </c>
      <c r="E54" s="99">
        <v>-1718.2499999999995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-2358.2499999999995</v>
      </c>
      <c r="N54" s="98">
        <v>-11.25</v>
      </c>
      <c r="O54" s="60">
        <v>-496.47368421052624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11037.14</v>
      </c>
      <c r="E64" s="99">
        <v>-11037.14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-12787.14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82279.71999999997</v>
      </c>
      <c r="D66" s="99">
        <v>22406.589999999997</v>
      </c>
      <c r="E66" s="99">
        <v>59873.129999999976</v>
      </c>
      <c r="F66" s="99"/>
      <c r="G66" s="100">
        <v>0.727677853060268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0.6887861310174609</v>
      </c>
      <c r="M66" s="99">
        <v>56673.129999999976</v>
      </c>
      <c r="N66" s="98">
        <v>-1014.25</v>
      </c>
      <c r="O66" s="60">
        <v>-60.66163232539468</v>
      </c>
    </row>
    <row r="67" ht="15" customHeight="1" spans="1:30" x14ac:dyDescent="0.25">
      <c r="A67" s="102">
        <v>9437</v>
      </c>
      <c r="B67" s="98" t="s">
        <v>68</v>
      </c>
      <c r="C67" s="99">
        <v>10598.48</v>
      </c>
      <c r="D67" s="99">
        <v>18235.02</v>
      </c>
      <c r="E67" s="99">
        <v>-7636.540000000001</v>
      </c>
      <c r="F67" s="99"/>
      <c r="G67" s="100">
        <v>-0.7205316234026012</v>
      </c>
      <c r="H67" s="100">
        <f>'Deliverables Sheet'!AA256</f>
      </c>
      <c r="I67" s="98"/>
      <c r="J67" s="99"/>
      <c r="K67" s="99">
        <v>0</v>
      </c>
      <c r="L67" s="100">
        <v>-0.7205316234026012</v>
      </c>
      <c r="M67" s="99">
        <v>-7636.540000000001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397</v>
      </c>
      <c r="E71" s="99">
        <v>-397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-397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126</v>
      </c>
      <c r="B74" s="103" t="s">
        <v>127</v>
      </c>
      <c r="C74" s="104">
        <v>404732.9099999999</v>
      </c>
      <c r="D74" s="104">
        <v>234541.40999999992</v>
      </c>
      <c r="E74" s="105">
        <v>170191.49999999997</v>
      </c>
      <c r="F74" s="106" t="s">
        <v>128</v>
      </c>
      <c r="G74" s="107">
        <v>0.4205032400256258</v>
      </c>
      <c r="H74" s="108" t="s">
        <v>129</v>
      </c>
      <c r="I74" s="109">
        <v>0.24697497418729794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616.75</v>
      </c>
      <c r="E4" s="54">
        <v>21.269999999999982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272.5</v>
      </c>
      <c r="E6" s="54">
        <v>91.07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122</v>
      </c>
      <c r="C12" s="54">
        <v>1124.47</v>
      </c>
      <c r="D12" s="54">
        <v>783</v>
      </c>
      <c r="E12" s="54">
        <v>341.47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358.75</v>
      </c>
      <c r="E14" s="54">
        <v>143.07999999999998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216.5</v>
      </c>
      <c r="E16" s="54">
        <v>6.719999999999999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669</v>
      </c>
      <c r="E18" s="54">
        <v>16.480000000000018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52.75</v>
      </c>
      <c r="E22" s="54">
        <v>140.57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167.75</v>
      </c>
      <c r="E26" s="54">
        <v>-28.680000000000007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6.5</v>
      </c>
      <c r="E30" s="54">
        <v>141.4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86.01</v>
      </c>
      <c r="D36" s="54">
        <v>0</v>
      </c>
      <c r="E36" s="54">
        <v>86.01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95.5</v>
      </c>
      <c r="E48" s="54">
        <v>14.939999999999998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49.25</v>
      </c>
      <c r="E54" s="54">
        <v>75.92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1535.92</v>
      </c>
      <c r="E66" s="54">
        <v>876.5299999999997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30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30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30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228</v>
      </c>
      <c r="B5" s="35">
        <v>60</v>
      </c>
      <c r="P5" s="35">
        <v>95.35</v>
      </c>
    </row>
    <row r="6" ht="15" customHeight="1" spans="1:30" x14ac:dyDescent="0.25">
      <c r="A6" s="35" t="s">
        <v>229</v>
      </c>
      <c r="B6" s="35">
        <v>100</v>
      </c>
      <c r="P6" s="35">
        <v>102.69</v>
      </c>
    </row>
    <row r="7" ht="15" customHeight="1" spans="1:30" x14ac:dyDescent="0.25">
      <c r="A7" s="35" t="s">
        <v>230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