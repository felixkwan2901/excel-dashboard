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<sst xmlns="http://schemas.openxmlformats.org/spreadsheetml/2006/main" count="1175" uniqueCount="230">
  <si>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</si>
  <si>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</si>
  <si>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</si>
  <si>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</si>
  <si>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</si>
  <si>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</si>
  <si>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</si>
  <si>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</si>
  <si>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</si>
  <si>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</si>
  <si>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</si>
  <si>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</si>
  <si>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</si>
  <si>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</si>
  <si>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</si>
  <si>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</si>
  <si>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</si>
  <si>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</si>
  <si>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</si>
  <si>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</si>
  <si>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</si>
  <si>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</si>
  <si>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</si>
  <si>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</si>
  <si>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</si>
  <si>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</si>
  <si>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</si>
  <si>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</si>
  <si>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</si>
  <si>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</si>
  <si>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</si>
  <si>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</si>
  <si>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</si>
  <si>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</si>
  <si>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</si>
  <si>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</si>
  <si>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</si>
  <si>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</si>
  <si>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</si>
  <si>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</si>
  <si>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</si>
  <si>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</si>
  <si>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</si>
  <si>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</si>
  <si>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</si>
  <si>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</si>
  <si>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</si>
  <si>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</si>
  <si>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</si>
  <si>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</si>
  <si>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</si>
  <si>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</si>
  <si>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</si>
  <si>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</si>
  <si>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</si>
  <si>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</si>
  <si>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</si>
  <si>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</si>
  <si>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</si>
  <si>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</si>
  <si>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</si>
  <si>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</si>
  <si>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</si>
  <si>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</si>
  <si>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8386</t>
  </si>
  <si>
    <t>8829</t>
  </si>
  <si>
    <t>7480</t>
  </si>
  <si>
    <t>9437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</si>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</sst>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100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30" x14ac:dyDescent="0.25">
      <c r="A67" s="102">
        <f>'Main Sheet'!A76</f>
      </c>
      <c r="B67" s="98">
        <f>'Main Sheet'!B76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Sheet'!AA256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30" x14ac:dyDescent="0.25">
      <c r="A68" s="102">
        <f>'Main Sheet'!A74</f>
      </c>
      <c r="B68" s="98">
        <f>'Main Sheet'!B74</f>
      </c>
      <c r="C68" s="99"/>
      <c r="D68" s="99"/>
      <c r="E68" s="99">
        <f>C67-D67</f>
      </c>
      <c r="F68" s="99"/>
      <c r="G68" s="100">
        <f>(E67+F67)/C67</f>
      </c>
      <c r="H68" s="100">
        <f>'Deliverables Sheet'!AA249</f>
      </c>
      <c r="I68" s="98"/>
      <c r="J68" s="99"/>
      <c r="K68" s="99">
        <f>(I67*40)+J67</f>
      </c>
      <c r="L68" s="100">
        <f>((E67-K67)+F67)/C67</f>
      </c>
      <c r="M68" s="99">
        <f>SUM(E67:F67)-K67</f>
      </c>
      <c r="N68" s="98"/>
      <c r="O68" s="60">
        <f>SUM(M67/(N67+I67))</f>
      </c>
    </row>
    <row r="69" ht="15" customHeight="1" spans="1:30" x14ac:dyDescent="0.25">
      <c r="A69" s="102">
        <f>'Main Sheet'!A72</f>
      </c>
      <c r="B69" s="98">
        <f>'Main Sheet'!B72</f>
      </c>
      <c r="C69" s="99"/>
      <c r="D69" s="99"/>
      <c r="E69" s="99">
        <f>C67-D67</f>
      </c>
      <c r="F69" s="99"/>
      <c r="G69" s="100">
        <f>(E67+F67)/C67</f>
      </c>
      <c r="H69" s="100">
        <f>'Deliverables Sheet'!AA242</f>
      </c>
      <c r="I69" s="98"/>
      <c r="J69" s="99"/>
      <c r="K69" s="99">
        <f>(I67*40)+J67</f>
      </c>
      <c r="L69" s="100">
        <f>((E67-K67)+F67)/C67</f>
      </c>
      <c r="M69" s="99">
        <f>SUM(E67:F67)-K67</f>
      </c>
      <c r="N69" s="98"/>
      <c r="O69" s="60">
        <f>SUM(M67/(N67+I67))</f>
      </c>
    </row>
    <row r="70" ht="15" customHeight="1" spans="1:30" x14ac:dyDescent="0.25">
      <c r="A70" s="102">
        <f>'Main Sheet'!A70</f>
      </c>
      <c r="B70" s="98">
        <f>'Main Sheet'!B70</f>
      </c>
      <c r="C70" s="99"/>
      <c r="D70" s="99"/>
      <c r="E70" s="99">
        <f>C67-D67</f>
      </c>
      <c r="F70" s="99"/>
      <c r="G70" s="100">
        <f>(E67+F67)/C67</f>
      </c>
      <c r="H70" s="100">
        <f>'Deliverables Sheet'!AA235</f>
      </c>
      <c r="I70" s="98"/>
      <c r="J70" s="99"/>
      <c r="K70" s="99">
        <f>(I67*40)+J67</f>
      </c>
      <c r="L70" s="100">
        <f>((E67-K67)+F67)/C67</f>
      </c>
      <c r="M70" s="99">
        <f>SUM(E67:F67)-K67</f>
      </c>
      <c r="N70" s="98"/>
      <c r="O70" s="60">
        <f>SUM(M67/(N67+I67))</f>
      </c>
    </row>
    <row r="71" ht="15" customHeight="1" spans="1:30" x14ac:dyDescent="0.25">
      <c r="A71" s="102">
        <f>'Main Sheet'!A68</f>
      </c>
      <c r="B71" s="98">
        <f>'Main Sheet'!B68</f>
      </c>
      <c r="C71" s="99"/>
      <c r="D71" s="99"/>
      <c r="E71" s="99">
        <f>C67-D67</f>
      </c>
      <c r="F71" s="99"/>
      <c r="G71" s="100">
        <f>(E67+F67)/C67</f>
      </c>
      <c r="H71" s="100">
        <f>'Deliverables Sheet'!AA228</f>
      </c>
      <c r="I71" s="98"/>
      <c r="J71" s="99"/>
      <c r="K71" s="99">
        <f>(I67*40)+J67</f>
      </c>
      <c r="L71" s="100">
        <f>((E67-K67)+F67)/C67</f>
      </c>
      <c r="M71" s="99">
        <f>SUM(E67:F67)-K67</f>
      </c>
      <c r="N71" s="98"/>
      <c r="O71" s="60">
        <f>SUM(M67/(N67+I67))</f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88103.76999999996</v>
      </c>
      <c r="D74" s="104">
        <v>61273.50000000002</v>
      </c>
      <c r="E74" s="105">
        <v>26830.26999999995</v>
      </c>
      <c r="F74" s="106" t="s">
        <v>127</v>
      </c>
      <c r="G74" s="107">
        <v>0.30453032827085563</v>
      </c>
      <c r="H74" s="108" t="s">
        <v>128</v>
      </c>
      <c r="I74" s="109">
        <v>-0.4926273870005799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f>'Main Sheet'!A76</f>
      </c>
      <c r="B67" s="20">
        <f>'Main Sheet'!B76</f>
      </c>
      <c r="C67" s="54">
        <f>LOOKUP(2,1/('Deliverables Sheet'!S257:S261&lt;&gt;0),'Deliverables Sheet'!S257:S261)</f>
      </c>
      <c r="D67" s="54">
        <f>LOOKUP(2,1/('Deliverables Sheet'!T257:T261&lt;&gt;0),'Deliverables Sheet'!T257:T261)</f>
      </c>
      <c r="E67" s="54">
        <f>LOOKUP(2,1/('Deliverables Sheet'!U257:U261&lt;&gt;0),'Deliverables Sheet'!U257:U261)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30" x14ac:dyDescent="0.25">
      <c r="A68" s="19">
        <f>'Main Sheet'!A74</f>
      </c>
      <c r="B68" s="20">
        <f>'Main Sheet'!B74</f>
      </c>
      <c r="C68" s="54">
        <f>LOOKUP(2,1/('Deliverables Sheet'!S250:S254&lt;&gt;0),'Deliverables Sheet'!S250:S254)</f>
      </c>
      <c r="D68" s="54">
        <f>LOOKUP(2,1/('Deliverables Sheet'!T250:T254&lt;&gt;0),'Deliverables Sheet'!T250:T254)</f>
      </c>
      <c r="E68" s="54">
        <f>LOOKUP(2,1/('Deliverables Sheet'!U250:U254&lt;&gt;0),'Deliverables Sheet'!U250:U254)</f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30" x14ac:dyDescent="0.25">
      <c r="A69" s="19">
        <f>'Main Sheet'!A72</f>
      </c>
      <c r="B69" s="20">
        <f>'Main Sheet'!B72</f>
      </c>
      <c r="C69" s="54">
        <f>LOOKUP(2,1/('Deliverables Sheet'!S243:S247&lt;&gt;0),'Deliverables Sheet'!S243:S247)</f>
      </c>
      <c r="D69" s="54">
        <f>LOOKUP(2,1/('Deliverables Sheet'!T243:T247&lt;&gt;0),'Deliverables Sheet'!T243:T247)</f>
      </c>
      <c r="E69" s="54">
        <f>LOOKUP(2,1/('Deliverables Sheet'!U243:U247&lt;&gt;0),'Deliverables Sheet'!U243:U247)</f>
      </c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</row>
    <row r="70" ht="15" customHeight="1" spans="1:30" x14ac:dyDescent="0.25">
      <c r="A70" s="19">
        <f>'Main Sheet'!A70</f>
      </c>
      <c r="B70" s="20">
        <f>'Main Sheet'!B70</f>
      </c>
      <c r="C70" s="54">
        <f>LOOKUP(2,1/('Deliverables Sheet'!S236:S240&lt;&gt;0),'Deliverables Sheet'!S236:S240)</f>
      </c>
      <c r="D70" s="54">
        <f>LOOKUP(2,1/('Deliverables Sheet'!T236:T240&lt;&gt;0),'Deliverables Sheet'!T236:T240)</f>
      </c>
      <c r="E70" s="54">
        <f>LOOKUP(2,1/('Deliverables Sheet'!U236:U240&lt;&gt;0),'Deliverables Sheet'!U236:U240)</f>
      </c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</row>
    <row r="71" ht="15" customHeight="1" spans="1:30" x14ac:dyDescent="0.25">
      <c r="A71" s="19">
        <f>'Main Sheet'!A68</f>
      </c>
      <c r="B71" s="20">
        <f>'Main Sheet'!B68</f>
      </c>
      <c r="C71" s="54">
        <f>LOOKUP(2,1/('Deliverables Sheet'!S229:S233&lt;&gt;0),'Deliverables Sheet'!S229:S233)</f>
      </c>
      <c r="D71" s="54">
        <f>LOOKUP(2,1/('Deliverables Sheet'!T229:T233&lt;&gt;0),'Deliverables Sheet'!T229:T233)</f>
      </c>
      <c r="E71" s="54">
        <f>LOOKUP(2,1/('Deliverables Sheet'!U229:U233&lt;&gt;0),'Deliverables Sheet'!U229:U233)</f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