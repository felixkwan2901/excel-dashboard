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<sst xmlns="http://schemas.openxmlformats.org/spreadsheetml/2006/main" count="1061" uniqueCount="225">
  <si>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</si>
  <si>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</si>
  <si>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</si>
  <si>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</si>
  <si>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</si>
  <si>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</si>
  <si>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</si>
  <si>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</si>
  <si>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</si>
  <si>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</si>
  <si>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</si>
  <si>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</si>
  <si>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</si>
  <si>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</si>
  <si>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</si>
  <si>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</si>
  <si>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</si>
  <si>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</si>
  <si>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</si>
  <si>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</si>
  <si>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</si>
  <si>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</si>
  <si>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</si>
  <si>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</si>
  <si>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</si>
  <si>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</si>
  <si>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</si>
  <si>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</si>
  <si>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</si>
  <si>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</si>
  <si>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>yes</t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</si>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</sst>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7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/>
      <c r="G8" s="14"/>
      <c r="H8" s="13"/>
      <c r="I8" s="13"/>
      <c r="J8" s="13"/>
      <c r="K8" s="13"/>
      <c r="L8" s="13"/>
      <c r="M8" s="13"/>
      <c r="N8" s="14"/>
      <c r="O8" s="13"/>
      <c r="P8" s="13"/>
      <c r="Q8" s="15"/>
      <c r="R8" s="13"/>
      <c r="S8" s="13"/>
      <c r="T8" s="16"/>
      <c r="U8" s="1"/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/>
      <c r="M12" s="13" t="s">
        <v>27</v>
      </c>
      <c r="N12" s="14"/>
      <c r="O12" s="18"/>
      <c r="P12" s="13"/>
      <c r="Q12" s="15"/>
      <c r="R12" s="13"/>
      <c r="S12" s="13"/>
      <c r="T12" s="16"/>
      <c r="U12" s="1"/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/>
      <c r="E22" s="13"/>
      <c r="F22" s="13"/>
      <c r="G22" s="14"/>
      <c r="H22" s="13"/>
      <c r="I22" s="13"/>
      <c r="J22" s="13"/>
      <c r="K22" s="13"/>
      <c r="L22" s="13"/>
      <c r="M22" s="13"/>
      <c r="N22" s="14"/>
      <c r="O22" s="13"/>
      <c r="P22" s="13"/>
      <c r="Q22" s="15"/>
      <c r="R22" s="13"/>
      <c r="S22" s="13"/>
      <c r="T22" s="16"/>
      <c r="U22" s="1"/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/>
      <c r="E24" s="13"/>
      <c r="F24" s="13"/>
      <c r="G24" s="14"/>
      <c r="H24" s="13"/>
      <c r="I24" s="13"/>
      <c r="J24" s="13"/>
      <c r="K24" s="13"/>
      <c r="L24" s="13"/>
      <c r="M24" s="13"/>
      <c r="N24" s="14"/>
      <c r="O24" s="13"/>
      <c r="P24" s="13"/>
      <c r="Q24" s="15"/>
      <c r="R24" s="13"/>
      <c r="S24" s="13"/>
      <c r="T24" s="16"/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27</v>
      </c>
      <c r="I32" s="13" t="s">
        <v>27</v>
      </c>
      <c r="J32" s="13" t="s">
        <v>28</v>
      </c>
      <c r="K32" s="13" t="s">
        <v>28</v>
      </c>
      <c r="L32" s="13" t="s">
        <v>28</v>
      </c>
      <c r="M32" s="13"/>
      <c r="N32" s="14"/>
      <c r="O32" s="13" t="s">
        <v>33</v>
      </c>
      <c r="P32" s="18"/>
      <c r="Q32" s="15" t="s">
        <v>46</v>
      </c>
      <c r="R32" s="13"/>
      <c r="S32" s="13"/>
      <c r="T32" s="16"/>
      <c r="U32" s="1"/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/>
      <c r="E64" s="13"/>
      <c r="F64" s="13"/>
      <c r="G64" s="14"/>
      <c r="H64" s="13"/>
      <c r="I64" s="13"/>
      <c r="J64" s="13"/>
      <c r="K64" s="13"/>
      <c r="L64" s="13"/>
      <c r="M64" s="13"/>
      <c r="N64" s="14"/>
      <c r="O64" s="13"/>
      <c r="P64" s="18"/>
      <c r="Q64" s="15"/>
      <c r="R64" s="13"/>
      <c r="S64" s="13"/>
      <c r="T64" s="16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26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63</v>
      </c>
      <c r="D2" s="38" t="s">
        <v>64</v>
      </c>
      <c r="E2" s="38" t="s">
        <v>65</v>
      </c>
      <c r="F2" s="39" t="s">
        <v>66</v>
      </c>
      <c r="G2" s="40" t="s">
        <v>67</v>
      </c>
      <c r="H2" s="38" t="s">
        <v>68</v>
      </c>
      <c r="I2" s="38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3" t="s">
        <v>75</v>
      </c>
      <c r="P2" s="43" t="s">
        <v>76</v>
      </c>
      <c r="Q2" s="39" t="s">
        <v>77</v>
      </c>
      <c r="R2" s="40" t="s">
        <v>78</v>
      </c>
      <c r="S2" s="44" t="s">
        <v>79</v>
      </c>
      <c r="T2" s="44" t="s">
        <v>80</v>
      </c>
      <c r="U2" s="45" t="s">
        <v>81</v>
      </c>
      <c r="V2" s="40" t="s">
        <v>82</v>
      </c>
      <c r="W2" s="42" t="s">
        <v>83</v>
      </c>
      <c r="X2" s="46" t="s">
        <v>84</v>
      </c>
      <c r="Y2" s="47" t="s">
        <v>85</v>
      </c>
      <c r="Z2" s="46" t="s">
        <v>86</v>
      </c>
      <c r="AA2" s="48" t="s">
        <v>87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88</v>
      </c>
      <c r="AI3" s="50" t="s">
        <v>89</v>
      </c>
    </row>
    <row r="4" ht="15" customHeight="1" spans="1:35" x14ac:dyDescent="0.25">
      <c r="A4" s="19">
        <v>7658</v>
      </c>
      <c r="B4" s="20" t="s">
        <v>25</v>
      </c>
      <c r="C4" s="51" t="s">
        <v>90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91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92</v>
      </c>
      <c r="D5" s="52"/>
      <c r="E5" s="52"/>
      <c r="F5" s="52"/>
      <c r="G5" s="53"/>
      <c r="H5" s="52"/>
      <c r="I5" s="52"/>
      <c r="J5" s="52"/>
      <c r="K5" s="52"/>
      <c r="L5" s="52"/>
      <c r="M5" s="53"/>
      <c r="N5" s="53"/>
      <c r="O5" s="52"/>
      <c r="P5" s="52"/>
      <c r="Q5" s="52"/>
      <c r="R5" s="53"/>
      <c r="S5" s="54"/>
      <c r="T5" s="54"/>
      <c r="U5" s="54"/>
      <c r="V5" s="53"/>
      <c r="W5" s="53"/>
      <c r="X5" s="55"/>
      <c r="Y5" s="55"/>
      <c r="Z5" s="53"/>
      <c r="AA5" s="56"/>
      <c r="AB5" s="57"/>
      <c r="AD5" s="35" t="s">
        <v>93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94</v>
      </c>
      <c r="D6" s="52"/>
      <c r="E6" s="52"/>
      <c r="F6" s="52"/>
      <c r="G6" s="53"/>
      <c r="H6" s="52"/>
      <c r="I6" s="52"/>
      <c r="J6" s="52"/>
      <c r="K6" s="52"/>
      <c r="L6" s="52"/>
      <c r="M6" s="53"/>
      <c r="N6" s="53"/>
      <c r="O6" s="52"/>
      <c r="P6" s="52"/>
      <c r="Q6" s="52"/>
      <c r="R6" s="53"/>
      <c r="S6" s="54"/>
      <c r="T6" s="54"/>
      <c r="U6" s="54"/>
      <c r="V6" s="53"/>
      <c r="W6" s="53"/>
      <c r="X6" s="55"/>
      <c r="Y6" s="55"/>
      <c r="Z6" s="53"/>
      <c r="AA6" s="56"/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95</v>
      </c>
      <c r="D7" s="52"/>
      <c r="E7" s="52"/>
      <c r="F7" s="52"/>
      <c r="G7" s="53"/>
      <c r="H7" s="52"/>
      <c r="I7" s="52"/>
      <c r="J7" s="52"/>
      <c r="K7" s="52"/>
      <c r="L7" s="52"/>
      <c r="M7" s="53"/>
      <c r="N7" s="53"/>
      <c r="O7" s="52"/>
      <c r="P7" s="52"/>
      <c r="Q7" s="52"/>
      <c r="R7" s="53"/>
      <c r="S7" s="54"/>
      <c r="T7" s="54"/>
      <c r="U7" s="54"/>
      <c r="V7" s="53"/>
      <c r="W7" s="53"/>
      <c r="X7" s="55"/>
      <c r="Y7" s="55"/>
      <c r="Z7" s="53"/>
      <c r="AA7" s="56"/>
      <c r="AB7" s="57"/>
      <c r="AD7" s="35" t="s">
        <v>96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97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98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90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91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92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75109.37</v>
      </c>
      <c r="J12" s="52">
        <v>83645.65</v>
      </c>
      <c r="K12" s="52">
        <v>70211.29</v>
      </c>
      <c r="L12" s="52">
        <v>13434.36</v>
      </c>
      <c r="M12" s="53">
        <v>0.16061038440134068</v>
      </c>
      <c r="N12" s="53"/>
      <c r="O12" s="52">
        <v>17775.07</v>
      </c>
      <c r="P12" s="52">
        <v>4898.08</v>
      </c>
      <c r="Q12" s="52">
        <v>12876.99</v>
      </c>
      <c r="R12" s="53">
        <v>0.724441028924218</v>
      </c>
      <c r="S12" s="54">
        <v>356.07</v>
      </c>
      <c r="T12" s="54">
        <v>100.75</v>
      </c>
      <c r="U12" s="54">
        <v>255.32</v>
      </c>
      <c r="V12" s="53">
        <v>0.7170500182548375</v>
      </c>
      <c r="W12" s="53"/>
      <c r="X12" s="55">
        <v>106.74650124069478</v>
      </c>
      <c r="Y12" s="55">
        <v>77.66490997775718</v>
      </c>
      <c r="Z12" s="53">
        <v>0.1253</v>
      </c>
      <c r="AA12" s="56">
        <v>0.2142</v>
      </c>
      <c r="AB12" s="57"/>
      <c r="AD12" s="35" t="s">
        <v>93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94</v>
      </c>
      <c r="D13" s="52"/>
      <c r="E13" s="62"/>
      <c r="F13" s="52"/>
      <c r="G13" s="53"/>
      <c r="H13" s="52"/>
      <c r="I13" s="52"/>
      <c r="J13" s="52"/>
      <c r="K13" s="52"/>
      <c r="L13" s="52"/>
      <c r="M13" s="53"/>
      <c r="N13" s="53"/>
      <c r="O13" s="52"/>
      <c r="P13" s="52"/>
      <c r="Q13" s="52"/>
      <c r="R13" s="53"/>
      <c r="S13" s="54"/>
      <c r="T13" s="54"/>
      <c r="U13" s="54"/>
      <c r="V13" s="53"/>
      <c r="W13" s="53"/>
      <c r="X13" s="55"/>
      <c r="Y13" s="55"/>
      <c r="Z13" s="53"/>
      <c r="AA13" s="56"/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95</v>
      </c>
      <c r="D14" s="52"/>
      <c r="E14" s="62"/>
      <c r="F14" s="52"/>
      <c r="G14" s="53"/>
      <c r="H14" s="52"/>
      <c r="I14" s="52"/>
      <c r="J14" s="52"/>
      <c r="K14" s="52"/>
      <c r="L14" s="52"/>
      <c r="M14" s="53"/>
      <c r="N14" s="53"/>
      <c r="O14" s="52"/>
      <c r="P14" s="52"/>
      <c r="Q14" s="52"/>
      <c r="R14" s="53"/>
      <c r="S14" s="54"/>
      <c r="T14" s="54"/>
      <c r="U14" s="54"/>
      <c r="V14" s="53"/>
      <c r="W14" s="53"/>
      <c r="X14" s="55"/>
      <c r="Y14" s="55"/>
      <c r="Z14" s="53"/>
      <c r="AA14" s="56"/>
      <c r="AB14" s="57"/>
      <c r="AD14" s="35" t="s">
        <v>96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97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98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90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91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92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7621.92</v>
      </c>
      <c r="J19" s="52">
        <v>13767.340000000002</v>
      </c>
      <c r="K19" s="52">
        <v>5911.24</v>
      </c>
      <c r="L19" s="52">
        <v>7856.100000000002</v>
      </c>
      <c r="M19" s="53">
        <v>0.5706331070490016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125.96143884892086</v>
      </c>
      <c r="Y19" s="55">
        <v>63.27846478985563</v>
      </c>
      <c r="Z19" s="53">
        <v>0.36479999999999996</v>
      </c>
      <c r="AA19" s="56">
        <v>0.2885</v>
      </c>
      <c r="AB19" s="57"/>
      <c r="AD19" s="35" t="s">
        <v>93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94</v>
      </c>
      <c r="D20" s="52"/>
      <c r="E20" s="52"/>
      <c r="F20" s="52"/>
      <c r="G20" s="53"/>
      <c r="H20" s="52"/>
      <c r="I20" s="52"/>
      <c r="J20" s="52"/>
      <c r="K20" s="52"/>
      <c r="L20" s="52"/>
      <c r="M20" s="53"/>
      <c r="N20" s="53"/>
      <c r="O20" s="52"/>
      <c r="P20" s="52"/>
      <c r="Q20" s="52"/>
      <c r="R20" s="53"/>
      <c r="S20" s="54"/>
      <c r="T20" s="54"/>
      <c r="U20" s="54"/>
      <c r="V20" s="53"/>
      <c r="W20" s="53"/>
      <c r="X20" s="55"/>
      <c r="Y20" s="55"/>
      <c r="Z20" s="53"/>
      <c r="AA20" s="56"/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95</v>
      </c>
      <c r="D21" s="52"/>
      <c r="E21" s="52"/>
      <c r="F21" s="52"/>
      <c r="G21" s="53"/>
      <c r="H21" s="52"/>
      <c r="I21" s="52"/>
      <c r="J21" s="52"/>
      <c r="K21" s="52"/>
      <c r="L21" s="52"/>
      <c r="M21" s="53"/>
      <c r="N21" s="53"/>
      <c r="O21" s="52"/>
      <c r="P21" s="52"/>
      <c r="Q21" s="52"/>
      <c r="R21" s="53"/>
      <c r="S21" s="54"/>
      <c r="T21" s="54"/>
      <c r="U21" s="54"/>
      <c r="V21" s="53"/>
      <c r="W21" s="53"/>
      <c r="X21" s="55"/>
      <c r="Y21" s="55"/>
      <c r="Z21" s="53"/>
      <c r="AA21" s="56"/>
      <c r="AB21" s="57"/>
      <c r="AD21" s="35" t="s">
        <v>96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97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98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90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91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92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87230.67</v>
      </c>
      <c r="J26" s="52">
        <v>62464.86</v>
      </c>
      <c r="K26" s="52">
        <v>58028.31</v>
      </c>
      <c r="L26" s="52">
        <v>4436.550000000003</v>
      </c>
      <c r="M26" s="53">
        <v>0.07102473294585152</v>
      </c>
      <c r="N26" s="53"/>
      <c r="O26" s="52">
        <v>39713.56</v>
      </c>
      <c r="P26" s="52">
        <v>29202.36</v>
      </c>
      <c r="Q26" s="52">
        <v>10511.199999999997</v>
      </c>
      <c r="R26" s="53">
        <v>0.26467534011053145</v>
      </c>
      <c r="S26" s="54">
        <v>795.22</v>
      </c>
      <c r="T26" s="54">
        <v>594.5</v>
      </c>
      <c r="U26" s="54">
        <v>200.72000000000003</v>
      </c>
      <c r="V26" s="53">
        <v>0.25240813862830414</v>
      </c>
      <c r="W26" s="53"/>
      <c r="X26" s="55">
        <v>96.11460050462573</v>
      </c>
      <c r="Y26" s="55">
        <v>61.20621468124544</v>
      </c>
      <c r="Z26" s="53">
        <v>0.3958</v>
      </c>
      <c r="AA26" s="56">
        <v>0.3227</v>
      </c>
      <c r="AB26" s="57"/>
      <c r="AD26" s="35" t="s">
        <v>93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94</v>
      </c>
      <c r="D27" s="55"/>
      <c r="E27" s="55"/>
      <c r="F27" s="52"/>
      <c r="G27" s="53"/>
      <c r="H27" s="52"/>
      <c r="I27" s="52"/>
      <c r="J27" s="52"/>
      <c r="K27" s="52"/>
      <c r="L27" s="52"/>
      <c r="M27" s="53"/>
      <c r="N27" s="53"/>
      <c r="O27" s="52"/>
      <c r="P27" s="52"/>
      <c r="Q27" s="52"/>
      <c r="R27" s="53"/>
      <c r="S27" s="54"/>
      <c r="T27" s="54"/>
      <c r="U27" s="54"/>
      <c r="V27" s="53"/>
      <c r="W27" s="53"/>
      <c r="X27" s="55"/>
      <c r="Y27" s="55"/>
      <c r="Z27" s="53"/>
      <c r="AA27" s="56"/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95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96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97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98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90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91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92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219182.25</v>
      </c>
      <c r="J33" s="52">
        <v>271519.78</v>
      </c>
      <c r="K33" s="52">
        <v>196853</v>
      </c>
      <c r="L33" s="52">
        <v>74666.78000000003</v>
      </c>
      <c r="M33" s="53">
        <v>0.2749957295928865</v>
      </c>
      <c r="N33" s="53"/>
      <c r="O33" s="52">
        <v>55911.34</v>
      </c>
      <c r="P33" s="52">
        <v>22329.25</v>
      </c>
      <c r="Q33" s="52">
        <v>33582.09</v>
      </c>
      <c r="R33" s="53">
        <v>0.6006311063193978</v>
      </c>
      <c r="S33" s="54">
        <v>1120.27</v>
      </c>
      <c r="T33" s="54">
        <v>522.25</v>
      </c>
      <c r="U33" s="54">
        <v>598.02</v>
      </c>
      <c r="V33" s="53">
        <v>0.5338177403661617</v>
      </c>
      <c r="W33" s="53"/>
      <c r="X33" s="55">
        <v>76.90849210148396</v>
      </c>
      <c r="Y33" s="55">
        <v>61.5841822414239</v>
      </c>
      <c r="Z33" s="53">
        <v>0.1549</v>
      </c>
      <c r="AA33" s="56">
        <v>0.174</v>
      </c>
      <c r="AB33" s="57"/>
      <c r="AD33" s="35" t="s">
        <v>93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94</v>
      </c>
      <c r="D34" s="52"/>
      <c r="E34" s="52"/>
      <c r="F34" s="52"/>
      <c r="G34" s="53"/>
      <c r="H34" s="52"/>
      <c r="I34" s="65"/>
      <c r="J34" s="52"/>
      <c r="K34" s="52"/>
      <c r="L34" s="52"/>
      <c r="M34" s="53"/>
      <c r="N34" s="53"/>
      <c r="O34" s="52"/>
      <c r="P34" s="52"/>
      <c r="Q34" s="52"/>
      <c r="R34" s="53"/>
      <c r="S34" s="54"/>
      <c r="T34" s="54"/>
      <c r="U34" s="54"/>
      <c r="V34" s="53"/>
      <c r="W34" s="53"/>
      <c r="X34" s="55"/>
      <c r="Y34" s="55"/>
      <c r="Z34" s="53"/>
      <c r="AA34" s="56"/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95</v>
      </c>
      <c r="D35" s="52"/>
      <c r="E35" s="52"/>
      <c r="F35" s="52"/>
      <c r="G35" s="53"/>
      <c r="H35" s="52"/>
      <c r="I35" s="65"/>
      <c r="J35" s="52"/>
      <c r="K35" s="52"/>
      <c r="L35" s="52"/>
      <c r="M35" s="53"/>
      <c r="N35" s="53"/>
      <c r="O35" s="52"/>
      <c r="P35" s="52"/>
      <c r="Q35" s="52"/>
      <c r="R35" s="53"/>
      <c r="S35" s="54"/>
      <c r="T35" s="54"/>
      <c r="U35" s="54"/>
      <c r="V35" s="53"/>
      <c r="W35" s="53"/>
      <c r="X35" s="55"/>
      <c r="Y35" s="55"/>
      <c r="Z35" s="53"/>
      <c r="AA35" s="56"/>
      <c r="AB35" s="57"/>
      <c r="AD35" s="35" t="s">
        <v>96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97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98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90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91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92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45499.87</v>
      </c>
      <c r="J40" s="52">
        <v>69042.09000000001</v>
      </c>
      <c r="K40" s="52">
        <v>35731.93</v>
      </c>
      <c r="L40" s="52">
        <v>33310.16000000001</v>
      </c>
      <c r="M40" s="53">
        <v>0.4824616404283243</v>
      </c>
      <c r="N40" s="53"/>
      <c r="O40" s="52">
        <v>25056.23</v>
      </c>
      <c r="P40" s="52">
        <v>9767.94</v>
      </c>
      <c r="Q40" s="52">
        <v>15288.289999999999</v>
      </c>
      <c r="R40" s="53">
        <v>0.6101592298601984</v>
      </c>
      <c r="S40" s="54">
        <v>501.83</v>
      </c>
      <c r="T40" s="54">
        <v>205.75</v>
      </c>
      <c r="U40" s="54">
        <v>296.08</v>
      </c>
      <c r="V40" s="53">
        <v>0.5900005978120081</v>
      </c>
      <c r="W40" s="53"/>
      <c r="X40" s="55">
        <v>41.0447630619684</v>
      </c>
      <c r="Y40" s="55">
        <v>68.07122423898531</v>
      </c>
      <c r="Z40" s="53">
        <v>0.1565</v>
      </c>
      <c r="AA40" s="56">
        <v>0.2663</v>
      </c>
      <c r="AB40" s="57"/>
      <c r="AD40" s="35" t="s">
        <v>93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94</v>
      </c>
      <c r="D41" s="52"/>
      <c r="E41" s="52"/>
      <c r="F41" s="52"/>
      <c r="G41" s="53"/>
      <c r="H41" s="52"/>
      <c r="I41" s="52"/>
      <c r="J41" s="52"/>
      <c r="K41" s="52"/>
      <c r="L41" s="52"/>
      <c r="M41" s="53"/>
      <c r="N41" s="53"/>
      <c r="O41" s="52"/>
      <c r="P41" s="52"/>
      <c r="Q41" s="52"/>
      <c r="R41" s="53"/>
      <c r="S41" s="54"/>
      <c r="T41" s="54"/>
      <c r="U41" s="54"/>
      <c r="V41" s="53"/>
      <c r="W41" s="53"/>
      <c r="X41" s="55"/>
      <c r="Y41" s="55"/>
      <c r="Z41" s="53"/>
      <c r="AA41" s="56"/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95</v>
      </c>
      <c r="D42" s="52"/>
      <c r="E42" s="52"/>
      <c r="F42" s="52"/>
      <c r="G42" s="53"/>
      <c r="H42" s="52"/>
      <c r="I42" s="52"/>
      <c r="J42" s="52"/>
      <c r="K42" s="52"/>
      <c r="L42" s="52"/>
      <c r="M42" s="53"/>
      <c r="N42" s="53"/>
      <c r="O42" s="52"/>
      <c r="P42" s="52"/>
      <c r="Q42" s="52"/>
      <c r="R42" s="53"/>
      <c r="S42" s="54"/>
      <c r="T42" s="54"/>
      <c r="U42" s="54"/>
      <c r="V42" s="53"/>
      <c r="W42" s="53"/>
      <c r="X42" s="55"/>
      <c r="Y42" s="55"/>
      <c r="Z42" s="53"/>
      <c r="AA42" s="56"/>
      <c r="AB42" s="57"/>
      <c r="AD42" s="35" t="s">
        <v>96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97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98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90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91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92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25337.26</v>
      </c>
      <c r="J47" s="52">
        <v>39438.990000000005</v>
      </c>
      <c r="K47" s="52">
        <v>20582.32</v>
      </c>
      <c r="L47" s="52">
        <v>18856.670000000006</v>
      </c>
      <c r="M47" s="53">
        <v>0.4781225381278781</v>
      </c>
      <c r="N47" s="53"/>
      <c r="O47" s="52">
        <v>11143.38</v>
      </c>
      <c r="P47" s="52">
        <v>4754.94</v>
      </c>
      <c r="Q47" s="52">
        <v>6388.44</v>
      </c>
      <c r="R47" s="53">
        <v>0.5732946377131535</v>
      </c>
      <c r="S47" s="54">
        <v>223.22</v>
      </c>
      <c r="T47" s="54">
        <v>104.25</v>
      </c>
      <c r="U47" s="54">
        <v>118.97</v>
      </c>
      <c r="V47" s="53">
        <v>0.5329719559179285</v>
      </c>
      <c r="W47" s="53"/>
      <c r="X47" s="55">
        <v>76.63529976019184</v>
      </c>
      <c r="Y47" s="55">
        <v>67.69550512136009</v>
      </c>
      <c r="Z47" s="53">
        <v>0.2397</v>
      </c>
      <c r="AA47" s="56">
        <v>0.23</v>
      </c>
      <c r="AB47" s="57"/>
      <c r="AD47" s="35" t="s">
        <v>93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94</v>
      </c>
      <c r="D48" s="52"/>
      <c r="E48" s="52"/>
      <c r="F48" s="52"/>
      <c r="G48" s="53"/>
      <c r="H48" s="52"/>
      <c r="I48" s="52"/>
      <c r="J48" s="52"/>
      <c r="K48" s="52"/>
      <c r="L48" s="52"/>
      <c r="M48" s="53"/>
      <c r="N48" s="53"/>
      <c r="O48" s="52"/>
      <c r="P48" s="52"/>
      <c r="Q48" s="52"/>
      <c r="R48" s="53"/>
      <c r="S48" s="54"/>
      <c r="T48" s="54"/>
      <c r="U48" s="54"/>
      <c r="V48" s="53"/>
      <c r="W48" s="53"/>
      <c r="X48" s="55"/>
      <c r="Y48" s="55"/>
      <c r="Z48" s="53"/>
      <c r="AA48" s="56"/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95</v>
      </c>
      <c r="D49" s="52"/>
      <c r="E49" s="52"/>
      <c r="F49" s="52"/>
      <c r="G49" s="53"/>
      <c r="H49" s="52"/>
      <c r="I49" s="52"/>
      <c r="J49" s="52"/>
      <c r="K49" s="52"/>
      <c r="L49" s="52"/>
      <c r="M49" s="53"/>
      <c r="N49" s="53"/>
      <c r="O49" s="52"/>
      <c r="P49" s="52"/>
      <c r="Q49" s="52"/>
      <c r="R49" s="53"/>
      <c r="S49" s="54"/>
      <c r="T49" s="54"/>
      <c r="U49" s="54"/>
      <c r="V49" s="53"/>
      <c r="W49" s="53"/>
      <c r="X49" s="55"/>
      <c r="Y49" s="55"/>
      <c r="Z49" s="53"/>
      <c r="AA49" s="56"/>
      <c r="AB49" s="57"/>
      <c r="AD49" s="35" t="s">
        <v>96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97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98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90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91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92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95642.03</v>
      </c>
      <c r="J54" s="52">
        <v>75135.01000000001</v>
      </c>
      <c r="K54" s="52">
        <v>71188.63</v>
      </c>
      <c r="L54" s="52">
        <v>3946.3800000000047</v>
      </c>
      <c r="M54" s="53">
        <v>0.05252385006669999</v>
      </c>
      <c r="N54" s="53"/>
      <c r="O54" s="52">
        <v>34229.96</v>
      </c>
      <c r="P54" s="52">
        <v>24453.4</v>
      </c>
      <c r="Q54" s="52">
        <v>9776.559999999998</v>
      </c>
      <c r="R54" s="53">
        <v>0.28561412283274645</v>
      </c>
      <c r="S54" s="54">
        <v>685.48</v>
      </c>
      <c r="T54" s="54">
        <v>517.75</v>
      </c>
      <c r="U54" s="54">
        <v>167.73000000000002</v>
      </c>
      <c r="V54" s="53">
        <v>0.24468985236622515</v>
      </c>
      <c r="W54" s="53"/>
      <c r="X54" s="55">
        <v>62.138966682761954</v>
      </c>
      <c r="Y54" s="55">
        <v>67.00679527854935</v>
      </c>
      <c r="Z54" s="53">
        <v>0.25170000000000003</v>
      </c>
      <c r="AA54" s="56">
        <v>0.2958</v>
      </c>
      <c r="AB54" s="57"/>
      <c r="AD54" s="35" t="s">
        <v>93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94</v>
      </c>
      <c r="D55" s="52"/>
      <c r="E55" s="52"/>
      <c r="F55" s="52"/>
      <c r="G55" s="53"/>
      <c r="H55" s="52"/>
      <c r="I55" s="52"/>
      <c r="J55" s="52"/>
      <c r="K55" s="52"/>
      <c r="L55" s="52"/>
      <c r="M55" s="53"/>
      <c r="N55" s="53"/>
      <c r="O55" s="52"/>
      <c r="P55" s="52"/>
      <c r="Q55" s="52"/>
      <c r="R55" s="53"/>
      <c r="S55" s="54"/>
      <c r="T55" s="54"/>
      <c r="U55" s="54"/>
      <c r="V55" s="53"/>
      <c r="W55" s="53"/>
      <c r="X55" s="55"/>
      <c r="Y55" s="55"/>
      <c r="Z55" s="53"/>
      <c r="AA55" s="56"/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95</v>
      </c>
      <c r="D56" s="52"/>
      <c r="E56" s="52"/>
      <c r="F56" s="52"/>
      <c r="G56" s="53"/>
      <c r="H56" s="52"/>
      <c r="I56" s="52"/>
      <c r="J56" s="52"/>
      <c r="K56" s="52"/>
      <c r="L56" s="52"/>
      <c r="M56" s="53"/>
      <c r="N56" s="53"/>
      <c r="O56" s="52"/>
      <c r="P56" s="52"/>
      <c r="Q56" s="52"/>
      <c r="R56" s="53"/>
      <c r="S56" s="54"/>
      <c r="T56" s="54"/>
      <c r="U56" s="54"/>
      <c r="V56" s="53"/>
      <c r="W56" s="53"/>
      <c r="X56" s="55"/>
      <c r="Y56" s="55"/>
      <c r="Z56" s="53"/>
      <c r="AA56" s="56"/>
      <c r="AB56" s="57"/>
      <c r="AD56" s="35" t="s">
        <v>96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97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98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90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91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92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93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94</v>
      </c>
      <c r="D62" s="52"/>
      <c r="E62" s="52"/>
      <c r="F62" s="52"/>
      <c r="G62" s="53"/>
      <c r="H62" s="52"/>
      <c r="I62" s="52"/>
      <c r="J62" s="52"/>
      <c r="K62" s="52"/>
      <c r="L62" s="52"/>
      <c r="M62" s="53"/>
      <c r="N62" s="53"/>
      <c r="O62" s="52"/>
      <c r="P62" s="52"/>
      <c r="Q62" s="52"/>
      <c r="R62" s="53"/>
      <c r="S62" s="54"/>
      <c r="T62" s="54"/>
      <c r="U62" s="54"/>
      <c r="V62" s="53"/>
      <c r="W62" s="53"/>
      <c r="X62" s="55"/>
      <c r="Y62" s="55"/>
      <c r="Z62" s="53"/>
      <c r="AA62" s="56"/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95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96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97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98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90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91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92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9981.43</v>
      </c>
      <c r="J68" s="52">
        <v>27136.549999999996</v>
      </c>
      <c r="K68" s="52">
        <v>9832.65</v>
      </c>
      <c r="L68" s="52">
        <v>17303.899999999994</v>
      </c>
      <c r="M68" s="53">
        <v>0.6376602773749794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243.27272727272728</v>
      </c>
      <c r="Y68" s="55">
        <v>72.22475431425701</v>
      </c>
      <c r="Z68" s="53">
        <v>0.06280000000000001</v>
      </c>
      <c r="AA68" s="56">
        <v>0.2558</v>
      </c>
      <c r="AB68" s="57"/>
      <c r="AD68" s="35" t="s">
        <v>93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94</v>
      </c>
      <c r="D69" s="52"/>
      <c r="E69" s="52"/>
      <c r="F69" s="52"/>
      <c r="G69" s="53"/>
      <c r="H69" s="52"/>
      <c r="I69" s="52"/>
      <c r="J69" s="52"/>
      <c r="K69" s="52"/>
      <c r="L69" s="52"/>
      <c r="M69" s="53"/>
      <c r="N69" s="53"/>
      <c r="O69" s="52"/>
      <c r="P69" s="52"/>
      <c r="Q69" s="52"/>
      <c r="R69" s="53"/>
      <c r="S69" s="54"/>
      <c r="T69" s="54"/>
      <c r="U69" s="54"/>
      <c r="V69" s="53"/>
      <c r="W69" s="53"/>
      <c r="X69" s="55"/>
      <c r="Y69" s="55"/>
      <c r="Z69" s="53"/>
      <c r="AA69" s="56"/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95</v>
      </c>
      <c r="D70" s="52"/>
      <c r="E70" s="52"/>
      <c r="F70" s="52"/>
      <c r="G70" s="53"/>
      <c r="H70" s="52"/>
      <c r="I70" s="52"/>
      <c r="J70" s="52"/>
      <c r="K70" s="52"/>
      <c r="L70" s="52"/>
      <c r="M70" s="53"/>
      <c r="N70" s="53"/>
      <c r="O70" s="52"/>
      <c r="P70" s="52"/>
      <c r="Q70" s="52"/>
      <c r="R70" s="53"/>
      <c r="S70" s="54"/>
      <c r="T70" s="54"/>
      <c r="U70" s="54"/>
      <c r="V70" s="53"/>
      <c r="W70" s="53"/>
      <c r="X70" s="55"/>
      <c r="Y70" s="55"/>
      <c r="Z70" s="53"/>
      <c r="AA70" s="56"/>
      <c r="AB70" s="57"/>
      <c r="AD70" s="35" t="s">
        <v>96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97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98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90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91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92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33447.19</v>
      </c>
      <c r="J75" s="52">
        <v>31383.390000000003</v>
      </c>
      <c r="K75" s="52">
        <v>27343.140000000003</v>
      </c>
      <c r="L75" s="52">
        <v>4040.25</v>
      </c>
      <c r="M75" s="53">
        <v>0.128738482362804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94.11891891891891</v>
      </c>
      <c r="Y75" s="55">
        <v>48.58165977967362</v>
      </c>
      <c r="Z75" s="53">
        <v>0.2528</v>
      </c>
      <c r="AA75" s="56">
        <v>0.2963</v>
      </c>
      <c r="AB75" s="57"/>
      <c r="AD75" s="35" t="s">
        <v>93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94</v>
      </c>
      <c r="D76" s="52"/>
      <c r="E76" s="52"/>
      <c r="F76" s="52"/>
      <c r="G76" s="53"/>
      <c r="H76" s="52"/>
      <c r="I76" s="52"/>
      <c r="J76" s="52"/>
      <c r="K76" s="52"/>
      <c r="L76" s="52"/>
      <c r="M76" s="53"/>
      <c r="N76" s="53"/>
      <c r="O76" s="52"/>
      <c r="P76" s="52"/>
      <c r="Q76" s="52"/>
      <c r="R76" s="53"/>
      <c r="S76" s="54"/>
      <c r="T76" s="54"/>
      <c r="U76" s="54"/>
      <c r="V76" s="53"/>
      <c r="W76" s="53"/>
      <c r="X76" s="55"/>
      <c r="Y76" s="55"/>
      <c r="Z76" s="53"/>
      <c r="AA76" s="56"/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95</v>
      </c>
      <c r="D77" s="52"/>
      <c r="E77" s="52"/>
      <c r="F77" s="52"/>
      <c r="G77" s="53"/>
      <c r="H77" s="52"/>
      <c r="I77" s="52"/>
      <c r="J77" s="52"/>
      <c r="K77" s="52"/>
      <c r="L77" s="52"/>
      <c r="M77" s="53"/>
      <c r="N77" s="53"/>
      <c r="O77" s="52"/>
      <c r="P77" s="52"/>
      <c r="Q77" s="52"/>
      <c r="R77" s="53"/>
      <c r="S77" s="54"/>
      <c r="T77" s="54"/>
      <c r="U77" s="54"/>
      <c r="V77" s="53"/>
      <c r="W77" s="53"/>
      <c r="X77" s="55"/>
      <c r="Y77" s="55"/>
      <c r="Z77" s="53"/>
      <c r="AA77" s="56"/>
      <c r="AB77" s="57"/>
      <c r="AD77" s="35" t="s">
        <v>96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97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98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90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91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92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93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94</v>
      </c>
      <c r="D83" s="52"/>
      <c r="E83" s="52"/>
      <c r="F83" s="52"/>
      <c r="G83" s="53"/>
      <c r="H83" s="52"/>
      <c r="I83" s="52"/>
      <c r="J83" s="52"/>
      <c r="K83" s="52"/>
      <c r="L83" s="52"/>
      <c r="M83" s="53"/>
      <c r="N83" s="53"/>
      <c r="O83" s="52"/>
      <c r="P83" s="52"/>
      <c r="Q83" s="52"/>
      <c r="R83" s="53"/>
      <c r="S83" s="54"/>
      <c r="T83" s="54"/>
      <c r="U83" s="54"/>
      <c r="V83" s="53"/>
      <c r="W83" s="53"/>
      <c r="X83" s="55"/>
      <c r="Y83" s="55"/>
      <c r="Z83" s="53"/>
      <c r="AA83" s="56"/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95</v>
      </c>
      <c r="D84" s="52"/>
      <c r="E84" s="52"/>
      <c r="F84" s="52"/>
      <c r="G84" s="53"/>
      <c r="H84" s="52"/>
      <c r="I84" s="52"/>
      <c r="J84" s="52"/>
      <c r="K84" s="52"/>
      <c r="L84" s="52"/>
      <c r="M84" s="53"/>
      <c r="N84" s="53"/>
      <c r="O84" s="52"/>
      <c r="P84" s="52"/>
      <c r="Q84" s="52"/>
      <c r="R84" s="53"/>
      <c r="S84" s="54"/>
      <c r="T84" s="54"/>
      <c r="U84" s="54"/>
      <c r="V84" s="53"/>
      <c r="W84" s="53"/>
      <c r="X84" s="55"/>
      <c r="Y84" s="55"/>
      <c r="Z84" s="53"/>
      <c r="AA84" s="56"/>
      <c r="AB84" s="57"/>
      <c r="AD84" s="35" t="s">
        <v>96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97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98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90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91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92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26005.99</v>
      </c>
      <c r="J89" s="52">
        <v>15440.32</v>
      </c>
      <c r="K89" s="52">
        <v>14988.440000000002</v>
      </c>
      <c r="L89" s="52">
        <v>451.8799999999974</v>
      </c>
      <c r="M89" s="53">
        <v>0.029266232824190004</v>
      </c>
      <c r="N89" s="53"/>
      <c r="O89" s="52">
        <v>11562.61</v>
      </c>
      <c r="P89" s="52">
        <v>11017.55</v>
      </c>
      <c r="Q89" s="52">
        <v>545.0600000000013</v>
      </c>
      <c r="R89" s="53">
        <v>0.04713987585847843</v>
      </c>
      <c r="S89" s="68">
        <v>231.75</v>
      </c>
      <c r="T89" s="68">
        <v>224.25</v>
      </c>
      <c r="U89" s="54">
        <v>7.5</v>
      </c>
      <c r="V89" s="53">
        <v>0.032362459546925564</v>
      </c>
      <c r="W89" s="53"/>
      <c r="X89" s="55">
        <v>46.26684503901895</v>
      </c>
      <c r="Y89" s="55">
        <v>43.49557070636461</v>
      </c>
      <c r="Z89" s="53">
        <v>0.2852</v>
      </c>
      <c r="AA89" s="56">
        <v>0.2718</v>
      </c>
      <c r="AB89" s="57"/>
      <c r="AD89" s="35" t="s">
        <v>93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94</v>
      </c>
      <c r="D90" s="67"/>
      <c r="E90" s="67"/>
      <c r="F90" s="52"/>
      <c r="G90" s="53"/>
      <c r="H90" s="52"/>
      <c r="I90" s="52"/>
      <c r="J90" s="52"/>
      <c r="K90" s="52"/>
      <c r="L90" s="52"/>
      <c r="M90" s="53"/>
      <c r="N90" s="53"/>
      <c r="O90" s="52"/>
      <c r="P90" s="52"/>
      <c r="Q90" s="52"/>
      <c r="R90" s="53"/>
      <c r="S90" s="68"/>
      <c r="T90" s="68"/>
      <c r="U90" s="54"/>
      <c r="V90" s="53"/>
      <c r="W90" s="53"/>
      <c r="X90" s="55"/>
      <c r="Y90" s="55"/>
      <c r="Z90" s="53"/>
      <c r="AA90" s="56"/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95</v>
      </c>
      <c r="D91" s="67"/>
      <c r="E91" s="67"/>
      <c r="F91" s="52"/>
      <c r="G91" s="53"/>
      <c r="H91" s="52"/>
      <c r="I91" s="52"/>
      <c r="J91" s="52"/>
      <c r="K91" s="52"/>
      <c r="L91" s="52"/>
      <c r="M91" s="53"/>
      <c r="N91" s="53"/>
      <c r="O91" s="52"/>
      <c r="P91" s="52"/>
      <c r="Q91" s="52"/>
      <c r="R91" s="53"/>
      <c r="S91" s="68"/>
      <c r="T91" s="68"/>
      <c r="U91" s="54"/>
      <c r="V91" s="53"/>
      <c r="W91" s="53"/>
      <c r="X91" s="55"/>
      <c r="Y91" s="55"/>
      <c r="Z91" s="53"/>
      <c r="AA91" s="56"/>
      <c r="AB91" s="57"/>
      <c r="AD91" s="35" t="s">
        <v>96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97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98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90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91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92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93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94</v>
      </c>
      <c r="D97" s="52"/>
      <c r="E97" s="52"/>
      <c r="F97" s="52"/>
      <c r="G97" s="53"/>
      <c r="H97" s="52"/>
      <c r="I97" s="52"/>
      <c r="J97" s="52"/>
      <c r="K97" s="52"/>
      <c r="L97" s="52"/>
      <c r="M97" s="53"/>
      <c r="N97" s="53"/>
      <c r="O97" s="52"/>
      <c r="P97" s="52"/>
      <c r="Q97" s="52"/>
      <c r="R97" s="53"/>
      <c r="S97" s="54"/>
      <c r="T97" s="54"/>
      <c r="U97" s="54"/>
      <c r="V97" s="53"/>
      <c r="W97" s="53"/>
      <c r="X97" s="55"/>
      <c r="Y97" s="55"/>
      <c r="Z97" s="53"/>
      <c r="AA97" s="56"/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95</v>
      </c>
      <c r="D98" s="52"/>
      <c r="E98" s="52"/>
      <c r="F98" s="52"/>
      <c r="G98" s="53"/>
      <c r="H98" s="52"/>
      <c r="I98" s="52"/>
      <c r="J98" s="52"/>
      <c r="K98" s="52"/>
      <c r="L98" s="52"/>
      <c r="M98" s="53"/>
      <c r="N98" s="53"/>
      <c r="O98" s="52"/>
      <c r="P98" s="52"/>
      <c r="Q98" s="52"/>
      <c r="R98" s="53"/>
      <c r="S98" s="54"/>
      <c r="T98" s="54"/>
      <c r="U98" s="54"/>
      <c r="V98" s="53"/>
      <c r="W98" s="53"/>
      <c r="X98" s="55"/>
      <c r="Y98" s="55"/>
      <c r="Z98" s="53"/>
      <c r="AA98" s="56"/>
      <c r="AB98" s="57"/>
      <c r="AD98" s="35" t="s">
        <v>96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97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98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90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91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92</v>
      </c>
      <c r="D103" s="52"/>
      <c r="E103" s="69"/>
      <c r="F103" s="52"/>
      <c r="G103" s="53"/>
      <c r="H103" s="52"/>
      <c r="I103" s="52"/>
      <c r="J103" s="52"/>
      <c r="K103" s="52"/>
      <c r="L103" s="52"/>
      <c r="M103" s="53"/>
      <c r="N103" s="53"/>
      <c r="O103" s="52"/>
      <c r="P103" s="52"/>
      <c r="Q103" s="52"/>
      <c r="R103" s="53"/>
      <c r="S103" s="54"/>
      <c r="T103" s="54"/>
      <c r="U103" s="54"/>
      <c r="V103" s="53"/>
      <c r="W103" s="53"/>
      <c r="X103" s="55"/>
      <c r="Y103" s="55"/>
      <c r="Z103" s="53"/>
      <c r="AA103" s="56"/>
      <c r="AB103" s="57"/>
      <c r="AD103" s="35" t="s">
        <v>93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94</v>
      </c>
      <c r="D104" s="52"/>
      <c r="E104" s="69"/>
      <c r="F104" s="52"/>
      <c r="G104" s="53"/>
      <c r="H104" s="52"/>
      <c r="I104" s="52"/>
      <c r="J104" s="52"/>
      <c r="K104" s="52"/>
      <c r="L104" s="52"/>
      <c r="M104" s="53"/>
      <c r="N104" s="53"/>
      <c r="O104" s="52"/>
      <c r="P104" s="52"/>
      <c r="Q104" s="52"/>
      <c r="R104" s="53"/>
      <c r="S104" s="54"/>
      <c r="T104" s="54"/>
      <c r="U104" s="54"/>
      <c r="V104" s="53"/>
      <c r="W104" s="53"/>
      <c r="X104" s="55"/>
      <c r="Y104" s="55"/>
      <c r="Z104" s="53"/>
      <c r="AA104" s="56"/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95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96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97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98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90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91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92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45837.23</v>
      </c>
      <c r="J110" s="52">
        <v>21415.85</v>
      </c>
      <c r="K110" s="52">
        <v>23958.850000000002</v>
      </c>
      <c r="L110" s="52">
        <v>-2543.0000000000036</v>
      </c>
      <c r="M110" s="53">
        <v>-0.11874382758564352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48.93201480698043</v>
      </c>
      <c r="Y110" s="55">
        <v>65.70431400737223</v>
      </c>
      <c r="Z110" s="53">
        <v>0.3354</v>
      </c>
      <c r="AA110" s="56">
        <v>0.3616</v>
      </c>
      <c r="AB110" s="57"/>
      <c r="AD110" s="35" t="s">
        <v>93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94</v>
      </c>
      <c r="D111" s="52"/>
      <c r="E111" s="52"/>
      <c r="F111" s="52"/>
      <c r="G111" s="53"/>
      <c r="H111" s="52"/>
      <c r="I111" s="52"/>
      <c r="J111" s="52"/>
      <c r="K111" s="52"/>
      <c r="L111" s="52"/>
      <c r="M111" s="53"/>
      <c r="N111" s="53"/>
      <c r="O111" s="52"/>
      <c r="P111" s="52"/>
      <c r="Q111" s="52"/>
      <c r="R111" s="53"/>
      <c r="S111" s="54"/>
      <c r="T111" s="54"/>
      <c r="U111" s="54"/>
      <c r="V111" s="53"/>
      <c r="W111" s="53"/>
      <c r="X111" s="55"/>
      <c r="Y111" s="55"/>
      <c r="Z111" s="53"/>
      <c r="AA111" s="56"/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95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96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97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98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90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91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92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93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94</v>
      </c>
      <c r="D118" s="52"/>
      <c r="E118" s="52"/>
      <c r="F118" s="52"/>
      <c r="G118" s="53"/>
      <c r="H118" s="52"/>
      <c r="I118" s="52"/>
      <c r="J118" s="52"/>
      <c r="K118" s="52"/>
      <c r="L118" s="52"/>
      <c r="M118" s="53"/>
      <c r="N118" s="53"/>
      <c r="O118" s="52"/>
      <c r="P118" s="52"/>
      <c r="Q118" s="52"/>
      <c r="R118" s="53"/>
      <c r="S118" s="54"/>
      <c r="T118" s="54"/>
      <c r="U118" s="54"/>
      <c r="V118" s="53"/>
      <c r="W118" s="53"/>
      <c r="X118" s="55"/>
      <c r="Y118" s="55"/>
      <c r="Z118" s="53"/>
      <c r="AA118" s="56"/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95</v>
      </c>
      <c r="D119" s="52"/>
      <c r="E119" s="52"/>
      <c r="F119" s="52"/>
      <c r="G119" s="53"/>
      <c r="H119" s="52"/>
      <c r="I119" s="52"/>
      <c r="J119" s="52"/>
      <c r="K119" s="52"/>
      <c r="L119" s="52"/>
      <c r="M119" s="53"/>
      <c r="N119" s="53"/>
      <c r="O119" s="52"/>
      <c r="P119" s="52"/>
      <c r="Q119" s="52"/>
      <c r="R119" s="53"/>
      <c r="S119" s="54"/>
      <c r="T119" s="54"/>
      <c r="U119" s="54"/>
      <c r="V119" s="53"/>
      <c r="W119" s="53"/>
      <c r="X119" s="55"/>
      <c r="Y119" s="55"/>
      <c r="Z119" s="53"/>
      <c r="AA119" s="56"/>
      <c r="AB119" s="57"/>
      <c r="AD119" s="35" t="s">
        <v>96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97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98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90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91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92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56983.56</v>
      </c>
      <c r="J124" s="52">
        <v>68214.25</v>
      </c>
      <c r="K124" s="52">
        <v>52178.049999999996</v>
      </c>
      <c r="L124" s="52">
        <v>16036.200000000004</v>
      </c>
      <c r="M124" s="53">
        <v>0.23508577753182075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99.27371428571428</v>
      </c>
      <c r="Y124" s="55">
        <v>63.04545035767707</v>
      </c>
      <c r="Z124" s="53">
        <v>0.15460000000000002</v>
      </c>
      <c r="AA124" s="56">
        <v>0.1811</v>
      </c>
      <c r="AB124" s="57"/>
      <c r="AD124" s="35" t="s">
        <v>93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94</v>
      </c>
      <c r="D125" s="52"/>
      <c r="E125" s="52"/>
      <c r="F125" s="52"/>
      <c r="G125" s="53"/>
      <c r="H125" s="52"/>
      <c r="I125" s="52"/>
      <c r="J125" s="52"/>
      <c r="K125" s="52"/>
      <c r="L125" s="52"/>
      <c r="M125" s="53"/>
      <c r="N125" s="53"/>
      <c r="O125" s="52"/>
      <c r="P125" s="52"/>
      <c r="Q125" s="52"/>
      <c r="R125" s="53"/>
      <c r="S125" s="54"/>
      <c r="T125" s="54"/>
      <c r="U125" s="54"/>
      <c r="V125" s="53"/>
      <c r="W125" s="53"/>
      <c r="X125" s="55"/>
      <c r="Y125" s="55"/>
      <c r="Z125" s="53"/>
      <c r="AA125" s="56"/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95</v>
      </c>
      <c r="D126" s="52"/>
      <c r="E126" s="52"/>
      <c r="F126" s="52"/>
      <c r="G126" s="53"/>
      <c r="H126" s="52"/>
      <c r="I126" s="52"/>
      <c r="J126" s="52"/>
      <c r="K126" s="52"/>
      <c r="L126" s="52"/>
      <c r="M126" s="53"/>
      <c r="N126" s="53"/>
      <c r="O126" s="52"/>
      <c r="P126" s="52"/>
      <c r="Q126" s="52"/>
      <c r="R126" s="53"/>
      <c r="S126" s="54"/>
      <c r="T126" s="54"/>
      <c r="U126" s="54"/>
      <c r="V126" s="53"/>
      <c r="W126" s="53"/>
      <c r="X126" s="55"/>
      <c r="Y126" s="55"/>
      <c r="Z126" s="53"/>
      <c r="AA126" s="56"/>
      <c r="AB126" s="57"/>
      <c r="AD126" s="35" t="s">
        <v>96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97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98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90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91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92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93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94</v>
      </c>
      <c r="D132" s="52"/>
      <c r="E132" s="52"/>
      <c r="F132" s="52"/>
      <c r="G132" s="53"/>
      <c r="H132" s="52"/>
      <c r="I132" s="52"/>
      <c r="J132" s="52"/>
      <c r="K132" s="52"/>
      <c r="L132" s="52"/>
      <c r="M132" s="53"/>
      <c r="N132" s="53"/>
      <c r="O132" s="52"/>
      <c r="P132" s="52"/>
      <c r="Q132" s="52"/>
      <c r="R132" s="53"/>
      <c r="S132" s="54"/>
      <c r="T132" s="54"/>
      <c r="U132" s="54"/>
      <c r="V132" s="53"/>
      <c r="W132" s="53"/>
      <c r="X132" s="55"/>
      <c r="Y132" s="55"/>
      <c r="Z132" s="53"/>
      <c r="AA132" s="56"/>
      <c r="AB132" s="57"/>
      <c r="AD132" s="35"/>
      <c r="AE132" s="35"/>
      <c r="AH132" s="19"/>
      <c r="AI132" s="58"/>
    </row>
    <row r="133" ht="15" customHeight="1" spans="1:35" x14ac:dyDescent="0.25">
      <c r="B133" s="20"/>
      <c r="C133" s="51" t="s">
        <v>95</v>
      </c>
      <c r="D133" s="52"/>
      <c r="E133" s="52"/>
      <c r="F133" s="52"/>
      <c r="G133" s="53"/>
      <c r="H133" s="52"/>
      <c r="I133" s="52"/>
      <c r="J133" s="52"/>
      <c r="K133" s="52"/>
      <c r="L133" s="52"/>
      <c r="M133" s="53"/>
      <c r="N133" s="53"/>
      <c r="O133" s="52"/>
      <c r="P133" s="52"/>
      <c r="Q133" s="52"/>
      <c r="R133" s="53"/>
      <c r="S133" s="54"/>
      <c r="T133" s="54"/>
      <c r="U133" s="54"/>
      <c r="V133" s="53"/>
      <c r="W133" s="53"/>
      <c r="X133" s="55"/>
      <c r="Y133" s="55"/>
      <c r="Z133" s="53"/>
      <c r="AA133" s="56"/>
      <c r="AB133" s="57"/>
      <c r="AD133" s="35" t="s">
        <v>96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97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98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90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91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92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93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94</v>
      </c>
      <c r="D139" s="52"/>
      <c r="E139" s="52"/>
      <c r="F139" s="52"/>
      <c r="G139" s="53"/>
      <c r="H139" s="52"/>
      <c r="I139" s="52"/>
      <c r="J139" s="52"/>
      <c r="K139" s="52"/>
      <c r="L139" s="52"/>
      <c r="M139" s="53"/>
      <c r="N139" s="53"/>
      <c r="O139" s="52"/>
      <c r="P139" s="52"/>
      <c r="Q139" s="52"/>
      <c r="R139" s="53"/>
      <c r="S139" s="54"/>
      <c r="T139" s="54"/>
      <c r="U139" s="54"/>
      <c r="V139" s="53"/>
      <c r="W139" s="53"/>
      <c r="X139" s="55"/>
      <c r="Y139" s="55"/>
      <c r="Z139" s="53"/>
      <c r="AA139" s="56"/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95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96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97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98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90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91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92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93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94</v>
      </c>
      <c r="D146" s="52"/>
      <c r="E146" s="52"/>
      <c r="F146" s="52"/>
      <c r="G146" s="53"/>
      <c r="H146" s="52"/>
      <c r="I146" s="52"/>
      <c r="J146" s="52"/>
      <c r="K146" s="52"/>
      <c r="L146" s="52"/>
      <c r="M146" s="53"/>
      <c r="N146" s="53"/>
      <c r="O146" s="52"/>
      <c r="P146" s="52"/>
      <c r="Q146" s="52"/>
      <c r="R146" s="53"/>
      <c r="S146" s="54"/>
      <c r="T146" s="54"/>
      <c r="U146" s="54"/>
      <c r="V146" s="53"/>
      <c r="W146" s="53"/>
      <c r="X146" s="55"/>
      <c r="Y146" s="55"/>
      <c r="Z146" s="53"/>
      <c r="AA146" s="56"/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95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96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97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98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90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91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92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93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94</v>
      </c>
      <c r="D153" s="52"/>
      <c r="E153" s="52"/>
      <c r="F153" s="52"/>
      <c r="G153" s="53"/>
      <c r="H153" s="52"/>
      <c r="I153" s="52"/>
      <c r="J153" s="52"/>
      <c r="K153" s="52"/>
      <c r="L153" s="52"/>
      <c r="M153" s="53"/>
      <c r="N153" s="53"/>
      <c r="O153" s="52"/>
      <c r="P153" s="52"/>
      <c r="Q153" s="52"/>
      <c r="R153" s="53"/>
      <c r="S153" s="54"/>
      <c r="T153" s="54"/>
      <c r="U153" s="54"/>
      <c r="V153" s="53"/>
      <c r="W153" s="53"/>
      <c r="X153" s="55"/>
      <c r="Y153" s="55"/>
      <c r="Z153" s="53"/>
      <c r="AA153" s="56"/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95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96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97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98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90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91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92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93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94</v>
      </c>
      <c r="D160" s="52"/>
      <c r="E160" s="52"/>
      <c r="F160" s="52"/>
      <c r="G160" s="53"/>
      <c r="H160" s="52"/>
      <c r="I160" s="52"/>
      <c r="J160" s="52"/>
      <c r="K160" s="52"/>
      <c r="L160" s="52"/>
      <c r="M160" s="53"/>
      <c r="N160" s="53"/>
      <c r="O160" s="52"/>
      <c r="P160" s="52"/>
      <c r="Q160" s="52"/>
      <c r="R160" s="53"/>
      <c r="S160" s="54"/>
      <c r="T160" s="54"/>
      <c r="U160" s="54"/>
      <c r="V160" s="53"/>
      <c r="W160" s="53"/>
      <c r="X160" s="55"/>
      <c r="Y160" s="55"/>
      <c r="Z160" s="53"/>
      <c r="AA160" s="56"/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95</v>
      </c>
      <c r="D161" s="52"/>
      <c r="E161" s="52"/>
      <c r="F161" s="52"/>
      <c r="G161" s="53"/>
      <c r="H161" s="52"/>
      <c r="I161" s="52"/>
      <c r="J161" s="52"/>
      <c r="K161" s="52"/>
      <c r="L161" s="52"/>
      <c r="M161" s="53"/>
      <c r="N161" s="53"/>
      <c r="O161" s="52"/>
      <c r="P161" s="52"/>
      <c r="Q161" s="52"/>
      <c r="R161" s="53"/>
      <c r="S161" s="54"/>
      <c r="T161" s="54"/>
      <c r="U161" s="54"/>
      <c r="V161" s="53"/>
      <c r="W161" s="53"/>
      <c r="X161" s="55"/>
      <c r="Y161" s="55"/>
      <c r="Z161" s="53"/>
      <c r="AA161" s="56"/>
      <c r="AB161" s="57"/>
      <c r="AD161" s="35" t="s">
        <v>96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97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98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90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99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91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92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93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94</v>
      </c>
      <c r="D167" s="52"/>
      <c r="E167" s="52"/>
      <c r="F167" s="52"/>
      <c r="G167" s="53"/>
      <c r="H167" s="52"/>
      <c r="I167" s="52"/>
      <c r="J167" s="52"/>
      <c r="K167" s="52"/>
      <c r="L167" s="52"/>
      <c r="M167" s="53"/>
      <c r="N167" s="53"/>
      <c r="O167" s="52"/>
      <c r="P167" s="52"/>
      <c r="Q167" s="52"/>
      <c r="R167" s="53"/>
      <c r="S167" s="54"/>
      <c r="T167" s="54"/>
      <c r="U167" s="54"/>
      <c r="V167" s="53"/>
      <c r="W167" s="53"/>
      <c r="X167" s="55"/>
      <c r="Y167" s="55"/>
      <c r="Z167" s="53"/>
      <c r="AA167" s="56"/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95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96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97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98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90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91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92</v>
      </c>
      <c r="D173" s="52"/>
      <c r="E173" s="52"/>
      <c r="F173" s="52"/>
      <c r="G173" s="53"/>
      <c r="H173" s="52"/>
      <c r="I173" s="52"/>
      <c r="J173" s="52"/>
      <c r="K173" s="52"/>
      <c r="L173" s="52"/>
      <c r="M173" s="53"/>
      <c r="N173" s="53"/>
      <c r="O173" s="52"/>
      <c r="P173" s="52"/>
      <c r="Q173" s="52"/>
      <c r="R173" s="53"/>
      <c r="S173" s="54"/>
      <c r="T173" s="54"/>
      <c r="U173" s="54"/>
      <c r="V173" s="53"/>
      <c r="W173" s="53"/>
      <c r="X173" s="55"/>
      <c r="Y173" s="55"/>
      <c r="Z173" s="53"/>
      <c r="AA173" s="56"/>
      <c r="AB173" s="57"/>
      <c r="AD173" s="35" t="s">
        <v>93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94</v>
      </c>
      <c r="D174" s="52"/>
      <c r="E174" s="52"/>
      <c r="F174" s="52"/>
      <c r="G174" s="53"/>
      <c r="H174" s="52"/>
      <c r="I174" s="52"/>
      <c r="J174" s="52"/>
      <c r="K174" s="52"/>
      <c r="L174" s="52"/>
      <c r="M174" s="53"/>
      <c r="N174" s="53"/>
      <c r="O174" s="52"/>
      <c r="P174" s="52"/>
      <c r="Q174" s="52"/>
      <c r="R174" s="53"/>
      <c r="S174" s="54"/>
      <c r="T174" s="54"/>
      <c r="U174" s="54"/>
      <c r="V174" s="53"/>
      <c r="W174" s="53"/>
      <c r="X174" s="55"/>
      <c r="Y174" s="55"/>
      <c r="Z174" s="53"/>
      <c r="AA174" s="56"/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95</v>
      </c>
      <c r="D175" s="52"/>
      <c r="E175" s="52"/>
      <c r="F175" s="52"/>
      <c r="G175" s="53"/>
      <c r="H175" s="52"/>
      <c r="I175" s="52"/>
      <c r="J175" s="52"/>
      <c r="K175" s="52"/>
      <c r="L175" s="52"/>
      <c r="M175" s="53"/>
      <c r="N175" s="53"/>
      <c r="O175" s="52"/>
      <c r="P175" s="52"/>
      <c r="Q175" s="52"/>
      <c r="R175" s="53"/>
      <c r="S175" s="54"/>
      <c r="T175" s="54"/>
      <c r="U175" s="54"/>
      <c r="V175" s="53"/>
      <c r="W175" s="53"/>
      <c r="X175" s="55"/>
      <c r="Y175" s="55"/>
      <c r="Z175" s="53"/>
      <c r="AA175" s="56"/>
      <c r="AB175" s="57"/>
      <c r="AD175" s="35" t="s">
        <v>96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97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98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90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91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92</v>
      </c>
      <c r="D180" s="52"/>
      <c r="E180" s="52"/>
      <c r="F180" s="52"/>
      <c r="G180" s="53"/>
      <c r="H180" s="52"/>
      <c r="I180" s="52"/>
      <c r="J180" s="52"/>
      <c r="K180" s="52"/>
      <c r="L180" s="52"/>
      <c r="M180" s="53"/>
      <c r="N180" s="53"/>
      <c r="O180" s="52"/>
      <c r="P180" s="52"/>
      <c r="Q180" s="52"/>
      <c r="R180" s="53"/>
      <c r="S180" s="54"/>
      <c r="T180" s="54"/>
      <c r="U180" s="54"/>
      <c r="V180" s="53"/>
      <c r="W180" s="53"/>
      <c r="X180" s="55"/>
      <c r="Y180" s="55"/>
      <c r="Z180" s="53"/>
      <c r="AA180" s="56"/>
      <c r="AB180" s="57"/>
      <c r="AD180" s="35" t="s">
        <v>93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94</v>
      </c>
      <c r="D181" s="52"/>
      <c r="E181" s="52"/>
      <c r="F181" s="52"/>
      <c r="G181" s="53"/>
      <c r="H181" s="52"/>
      <c r="I181" s="52"/>
      <c r="J181" s="52"/>
      <c r="K181" s="52"/>
      <c r="L181" s="52"/>
      <c r="M181" s="53"/>
      <c r="N181" s="53"/>
      <c r="O181" s="52"/>
      <c r="P181" s="52"/>
      <c r="Q181" s="52"/>
      <c r="R181" s="53"/>
      <c r="S181" s="54"/>
      <c r="T181" s="54"/>
      <c r="U181" s="54"/>
      <c r="V181" s="53"/>
      <c r="W181" s="53"/>
      <c r="X181" s="55"/>
      <c r="Y181" s="55"/>
      <c r="Z181" s="53"/>
      <c r="AA181" s="56"/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95</v>
      </c>
      <c r="D182" s="52"/>
      <c r="E182" s="52"/>
      <c r="F182" s="52"/>
      <c r="G182" s="53"/>
      <c r="H182" s="52"/>
      <c r="I182" s="52"/>
      <c r="J182" s="52"/>
      <c r="K182" s="52"/>
      <c r="L182" s="52"/>
      <c r="M182" s="53"/>
      <c r="N182" s="53"/>
      <c r="O182" s="52"/>
      <c r="P182" s="52"/>
      <c r="Q182" s="52"/>
      <c r="R182" s="53"/>
      <c r="S182" s="54"/>
      <c r="T182" s="54"/>
      <c r="U182" s="54"/>
      <c r="V182" s="53"/>
      <c r="W182" s="53"/>
      <c r="X182" s="55"/>
      <c r="Y182" s="55"/>
      <c r="Z182" s="53"/>
      <c r="AA182" s="56"/>
      <c r="AB182" s="57"/>
      <c r="AD182" s="35" t="s">
        <v>96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97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98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90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91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92</v>
      </c>
      <c r="D187" s="52"/>
      <c r="E187" s="52"/>
      <c r="F187" s="52"/>
      <c r="G187" s="53"/>
      <c r="H187" s="52"/>
      <c r="I187" s="52"/>
      <c r="J187" s="52"/>
      <c r="K187" s="52"/>
      <c r="L187" s="52"/>
      <c r="M187" s="53"/>
      <c r="N187" s="53"/>
      <c r="O187" s="52"/>
      <c r="P187" s="52"/>
      <c r="Q187" s="52"/>
      <c r="R187" s="53"/>
      <c r="S187" s="54"/>
      <c r="T187" s="54"/>
      <c r="U187" s="54"/>
      <c r="V187" s="53"/>
      <c r="W187" s="53"/>
      <c r="X187" s="55"/>
      <c r="Y187" s="55"/>
      <c r="Z187" s="53"/>
      <c r="AA187" s="56"/>
      <c r="AB187" s="57"/>
      <c r="AD187" s="35" t="s">
        <v>93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94</v>
      </c>
      <c r="D188" s="52"/>
      <c r="E188" s="52"/>
      <c r="F188" s="52"/>
      <c r="G188" s="53"/>
      <c r="H188" s="52"/>
      <c r="I188" s="52"/>
      <c r="J188" s="52"/>
      <c r="K188" s="52"/>
      <c r="L188" s="52"/>
      <c r="M188" s="53"/>
      <c r="N188" s="53"/>
      <c r="O188" s="52"/>
      <c r="P188" s="52"/>
      <c r="Q188" s="52"/>
      <c r="R188" s="53"/>
      <c r="S188" s="54"/>
      <c r="T188" s="54"/>
      <c r="U188" s="54"/>
      <c r="V188" s="53"/>
      <c r="W188" s="53"/>
      <c r="X188" s="55"/>
      <c r="Y188" s="55"/>
      <c r="Z188" s="53"/>
      <c r="AA188" s="56"/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95</v>
      </c>
      <c r="D189" s="52"/>
      <c r="E189" s="52"/>
      <c r="F189" s="52"/>
      <c r="G189" s="53"/>
      <c r="H189" s="52"/>
      <c r="I189" s="52"/>
      <c r="J189" s="52"/>
      <c r="K189" s="52"/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96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97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98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90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91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92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93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94</v>
      </c>
      <c r="D195" s="52"/>
      <c r="E195" s="52"/>
      <c r="F195" s="52"/>
      <c r="G195" s="53"/>
      <c r="H195" s="52"/>
      <c r="I195" s="52"/>
      <c r="J195" s="52"/>
      <c r="K195" s="52"/>
      <c r="L195" s="52"/>
      <c r="M195" s="53"/>
      <c r="N195" s="53"/>
      <c r="O195" s="52"/>
      <c r="P195" s="52"/>
      <c r="Q195" s="52"/>
      <c r="R195" s="53"/>
      <c r="S195" s="54"/>
      <c r="T195" s="54"/>
      <c r="U195" s="54"/>
      <c r="V195" s="53"/>
      <c r="W195" s="53"/>
      <c r="X195" s="55"/>
      <c r="Y195" s="55"/>
      <c r="Z195" s="53"/>
      <c r="AA195" s="56"/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95</v>
      </c>
      <c r="D196" s="52"/>
      <c r="E196" s="52"/>
      <c r="F196" s="52"/>
      <c r="G196" s="53"/>
      <c r="H196" s="52"/>
      <c r="I196" s="52"/>
      <c r="J196" s="52"/>
      <c r="K196" s="52"/>
      <c r="L196" s="52"/>
      <c r="M196" s="53"/>
      <c r="N196" s="53"/>
      <c r="O196" s="52"/>
      <c r="P196" s="52"/>
      <c r="Q196" s="52"/>
      <c r="R196" s="53"/>
      <c r="S196" s="54"/>
      <c r="T196" s="54"/>
      <c r="U196" s="54"/>
      <c r="V196" s="53"/>
      <c r="W196" s="53"/>
      <c r="X196" s="55"/>
      <c r="Y196" s="55"/>
      <c r="Z196" s="53"/>
      <c r="AA196" s="56"/>
      <c r="AB196" s="57"/>
      <c r="AD196" s="35" t="s">
        <v>96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97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98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90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91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92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93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94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95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96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97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98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90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91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92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93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94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95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96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97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98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90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91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92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26124</v>
      </c>
      <c r="J215" s="52">
        <v>99479.62000000001</v>
      </c>
      <c r="K215" s="52">
        <v>26124</v>
      </c>
      <c r="L215" s="52">
        <v>73355.62000000001</v>
      </c>
      <c r="M215" s="53">
        <v>0.7373934480248316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0.13419999999999999</v>
      </c>
      <c r="AA215" s="56">
        <v>0.1438</v>
      </c>
      <c r="AB215" s="57"/>
      <c r="AD215" s="35" t="s">
        <v>93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94</v>
      </c>
      <c r="D216" s="52"/>
      <c r="E216" s="52"/>
      <c r="F216" s="52"/>
      <c r="G216" s="53"/>
      <c r="H216" s="52"/>
      <c r="I216" s="52"/>
      <c r="J216" s="52"/>
      <c r="K216" s="52"/>
      <c r="L216" s="52"/>
      <c r="M216" s="53"/>
      <c r="N216" s="53"/>
      <c r="O216" s="52"/>
      <c r="P216" s="52"/>
      <c r="Q216" s="52"/>
      <c r="R216" s="53"/>
      <c r="S216" s="54"/>
      <c r="T216" s="54"/>
      <c r="U216" s="54"/>
      <c r="V216" s="53"/>
      <c r="W216" s="53"/>
      <c r="X216" s="55"/>
      <c r="Y216" s="55"/>
      <c r="Z216" s="53"/>
      <c r="AA216" s="56"/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95</v>
      </c>
      <c r="D217" s="52"/>
      <c r="E217" s="52"/>
      <c r="F217" s="52"/>
      <c r="G217" s="53"/>
      <c r="H217" s="52"/>
      <c r="I217" s="52"/>
      <c r="J217" s="52"/>
      <c r="K217" s="52"/>
      <c r="L217" s="52"/>
      <c r="M217" s="53"/>
      <c r="N217" s="53"/>
      <c r="O217" s="52"/>
      <c r="P217" s="52"/>
      <c r="Q217" s="52"/>
      <c r="R217" s="53"/>
      <c r="S217" s="54"/>
      <c r="T217" s="54"/>
      <c r="U217" s="54"/>
      <c r="V217" s="53"/>
      <c r="W217" s="53"/>
      <c r="X217" s="55"/>
      <c r="Y217" s="55"/>
      <c r="Z217" s="53"/>
      <c r="AA217" s="56"/>
      <c r="AB217" s="57"/>
      <c r="AD217" s="35" t="s">
        <v>96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97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98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90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91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92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240067.38</v>
      </c>
      <c r="J222" s="52">
        <v>178700.37</v>
      </c>
      <c r="K222" s="52">
        <v>178119.89</v>
      </c>
      <c r="L222" s="52">
        <v>580.4799999999814</v>
      </c>
      <c r="M222" s="53">
        <v>0.003248342462861053</v>
      </c>
      <c r="N222" s="53"/>
      <c r="O222" s="52">
        <v>116869.62</v>
      </c>
      <c r="P222" s="52">
        <v>61947.49</v>
      </c>
      <c r="Q222" s="52">
        <v>54922.13</v>
      </c>
      <c r="R222" s="53">
        <v>0.4699436003984611</v>
      </c>
      <c r="S222" s="54">
        <v>2344.68</v>
      </c>
      <c r="T222" s="54">
        <v>1315</v>
      </c>
      <c r="U222" s="54">
        <v>1029.6799999999998</v>
      </c>
      <c r="V222" s="53">
        <v>0.4391558762816247</v>
      </c>
      <c r="W222" s="53"/>
      <c r="X222" s="55">
        <v>50.16819011406844</v>
      </c>
      <c r="Y222" s="55">
        <v>43.0265399367206</v>
      </c>
      <c r="Z222" s="53">
        <v>0.21559999999999999</v>
      </c>
      <c r="AA222" s="56">
        <v>0.2545</v>
      </c>
      <c r="AB222" s="57"/>
      <c r="AD222" s="35" t="s">
        <v>93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94</v>
      </c>
      <c r="D223" s="52"/>
      <c r="E223" s="52"/>
      <c r="F223" s="52"/>
      <c r="G223" s="53"/>
      <c r="H223" s="52"/>
      <c r="I223" s="52"/>
      <c r="J223" s="52"/>
      <c r="K223" s="52"/>
      <c r="L223" s="52"/>
      <c r="M223" s="53"/>
      <c r="N223" s="53"/>
      <c r="O223" s="52"/>
      <c r="P223" s="52"/>
      <c r="Q223" s="52"/>
      <c r="R223" s="53"/>
      <c r="S223" s="54"/>
      <c r="T223" s="54"/>
      <c r="U223" s="54"/>
      <c r="V223" s="53"/>
      <c r="W223" s="53"/>
      <c r="X223" s="55"/>
      <c r="Y223" s="55"/>
      <c r="Z223" s="53"/>
      <c r="AA223" s="56"/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95</v>
      </c>
      <c r="D224" s="52"/>
      <c r="E224" s="52"/>
      <c r="F224" s="52"/>
      <c r="G224" s="53"/>
      <c r="H224" s="52"/>
      <c r="I224" s="52"/>
      <c r="J224" s="52"/>
      <c r="K224" s="52"/>
      <c r="L224" s="52"/>
      <c r="M224" s="53"/>
      <c r="N224" s="53"/>
      <c r="O224" s="52"/>
      <c r="P224" s="52"/>
      <c r="Q224" s="52"/>
      <c r="R224" s="53"/>
      <c r="S224" s="54"/>
      <c r="T224" s="54"/>
      <c r="U224" s="54"/>
      <c r="V224" s="53"/>
      <c r="W224" s="53"/>
      <c r="X224" s="55"/>
      <c r="Y224" s="55"/>
      <c r="Z224" s="53"/>
      <c r="AA224" s="56"/>
      <c r="AB224" s="57"/>
      <c r="AD224" s="35" t="s">
        <v>96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97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98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0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30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30" x14ac:dyDescent="0.25">
      <c r="A2" s="80" t="s">
        <v>100</v>
      </c>
      <c r="B2" s="81" t="s">
        <v>101</v>
      </c>
      <c r="C2" s="82" t="s">
        <v>102</v>
      </c>
      <c r="D2" s="82" t="s">
        <v>103</v>
      </c>
      <c r="E2" s="82" t="s">
        <v>104</v>
      </c>
      <c r="F2" s="82" t="s">
        <v>105</v>
      </c>
      <c r="G2" s="83" t="s">
        <v>106</v>
      </c>
      <c r="H2" s="83" t="s">
        <v>107</v>
      </c>
      <c r="I2" s="81" t="s">
        <v>108</v>
      </c>
      <c r="J2" s="82" t="s">
        <v>109</v>
      </c>
      <c r="K2" s="82" t="s">
        <v>110</v>
      </c>
      <c r="L2" s="83" t="s">
        <v>111</v>
      </c>
      <c r="M2" s="83" t="s">
        <v>112</v>
      </c>
      <c r="N2" s="81" t="s">
        <v>113</v>
      </c>
      <c r="O2" s="84" t="s">
        <v>114</v>
      </c>
      <c r="P2" s="35"/>
    </row>
    <row r="3" ht="15" customHeight="1" spans="1:30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30" x14ac:dyDescent="0.25">
      <c r="A4" s="85">
        <v>7658</v>
      </c>
      <c r="B4" s="54" t="s">
        <v>25</v>
      </c>
      <c r="C4" s="52">
        <v>0</v>
      </c>
      <c r="D4" s="52">
        <v>0</v>
      </c>
      <c r="E4" s="52">
        <v>0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-7000</v>
      </c>
      <c r="N4" s="54">
        <v>20</v>
      </c>
      <c r="O4" s="58">
        <v>-100</v>
      </c>
    </row>
    <row r="5" ht="7.5" customHeight="1" spans="1:30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30" x14ac:dyDescent="0.25">
      <c r="A6" s="85">
        <v>8142</v>
      </c>
      <c r="B6" s="54" t="s">
        <v>29</v>
      </c>
      <c r="C6" s="52">
        <v>0</v>
      </c>
      <c r="D6" s="52">
        <v>972.0499999999884</v>
      </c>
      <c r="E6" s="52">
        <v>-972.0499999999884</v>
      </c>
      <c r="F6" s="52">
        <v>0</v>
      </c>
      <c r="G6" s="53">
        <v>0</v>
      </c>
      <c r="H6" s="53">
        <v>0.239214585617637</v>
      </c>
      <c r="I6" s="54">
        <v>40</v>
      </c>
      <c r="J6" s="52">
        <v>272.6</v>
      </c>
      <c r="K6" s="52">
        <v>1872.6</v>
      </c>
      <c r="L6" s="53">
        <v>0</v>
      </c>
      <c r="M6" s="52">
        <v>-2844.6499999999883</v>
      </c>
      <c r="N6" s="54">
        <v>-52.5</v>
      </c>
      <c r="O6" s="58">
        <v>227.57199999999906</v>
      </c>
      <c r="Q6" s="35" t="s">
        <v>115</v>
      </c>
    </row>
    <row r="7" ht="7.5" customHeight="1" spans="1:30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30" x14ac:dyDescent="0.25">
      <c r="A8" s="85">
        <v>8824</v>
      </c>
      <c r="B8" s="54" t="s">
        <v>31</v>
      </c>
      <c r="C8" s="52">
        <v>0</v>
      </c>
      <c r="D8" s="52">
        <v>0</v>
      </c>
      <c r="E8" s="52">
        <v>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-640</v>
      </c>
      <c r="N8" s="54">
        <v>-34.75</v>
      </c>
      <c r="O8" s="58">
        <v>34.13333333333333</v>
      </c>
    </row>
    <row r="9" ht="7.5" customHeight="1" spans="1:30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30" x14ac:dyDescent="0.25">
      <c r="A10" s="85">
        <v>8127</v>
      </c>
      <c r="B10" s="54" t="s">
        <v>32</v>
      </c>
      <c r="C10" s="52">
        <v>0</v>
      </c>
      <c r="D10" s="52">
        <v>1382.2599999999948</v>
      </c>
      <c r="E10" s="52">
        <v>-1382.2599999999948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-6302.259999999995</v>
      </c>
      <c r="N10" s="54">
        <v>-388.25</v>
      </c>
      <c r="O10" s="58">
        <v>18.522439382806745</v>
      </c>
    </row>
    <row r="11" ht="7.5" customHeight="1" spans="1:30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30" x14ac:dyDescent="0.25">
      <c r="A12" s="85">
        <v>8183</v>
      </c>
      <c r="B12" s="54" t="s">
        <v>116</v>
      </c>
      <c r="C12" s="52">
        <v>0</v>
      </c>
      <c r="D12" s="52">
        <v>2837.649999999994</v>
      </c>
      <c r="E12" s="52">
        <v>-2837.649999999994</v>
      </c>
      <c r="F12" s="52"/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-5477.649999999994</v>
      </c>
      <c r="N12" s="54">
        <v>53</v>
      </c>
      <c r="O12" s="58">
        <v>-79.38623188405789</v>
      </c>
      <c r="Q12" s="35" t="s">
        <v>117</v>
      </c>
    </row>
    <row r="13" ht="7.5" customHeight="1" spans="1:30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30" x14ac:dyDescent="0.25">
      <c r="A14" s="85">
        <v>8886</v>
      </c>
      <c r="B14" s="54" t="s">
        <v>35</v>
      </c>
      <c r="C14" s="52">
        <v>0</v>
      </c>
      <c r="D14" s="52">
        <v>3226.1800000000003</v>
      </c>
      <c r="E14" s="52">
        <v>-3226.1800000000003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-6226.18</v>
      </c>
      <c r="N14" s="54">
        <v>-112</v>
      </c>
      <c r="O14" s="58">
        <v>55.59089285714286</v>
      </c>
    </row>
    <row r="15" ht="7.5" customHeight="1" spans="1:30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30" x14ac:dyDescent="0.25">
      <c r="A16" s="85">
        <v>8887</v>
      </c>
      <c r="B16" s="54" t="s">
        <v>36</v>
      </c>
      <c r="C16" s="52">
        <v>0</v>
      </c>
      <c r="D16" s="52">
        <v>125.67999999999665</v>
      </c>
      <c r="E16" s="52">
        <v>-125.67999999999665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-3125.6799999999967</v>
      </c>
      <c r="N16" s="54">
        <v>-86.75</v>
      </c>
      <c r="O16" s="58">
        <v>36.030893371757884</v>
      </c>
    </row>
    <row r="17" ht="7.5" customHeight="1" spans="1:30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30" x14ac:dyDescent="0.25">
      <c r="A18" s="85">
        <v>8670</v>
      </c>
      <c r="B18" s="54" t="s">
        <v>37</v>
      </c>
      <c r="C18" s="52">
        <v>0</v>
      </c>
      <c r="D18" s="52">
        <v>321.5200000000041</v>
      </c>
      <c r="E18" s="52">
        <v>-321.5200000000041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-8521.520000000004</v>
      </c>
      <c r="N18" s="54">
        <v>-269</v>
      </c>
      <c r="O18" s="58">
        <v>45.087407407407426</v>
      </c>
      <c r="Q18" s="35" t="s">
        <v>118</v>
      </c>
    </row>
    <row r="19" ht="7.5" customHeight="1" spans="1:30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30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30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30" x14ac:dyDescent="0.25">
      <c r="A22" s="85">
        <v>9065</v>
      </c>
      <c r="B22" s="54" t="s">
        <v>39</v>
      </c>
      <c r="C22" s="52">
        <v>0</v>
      </c>
      <c r="D22" s="52">
        <v>0</v>
      </c>
      <c r="E22" s="52">
        <v>0</v>
      </c>
      <c r="F22" s="52">
        <v>0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0</v>
      </c>
      <c r="N22" s="54"/>
      <c r="O22" s="58">
        <v>0</v>
      </c>
    </row>
    <row r="23" ht="7.5" customHeight="1" spans="1:30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30" x14ac:dyDescent="0.25">
      <c r="A24" s="19">
        <v>9259</v>
      </c>
      <c r="B24" s="54" t="s">
        <v>40</v>
      </c>
      <c r="C24" s="52">
        <v>0</v>
      </c>
      <c r="D24" s="52">
        <v>1528.260000000002</v>
      </c>
      <c r="E24" s="52">
        <v>-1528.260000000002</v>
      </c>
      <c r="F24" s="52"/>
      <c r="G24" s="53">
        <v>0</v>
      </c>
      <c r="H24" s="53"/>
      <c r="I24" s="54"/>
      <c r="J24" s="52"/>
      <c r="K24" s="52">
        <v>0</v>
      </c>
      <c r="L24" s="53">
        <v>0</v>
      </c>
      <c r="M24" s="52">
        <v>-1528.260000000002</v>
      </c>
      <c r="N24" s="54"/>
      <c r="O24" s="58">
        <v>0</v>
      </c>
    </row>
    <row r="25" ht="7.5" customHeight="1" spans="1:30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30" x14ac:dyDescent="0.25">
      <c r="A26" s="19">
        <v>8352</v>
      </c>
      <c r="B26" s="54" t="s">
        <v>41</v>
      </c>
      <c r="C26" s="52">
        <v>0</v>
      </c>
      <c r="D26" s="52">
        <v>0</v>
      </c>
      <c r="E26" s="52">
        <v>0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0</v>
      </c>
      <c r="N26" s="54">
        <v>-143.25</v>
      </c>
      <c r="O26" s="58">
        <v>0</v>
      </c>
    </row>
    <row r="27" ht="7.5" customHeight="1" spans="1:30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30" x14ac:dyDescent="0.25">
      <c r="A28" s="19">
        <v>8234</v>
      </c>
      <c r="B28" s="54" t="s">
        <v>43</v>
      </c>
      <c r="C28" s="52">
        <v>0</v>
      </c>
      <c r="D28" s="52">
        <v>0</v>
      </c>
      <c r="E28" s="52">
        <v>0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0</v>
      </c>
      <c r="N28" s="54">
        <v>-148.5</v>
      </c>
      <c r="O28" s="58">
        <v>0</v>
      </c>
    </row>
    <row r="29" ht="7.5" customHeight="1" spans="1:30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30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30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30" x14ac:dyDescent="0.25">
      <c r="A32" s="19">
        <v>6792</v>
      </c>
      <c r="B32" s="54" t="s">
        <v>45</v>
      </c>
      <c r="C32" s="52">
        <v>0</v>
      </c>
      <c r="D32" s="52">
        <v>0</v>
      </c>
      <c r="E32" s="52">
        <v>0</v>
      </c>
      <c r="F32" s="52">
        <v>0</v>
      </c>
      <c r="G32" s="53">
        <v>0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0</v>
      </c>
      <c r="M32" s="52">
        <v>-2560</v>
      </c>
      <c r="N32" s="54">
        <v>-317.25</v>
      </c>
      <c r="O32" s="58">
        <v>10.108588351431392</v>
      </c>
    </row>
    <row r="33" ht="7.5" customHeight="1" spans="1:30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30" x14ac:dyDescent="0.25">
      <c r="A34" s="19">
        <v>8840</v>
      </c>
      <c r="B34" s="54" t="s">
        <v>47</v>
      </c>
      <c r="C34" s="52">
        <v>0</v>
      </c>
      <c r="D34" s="52">
        <v>943.3400000000038</v>
      </c>
      <c r="E34" s="52">
        <v>-943.3400000000038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-943.3400000000038</v>
      </c>
      <c r="N34" s="54">
        <v>-204.75</v>
      </c>
      <c r="O34" s="58">
        <v>4.607277167277186</v>
      </c>
    </row>
    <row r="35" ht="7.5" customHeight="1" spans="1:30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30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30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30" x14ac:dyDescent="0.25">
      <c r="A38" s="19">
        <v>7901</v>
      </c>
      <c r="B38" s="54" t="s">
        <v>49</v>
      </c>
      <c r="C38" s="52">
        <v>52040.560000000005</v>
      </c>
      <c r="D38" s="52">
        <v>746.3099999999977</v>
      </c>
      <c r="E38" s="52">
        <v>51294.25000000001</v>
      </c>
      <c r="F38" s="52">
        <v>0</v>
      </c>
      <c r="G38" s="53">
        <v>0.9856590705403632</v>
      </c>
      <c r="H38" s="53">
        <v>0.1750921737769</v>
      </c>
      <c r="I38" s="54"/>
      <c r="J38" s="52"/>
      <c r="K38" s="52">
        <v>0</v>
      </c>
      <c r="L38" s="53">
        <v>0.9856590705403632</v>
      </c>
      <c r="M38" s="52">
        <v>51294.25000000001</v>
      </c>
      <c r="N38" s="54"/>
      <c r="O38" s="58">
        <v>0</v>
      </c>
    </row>
    <row r="39" ht="7.5" customHeight="1" spans="1:30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30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30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30" x14ac:dyDescent="0.25">
      <c r="A42" s="19">
        <v>7864</v>
      </c>
      <c r="B42" s="54" t="s">
        <v>51</v>
      </c>
      <c r="C42" s="52">
        <v>0</v>
      </c>
      <c r="D42" s="52">
        <v>0</v>
      </c>
      <c r="E42" s="52">
        <v>0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0</v>
      </c>
      <c r="N42" s="54">
        <v>-266.75</v>
      </c>
      <c r="O42" s="58">
        <v>0</v>
      </c>
    </row>
    <row r="43" ht="7.5" customHeight="1" spans="1:30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30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30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30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30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30" x14ac:dyDescent="0.25">
      <c r="A48" s="59">
        <v>8337</v>
      </c>
      <c r="B48" s="98" t="s">
        <v>54</v>
      </c>
      <c r="C48" s="99">
        <v>0</v>
      </c>
      <c r="D48" s="99">
        <v>0</v>
      </c>
      <c r="E48" s="99">
        <v>0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-2530</v>
      </c>
      <c r="N48" s="98">
        <v>-44.75</v>
      </c>
      <c r="O48" s="60">
        <v>56.53631284916201</v>
      </c>
    </row>
    <row r="49" ht="7.5" customHeight="1" spans="1:30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30" x14ac:dyDescent="0.25">
      <c r="A50" s="59">
        <v>9240</v>
      </c>
      <c r="B50" s="98" t="s">
        <v>55</v>
      </c>
      <c r="C50" s="99">
        <v>0</v>
      </c>
      <c r="D50" s="99">
        <v>853.55</v>
      </c>
      <c r="E50" s="99">
        <v>-853.55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-853.55</v>
      </c>
      <c r="N50" s="98"/>
      <c r="O50" s="60">
        <v>0</v>
      </c>
      <c r="Q50" s="35" t="s">
        <v>119</v>
      </c>
    </row>
    <row r="51" ht="7.5" customHeight="1" spans="1:30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30" x14ac:dyDescent="0.25">
      <c r="A52" s="101">
        <v>7428</v>
      </c>
      <c r="B52" s="98" t="s">
        <v>56</v>
      </c>
      <c r="C52" s="99">
        <v>0</v>
      </c>
      <c r="D52" s="99">
        <v>0</v>
      </c>
      <c r="E52" s="99">
        <v>0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-1280</v>
      </c>
      <c r="N52" s="98">
        <v>-304.75</v>
      </c>
      <c r="O52" s="60">
        <v>4.692942254812099</v>
      </c>
    </row>
    <row r="53" ht="7.5" customHeight="1" spans="1:30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30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30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30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30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30" x14ac:dyDescent="0.25">
      <c r="A58" s="59">
        <v>9508</v>
      </c>
      <c r="B58" s="98" t="s">
        <v>59</v>
      </c>
      <c r="C58" s="99">
        <v>0</v>
      </c>
      <c r="D58" s="99">
        <v>0</v>
      </c>
      <c r="E58" s="99">
        <v>0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0</v>
      </c>
      <c r="N58" s="98"/>
      <c r="O58" s="60">
        <v>0</v>
      </c>
    </row>
    <row r="59" ht="7.5" customHeight="1" spans="1:30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30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30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30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30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30" x14ac:dyDescent="0.25">
      <c r="A64" s="59">
        <v>8946</v>
      </c>
      <c r="B64" s="98" t="s">
        <v>61</v>
      </c>
      <c r="C64" s="99">
        <v>0</v>
      </c>
      <c r="D64" s="99">
        <v>0</v>
      </c>
      <c r="E64" s="99">
        <v>0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-1750</v>
      </c>
      <c r="N64" s="98"/>
      <c r="O64" s="60">
        <v>0</v>
      </c>
    </row>
    <row r="65" ht="7.5" customHeight="1" spans="1:30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30" x14ac:dyDescent="0.25">
      <c r="A66" s="102">
        <v>8308</v>
      </c>
      <c r="B66" s="98" t="s">
        <v>62</v>
      </c>
      <c r="C66" s="99">
        <v>34650.399999999965</v>
      </c>
      <c r="D66" s="99">
        <v>5744.570000000007</v>
      </c>
      <c r="E66" s="99">
        <v>28905.829999999958</v>
      </c>
      <c r="F66" s="99"/>
      <c r="G66" s="100">
        <v>0.8342134578533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0.7418624316025207</v>
      </c>
      <c r="M66" s="99">
        <v>25705.829999999958</v>
      </c>
      <c r="N66" s="98">
        <v>-1014.25</v>
      </c>
      <c r="O66" s="60">
        <v>-27.51493711533311</v>
      </c>
    </row>
    <row r="67" ht="15" customHeight="1" spans="1:30" x14ac:dyDescent="0.25">
      <c r="A67" s="35"/>
      <c r="B67" s="35"/>
      <c r="C67" s="36"/>
      <c r="D67" s="36"/>
      <c r="E67" s="36"/>
      <c r="F67" s="36"/>
      <c r="G67" s="37"/>
      <c r="H67" s="37"/>
      <c r="I67" s="35"/>
      <c r="J67" s="36"/>
      <c r="K67" s="36"/>
      <c r="L67" s="37"/>
      <c r="M67" s="36"/>
      <c r="N67" s="35"/>
      <c r="O67" s="36"/>
    </row>
    <row r="68" spans="1:30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7"/>
      <c r="N68" s="35"/>
      <c r="O68" s="35"/>
    </row>
    <row r="69" ht="15" customHeight="1" spans="1:30" x14ac:dyDescent="0.25">
      <c r="A69" s="49" t="s">
        <v>120</v>
      </c>
      <c r="B69" s="103" t="s">
        <v>121</v>
      </c>
      <c r="C69" s="104">
        <v>88818.76999999996</v>
      </c>
      <c r="D69" s="104">
        <v>18681.369999999988</v>
      </c>
      <c r="E69" s="105">
        <v>70137.39999999998</v>
      </c>
      <c r="F69" s="106" t="s">
        <v>122</v>
      </c>
      <c r="G69" s="107">
        <v>0.7896686702596761</v>
      </c>
      <c r="H69" s="108" t="s">
        <v>123</v>
      </c>
      <c r="I69" s="109">
        <v>0.20609157276102777</v>
      </c>
      <c r="J69" s="36"/>
      <c r="K69" s="36"/>
      <c r="L69" s="37"/>
      <c r="M69" s="37"/>
      <c r="N69" s="35"/>
      <c r="O69" s="35"/>
    </row>
    <row r="70" ht="15" customHeight="1" spans="1:30" x14ac:dyDescent="0.25">
      <c r="A70" s="59"/>
      <c r="B70" s="98" t="s">
        <v>124</v>
      </c>
      <c r="C70" s="99">
        <v>-22865.6</v>
      </c>
      <c r="D70" s="99">
        <v>32774.04000000001</v>
      </c>
      <c r="E70" s="110">
        <v>-55639.640000000014</v>
      </c>
      <c r="F70" s="111"/>
      <c r="G70" s="112">
        <v>2.433333916450914</v>
      </c>
      <c r="H70" s="113" t="s">
        <v>123</v>
      </c>
      <c r="I70" s="114">
        <v>2.685240710936954</v>
      </c>
      <c r="J70" s="36"/>
      <c r="K70" s="36"/>
      <c r="L70" s="37"/>
      <c r="M70" s="37"/>
      <c r="N70" s="35"/>
      <c r="O70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09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30" x14ac:dyDescent="0.25">
      <c r="A2" s="115"/>
      <c r="B2" s="116" t="s">
        <v>125</v>
      </c>
      <c r="C2" s="117" t="s">
        <v>126</v>
      </c>
      <c r="D2" s="117" t="s">
        <v>127</v>
      </c>
      <c r="E2" s="117" t="s">
        <v>128</v>
      </c>
      <c r="F2" s="117" t="s">
        <v>129</v>
      </c>
      <c r="G2" s="117" t="s">
        <v>130</v>
      </c>
      <c r="H2" s="117" t="s">
        <v>131</v>
      </c>
      <c r="I2" s="117" t="s">
        <v>132</v>
      </c>
      <c r="J2" s="117" t="s">
        <v>133</v>
      </c>
      <c r="K2" s="117" t="s">
        <v>134</v>
      </c>
      <c r="L2" s="117" t="s">
        <v>135</v>
      </c>
      <c r="M2" s="117" t="s">
        <v>136</v>
      </c>
      <c r="N2" s="117" t="s">
        <v>137</v>
      </c>
      <c r="O2" s="117" t="s">
        <v>138</v>
      </c>
      <c r="P2" s="117" t="s">
        <v>139</v>
      </c>
      <c r="Q2" s="118" t="s">
        <v>140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30" x14ac:dyDescent="0.25">
      <c r="A3" s="122" t="s">
        <v>141</v>
      </c>
      <c r="B3" s="123" t="s">
        <v>142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30" x14ac:dyDescent="0.25">
      <c r="A4" s="19">
        <v>7658</v>
      </c>
      <c r="B4" s="20" t="s">
        <v>25</v>
      </c>
      <c r="C4" s="54">
        <v>565.45</v>
      </c>
      <c r="D4" s="54">
        <v>588.25</v>
      </c>
      <c r="E4" s="54">
        <v>-22.799999999999955</v>
      </c>
      <c r="F4" s="54"/>
      <c r="G4" s="54"/>
      <c r="H4" s="54"/>
      <c r="I4" s="54"/>
      <c r="J4" s="54"/>
      <c r="K4" s="54"/>
      <c r="L4" s="54"/>
      <c r="M4" s="54">
        <v>80</v>
      </c>
      <c r="N4" s="54"/>
      <c r="O4" s="54"/>
      <c r="P4" s="54"/>
      <c r="Q4" s="131"/>
      <c r="S4" s="35" t="s">
        <v>143</v>
      </c>
    </row>
    <row r="5" ht="6" customHeight="1" spans="1:30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30" x14ac:dyDescent="0.25">
      <c r="A6" s="19">
        <v>8142</v>
      </c>
      <c r="B6" s="20" t="s">
        <v>29</v>
      </c>
      <c r="C6" s="54">
        <v>356.07</v>
      </c>
      <c r="D6" s="54">
        <v>100.75</v>
      </c>
      <c r="E6" s="54">
        <v>255.32</v>
      </c>
      <c r="F6" s="54"/>
      <c r="G6" s="54"/>
      <c r="H6" s="54"/>
      <c r="I6" s="54"/>
      <c r="J6" s="54"/>
      <c r="K6" s="54"/>
      <c r="L6" s="54"/>
      <c r="M6" s="54"/>
      <c r="N6" s="54">
        <v>80</v>
      </c>
      <c r="O6" s="54"/>
      <c r="P6" s="54"/>
      <c r="Q6" s="131"/>
      <c r="S6" s="35" t="s">
        <v>144</v>
      </c>
    </row>
    <row r="7" ht="6" customHeight="1" spans="1:30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30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90</v>
      </c>
      <c r="O8" s="54"/>
      <c r="P8" s="54"/>
      <c r="Q8" s="131"/>
      <c r="S8" s="35" t="s">
        <v>143</v>
      </c>
    </row>
    <row r="9" ht="6" customHeight="1" spans="1:30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30" x14ac:dyDescent="0.25">
      <c r="A10" s="19">
        <v>8127</v>
      </c>
      <c r="B10" s="20" t="s">
        <v>32</v>
      </c>
      <c r="C10" s="54">
        <v>795.22</v>
      </c>
      <c r="D10" s="54">
        <v>594.5</v>
      </c>
      <c r="E10" s="54">
        <v>200.72000000000003</v>
      </c>
      <c r="F10" s="54"/>
      <c r="G10" s="54"/>
      <c r="H10" s="54"/>
      <c r="I10" s="54"/>
      <c r="J10" s="54"/>
      <c r="K10" s="54"/>
      <c r="L10" s="54"/>
      <c r="M10" s="54">
        <v>200</v>
      </c>
      <c r="N10" s="54">
        <v>80</v>
      </c>
      <c r="O10" s="54">
        <v>0</v>
      </c>
      <c r="P10" s="54"/>
      <c r="Q10" s="131"/>
      <c r="S10" s="35" t="s">
        <v>143</v>
      </c>
    </row>
    <row r="11" ht="6" customHeight="1" spans="1:30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30" x14ac:dyDescent="0.25">
      <c r="A12" s="19">
        <v>8183</v>
      </c>
      <c r="B12" s="20" t="s">
        <v>116</v>
      </c>
      <c r="C12" s="54">
        <v>1120.27</v>
      </c>
      <c r="D12" s="54">
        <v>522.25</v>
      </c>
      <c r="E12" s="54">
        <v>598.02</v>
      </c>
      <c r="F12" s="54"/>
      <c r="G12" s="54"/>
      <c r="H12" s="54"/>
      <c r="I12" s="54"/>
      <c r="J12" s="54"/>
      <c r="K12" s="54"/>
      <c r="L12" s="54"/>
      <c r="M12" s="54">
        <v>160</v>
      </c>
      <c r="N12" s="54">
        <v>320</v>
      </c>
      <c r="O12" s="86">
        <v>80</v>
      </c>
      <c r="P12" s="54"/>
      <c r="Q12" s="131"/>
      <c r="S12" s="35" t="s">
        <v>143</v>
      </c>
    </row>
    <row r="13" ht="6" customHeight="1" spans="1:30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30" x14ac:dyDescent="0.25">
      <c r="A14" s="19">
        <v>8886</v>
      </c>
      <c r="B14" s="20" t="s">
        <v>35</v>
      </c>
      <c r="C14" s="54">
        <v>501.83</v>
      </c>
      <c r="D14" s="54">
        <v>205.75</v>
      </c>
      <c r="E14" s="54">
        <v>296.08</v>
      </c>
      <c r="F14" s="54"/>
      <c r="G14" s="54"/>
      <c r="H14" s="54"/>
      <c r="I14" s="54"/>
      <c r="J14" s="54"/>
      <c r="K14" s="54"/>
      <c r="L14" s="54">
        <v>0</v>
      </c>
      <c r="M14" s="54">
        <v>80</v>
      </c>
      <c r="N14" s="54">
        <v>300</v>
      </c>
      <c r="O14" s="54"/>
      <c r="P14" s="54"/>
      <c r="Q14" s="131"/>
      <c r="S14" s="35" t="s">
        <v>143</v>
      </c>
    </row>
    <row r="15" ht="6" customHeight="1" spans="1:30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30" x14ac:dyDescent="0.25">
      <c r="A16" s="19">
        <v>8887</v>
      </c>
      <c r="B16" s="20" t="s">
        <v>36</v>
      </c>
      <c r="C16" s="54">
        <v>223.22</v>
      </c>
      <c r="D16" s="54">
        <v>104.25</v>
      </c>
      <c r="E16" s="54">
        <v>118.97</v>
      </c>
      <c r="F16" s="54"/>
      <c r="G16" s="54"/>
      <c r="H16" s="54"/>
      <c r="I16" s="54"/>
      <c r="J16" s="54"/>
      <c r="K16" s="54"/>
      <c r="L16" s="54"/>
      <c r="M16" s="54">
        <v>16</v>
      </c>
      <c r="N16" s="54">
        <v>110</v>
      </c>
      <c r="O16" s="54"/>
      <c r="P16" s="54"/>
      <c r="Q16" s="131"/>
    </row>
    <row r="17" ht="6" customHeight="1" spans="1:30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30" x14ac:dyDescent="0.25">
      <c r="A18" s="19">
        <v>8670</v>
      </c>
      <c r="B18" s="20" t="s">
        <v>37</v>
      </c>
      <c r="C18" s="54">
        <v>685.48</v>
      </c>
      <c r="D18" s="54">
        <v>517.75</v>
      </c>
      <c r="E18" s="54">
        <v>167.73000000000002</v>
      </c>
      <c r="F18" s="54"/>
      <c r="G18" s="54"/>
      <c r="H18" s="54"/>
      <c r="I18" s="54"/>
      <c r="J18" s="54"/>
      <c r="K18" s="54"/>
      <c r="L18" s="54"/>
      <c r="M18" s="54">
        <v>240</v>
      </c>
      <c r="N18" s="54">
        <v>160</v>
      </c>
      <c r="O18" s="54"/>
      <c r="P18" s="54"/>
      <c r="Q18" s="131"/>
    </row>
    <row r="19" ht="6" customHeight="1" spans="1:30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30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36</v>
      </c>
      <c r="N20" s="54"/>
      <c r="O20" s="54"/>
      <c r="P20" s="54"/>
      <c r="Q20" s="131"/>
    </row>
    <row r="21" ht="6" customHeight="1" spans="1:30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30" x14ac:dyDescent="0.25">
      <c r="A22" s="19">
        <v>9065</v>
      </c>
      <c r="B22" s="20" t="s">
        <v>39</v>
      </c>
      <c r="C22" s="54">
        <v>169.32</v>
      </c>
      <c r="D22" s="54">
        <v>2.75</v>
      </c>
      <c r="E22" s="54">
        <v>166.57</v>
      </c>
      <c r="F22" s="54"/>
      <c r="G22" s="54"/>
      <c r="H22" s="54"/>
      <c r="I22" s="54"/>
      <c r="J22" s="54"/>
      <c r="K22" s="54"/>
      <c r="L22" s="54"/>
      <c r="M22" s="54">
        <v>20</v>
      </c>
      <c r="N22" s="54">
        <v>80</v>
      </c>
      <c r="O22" s="54">
        <v>60</v>
      </c>
      <c r="P22" s="54"/>
      <c r="Q22" s="131"/>
    </row>
    <row r="23" ht="6" customHeight="1" spans="1:30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30" x14ac:dyDescent="0.25">
      <c r="A24" s="19">
        <v>9259</v>
      </c>
      <c r="B24" s="20" t="s">
        <v>40</v>
      </c>
      <c r="C24" s="54">
        <v>470.62</v>
      </c>
      <c r="D24" s="54">
        <v>120.25</v>
      </c>
      <c r="E24" s="54">
        <v>350.37</v>
      </c>
      <c r="F24" s="54"/>
      <c r="G24" s="54"/>
      <c r="H24" s="54"/>
      <c r="I24" s="54"/>
      <c r="J24" s="54"/>
      <c r="K24" s="54"/>
      <c r="L24" s="54"/>
      <c r="M24" s="54">
        <v>188</v>
      </c>
      <c r="N24" s="54">
        <v>282</v>
      </c>
      <c r="O24" s="54"/>
      <c r="P24" s="54"/>
      <c r="Q24" s="131"/>
    </row>
    <row r="25" ht="6" customHeight="1" spans="1:30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30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48</v>
      </c>
      <c r="N26" s="54"/>
      <c r="O26" s="54"/>
      <c r="P26" s="54"/>
      <c r="Q26" s="131"/>
    </row>
    <row r="27" ht="6" customHeight="1" spans="1:30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30" x14ac:dyDescent="0.25">
      <c r="A28" s="19">
        <v>8234</v>
      </c>
      <c r="B28" s="20" t="s">
        <v>43</v>
      </c>
      <c r="C28" s="54">
        <v>231.75</v>
      </c>
      <c r="D28" s="54">
        <v>224.25</v>
      </c>
      <c r="E28" s="54">
        <v>7.5</v>
      </c>
      <c r="F28" s="54"/>
      <c r="G28" s="54"/>
      <c r="H28" s="54"/>
      <c r="I28" s="54"/>
      <c r="J28" s="54"/>
      <c r="K28" s="54"/>
      <c r="L28" s="54"/>
      <c r="M28" s="54">
        <v>32</v>
      </c>
      <c r="N28" s="54"/>
      <c r="O28" s="54"/>
      <c r="P28" s="54"/>
      <c r="Q28" s="131"/>
      <c r="S28" s="138"/>
    </row>
    <row r="29" ht="6" customHeight="1" spans="1:30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30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48</v>
      </c>
      <c r="O30" s="54">
        <v>16</v>
      </c>
      <c r="P30" s="54">
        <v>64</v>
      </c>
      <c r="Q30" s="131"/>
      <c r="S30" s="139"/>
    </row>
    <row r="31" ht="6" customHeight="1" spans="1:30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30" x14ac:dyDescent="0.25">
      <c r="A32" s="19">
        <v>6792</v>
      </c>
      <c r="B32" s="20" t="s">
        <v>45</v>
      </c>
      <c r="C32" s="54">
        <v>208.2</v>
      </c>
      <c r="D32" s="54">
        <v>317.25</v>
      </c>
      <c r="E32" s="54">
        <v>-109.05000000000001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30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30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130</v>
      </c>
      <c r="N34" s="54"/>
      <c r="O34" s="54"/>
      <c r="P34" s="54"/>
      <c r="Q34" s="131"/>
    </row>
    <row r="35" ht="6" customHeight="1" spans="1:30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30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30</v>
      </c>
      <c r="N36" s="54">
        <v>50</v>
      </c>
      <c r="O36" s="54"/>
      <c r="P36" s="54"/>
      <c r="Q36" s="131"/>
    </row>
    <row r="37" ht="6" customHeight="1" spans="1:30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30" x14ac:dyDescent="0.25">
      <c r="A38" s="19">
        <v>7901</v>
      </c>
      <c r="B38" s="20" t="s">
        <v>49</v>
      </c>
      <c r="C38" s="54">
        <v>290.15</v>
      </c>
      <c r="D38" s="54">
        <v>105</v>
      </c>
      <c r="E38" s="54">
        <v>185.14999999999998</v>
      </c>
      <c r="F38" s="54"/>
      <c r="G38" s="54"/>
      <c r="H38" s="54"/>
      <c r="I38" s="54"/>
      <c r="J38" s="54"/>
      <c r="K38" s="54"/>
      <c r="L38" s="54"/>
      <c r="M38" s="54">
        <v>80</v>
      </c>
      <c r="N38" s="54">
        <v>40</v>
      </c>
      <c r="O38" s="54">
        <v>160</v>
      </c>
      <c r="P38" s="54"/>
      <c r="Q38" s="131"/>
      <c r="S38" s="139"/>
    </row>
    <row r="39" ht="6" customHeight="1" spans="1:30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30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30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30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30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30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40</v>
      </c>
      <c r="O44" s="54">
        <v>300</v>
      </c>
      <c r="P44" s="54">
        <v>150</v>
      </c>
      <c r="Q44" s="131">
        <v>150</v>
      </c>
      <c r="S44" s="139"/>
    </row>
    <row r="45" ht="6" customHeight="1" spans="1:30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30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30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30" x14ac:dyDescent="0.25">
      <c r="A48" s="19">
        <v>8337</v>
      </c>
      <c r="B48" s="20" t="s">
        <v>54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16</v>
      </c>
      <c r="N48" s="54">
        <v>32</v>
      </c>
      <c r="O48" s="54"/>
      <c r="P48" s="54"/>
      <c r="Q48" s="131"/>
    </row>
    <row r="49" ht="6" customHeight="1" spans="1:30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30" x14ac:dyDescent="0.25">
      <c r="A50" s="19">
        <v>9240</v>
      </c>
      <c r="B50" s="20" t="s">
        <v>55</v>
      </c>
      <c r="C50" s="54">
        <v>65.13</v>
      </c>
      <c r="D50" s="54">
        <v>0</v>
      </c>
      <c r="E50" s="54">
        <v>65.13</v>
      </c>
      <c r="F50" s="54"/>
      <c r="G50" s="54"/>
      <c r="H50" s="54"/>
      <c r="I50" s="54"/>
      <c r="J50" s="54"/>
      <c r="K50" s="54"/>
      <c r="L50" s="54"/>
      <c r="M50" s="54">
        <v>16</v>
      </c>
      <c r="N50" s="54">
        <v>40</v>
      </c>
      <c r="O50" s="54"/>
      <c r="P50" s="54"/>
      <c r="Q50" s="131"/>
    </row>
    <row r="51" ht="6" customHeight="1" spans="1:30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30" x14ac:dyDescent="0.25">
      <c r="A52" s="19">
        <v>7428</v>
      </c>
      <c r="B52" s="20" t="s">
        <v>56</v>
      </c>
      <c r="C52" s="54">
        <v>659.73</v>
      </c>
      <c r="D52" s="54">
        <v>505.25</v>
      </c>
      <c r="E52" s="54">
        <v>154.48000000000002</v>
      </c>
      <c r="F52" s="54"/>
      <c r="G52" s="54"/>
      <c r="H52" s="54"/>
      <c r="I52" s="54"/>
      <c r="J52" s="54"/>
      <c r="K52" s="54"/>
      <c r="L52" s="54"/>
      <c r="M52" s="54">
        <v>80</v>
      </c>
      <c r="N52" s="54">
        <v>80</v>
      </c>
      <c r="O52" s="141">
        <v>180</v>
      </c>
      <c r="P52" s="54"/>
      <c r="Q52" s="131"/>
      <c r="S52" s="139"/>
    </row>
    <row r="53" ht="6" customHeight="1" spans="1:30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30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16</v>
      </c>
      <c r="M54" s="54">
        <v>32</v>
      </c>
      <c r="N54" s="54">
        <v>65</v>
      </c>
      <c r="O54" s="54"/>
      <c r="P54" s="54"/>
      <c r="Q54" s="131"/>
      <c r="S54" s="138"/>
    </row>
    <row r="55" ht="6" customHeight="1" spans="1:30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30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30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30" x14ac:dyDescent="0.25">
      <c r="A58" s="19">
        <v>9508</v>
      </c>
      <c r="B58" s="20" t="s">
        <v>59</v>
      </c>
      <c r="C58" s="54">
        <v>140.15</v>
      </c>
      <c r="D58" s="54">
        <v>5.75</v>
      </c>
      <c r="E58" s="54">
        <v>134.4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30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30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30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30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30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30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30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30" x14ac:dyDescent="0.25">
      <c r="A66" s="19">
        <v>8308</v>
      </c>
      <c r="B66" s="20" t="s">
        <v>62</v>
      </c>
      <c r="C66" s="54">
        <v>2344.68</v>
      </c>
      <c r="D66" s="54">
        <v>1315</v>
      </c>
      <c r="E66" s="54">
        <v>1029.6799999999998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30" x14ac:dyDescent="0.25">
      <c r="A67" s="142"/>
      <c r="B67" s="143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144"/>
    </row>
    <row r="68" ht="15" customHeight="1" spans="1:30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.75" customHeight="1" spans="1:30" x14ac:dyDescent="0.25">
      <c r="A69" s="145"/>
      <c r="B69" s="145"/>
      <c r="C69" s="145"/>
      <c r="D69" s="145"/>
      <c r="E69" s="145"/>
      <c r="F69" s="145"/>
      <c r="G69" s="145"/>
      <c r="H69" s="145"/>
      <c r="I69" s="145"/>
      <c r="J69" s="145"/>
      <c r="K69" s="145"/>
      <c r="L69" s="145"/>
      <c r="M69" s="145"/>
      <c r="N69" s="145"/>
      <c r="O69" s="145"/>
      <c r="P69" s="145"/>
      <c r="Q69" s="145"/>
    </row>
    <row r="70" ht="15" customHeight="1" spans="1:30" x14ac:dyDescent="0.25">
      <c r="A70" s="142"/>
      <c r="B70" s="146" t="s">
        <v>145</v>
      </c>
      <c r="C70" s="147"/>
      <c r="D70" s="147"/>
      <c r="E70" s="147"/>
      <c r="F70" s="147">
        <v>640</v>
      </c>
      <c r="G70" s="147">
        <v>715</v>
      </c>
      <c r="H70" s="147">
        <v>790</v>
      </c>
      <c r="I70" s="147">
        <v>700</v>
      </c>
      <c r="J70" s="147">
        <v>700</v>
      </c>
      <c r="K70" s="147">
        <v>700</v>
      </c>
      <c r="L70" s="147">
        <v>716</v>
      </c>
      <c r="M70" s="147">
        <v>2520</v>
      </c>
      <c r="N70" s="147">
        <v>3060</v>
      </c>
      <c r="O70" s="147">
        <v>1316</v>
      </c>
      <c r="P70" s="147">
        <v>914</v>
      </c>
      <c r="Q70" s="147">
        <v>650</v>
      </c>
    </row>
    <row r="71" ht="15" customHeight="1" spans="1:30" x14ac:dyDescent="0.25">
      <c r="A71" s="142"/>
      <c r="B71" s="77" t="s">
        <v>146</v>
      </c>
      <c r="C71" s="20"/>
      <c r="D71" s="20"/>
      <c r="E71" s="20"/>
      <c r="F71" s="20">
        <v>140</v>
      </c>
      <c r="G71" s="20">
        <v>15</v>
      </c>
      <c r="H71" s="20">
        <v>90</v>
      </c>
      <c r="I71" s="20"/>
      <c r="J71" s="20"/>
      <c r="K71" s="20"/>
      <c r="L71" s="20">
        <v>16</v>
      </c>
      <c r="M71" s="20">
        <v>800</v>
      </c>
      <c r="N71" s="20">
        <v>858</v>
      </c>
      <c r="O71" s="20">
        <v>476</v>
      </c>
      <c r="P71" s="20">
        <v>214</v>
      </c>
      <c r="Q71" s="20">
        <v>150</v>
      </c>
    </row>
    <row r="72" ht="15" customHeight="1" spans="1:30" x14ac:dyDescent="0.25">
      <c r="A72" s="142"/>
      <c r="B72" s="77" t="s">
        <v>147</v>
      </c>
      <c r="C72" s="20">
        <v>4490.26</v>
      </c>
      <c r="D72" s="20"/>
      <c r="E72" s="20"/>
      <c r="F72" s="20"/>
      <c r="G72" s="20"/>
      <c r="H72" s="20"/>
      <c r="I72" s="20"/>
      <c r="J72" s="20"/>
      <c r="K72" s="20"/>
      <c r="L72" s="20"/>
      <c r="M72" s="20">
        <v>1020</v>
      </c>
      <c r="N72" s="20">
        <v>1502</v>
      </c>
      <c r="O72" s="20">
        <v>140</v>
      </c>
      <c r="P72" s="20"/>
      <c r="Q72" s="20"/>
    </row>
    <row r="73" ht="15" customHeight="1" spans="1:30" x14ac:dyDescent="0.25">
      <c r="A73" s="142"/>
      <c r="B73" s="148" t="s">
        <v>148</v>
      </c>
      <c r="C73" s="149"/>
      <c r="D73" s="149"/>
      <c r="E73" s="149"/>
      <c r="F73" s="149">
        <v>1488</v>
      </c>
      <c r="G73" s="149">
        <v>2112</v>
      </c>
      <c r="H73" s="149">
        <v>1984</v>
      </c>
      <c r="I73" s="149">
        <v>1884.8</v>
      </c>
      <c r="J73" s="149">
        <v>1948.8</v>
      </c>
      <c r="K73" s="149">
        <v>2083.2</v>
      </c>
      <c r="L73" s="149">
        <v>2604.8</v>
      </c>
      <c r="M73" s="149">
        <v>2486.4</v>
      </c>
      <c r="N73" s="149">
        <v>2604.8</v>
      </c>
      <c r="O73" s="149">
        <v>2217.6</v>
      </c>
      <c r="P73" s="149">
        <v>2112</v>
      </c>
      <c r="Q73" s="150">
        <v>1478.4</v>
      </c>
    </row>
    <row r="74" ht="15" customHeight="1" spans="1:30" x14ac:dyDescent="0.25">
      <c r="A74" s="142"/>
      <c r="B74" s="151" t="s">
        <v>149</v>
      </c>
      <c r="C74" s="152"/>
      <c r="D74" s="152"/>
      <c r="E74" s="152"/>
      <c r="F74" s="153">
        <v>-848</v>
      </c>
      <c r="G74" s="153">
        <v>-1397</v>
      </c>
      <c r="H74" s="154">
        <v>-1194</v>
      </c>
      <c r="I74" s="153">
        <v>-1184.8</v>
      </c>
      <c r="J74" s="153">
        <v>-1248.8</v>
      </c>
      <c r="K74" s="153">
        <v>-1383.2</v>
      </c>
      <c r="L74" s="153">
        <v>-1888.8</v>
      </c>
      <c r="M74" s="153">
        <v>33.5999999999999</v>
      </c>
      <c r="N74" s="153">
        <v>455.2</v>
      </c>
      <c r="O74" s="153">
        <v>-901.6</v>
      </c>
      <c r="P74" s="153">
        <v>-1198</v>
      </c>
      <c r="Q74" s="155">
        <v>-828.4</v>
      </c>
    </row>
    <row r="75" ht="15" customHeight="1" spans="1:30" x14ac:dyDescent="0.25">
      <c r="A75" s="142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144"/>
    </row>
    <row r="76" ht="15" customHeight="1" spans="1:30" x14ac:dyDescent="0.25">
      <c r="A76" s="142"/>
      <c r="B76" s="156" t="s">
        <v>150</v>
      </c>
      <c r="C76" s="157" t="s">
        <v>151</v>
      </c>
      <c r="D76" s="157"/>
      <c r="E76" s="157"/>
      <c r="F76" s="158">
        <v>15</v>
      </c>
      <c r="G76" s="159">
        <v>20</v>
      </c>
      <c r="H76" s="159">
        <v>20</v>
      </c>
      <c r="I76" s="159">
        <v>19</v>
      </c>
      <c r="J76" s="159">
        <v>21</v>
      </c>
      <c r="K76" s="159">
        <v>21</v>
      </c>
      <c r="L76" s="159">
        <v>22</v>
      </c>
      <c r="M76" s="159">
        <v>21</v>
      </c>
      <c r="N76" s="159">
        <v>22</v>
      </c>
      <c r="O76" s="159">
        <v>21</v>
      </c>
      <c r="P76" s="159">
        <v>20</v>
      </c>
      <c r="Q76" s="160">
        <v>14</v>
      </c>
    </row>
    <row r="77" ht="15" customHeight="1" spans="1:30" x14ac:dyDescent="0.25">
      <c r="A77" s="161"/>
      <c r="B77" s="162" t="s">
        <v>152</v>
      </c>
      <c r="C77" s="157"/>
      <c r="D77" s="157"/>
      <c r="E77" s="157"/>
      <c r="F77" s="163">
        <v>15.5</v>
      </c>
      <c r="G77" s="163">
        <v>16.5</v>
      </c>
      <c r="H77" s="163">
        <v>15.5</v>
      </c>
      <c r="I77" s="163">
        <v>15.5</v>
      </c>
      <c r="J77" s="163">
        <v>14.5</v>
      </c>
      <c r="K77" s="163">
        <v>15.5</v>
      </c>
      <c r="L77" s="163">
        <v>18.5</v>
      </c>
      <c r="M77" s="163">
        <v>18.5</v>
      </c>
      <c r="N77" s="163">
        <v>18.5</v>
      </c>
      <c r="O77" s="163">
        <v>16.5</v>
      </c>
      <c r="P77" s="163">
        <v>16.5</v>
      </c>
      <c r="Q77" s="163">
        <v>16.5</v>
      </c>
    </row>
    <row r="78" spans="1:30" x14ac:dyDescent="0.25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</row>
    <row r="79" ht="15" customHeight="1" spans="1:30" x14ac:dyDescent="0.25">
      <c r="A79" s="35"/>
      <c r="B79" s="164" t="s">
        <v>153</v>
      </c>
      <c r="C79" s="165"/>
      <c r="D79" s="35"/>
      <c r="E79" s="35"/>
      <c r="F79" s="35"/>
      <c r="G79" s="35"/>
      <c r="H79" s="35"/>
      <c r="I79" s="35"/>
      <c r="J79" s="35"/>
      <c r="K79" s="35"/>
      <c r="L79" s="166" t="s">
        <v>154</v>
      </c>
      <c r="M79" s="166"/>
      <c r="N79" s="35"/>
      <c r="O79" s="35"/>
      <c r="P79" s="35"/>
      <c r="Q79" s="35"/>
    </row>
    <row r="80" ht="15" customHeight="1" spans="1:30" x14ac:dyDescent="0.25">
      <c r="A80" s="35"/>
      <c r="B80" s="167" t="s">
        <v>155</v>
      </c>
      <c r="C80" s="168">
        <v>1</v>
      </c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</row>
    <row r="81" ht="15" customHeight="1" spans="1:30" x14ac:dyDescent="0.25">
      <c r="A81" s="35"/>
      <c r="B81" s="19" t="s">
        <v>156</v>
      </c>
      <c r="C81" s="131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30" x14ac:dyDescent="0.25">
      <c r="A82" s="35"/>
      <c r="B82" s="19" t="s">
        <v>157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30" x14ac:dyDescent="0.25">
      <c r="A83" s="35"/>
      <c r="B83" s="19" t="s">
        <v>158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30" x14ac:dyDescent="0.25">
      <c r="A84" s="35"/>
      <c r="B84" s="19" t="s">
        <v>159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30" x14ac:dyDescent="0.25">
      <c r="A85" s="35"/>
      <c r="B85" s="19" t="s">
        <v>160</v>
      </c>
      <c r="C85" s="131">
        <v>0.5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30" x14ac:dyDescent="0.25">
      <c r="A86" s="35"/>
      <c r="B86" s="19" t="s">
        <v>161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30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30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30" x14ac:dyDescent="0.25">
      <c r="A89" s="35"/>
      <c r="B89" s="19" t="s">
        <v>164</v>
      </c>
      <c r="C89" s="131">
        <v>0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30" x14ac:dyDescent="0.25">
      <c r="A90" s="35"/>
      <c r="B90" s="19" t="s">
        <v>165</v>
      </c>
      <c r="C90" s="131">
        <v>1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30" x14ac:dyDescent="0.25">
      <c r="A91" s="35"/>
      <c r="B91" s="19"/>
      <c r="C91" s="131">
        <v>0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30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30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30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30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30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30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30" x14ac:dyDescent="0.25">
      <c r="A98" s="35"/>
      <c r="B98" s="19" t="s">
        <v>166</v>
      </c>
      <c r="C98" s="131">
        <v>1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30" x14ac:dyDescent="0.25">
      <c r="A99" s="35"/>
      <c r="B99" s="19" t="s">
        <v>167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30" x14ac:dyDescent="0.25">
      <c r="A100" s="35"/>
      <c r="B100" s="19" t="s">
        <v>168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30" x14ac:dyDescent="0.25">
      <c r="A101" s="35"/>
      <c r="B101" s="19" t="s">
        <v>169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30" x14ac:dyDescent="0.25">
      <c r="A102" s="35"/>
      <c r="B102" s="19" t="s">
        <v>170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30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30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30" x14ac:dyDescent="0.25">
      <c r="A105" s="35"/>
      <c r="B105" s="19"/>
      <c r="C105" s="131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30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30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30" x14ac:dyDescent="0.25">
      <c r="A108" s="35"/>
      <c r="B108" s="169"/>
      <c r="C108" s="150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30" x14ac:dyDescent="0.25">
      <c r="A109" s="35"/>
      <c r="B109" s="164" t="s">
        <v>173</v>
      </c>
      <c r="C109" s="170">
        <v>16.5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69:Q69"/>
    <mergeCell ref="C76:E77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174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 t="s">
        <v>175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 t="s">
        <v>176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175" t="s">
        <v>177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30" x14ac:dyDescent="0.25">
      <c r="A6" s="176" t="s">
        <v>178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177" t="s">
        <v>179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30" x14ac:dyDescent="0.25">
      <c r="A8" s="176" t="s">
        <v>180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178" t="s">
        <v>181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30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30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30" x14ac:dyDescent="0.25">
      <c r="A12" s="181" t="s">
        <v>182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30" x14ac:dyDescent="0.25">
      <c r="A13" s="182" t="s">
        <v>183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30" x14ac:dyDescent="0.25">
      <c r="A14" s="183" t="s">
        <v>184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30" x14ac:dyDescent="0.25">
      <c r="A15" s="172" t="s">
        <v>185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30" x14ac:dyDescent="0.25">
      <c r="A16" s="184" t="s">
        <v>186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30" x14ac:dyDescent="0.25">
      <c r="A17" s="185" t="s">
        <v>187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30" x14ac:dyDescent="0.25">
      <c r="A18" s="186" t="s">
        <v>188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30" x14ac:dyDescent="0.25">
      <c r="A19" s="178" t="s">
        <v>189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30" x14ac:dyDescent="0.25">
      <c r="A20" s="187" t="s">
        <v>190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30" x14ac:dyDescent="0.25">
      <c r="A21" s="188" t="s">
        <v>191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30" x14ac:dyDescent="0.25">
      <c r="A22" s="188" t="s">
        <v>192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30" x14ac:dyDescent="0.25">
      <c r="A23" s="188" t="s">
        <v>193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30" x14ac:dyDescent="0.25">
      <c r="A24" s="188" t="s">
        <v>194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30" x14ac:dyDescent="0.25">
      <c r="A25" s="189" t="s">
        <v>195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30" x14ac:dyDescent="0.25">
      <c r="A26" s="181" t="s">
        <v>196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30" x14ac:dyDescent="0.25">
      <c r="A27" s="190" t="s">
        <v>197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30" x14ac:dyDescent="0.25">
      <c r="A28" s="172" t="s">
        <v>198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190" t="s">
        <v>199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30" x14ac:dyDescent="0.25">
      <c r="A30" s="191" t="s">
        <v>200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30" x14ac:dyDescent="0.25">
      <c r="A31" s="191" t="s">
        <v>201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30" x14ac:dyDescent="0.25">
      <c r="A32" s="191" t="s">
        <v>202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30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30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30" x14ac:dyDescent="0.25">
      <c r="A35" s="192" t="s">
        <v>203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30" x14ac:dyDescent="0.25">
      <c r="A36" s="193" t="s">
        <v>204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30" x14ac:dyDescent="0.25">
      <c r="A37" s="194" t="s">
        <v>205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30" x14ac:dyDescent="0.25">
      <c r="A38" s="179" t="s">
        <v>206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30" x14ac:dyDescent="0.25">
      <c r="A39" s="181" t="s">
        <v>207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30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30" x14ac:dyDescent="0.25">
      <c r="A41" s="172" t="s">
        <v>208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30" x14ac:dyDescent="0.25">
      <c r="A42" s="196" t="s">
        <v>209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30" x14ac:dyDescent="0.25">
      <c r="A43" s="172" t="s">
        <v>210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30" x14ac:dyDescent="0.25">
      <c r="A44" s="197" t="s">
        <v>211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30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30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30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30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30" x14ac:dyDescent="0.25">
      <c r="A49" s="172" t="s">
        <v>212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30" x14ac:dyDescent="0.25">
      <c r="A50" s="200" t="s">
        <v>213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30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30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30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30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30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30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214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30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30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30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30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30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30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30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30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30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30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30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30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30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30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30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30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30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30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30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30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30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30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30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30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30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30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30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30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30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30" x14ac:dyDescent="0.25">
      <c r="A38" s="172" t="s">
        <v>212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30" x14ac:dyDescent="0.25">
      <c r="A39" s="200" t="s">
        <v>213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30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30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30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30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30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30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63</v>
      </c>
      <c r="D2" s="43" t="s">
        <v>64</v>
      </c>
      <c r="E2" s="43" t="s">
        <v>65</v>
      </c>
      <c r="F2" s="39" t="s">
        <v>66</v>
      </c>
      <c r="G2" s="40" t="s">
        <v>67</v>
      </c>
      <c r="H2" s="43" t="s">
        <v>68</v>
      </c>
      <c r="I2" s="43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2" t="s">
        <v>215</v>
      </c>
      <c r="P2" s="42" t="s">
        <v>216</v>
      </c>
      <c r="Q2" s="42" t="s">
        <v>217</v>
      </c>
      <c r="R2" s="43" t="s">
        <v>75</v>
      </c>
      <c r="S2" s="43" t="s">
        <v>76</v>
      </c>
      <c r="T2" s="39" t="s">
        <v>77</v>
      </c>
      <c r="U2" s="40" t="s">
        <v>78</v>
      </c>
      <c r="V2" s="214" t="s">
        <v>79</v>
      </c>
      <c r="W2" s="214" t="s">
        <v>80</v>
      </c>
      <c r="X2" s="45" t="s">
        <v>81</v>
      </c>
      <c r="Y2" s="40" t="s">
        <v>82</v>
      </c>
      <c r="Z2" s="42" t="s">
        <v>83</v>
      </c>
      <c r="AA2" s="46" t="s">
        <v>84</v>
      </c>
      <c r="AB2" s="47" t="s">
        <v>85</v>
      </c>
      <c r="AC2" s="46" t="s">
        <v>86</v>
      </c>
      <c r="AD2" s="48" t="s">
        <v>87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88</v>
      </c>
      <c r="AL3" s="50" t="s">
        <v>89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90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91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92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93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94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95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96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97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98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90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91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92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93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94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95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96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97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98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90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91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92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93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94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95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96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97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98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90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91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92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93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94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95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96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97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98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90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91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92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93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94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95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96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97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98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90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91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92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93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94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95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96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97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98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90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91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92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93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94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95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96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97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98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90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91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92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93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94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95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96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97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98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90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91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92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93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94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95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96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97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98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90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91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92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93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94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95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96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97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98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90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91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92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93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94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95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96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97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98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90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91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92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93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94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95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96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97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98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90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91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92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93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94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95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96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97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98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90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91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92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93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94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95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96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97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98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90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91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92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93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94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95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96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97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98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90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91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92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93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94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95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96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97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98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90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91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92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93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94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95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96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97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98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90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91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92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93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94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95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96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97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98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90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91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92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93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94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95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96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97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98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90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91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92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93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94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95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96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97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98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90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91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92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93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94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95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96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97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98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90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91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92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93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94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95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96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97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98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90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91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92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93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94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95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96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97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98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90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91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92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93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94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95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96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97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98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90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91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92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93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94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95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96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97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98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90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91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92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93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94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95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96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97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98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90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91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92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93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94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95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96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97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98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90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91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92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93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94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95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96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97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98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90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91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92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93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94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95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96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97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98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90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91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92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93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94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95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96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97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98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90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91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92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93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94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95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96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97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98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90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91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92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93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94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95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96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97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98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30" x14ac:dyDescent="0.25">
      <c r="A1" s="35"/>
    </row>
    <row r="2" spans="1:30" x14ac:dyDescent="0.25">
      <c r="A2" s="35"/>
    </row>
    <row r="3" ht="15" customHeight="1" spans="1:30" x14ac:dyDescent="0.25">
      <c r="A3" s="35">
        <v>340</v>
      </c>
      <c r="B3" s="35" t="s">
        <v>218</v>
      </c>
      <c r="C3" s="35" t="s">
        <v>219</v>
      </c>
      <c r="D3" s="35" t="s">
        <v>220</v>
      </c>
    </row>
    <row r="4" ht="15" customHeight="1" spans="1:30" x14ac:dyDescent="0.25">
      <c r="A4" s="35" t="s">
        <v>221</v>
      </c>
      <c r="B4" s="35">
        <v>30</v>
      </c>
      <c r="D4" s="37">
        <f>SUM(B4/A3)</f>
        <v>0.0882352941176471</v>
      </c>
    </row>
    <row r="5" ht="15" customHeight="1" spans="1:30" x14ac:dyDescent="0.25">
      <c r="A5" s="35" t="s">
        <v>222</v>
      </c>
      <c r="B5" s="35">
        <v>60</v>
      </c>
      <c r="P5" s="35">
        <v>95.35</v>
      </c>
    </row>
    <row r="6" ht="15" customHeight="1" spans="1:30" x14ac:dyDescent="0.25">
      <c r="A6" s="35" t="s">
        <v>223</v>
      </c>
      <c r="B6" s="35">
        <v>100</v>
      </c>
      <c r="P6" s="35">
        <v>102.69</v>
      </c>
    </row>
    <row r="7" ht="15" customHeight="1" spans="1:30" x14ac:dyDescent="0.25">
      <c r="A7" s="35" t="s">
        <v>224</v>
      </c>
      <c r="B7" s="35">
        <v>150</v>
      </c>
      <c r="P7" s="35">
        <v>134.82</v>
      </c>
    </row>
    <row r="8" ht="15" customHeight="1" spans="1:30" x14ac:dyDescent="0.25">
      <c r="A8" s="35"/>
      <c r="P8" s="35">
        <v>324.19</v>
      </c>
    </row>
    <row r="9" ht="15" customHeight="1" spans="1:30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