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<sst xmlns="http://schemas.openxmlformats.org/spreadsheetml/2006/main" count="1185" uniqueCount="230">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</sst>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64</v>
      </c>
      <c r="C70" s="29" t="s">
        <v>30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65</v>
      </c>
      <c r="C72" s="29" t="s">
        <v>30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66</v>
      </c>
      <c r="C74" s="29" t="s">
        <v>30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67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68</v>
      </c>
      <c r="D2" s="38" t="s">
        <v>69</v>
      </c>
      <c r="E2" s="38" t="s">
        <v>70</v>
      </c>
      <c r="F2" s="39" t="s">
        <v>71</v>
      </c>
      <c r="G2" s="40" t="s">
        <v>72</v>
      </c>
      <c r="H2" s="38" t="s">
        <v>73</v>
      </c>
      <c r="I2" s="38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3" t="s">
        <v>80</v>
      </c>
      <c r="P2" s="43" t="s">
        <v>81</v>
      </c>
      <c r="Q2" s="39" t="s">
        <v>82</v>
      </c>
      <c r="R2" s="40" t="s">
        <v>83</v>
      </c>
      <c r="S2" s="44" t="s">
        <v>84</v>
      </c>
      <c r="T2" s="44" t="s">
        <v>85</v>
      </c>
      <c r="U2" s="45" t="s">
        <v>86</v>
      </c>
      <c r="V2" s="40" t="s">
        <v>87</v>
      </c>
      <c r="W2" s="42" t="s">
        <v>88</v>
      </c>
      <c r="X2" s="46" t="s">
        <v>89</v>
      </c>
      <c r="Y2" s="47" t="s">
        <v>90</v>
      </c>
      <c r="Z2" s="46" t="s">
        <v>91</v>
      </c>
      <c r="AA2" s="48" t="s">
        <v>92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93</v>
      </c>
      <c r="AI3" s="50" t="s">
        <v>94</v>
      </c>
    </row>
    <row r="4" ht="15" customHeight="1" spans="1:35" x14ac:dyDescent="0.25">
      <c r="A4" s="19">
        <v>7658</v>
      </c>
      <c r="B4" s="20" t="s">
        <v>25</v>
      </c>
      <c r="C4" s="51" t="s">
        <v>95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96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97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98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99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100</v>
      </c>
      <c r="D7" s="52">
        <v>267886.85</v>
      </c>
      <c r="E7" s="52">
        <v>216530.08</v>
      </c>
      <c r="F7" s="52">
        <v>51356.76999999999</v>
      </c>
      <c r="G7" s="53">
        <v>0.1917106793409232</v>
      </c>
      <c r="H7" s="52">
        <v>225410.55</v>
      </c>
      <c r="I7" s="52">
        <v>167992.78</v>
      </c>
      <c r="J7" s="52">
        <v>193787.25</v>
      </c>
      <c r="K7" s="52">
        <v>138051.32</v>
      </c>
      <c r="L7" s="52">
        <v>55735.92999999999</v>
      </c>
      <c r="M7" s="53">
        <v>0.2876140200142166</v>
      </c>
      <c r="N7" s="53"/>
      <c r="O7" s="52">
        <v>31623.3</v>
      </c>
      <c r="P7" s="52">
        <v>29941.46</v>
      </c>
      <c r="Q7" s="52">
        <v>1681.8400000000001</v>
      </c>
      <c r="R7" s="53">
        <v>0.053183570342121164</v>
      </c>
      <c r="S7" s="54">
        <v>638.02</v>
      </c>
      <c r="T7" s="54">
        <v>600.25</v>
      </c>
      <c r="U7" s="54">
        <v>37.76999999999998</v>
      </c>
      <c r="V7" s="53">
        <v>0.059198771198395006</v>
      </c>
      <c r="W7" s="53"/>
      <c r="X7" s="55">
        <v>80.86180758017493</v>
      </c>
      <c r="Y7" s="55">
        <v>66.57519091683645</v>
      </c>
      <c r="Z7" s="53">
        <v>0.2242</v>
      </c>
      <c r="AA7" s="56">
        <v>0.1586</v>
      </c>
      <c r="AB7" s="57"/>
      <c r="AD7" s="35" t="s">
        <v>101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102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103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95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96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97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98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99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100</v>
      </c>
      <c r="D14" s="52">
        <v>129996.92</v>
      </c>
      <c r="E14" s="62">
        <v>85864.08</v>
      </c>
      <c r="F14" s="52">
        <v>44132.84</v>
      </c>
      <c r="G14" s="53">
        <v>0.3394914279507545</v>
      </c>
      <c r="H14" s="52">
        <v>101885.52</v>
      </c>
      <c r="I14" s="52">
        <v>77983.94</v>
      </c>
      <c r="J14" s="52">
        <v>83735.42000000001</v>
      </c>
      <c r="K14" s="52">
        <v>69781.5</v>
      </c>
      <c r="L14" s="52">
        <v>13953.920000000013</v>
      </c>
      <c r="M14" s="53">
        <v>0.1666429809511914</v>
      </c>
      <c r="N14" s="53"/>
      <c r="O14" s="52">
        <v>18150.1</v>
      </c>
      <c r="P14" s="52">
        <v>8202.44</v>
      </c>
      <c r="Q14" s="52">
        <v>9947.659999999998</v>
      </c>
      <c r="R14" s="53">
        <v>0.548077421061041</v>
      </c>
      <c r="S14" s="54">
        <v>363.57</v>
      </c>
      <c r="T14" s="54">
        <v>168.25</v>
      </c>
      <c r="U14" s="54">
        <v>195.32</v>
      </c>
      <c r="V14" s="53">
        <v>0.5372280441180516</v>
      </c>
      <c r="W14" s="53"/>
      <c r="X14" s="55">
        <v>46.83589895988113</v>
      </c>
      <c r="Y14" s="55">
        <v>77.32043896850674</v>
      </c>
      <c r="Z14" s="53">
        <v>0.09179999999999999</v>
      </c>
      <c r="AA14" s="56">
        <v>0.2162</v>
      </c>
      <c r="AB14" s="57"/>
      <c r="AD14" s="35" t="s">
        <v>101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102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103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95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96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97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98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99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100</v>
      </c>
      <c r="D21" s="52">
        <v>27500.32</v>
      </c>
      <c r="E21" s="52">
        <v>11999.08</v>
      </c>
      <c r="F21" s="52">
        <v>15501.24</v>
      </c>
      <c r="G21" s="53">
        <v>0.5636748954193987</v>
      </c>
      <c r="H21" s="52">
        <v>19565.83</v>
      </c>
      <c r="I21" s="52">
        <v>7921.92</v>
      </c>
      <c r="J21" s="52">
        <v>13767.340000000002</v>
      </c>
      <c r="K21" s="52">
        <v>6211.24</v>
      </c>
      <c r="L21" s="52">
        <v>7556.100000000002</v>
      </c>
      <c r="M21" s="53">
        <v>0.5488424052867149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117.328345323741</v>
      </c>
      <c r="Y21" s="55">
        <v>63.27846478985563</v>
      </c>
      <c r="Z21" s="53">
        <v>0.3398</v>
      </c>
      <c r="AA21" s="56">
        <v>0.2885</v>
      </c>
      <c r="AB21" s="57"/>
      <c r="AD21" s="35" t="s">
        <v>101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102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103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95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96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97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98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99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100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101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102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103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95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96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97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98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99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100</v>
      </c>
      <c r="D35" s="52">
        <v>397238.61</v>
      </c>
      <c r="E35" s="52">
        <v>259347.71</v>
      </c>
      <c r="F35" s="52">
        <v>137890.9</v>
      </c>
      <c r="G35" s="53">
        <v>0.34712360915773016</v>
      </c>
      <c r="H35" s="52">
        <v>328046.93</v>
      </c>
      <c r="I35" s="65">
        <v>228092.96</v>
      </c>
      <c r="J35" s="52">
        <v>271925.57</v>
      </c>
      <c r="K35" s="52">
        <v>199320.36</v>
      </c>
      <c r="L35" s="52">
        <v>72605.21000000002</v>
      </c>
      <c r="M35" s="53">
        <v>0.2670039820087534</v>
      </c>
      <c r="N35" s="53"/>
      <c r="O35" s="52">
        <v>56121.36</v>
      </c>
      <c r="P35" s="52">
        <v>28772.6</v>
      </c>
      <c r="Q35" s="52">
        <v>27348.760000000002</v>
      </c>
      <c r="R35" s="53">
        <v>0.48731463385776824</v>
      </c>
      <c r="S35" s="54">
        <v>1124.47</v>
      </c>
      <c r="T35" s="54">
        <v>667.75</v>
      </c>
      <c r="U35" s="54">
        <v>456.72</v>
      </c>
      <c r="V35" s="53">
        <v>0.4061646820279776</v>
      </c>
      <c r="W35" s="53"/>
      <c r="X35" s="55">
        <v>46.806065144140774</v>
      </c>
      <c r="Y35" s="55">
        <v>61.532703026350184</v>
      </c>
      <c r="Z35" s="53">
        <v>0.12050000000000001</v>
      </c>
      <c r="AA35" s="56">
        <v>0.1742</v>
      </c>
      <c r="AB35" s="57"/>
      <c r="AD35" s="35" t="s">
        <v>101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102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103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95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96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97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98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99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100</v>
      </c>
      <c r="D42" s="52">
        <v>128258.5</v>
      </c>
      <c r="E42" s="52">
        <v>53944.83</v>
      </c>
      <c r="F42" s="52">
        <v>74313.67</v>
      </c>
      <c r="G42" s="53">
        <v>0.5794054195238522</v>
      </c>
      <c r="H42" s="52">
        <v>94098.32</v>
      </c>
      <c r="I42" s="52">
        <v>51662.71</v>
      </c>
      <c r="J42" s="52">
        <v>69042.09000000001</v>
      </c>
      <c r="K42" s="52">
        <v>35998.79</v>
      </c>
      <c r="L42" s="52">
        <v>33043.30000000001</v>
      </c>
      <c r="M42" s="53">
        <v>0.4785964619553088</v>
      </c>
      <c r="N42" s="53"/>
      <c r="O42" s="52">
        <v>25056.23</v>
      </c>
      <c r="P42" s="52">
        <v>15663.92</v>
      </c>
      <c r="Q42" s="52">
        <v>9392.31</v>
      </c>
      <c r="R42" s="53">
        <v>0.3748492889792279</v>
      </c>
      <c r="S42" s="54">
        <v>501.83</v>
      </c>
      <c r="T42" s="54">
        <v>354.75</v>
      </c>
      <c r="U42" s="54">
        <v>147.07999999999998</v>
      </c>
      <c r="V42" s="53">
        <v>0.2930873004802423</v>
      </c>
      <c r="W42" s="53"/>
      <c r="X42" s="55">
        <v>6.433037350246653</v>
      </c>
      <c r="Y42" s="55">
        <v>68.07122423898531</v>
      </c>
      <c r="Z42" s="53">
        <v>0.042300000000000004</v>
      </c>
      <c r="AA42" s="56">
        <v>0.2663</v>
      </c>
      <c r="AB42" s="57"/>
      <c r="AD42" s="35" t="s">
        <v>101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102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103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95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96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97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98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99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100</v>
      </c>
      <c r="D49" s="52">
        <v>65693.36</v>
      </c>
      <c r="E49" s="52">
        <v>33326.49</v>
      </c>
      <c r="F49" s="52">
        <v>32366.870000000003</v>
      </c>
      <c r="G49" s="53">
        <v>0.49269621769993194</v>
      </c>
      <c r="H49" s="52">
        <v>50582.37</v>
      </c>
      <c r="I49" s="52">
        <v>25764.18</v>
      </c>
      <c r="J49" s="52">
        <v>39438.990000000005</v>
      </c>
      <c r="K49" s="52">
        <v>20036.42</v>
      </c>
      <c r="L49" s="52">
        <v>19402.570000000007</v>
      </c>
      <c r="M49" s="53">
        <v>0.49196417048205354</v>
      </c>
      <c r="N49" s="53"/>
      <c r="O49" s="52">
        <v>11143.38</v>
      </c>
      <c r="P49" s="52">
        <v>5727.76</v>
      </c>
      <c r="Q49" s="52">
        <v>5415.619999999999</v>
      </c>
      <c r="R49" s="53">
        <v>0.48599437513573074</v>
      </c>
      <c r="S49" s="54">
        <v>223.22</v>
      </c>
      <c r="T49" s="54">
        <v>129</v>
      </c>
      <c r="U49" s="54">
        <v>94.22</v>
      </c>
      <c r="V49" s="53">
        <v>0.422094794373264</v>
      </c>
      <c r="W49" s="53"/>
      <c r="X49" s="55">
        <v>58.62255813953489</v>
      </c>
      <c r="Y49" s="55">
        <v>67.69550512136009</v>
      </c>
      <c r="Z49" s="53">
        <v>0.22690000000000002</v>
      </c>
      <c r="AA49" s="56">
        <v>0.23</v>
      </c>
      <c r="AB49" s="57"/>
      <c r="AD49" s="35" t="s">
        <v>101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102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103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95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96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97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98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99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100</v>
      </c>
      <c r="D56" s="52">
        <v>155296.79</v>
      </c>
      <c r="E56" s="52">
        <v>127814.48</v>
      </c>
      <c r="F56" s="52">
        <v>27482.310000000012</v>
      </c>
      <c r="G56" s="53">
        <v>0.176966375158173</v>
      </c>
      <c r="H56" s="52">
        <v>109364.97</v>
      </c>
      <c r="I56" s="52">
        <v>100761.26</v>
      </c>
      <c r="J56" s="52">
        <v>75135.01000000001</v>
      </c>
      <c r="K56" s="52">
        <v>71552.81</v>
      </c>
      <c r="L56" s="52">
        <v>3582.2000000000116</v>
      </c>
      <c r="M56" s="53">
        <v>0.04767684199416505</v>
      </c>
      <c r="N56" s="53"/>
      <c r="O56" s="52">
        <v>34229.96</v>
      </c>
      <c r="P56" s="52">
        <v>29208.45</v>
      </c>
      <c r="Q56" s="52">
        <v>5021.509999999998</v>
      </c>
      <c r="R56" s="53">
        <v>0.14669926578938447</v>
      </c>
      <c r="S56" s="54">
        <v>685.48</v>
      </c>
      <c r="T56" s="54">
        <v>610</v>
      </c>
      <c r="U56" s="54">
        <v>75.48000000000002</v>
      </c>
      <c r="V56" s="53">
        <v>0.11011262181245261</v>
      </c>
      <c r="W56" s="53"/>
      <c r="X56" s="55">
        <v>44.34954098360656</v>
      </c>
      <c r="Y56" s="55">
        <v>67.00679527854935</v>
      </c>
      <c r="Z56" s="53">
        <v>0.21170000000000003</v>
      </c>
      <c r="AA56" s="56">
        <v>0.2958</v>
      </c>
      <c r="AB56" s="57"/>
      <c r="AD56" s="35" t="s">
        <v>101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102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103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95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96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97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98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99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100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101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102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103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95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96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97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98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99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100</v>
      </c>
      <c r="D70" s="52">
        <v>53029.71</v>
      </c>
      <c r="E70" s="52">
        <v>10650.43</v>
      </c>
      <c r="F70" s="52">
        <v>42379.28</v>
      </c>
      <c r="G70" s="53">
        <v>0.7991610740469823</v>
      </c>
      <c r="H70" s="52">
        <v>39055.78</v>
      </c>
      <c r="I70" s="52">
        <v>17736.52</v>
      </c>
      <c r="J70" s="52">
        <v>29537.29</v>
      </c>
      <c r="K70" s="52">
        <v>17587.74</v>
      </c>
      <c r="L70" s="52">
        <v>11949.55</v>
      </c>
      <c r="M70" s="53">
        <v>0.4045581026559985</v>
      </c>
      <c r="N70" s="53"/>
      <c r="O70" s="52">
        <v>9518.49</v>
      </c>
      <c r="P70" s="52">
        <v>148.78</v>
      </c>
      <c r="Q70" s="52">
        <v>9369.71</v>
      </c>
      <c r="R70" s="53">
        <v>0.9843693695113405</v>
      </c>
      <c r="S70" s="54">
        <v>193.32</v>
      </c>
      <c r="T70" s="54">
        <v>2.75</v>
      </c>
      <c r="U70" s="54">
        <v>190.57</v>
      </c>
      <c r="V70" s="53">
        <v>0.9857748810262776</v>
      </c>
      <c r="W70" s="53"/>
      <c r="X70" s="55">
        <v>-2576.76</v>
      </c>
      <c r="Y70" s="55">
        <v>72.28396616733912</v>
      </c>
      <c r="Z70" s="53">
        <v>-0.6653</v>
      </c>
      <c r="AA70" s="56">
        <v>0.2635</v>
      </c>
      <c r="AB70" s="57"/>
      <c r="AD70" s="35" t="s">
        <v>101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102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103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95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96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97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98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99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100</v>
      </c>
      <c r="D77" s="52">
        <v>78753.07</v>
      </c>
      <c r="E77" s="52">
        <v>44764.99</v>
      </c>
      <c r="F77" s="52">
        <v>33988.08000000001</v>
      </c>
      <c r="G77" s="53">
        <v>0.4315778419812714</v>
      </c>
      <c r="H77" s="52">
        <v>55589.78</v>
      </c>
      <c r="I77" s="52">
        <v>32417.98</v>
      </c>
      <c r="J77" s="52">
        <v>32594.75</v>
      </c>
      <c r="K77" s="52">
        <v>24016.8</v>
      </c>
      <c r="L77" s="52">
        <v>8577.95</v>
      </c>
      <c r="M77" s="53">
        <v>0.26316968223410214</v>
      </c>
      <c r="N77" s="53"/>
      <c r="O77" s="52">
        <v>22995.03</v>
      </c>
      <c r="P77" s="52">
        <v>8401.18</v>
      </c>
      <c r="Q77" s="52">
        <v>14593.849999999999</v>
      </c>
      <c r="R77" s="53">
        <v>0.6346523574876832</v>
      </c>
      <c r="S77" s="54">
        <v>472.14</v>
      </c>
      <c r="T77" s="54">
        <v>167.25</v>
      </c>
      <c r="U77" s="54">
        <v>304.89</v>
      </c>
      <c r="V77" s="53">
        <v>0.6457618502986402</v>
      </c>
      <c r="W77" s="53"/>
      <c r="X77" s="55">
        <v>73.82367713004484</v>
      </c>
      <c r="Y77" s="55">
        <v>49.060202993773025</v>
      </c>
      <c r="Z77" s="53">
        <v>0.2758</v>
      </c>
      <c r="AA77" s="56">
        <v>0.2941</v>
      </c>
      <c r="AB77" s="57"/>
      <c r="AD77" s="35" t="s">
        <v>101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102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103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95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96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97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98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99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100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12517.98</v>
      </c>
      <c r="J84" s="52">
        <v>9659.990000000002</v>
      </c>
      <c r="K84" s="52">
        <v>4823.58</v>
      </c>
      <c r="L84" s="52">
        <v>4836.410000000002</v>
      </c>
      <c r="M84" s="53">
        <v>0.5006640793624011</v>
      </c>
      <c r="N84" s="53"/>
      <c r="O84" s="52">
        <v>6946.84</v>
      </c>
      <c r="P84" s="52">
        <v>7694.4</v>
      </c>
      <c r="Q84" s="52">
        <v>-747.5599999999995</v>
      </c>
      <c r="R84" s="53">
        <v>-0.10761151833063659</v>
      </c>
      <c r="S84" s="54">
        <v>139.07</v>
      </c>
      <c r="T84" s="54">
        <v>147.75</v>
      </c>
      <c r="U84" s="54">
        <v>-8.680000000000007</v>
      </c>
      <c r="V84" s="53">
        <v>-0.06241461134680382</v>
      </c>
      <c r="W84" s="53"/>
      <c r="X84" s="55">
        <v>47.92169204737733</v>
      </c>
      <c r="Y84" s="55">
        <v>63.7162162306752</v>
      </c>
      <c r="Z84" s="53">
        <v>0.3613</v>
      </c>
      <c r="AA84" s="56">
        <v>0.3479</v>
      </c>
      <c r="AB84" s="57"/>
      <c r="AD84" s="35" t="s">
        <v>101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102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103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95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96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97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98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99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100</v>
      </c>
      <c r="D91" s="67">
        <v>37083.03</v>
      </c>
      <c r="E91" s="67">
        <v>36381.33</v>
      </c>
      <c r="F91" s="52">
        <v>701.6999999999971</v>
      </c>
      <c r="G91" s="53">
        <v>0.018922401972007064</v>
      </c>
      <c r="H91" s="52">
        <v>27002.93</v>
      </c>
      <c r="I91" s="52">
        <v>25060.53</v>
      </c>
      <c r="J91" s="52">
        <v>15440.32</v>
      </c>
      <c r="K91" s="52">
        <v>13974.73</v>
      </c>
      <c r="L91" s="52">
        <v>1465.5900000000001</v>
      </c>
      <c r="M91" s="53">
        <v>0.09491966487741188</v>
      </c>
      <c r="N91" s="53"/>
      <c r="O91" s="52">
        <v>11562.61</v>
      </c>
      <c r="P91" s="52">
        <v>11085.8</v>
      </c>
      <c r="Q91" s="52">
        <v>476.8100000000013</v>
      </c>
      <c r="R91" s="53">
        <v>0.041237229310683424</v>
      </c>
      <c r="S91" s="68">
        <v>231.75</v>
      </c>
      <c r="T91" s="68">
        <v>225.5</v>
      </c>
      <c r="U91" s="54">
        <v>6.25</v>
      </c>
      <c r="V91" s="53">
        <v>0.02696871628910464</v>
      </c>
      <c r="W91" s="53"/>
      <c r="X91" s="55">
        <v>50.20310421286031</v>
      </c>
      <c r="Y91" s="55">
        <v>43.49557070636461</v>
      </c>
      <c r="Z91" s="53">
        <v>0.31120000000000003</v>
      </c>
      <c r="AA91" s="56">
        <v>0.2718</v>
      </c>
      <c r="AB91" s="57"/>
      <c r="AD91" s="35" t="s">
        <v>101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102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103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95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96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97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98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99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100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101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102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103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95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96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97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98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99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100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101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102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103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95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96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97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98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99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100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101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102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103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95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96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97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98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99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100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101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102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103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95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96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97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98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99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100</v>
      </c>
      <c r="D126" s="52">
        <v>105896.96</v>
      </c>
      <c r="E126" s="52">
        <v>67407.3</v>
      </c>
      <c r="F126" s="52">
        <v>38489.66</v>
      </c>
      <c r="G126" s="53">
        <v>0.36346331377218005</v>
      </c>
      <c r="H126" s="52">
        <v>85934.2</v>
      </c>
      <c r="I126" s="52">
        <v>56814.97</v>
      </c>
      <c r="J126" s="52">
        <v>70065.72</v>
      </c>
      <c r="K126" s="52">
        <v>51957.8</v>
      </c>
      <c r="L126" s="52">
        <v>18107.92</v>
      </c>
      <c r="M126" s="53">
        <v>0.2584419313752859</v>
      </c>
      <c r="N126" s="53"/>
      <c r="O126" s="52">
        <v>15868.48</v>
      </c>
      <c r="P126" s="52">
        <v>4857.17</v>
      </c>
      <c r="Q126" s="52">
        <v>11011.31</v>
      </c>
      <c r="R126" s="53">
        <v>0.6939108219564822</v>
      </c>
      <c r="S126" s="54">
        <v>317.92</v>
      </c>
      <c r="T126" s="54">
        <v>106</v>
      </c>
      <c r="U126" s="54">
        <v>211.92000000000002</v>
      </c>
      <c r="V126" s="53">
        <v>0.6665827881227983</v>
      </c>
      <c r="W126" s="53"/>
      <c r="X126" s="55">
        <v>99.92764150943397</v>
      </c>
      <c r="Y126" s="55">
        <v>62.79176131227983</v>
      </c>
      <c r="Z126" s="53">
        <v>0.15710000000000002</v>
      </c>
      <c r="AA126" s="56">
        <v>0.1885</v>
      </c>
      <c r="AB126" s="57"/>
      <c r="AD126" s="35" t="s">
        <v>101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102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103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95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96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97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98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99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100</v>
      </c>
      <c r="D133" s="52">
        <v>31802.41</v>
      </c>
      <c r="E133" s="52">
        <v>16498.64</v>
      </c>
      <c r="F133" s="52">
        <v>15303.77</v>
      </c>
      <c r="G133" s="53">
        <v>0.4812141595558324</v>
      </c>
      <c r="H133" s="52">
        <v>23448.14</v>
      </c>
      <c r="I133" s="52">
        <v>12360.83</v>
      </c>
      <c r="J133" s="52">
        <v>15632.029999999999</v>
      </c>
      <c r="K133" s="52">
        <v>11772.08</v>
      </c>
      <c r="L133" s="52">
        <v>3859.949999999999</v>
      </c>
      <c r="M133" s="53">
        <v>0.24692570318762178</v>
      </c>
      <c r="N133" s="53"/>
      <c r="O133" s="52">
        <v>7816.11</v>
      </c>
      <c r="P133" s="52">
        <v>588.75</v>
      </c>
      <c r="Q133" s="52">
        <v>7227.36</v>
      </c>
      <c r="R133" s="53">
        <v>0.9246748062655208</v>
      </c>
      <c r="S133" s="54">
        <v>156.69</v>
      </c>
      <c r="T133" s="54">
        <v>11.5</v>
      </c>
      <c r="U133" s="54">
        <v>145.19</v>
      </c>
      <c r="V133" s="53">
        <v>0.9266066756015061</v>
      </c>
      <c r="W133" s="53"/>
      <c r="X133" s="55">
        <v>359.80956521739137</v>
      </c>
      <c r="Y133" s="55">
        <v>53.31719360265494</v>
      </c>
      <c r="Z133" s="53">
        <v>0.25079999999999997</v>
      </c>
      <c r="AA133" s="56">
        <v>0.2627</v>
      </c>
      <c r="AB133" s="57"/>
      <c r="AD133" s="35" t="s">
        <v>101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102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103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95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96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97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98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99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100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101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102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103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95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96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97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98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99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100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101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102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103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95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96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97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98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99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100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101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102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103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95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96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97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98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99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100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12130.47</v>
      </c>
      <c r="J161" s="52">
        <v>8410.93</v>
      </c>
      <c r="K161" s="52">
        <v>7623.429999999999</v>
      </c>
      <c r="L161" s="52">
        <v>787.5000000000009</v>
      </c>
      <c r="M161" s="53">
        <v>0.09362817191440197</v>
      </c>
      <c r="N161" s="53"/>
      <c r="O161" s="52">
        <v>5508.47</v>
      </c>
      <c r="P161" s="52">
        <v>4507.04</v>
      </c>
      <c r="Q161" s="52">
        <v>1001.4300000000003</v>
      </c>
      <c r="R161" s="53">
        <v>0.1817982125708228</v>
      </c>
      <c r="S161" s="54">
        <v>110.44</v>
      </c>
      <c r="T161" s="54">
        <v>87</v>
      </c>
      <c r="U161" s="54">
        <v>23.439999999999998</v>
      </c>
      <c r="V161" s="53">
        <v>0.21224194132560664</v>
      </c>
      <c r="W161" s="53"/>
      <c r="X161" s="55">
        <v>14.87390804597701</v>
      </c>
      <c r="Y161" s="55">
        <v>36.03704967040926</v>
      </c>
      <c r="Z161" s="53">
        <v>0.0964</v>
      </c>
      <c r="AA161" s="56">
        <v>0.2224</v>
      </c>
      <c r="AB161" s="57"/>
      <c r="AD161" s="35" t="s">
        <v>101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102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103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95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104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96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97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98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99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100</v>
      </c>
      <c r="D168" s="52">
        <v>10827.2</v>
      </c>
      <c r="E168" s="52">
        <v>0</v>
      </c>
      <c r="F168" s="52">
        <v>10827.2</v>
      </c>
      <c r="G168" s="53">
        <v>1</v>
      </c>
      <c r="H168" s="52">
        <v>7687.77</v>
      </c>
      <c r="I168" s="52">
        <v>2116.21</v>
      </c>
      <c r="J168" s="52">
        <v>4437.14</v>
      </c>
      <c r="K168" s="52">
        <v>1029.51</v>
      </c>
      <c r="L168" s="52">
        <v>3407.63</v>
      </c>
      <c r="M168" s="53">
        <v>0.7679789233605431</v>
      </c>
      <c r="N168" s="53"/>
      <c r="O168" s="52">
        <v>3250.63</v>
      </c>
      <c r="P168" s="52">
        <v>1086.7</v>
      </c>
      <c r="Q168" s="52">
        <v>2163.9300000000003</v>
      </c>
      <c r="R168" s="53">
        <v>0.6656955728581845</v>
      </c>
      <c r="S168" s="54">
        <v>65.13</v>
      </c>
      <c r="T168" s="54">
        <v>24.33</v>
      </c>
      <c r="U168" s="54">
        <v>40.8</v>
      </c>
      <c r="V168" s="53">
        <v>0.6264394288346384</v>
      </c>
      <c r="W168" s="53"/>
      <c r="X168" s="55">
        <v>-86.97944923962187</v>
      </c>
      <c r="Y168" s="55">
        <v>48.202633430830645</v>
      </c>
      <c r="Z168" s="53">
        <v>0</v>
      </c>
      <c r="AA168" s="56">
        <v>0.29</v>
      </c>
      <c r="AB168" s="57"/>
      <c r="AD168" s="35" t="s">
        <v>101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102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103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95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96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97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98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99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100</v>
      </c>
      <c r="D175" s="52">
        <v>146237.11</v>
      </c>
      <c r="E175" s="52">
        <v>125386.21</v>
      </c>
      <c r="F175" s="52">
        <v>20850.89999999998</v>
      </c>
      <c r="G175" s="53">
        <v>0.14258282319720336</v>
      </c>
      <c r="H175" s="52">
        <v>114651.87</v>
      </c>
      <c r="I175" s="52">
        <v>105657.8</v>
      </c>
      <c r="J175" s="52">
        <v>82888.07999999999</v>
      </c>
      <c r="K175" s="52">
        <v>78304.64</v>
      </c>
      <c r="L175" s="52">
        <v>4583.439999999988</v>
      </c>
      <c r="M175" s="53">
        <v>0.05529673265444185</v>
      </c>
      <c r="N175" s="53"/>
      <c r="O175" s="52">
        <v>31763.79</v>
      </c>
      <c r="P175" s="52">
        <v>27353.16</v>
      </c>
      <c r="Q175" s="52">
        <v>4410.630000000001</v>
      </c>
      <c r="R175" s="53">
        <v>0.13885717038174603</v>
      </c>
      <c r="S175" s="54">
        <v>659.73</v>
      </c>
      <c r="T175" s="54">
        <v>548.75</v>
      </c>
      <c r="U175" s="54">
        <v>110.98000000000002</v>
      </c>
      <c r="V175" s="53">
        <v>0.16822033256028984</v>
      </c>
      <c r="W175" s="53"/>
      <c r="X175" s="55">
        <v>35.95154441913439</v>
      </c>
      <c r="Y175" s="55">
        <v>47.87601261940491</v>
      </c>
      <c r="Z175" s="53">
        <v>0.1573</v>
      </c>
      <c r="AA175" s="56">
        <v>0.216</v>
      </c>
      <c r="AB175" s="57"/>
      <c r="AD175" s="35" t="s">
        <v>101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102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103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95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96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97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98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99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100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101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102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103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95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96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97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98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99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100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9699.51</v>
      </c>
      <c r="J189" s="52">
        <v>9784.33</v>
      </c>
      <c r="K189" s="52">
        <v>8137.88</v>
      </c>
      <c r="L189" s="52">
        <v>1646.4499999999998</v>
      </c>
      <c r="M189" s="53">
        <v>0.16827416900288522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128.6379856115108</v>
      </c>
      <c r="Y189" s="55">
        <v>35.92887828502527</v>
      </c>
      <c r="Z189" s="53">
        <v>0.3155</v>
      </c>
      <c r="AA189" s="56">
        <v>0.2236</v>
      </c>
      <c r="AB189" s="57"/>
      <c r="AD189" s="35" t="s">
        <v>101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102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103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95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96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97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98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99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100</v>
      </c>
      <c r="D196" s="52">
        <v>23770.95</v>
      </c>
      <c r="E196" s="52">
        <v>10204.54</v>
      </c>
      <c r="F196" s="52">
        <v>13566.41</v>
      </c>
      <c r="G196" s="53">
        <v>0.5707138334816235</v>
      </c>
      <c r="H196" s="52">
        <v>14310.96</v>
      </c>
      <c r="I196" s="52">
        <v>7116.73</v>
      </c>
      <c r="J196" s="52">
        <v>7389.339999999999</v>
      </c>
      <c r="K196" s="52">
        <v>6605.049999999999</v>
      </c>
      <c r="L196" s="52">
        <v>784.29</v>
      </c>
      <c r="M196" s="53">
        <v>0.10613803127207573</v>
      </c>
      <c r="N196" s="53"/>
      <c r="O196" s="52">
        <v>6921.62</v>
      </c>
      <c r="P196" s="52">
        <v>511.68</v>
      </c>
      <c r="Q196" s="52">
        <v>6409.94</v>
      </c>
      <c r="R196" s="53">
        <v>0.9260751095841725</v>
      </c>
      <c r="S196" s="54">
        <v>140.15</v>
      </c>
      <c r="T196" s="54">
        <v>9.25</v>
      </c>
      <c r="U196" s="54">
        <v>130.9</v>
      </c>
      <c r="V196" s="53">
        <v>0.9339992864787727</v>
      </c>
      <c r="W196" s="53"/>
      <c r="X196" s="55">
        <v>333.8172972972973</v>
      </c>
      <c r="Y196" s="55">
        <v>67.49902570438813</v>
      </c>
      <c r="Z196" s="53">
        <v>0.30260000000000004</v>
      </c>
      <c r="AA196" s="56">
        <v>0.398</v>
      </c>
      <c r="AB196" s="57"/>
      <c r="AD196" s="35" t="s">
        <v>101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102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103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95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96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97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98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99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100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101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102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103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95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96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97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98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99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100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101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102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103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95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96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97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98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99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100</v>
      </c>
      <c r="D217" s="52">
        <v>137109.56</v>
      </c>
      <c r="E217" s="52">
        <v>30174.75</v>
      </c>
      <c r="F217" s="52">
        <v>106934.81</v>
      </c>
      <c r="G217" s="53">
        <v>0.7799223482301307</v>
      </c>
      <c r="H217" s="52">
        <v>117394.57</v>
      </c>
      <c r="I217" s="52">
        <v>30594.96</v>
      </c>
      <c r="J217" s="52">
        <v>99479.62000000001</v>
      </c>
      <c r="K217" s="52">
        <v>30594.96</v>
      </c>
      <c r="L217" s="52">
        <v>68884.66</v>
      </c>
      <c r="M217" s="53">
        <v>0.692449971159922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-0.0139</v>
      </c>
      <c r="AA217" s="56">
        <v>0.1438</v>
      </c>
      <c r="AB217" s="57"/>
      <c r="AD217" s="35" t="s">
        <v>101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102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103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95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96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97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98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99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100</v>
      </c>
      <c r="D224" s="52">
        <v>412300.73</v>
      </c>
      <c r="E224" s="52">
        <v>306038.55</v>
      </c>
      <c r="F224" s="52">
        <v>106262.18</v>
      </c>
      <c r="G224" s="53">
        <v>0.25772978864238244</v>
      </c>
      <c r="H224" s="52">
        <v>306356.28</v>
      </c>
      <c r="I224" s="52">
        <v>250902.09</v>
      </c>
      <c r="J224" s="52">
        <v>186357.49000000005</v>
      </c>
      <c r="K224" s="52">
        <v>183091.72999999998</v>
      </c>
      <c r="L224" s="52">
        <v>3265.7600000000675</v>
      </c>
      <c r="M224" s="53">
        <v>0.01752416819951839</v>
      </c>
      <c r="N224" s="53"/>
      <c r="O224" s="52">
        <v>119998.79</v>
      </c>
      <c r="P224" s="52">
        <v>67810.36</v>
      </c>
      <c r="Q224" s="52">
        <v>52188.42999999999</v>
      </c>
      <c r="R224" s="53">
        <v>0.4349079686553506</v>
      </c>
      <c r="S224" s="54">
        <v>2412.45</v>
      </c>
      <c r="T224" s="54">
        <v>1444.92</v>
      </c>
      <c r="U224" s="54">
        <v>967.5299999999997</v>
      </c>
      <c r="V224" s="53">
        <v>0.4010570167257352</v>
      </c>
      <c r="W224" s="53"/>
      <c r="X224" s="55">
        <v>38.158832322896764</v>
      </c>
      <c r="Y224" s="55">
        <v>43.91570973337064</v>
      </c>
      <c r="Z224" s="53">
        <v>0.1802</v>
      </c>
      <c r="AA224" s="56">
        <v>0.257</v>
      </c>
      <c r="AB224" s="57"/>
      <c r="AD224" s="35" t="s">
        <v>101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102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103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95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97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99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100</v>
      </c>
      <c r="D231" s="52">
        <v>8795.03</v>
      </c>
      <c r="E231" s="52">
        <v>0</v>
      </c>
      <c r="F231" s="52">
        <v>8795.03</v>
      </c>
      <c r="G231" s="53">
        <v>1</v>
      </c>
      <c r="H231" s="52">
        <v>6369.12</v>
      </c>
      <c r="I231" s="52">
        <v>0</v>
      </c>
      <c r="J231" s="52">
        <v>4527.889999999999</v>
      </c>
      <c r="K231" s="52">
        <v>0</v>
      </c>
      <c r="L231" s="52">
        <v>4527.889999999999</v>
      </c>
      <c r="M231" s="53">
        <v>1</v>
      </c>
      <c r="N231" s="53"/>
      <c r="O231" s="52">
        <v>1841.23</v>
      </c>
      <c r="P231" s="52">
        <v>0</v>
      </c>
      <c r="Q231" s="52">
        <v>1841.23</v>
      </c>
      <c r="R231" s="53">
        <v>1</v>
      </c>
      <c r="S231" s="54">
        <v>36.92</v>
      </c>
      <c r="T231" s="54">
        <v>0</v>
      </c>
      <c r="U231" s="54">
        <v>36.92</v>
      </c>
      <c r="V231" s="53">
        <v>1</v>
      </c>
      <c r="W231" s="53"/>
      <c r="X231" s="55">
        <v>0</v>
      </c>
      <c r="Y231" s="55">
        <v>65.70711175027087</v>
      </c>
      <c r="Z231" s="53">
        <v>0</v>
      </c>
      <c r="AA231" s="56">
        <v>0.2758</v>
      </c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102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103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64</v>
      </c>
      <c r="C235" s="51" t="s">
        <v>95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97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99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100</v>
      </c>
      <c r="D238" s="52">
        <v>27503.14</v>
      </c>
      <c r="E238" s="52">
        <v>0</v>
      </c>
      <c r="F238" s="52">
        <v>27503.14</v>
      </c>
      <c r="G238" s="53">
        <v>1</v>
      </c>
      <c r="H238" s="52">
        <v>19683.28</v>
      </c>
      <c r="I238" s="52">
        <v>0</v>
      </c>
      <c r="J238" s="52">
        <v>10693.529999999999</v>
      </c>
      <c r="K238" s="52">
        <v>0</v>
      </c>
      <c r="L238" s="52">
        <v>10693.529999999999</v>
      </c>
      <c r="M238" s="53">
        <v>1</v>
      </c>
      <c r="N238" s="53"/>
      <c r="O238" s="52">
        <v>8989.75</v>
      </c>
      <c r="P238" s="52">
        <v>0</v>
      </c>
      <c r="Q238" s="52">
        <v>8989.75</v>
      </c>
      <c r="R238" s="53">
        <v>1</v>
      </c>
      <c r="S238" s="54">
        <v>180.16</v>
      </c>
      <c r="T238" s="54">
        <v>0</v>
      </c>
      <c r="U238" s="54">
        <v>180.16</v>
      </c>
      <c r="V238" s="53">
        <v>1</v>
      </c>
      <c r="W238" s="53"/>
      <c r="X238" s="55">
        <v>0</v>
      </c>
      <c r="Y238" s="55">
        <v>43.40506224750221</v>
      </c>
      <c r="Z238" s="53">
        <v>0</v>
      </c>
      <c r="AA238" s="56">
        <v>0.2843</v>
      </c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102</v>
      </c>
      <c r="D239" s="52"/>
      <c r="E239" s="52"/>
      <c r="F239" s="52"/>
      <c r="G239" s="53"/>
      <c r="H239" s="52"/>
      <c r="I239" s="52"/>
      <c r="J239" s="52"/>
      <c r="K239" s="52"/>
      <c r="L239" s="52"/>
      <c r="M239" s="53"/>
      <c r="N239" s="53"/>
      <c r="O239" s="52"/>
      <c r="P239" s="52"/>
      <c r="Q239" s="52"/>
      <c r="R239" s="53"/>
      <c r="S239" s="54"/>
      <c r="T239" s="54"/>
      <c r="U239" s="54"/>
      <c r="V239" s="53"/>
      <c r="W239" s="53"/>
      <c r="X239" s="55"/>
      <c r="Y239" s="55"/>
      <c r="Z239" s="53"/>
      <c r="AA239" s="56"/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103</v>
      </c>
      <c r="D240" s="52"/>
      <c r="E240" s="52"/>
      <c r="F240" s="52"/>
      <c r="G240" s="53"/>
      <c r="H240" s="52"/>
      <c r="I240" s="52"/>
      <c r="J240" s="52"/>
      <c r="K240" s="52"/>
      <c r="L240" s="52"/>
      <c r="M240" s="53"/>
      <c r="N240" s="53"/>
      <c r="O240" s="52"/>
      <c r="P240" s="52"/>
      <c r="Q240" s="52"/>
      <c r="R240" s="53"/>
      <c r="S240" s="54"/>
      <c r="T240" s="54"/>
      <c r="U240" s="54"/>
      <c r="V240" s="53"/>
      <c r="W240" s="53"/>
      <c r="X240" s="55"/>
      <c r="Y240" s="55"/>
      <c r="Z240" s="53"/>
      <c r="AA240" s="56"/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65</v>
      </c>
      <c r="C242" s="51" t="s">
        <v>95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97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99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100</v>
      </c>
      <c r="D245" s="52">
        <v>40670.15</v>
      </c>
      <c r="E245" s="52">
        <v>0</v>
      </c>
      <c r="F245" s="52">
        <v>40670.15</v>
      </c>
      <c r="G245" s="53">
        <v>1</v>
      </c>
      <c r="H245" s="52">
        <v>29498.31</v>
      </c>
      <c r="I245" s="52">
        <v>0</v>
      </c>
      <c r="J245" s="52">
        <v>24964.33</v>
      </c>
      <c r="K245" s="52">
        <v>0</v>
      </c>
      <c r="L245" s="52">
        <v>24964.33</v>
      </c>
      <c r="M245" s="53">
        <v>1</v>
      </c>
      <c r="N245" s="53"/>
      <c r="O245" s="52">
        <v>4533.98</v>
      </c>
      <c r="P245" s="52">
        <v>0</v>
      </c>
      <c r="Q245" s="52">
        <v>4533.98</v>
      </c>
      <c r="R245" s="53">
        <v>1</v>
      </c>
      <c r="S245" s="54">
        <v>90.88</v>
      </c>
      <c r="T245" s="54">
        <v>0</v>
      </c>
      <c r="U245" s="54">
        <v>90.88</v>
      </c>
      <c r="V245" s="53">
        <v>1</v>
      </c>
      <c r="W245" s="53"/>
      <c r="X245" s="55">
        <v>0</v>
      </c>
      <c r="Y245" s="55">
        <v>122.92957895026407</v>
      </c>
      <c r="Z245" s="53">
        <v>0</v>
      </c>
      <c r="AA245" s="56">
        <v>0.2747</v>
      </c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102</v>
      </c>
      <c r="D246" s="52"/>
      <c r="E246" s="52"/>
      <c r="F246" s="52"/>
      <c r="G246" s="53"/>
      <c r="H246" s="52"/>
      <c r="I246" s="52"/>
      <c r="J246" s="52"/>
      <c r="K246" s="52"/>
      <c r="L246" s="52"/>
      <c r="M246" s="53"/>
      <c r="N246" s="53"/>
      <c r="O246" s="52"/>
      <c r="P246" s="52"/>
      <c r="Q246" s="52"/>
      <c r="R246" s="53"/>
      <c r="S246" s="54"/>
      <c r="T246" s="54"/>
      <c r="U246" s="54"/>
      <c r="V246" s="53"/>
      <c r="W246" s="53"/>
      <c r="X246" s="55"/>
      <c r="Y246" s="55"/>
      <c r="Z246" s="53"/>
      <c r="AA246" s="56"/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103</v>
      </c>
      <c r="D247" s="52"/>
      <c r="E247" s="52"/>
      <c r="F247" s="52"/>
      <c r="G247" s="53"/>
      <c r="H247" s="52"/>
      <c r="I247" s="52"/>
      <c r="J247" s="52"/>
      <c r="K247" s="52"/>
      <c r="L247" s="52"/>
      <c r="M247" s="53"/>
      <c r="N247" s="53"/>
      <c r="O247" s="52"/>
      <c r="P247" s="52"/>
      <c r="Q247" s="52"/>
      <c r="R247" s="53"/>
      <c r="S247" s="54"/>
      <c r="T247" s="54"/>
      <c r="U247" s="54"/>
      <c r="V247" s="53"/>
      <c r="W247" s="53"/>
      <c r="X247" s="55"/>
      <c r="Y247" s="55"/>
      <c r="Z247" s="53"/>
      <c r="AA247" s="56"/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66</v>
      </c>
      <c r="C249" s="51" t="s">
        <v>95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97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99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100</v>
      </c>
      <c r="D252" s="52">
        <v>21396.5</v>
      </c>
      <c r="E252" s="52">
        <v>0</v>
      </c>
      <c r="F252" s="52">
        <v>21396.5</v>
      </c>
      <c r="G252" s="53">
        <v>1</v>
      </c>
      <c r="H252" s="52">
        <v>15378.24</v>
      </c>
      <c r="I252" s="52">
        <v>0</v>
      </c>
      <c r="J252" s="52">
        <v>8344.599999999999</v>
      </c>
      <c r="K252" s="52">
        <v>0</v>
      </c>
      <c r="L252" s="52">
        <v>8344.599999999999</v>
      </c>
      <c r="M252" s="53">
        <v>1</v>
      </c>
      <c r="N252" s="53"/>
      <c r="O252" s="52">
        <v>7033.64</v>
      </c>
      <c r="P252" s="52">
        <v>0</v>
      </c>
      <c r="Q252" s="52">
        <v>7033.64</v>
      </c>
      <c r="R252" s="53">
        <v>1</v>
      </c>
      <c r="S252" s="54">
        <v>140.9</v>
      </c>
      <c r="T252" s="54">
        <v>0</v>
      </c>
      <c r="U252" s="54">
        <v>140.9</v>
      </c>
      <c r="V252" s="53">
        <v>1</v>
      </c>
      <c r="W252" s="53"/>
      <c r="X252" s="55">
        <v>0</v>
      </c>
      <c r="Y252" s="55">
        <v>42.71295951611073</v>
      </c>
      <c r="Z252" s="53">
        <v>0</v>
      </c>
      <c r="AA252" s="56">
        <v>0.2813</v>
      </c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102</v>
      </c>
      <c r="D253" s="52"/>
      <c r="E253" s="52"/>
      <c r="F253" s="52"/>
      <c r="G253" s="53"/>
      <c r="H253" s="52"/>
      <c r="I253" s="52"/>
      <c r="J253" s="52"/>
      <c r="K253" s="52"/>
      <c r="L253" s="52"/>
      <c r="M253" s="53"/>
      <c r="N253" s="53"/>
      <c r="O253" s="52"/>
      <c r="P253" s="52"/>
      <c r="Q253" s="52"/>
      <c r="R253" s="53"/>
      <c r="S253" s="54"/>
      <c r="T253" s="54"/>
      <c r="U253" s="54"/>
      <c r="V253" s="53"/>
      <c r="W253" s="53"/>
      <c r="X253" s="55"/>
      <c r="Y253" s="55"/>
      <c r="Z253" s="53"/>
      <c r="AA253" s="56"/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103</v>
      </c>
      <c r="D254" s="52"/>
      <c r="E254" s="52"/>
      <c r="F254" s="52"/>
      <c r="G254" s="53"/>
      <c r="H254" s="52"/>
      <c r="I254" s="52"/>
      <c r="J254" s="52"/>
      <c r="K254" s="52"/>
      <c r="L254" s="52"/>
      <c r="M254" s="53"/>
      <c r="N254" s="53"/>
      <c r="O254" s="52"/>
      <c r="P254" s="52"/>
      <c r="Q254" s="52"/>
      <c r="R254" s="53"/>
      <c r="S254" s="54"/>
      <c r="T254" s="54"/>
      <c r="U254" s="54"/>
      <c r="V254" s="53"/>
      <c r="W254" s="53"/>
      <c r="X254" s="55"/>
      <c r="Y254" s="55"/>
      <c r="Z254" s="53"/>
      <c r="AA254" s="56"/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67</v>
      </c>
      <c r="C256" s="51" t="s">
        <v>95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97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99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100</v>
      </c>
      <c r="D259" s="52">
        <v>239296.88</v>
      </c>
      <c r="E259" s="52">
        <v>10598.48</v>
      </c>
      <c r="F259" s="52">
        <v>228698.4</v>
      </c>
      <c r="G259" s="53">
        <v>0.9557099114706384</v>
      </c>
      <c r="H259" s="52">
        <v>203192.69</v>
      </c>
      <c r="I259" s="52">
        <v>18229.7</v>
      </c>
      <c r="J259" s="52">
        <v>175849.53</v>
      </c>
      <c r="K259" s="52">
        <v>16839.61</v>
      </c>
      <c r="L259" s="52">
        <v>159009.91999999998</v>
      </c>
      <c r="M259" s="53">
        <v>0.9042385271089436</v>
      </c>
      <c r="N259" s="53"/>
      <c r="O259" s="52">
        <v>27343.16</v>
      </c>
      <c r="P259" s="52">
        <v>1390.09</v>
      </c>
      <c r="Q259" s="52">
        <v>25953.07</v>
      </c>
      <c r="R259" s="53">
        <v>0.9491613259038092</v>
      </c>
      <c r="S259" s="54">
        <v>547.57</v>
      </c>
      <c r="T259" s="54">
        <v>27.84</v>
      </c>
      <c r="U259" s="54">
        <v>519.73</v>
      </c>
      <c r="V259" s="53">
        <v>0.9491571853826908</v>
      </c>
      <c r="W259" s="53"/>
      <c r="X259" s="55">
        <v>-274.10991379310343</v>
      </c>
      <c r="Y259" s="55">
        <v>65.93529946112827</v>
      </c>
      <c r="Z259" s="53">
        <v>-0.72</v>
      </c>
      <c r="AA259" s="56">
        <v>0.1509</v>
      </c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102</v>
      </c>
      <c r="D260" s="52"/>
      <c r="E260" s="52"/>
      <c r="F260" s="52"/>
      <c r="G260" s="53"/>
      <c r="H260" s="52"/>
      <c r="I260" s="52"/>
      <c r="J260" s="52"/>
      <c r="K260" s="52"/>
      <c r="L260" s="52"/>
      <c r="M260" s="53"/>
      <c r="N260" s="53"/>
      <c r="O260" s="52"/>
      <c r="P260" s="52"/>
      <c r="Q260" s="52"/>
      <c r="R260" s="53"/>
      <c r="S260" s="54"/>
      <c r="T260" s="54"/>
      <c r="U260" s="54"/>
      <c r="V260" s="53"/>
      <c r="W260" s="53"/>
      <c r="X260" s="55"/>
      <c r="Y260" s="55"/>
      <c r="Z260" s="53"/>
      <c r="AA260" s="56"/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103</v>
      </c>
      <c r="D261" s="52"/>
      <c r="E261" s="52"/>
      <c r="F261" s="52"/>
      <c r="G261" s="53"/>
      <c r="H261" s="52"/>
      <c r="I261" s="52"/>
      <c r="J261" s="52"/>
      <c r="K261" s="52"/>
      <c r="L261" s="52"/>
      <c r="M261" s="53"/>
      <c r="N261" s="53"/>
      <c r="O261" s="52"/>
      <c r="P261" s="52"/>
      <c r="Q261" s="52"/>
      <c r="R261" s="53"/>
      <c r="S261" s="54"/>
      <c r="T261" s="54"/>
      <c r="U261" s="54"/>
      <c r="V261" s="53"/>
      <c r="W261" s="53"/>
      <c r="X261" s="55"/>
      <c r="Y261" s="55"/>
      <c r="Z261" s="53"/>
      <c r="AA261" s="56"/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105</v>
      </c>
      <c r="B2" s="81" t="s">
        <v>106</v>
      </c>
      <c r="C2" s="82" t="s">
        <v>107</v>
      </c>
      <c r="D2" s="82" t="s">
        <v>108</v>
      </c>
      <c r="E2" s="82" t="s">
        <v>109</v>
      </c>
      <c r="F2" s="82" t="s">
        <v>110</v>
      </c>
      <c r="G2" s="83" t="s">
        <v>111</v>
      </c>
      <c r="H2" s="83" t="s">
        <v>112</v>
      </c>
      <c r="I2" s="81" t="s">
        <v>113</v>
      </c>
      <c r="J2" s="82" t="s">
        <v>114</v>
      </c>
      <c r="K2" s="82" t="s">
        <v>115</v>
      </c>
      <c r="L2" s="83" t="s">
        <v>116</v>
      </c>
      <c r="M2" s="83" t="s">
        <v>117</v>
      </c>
      <c r="N2" s="81" t="s">
        <v>118</v>
      </c>
      <c r="O2" s="84" t="s">
        <v>119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35.10000000000582</v>
      </c>
      <c r="E4" s="52">
        <v>-35.10000000000582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-7035.100000000006</v>
      </c>
      <c r="N4" s="54">
        <v>20</v>
      </c>
      <c r="O4" s="58">
        <v>-100.50142857142866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3846.6199999999953</v>
      </c>
      <c r="E6" s="52">
        <v>-3846.6199999999953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-24112.219999999994</v>
      </c>
      <c r="N6" s="54">
        <v>-52.5</v>
      </c>
      <c r="O6" s="58">
        <v>-53.88205586592177</v>
      </c>
      <c r="Q6" s="35" t="s">
        <v>120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121</v>
      </c>
      <c r="C12" s="52">
        <v>0</v>
      </c>
      <c r="D12" s="52">
        <v>11748.359999999986</v>
      </c>
      <c r="E12" s="52">
        <v>-11748.359999999986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-14385.359999999986</v>
      </c>
      <c r="N12" s="54">
        <v>53</v>
      </c>
      <c r="O12" s="58">
        <v>-208.48347826086936</v>
      </c>
      <c r="Q12" s="35" t="s">
        <v>122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9389.019999999997</v>
      </c>
      <c r="E14" s="52">
        <v>-9389.019999999997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-12389.019999999997</v>
      </c>
      <c r="N14" s="54">
        <v>-112</v>
      </c>
      <c r="O14" s="58">
        <v>110.61624999999997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552.5999999999985</v>
      </c>
      <c r="E16" s="52">
        <v>-552.5999999999985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-3552.5999999999985</v>
      </c>
      <c r="N16" s="54">
        <v>-86.75</v>
      </c>
      <c r="O16" s="58">
        <v>40.952161383285286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5440.75</v>
      </c>
      <c r="E18" s="52">
        <v>-5440.75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-13640.75</v>
      </c>
      <c r="N18" s="54">
        <v>-269</v>
      </c>
      <c r="O18" s="58">
        <v>72.17328042328042</v>
      </c>
      <c r="Q18" s="35" t="s">
        <v>123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7755.09</v>
      </c>
      <c r="E22" s="52">
        <v>-7755.09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-7752.09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499.0499999999993</v>
      </c>
      <c r="E24" s="52">
        <v>-499.0499999999993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-496.0499999999993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-440.2600000000002</v>
      </c>
      <c r="E26" s="52">
        <v>440.2600000000002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440.2600000000002</v>
      </c>
      <c r="N26" s="54">
        <v>-143.25</v>
      </c>
      <c r="O26" s="58">
        <v>-3.0733682373472964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577.7200000000012</v>
      </c>
      <c r="E38" s="52">
        <v>51462.840000000004</v>
      </c>
      <c r="F38" s="52">
        <v>0</v>
      </c>
      <c r="G38" s="53">
        <v>0.9888986590459441</v>
      </c>
      <c r="H38" s="53">
        <v>0.1750921737769</v>
      </c>
      <c r="I38" s="54"/>
      <c r="J38" s="52"/>
      <c r="K38" s="52">
        <v>0</v>
      </c>
      <c r="L38" s="53">
        <v>0.9888986590459441</v>
      </c>
      <c r="M38" s="52">
        <v>51462.840000000004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1728.0999999999985</v>
      </c>
      <c r="E48" s="99">
        <v>-1728.0999999999985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-4258.0999999999985</v>
      </c>
      <c r="N48" s="98">
        <v>-44.75</v>
      </c>
      <c r="O48" s="60">
        <v>95.15307262569829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124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2775.6800000000076</v>
      </c>
      <c r="E52" s="99">
        <v>-2775.6800000000076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-4055.6800000000076</v>
      </c>
      <c r="N52" s="98">
        <v>-304.75</v>
      </c>
      <c r="O52" s="60">
        <v>14.869587534372164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180.76999999999953</v>
      </c>
      <c r="E58" s="99">
        <v>-180.76999999999953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-180.76999999999953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16579.28</v>
      </c>
      <c r="E66" s="99">
        <v>18071.119999999966</v>
      </c>
      <c r="F66" s="99"/>
      <c r="G66" s="100">
        <v>0.5215270242190562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0.4291759979682769</v>
      </c>
      <c r="M66" s="99">
        <v>14871.119999999966</v>
      </c>
      <c r="N66" s="98">
        <v>-1014.25</v>
      </c>
      <c r="O66" s="60">
        <v>-15.917709392560841</v>
      </c>
    </row>
    <row r="67" ht="15" customHeight="1" spans="1:15" x14ac:dyDescent="0.25">
      <c r="A67" s="102">
        <v>9437</v>
      </c>
      <c r="B67" s="98" t="s">
        <v>67</v>
      </c>
      <c r="C67" s="99">
        <v>10598.48</v>
      </c>
      <c r="D67" s="99">
        <v>18229.7</v>
      </c>
      <c r="E67" s="99">
        <v>-7631.220000000001</v>
      </c>
      <c r="F67" s="99"/>
      <c r="G67" s="100">
        <v>-0.7200296646311548</v>
      </c>
      <c r="H67" s="100">
        <f>'Deliverables Sheet'!AA256</f>
      </c>
      <c r="I67" s="98"/>
      <c r="J67" s="99"/>
      <c r="K67" s="99">
        <v>0</v>
      </c>
      <c r="L67" s="100">
        <v>-0.7200296646311548</v>
      </c>
      <c r="M67" s="99">
        <v>-7631.220000000001</v>
      </c>
      <c r="N67" s="98"/>
      <c r="O67" s="60">
        <v>0</v>
      </c>
    </row>
    <row r="68" ht="15" customHeight="1" spans="1:15" x14ac:dyDescent="0.25">
      <c r="A68" s="102">
        <v>7480</v>
      </c>
      <c r="B68" s="98" t="s">
        <v>66</v>
      </c>
      <c r="C68" s="99">
        <v>0</v>
      </c>
      <c r="D68" s="99">
        <v>0</v>
      </c>
      <c r="E68" s="99">
        <v>0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0</v>
      </c>
      <c r="N68" s="98"/>
      <c r="O68" s="60">
        <v>0</v>
      </c>
    </row>
    <row r="69" ht="15" customHeight="1" spans="1:15" x14ac:dyDescent="0.25">
      <c r="A69" s="102">
        <v>8829</v>
      </c>
      <c r="B69" s="98" t="s">
        <v>65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15" x14ac:dyDescent="0.25">
      <c r="A70" s="102">
        <v>8386</v>
      </c>
      <c r="B70" s="98" t="s">
        <v>64</v>
      </c>
      <c r="C70" s="99">
        <v>0</v>
      </c>
      <c r="D70" s="99">
        <v>0</v>
      </c>
      <c r="E70" s="99">
        <v>0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0</v>
      </c>
      <c r="N70" s="98"/>
      <c r="O70" s="60">
        <v>0</v>
      </c>
    </row>
    <row r="71" ht="15" customHeight="1" spans="1:15" x14ac:dyDescent="0.25">
      <c r="A71" s="102">
        <v>8530</v>
      </c>
      <c r="B71" s="98" t="s">
        <v>63</v>
      </c>
      <c r="C71" s="99">
        <v>0</v>
      </c>
      <c r="D71" s="99">
        <v>0</v>
      </c>
      <c r="E71" s="99">
        <v>0</v>
      </c>
      <c r="F71" s="99"/>
      <c r="G71" s="100">
        <v>0</v>
      </c>
      <c r="H71" s="100">
        <f>'Deliverables Sheet'!AA228</f>
      </c>
      <c r="I71" s="98"/>
      <c r="J71" s="99"/>
      <c r="K71" s="99">
        <v>0</v>
      </c>
      <c r="L71" s="100">
        <v>0</v>
      </c>
      <c r="M71" s="99">
        <v>0</v>
      </c>
      <c r="N71" s="98"/>
      <c r="O71" s="60">
        <v>0</v>
      </c>
    </row>
    <row r="72" ht="15" customHeight="1" spans="1:15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15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15" x14ac:dyDescent="0.25">
      <c r="A74" s="49" t="s">
        <v>125</v>
      </c>
      <c r="B74" s="103" t="s">
        <v>126</v>
      </c>
      <c r="C74" s="104">
        <v>98702.24999999996</v>
      </c>
      <c r="D74" s="104">
        <v>90534.78999999996</v>
      </c>
      <c r="E74" s="105">
        <v>8167.459999999994</v>
      </c>
      <c r="F74" s="106" t="s">
        <v>127</v>
      </c>
      <c r="G74" s="107">
        <v>0.08274846824667115</v>
      </c>
      <c r="H74" s="108" t="s">
        <v>128</v>
      </c>
      <c r="I74" s="109">
        <v>-0.6288118052020095</v>
      </c>
      <c r="J74" s="36"/>
      <c r="K74" s="36"/>
      <c r="L74" s="37"/>
      <c r="M74" s="37"/>
      <c r="N74" s="35"/>
      <c r="O74" s="35"/>
    </row>
    <row r="75" ht="15" customHeight="1" spans="1:15" x14ac:dyDescent="0.25">
      <c r="A75" s="59"/>
      <c r="B75" s="98" t="s">
        <v>129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128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130</v>
      </c>
      <c r="C2" s="117" t="s">
        <v>131</v>
      </c>
      <c r="D2" s="117" t="s">
        <v>132</v>
      </c>
      <c r="E2" s="117" t="s">
        <v>133</v>
      </c>
      <c r="F2" s="117" t="s">
        <v>134</v>
      </c>
      <c r="G2" s="117" t="s">
        <v>135</v>
      </c>
      <c r="H2" s="117" t="s">
        <v>136</v>
      </c>
      <c r="I2" s="117" t="s">
        <v>137</v>
      </c>
      <c r="J2" s="117" t="s">
        <v>138</v>
      </c>
      <c r="K2" s="117" t="s">
        <v>139</v>
      </c>
      <c r="L2" s="117" t="s">
        <v>140</v>
      </c>
      <c r="M2" s="117" t="s">
        <v>141</v>
      </c>
      <c r="N2" s="117" t="s">
        <v>142</v>
      </c>
      <c r="O2" s="117" t="s">
        <v>143</v>
      </c>
      <c r="P2" s="117" t="s">
        <v>144</v>
      </c>
      <c r="Q2" s="118" t="s">
        <v>145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146</v>
      </c>
      <c r="B3" s="123" t="s">
        <v>147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638.02</v>
      </c>
      <c r="D4" s="54">
        <v>600.25</v>
      </c>
      <c r="E4" s="54">
        <v>37.76999999999998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148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149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90</v>
      </c>
      <c r="P8" s="54"/>
      <c r="Q8" s="131"/>
      <c r="S8" s="35" t="s">
        <v>148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148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121</v>
      </c>
      <c r="C12" s="54">
        <v>1124.47</v>
      </c>
      <c r="D12" s="54">
        <v>667.75</v>
      </c>
      <c r="E12" s="54">
        <v>456.72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80</v>
      </c>
      <c r="P12" s="54">
        <v>0</v>
      </c>
      <c r="Q12" s="131"/>
      <c r="S12" s="35" t="s">
        <v>30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354.75</v>
      </c>
      <c r="E14" s="54">
        <v>147.07999999999998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/>
      <c r="P14" s="54"/>
      <c r="Q14" s="131"/>
      <c r="S14" s="35" t="s">
        <v>148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129</v>
      </c>
      <c r="E16" s="54">
        <v>94.22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610</v>
      </c>
      <c r="E18" s="54">
        <v>75.48000000000002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167.25</v>
      </c>
      <c r="E24" s="54">
        <v>304.89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40</v>
      </c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48</v>
      </c>
      <c r="P30" s="54">
        <v>16</v>
      </c>
      <c r="Q30" s="131">
        <v>64</v>
      </c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87</v>
      </c>
      <c r="E48" s="54">
        <v>23.439999999999998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2412.45</v>
      </c>
      <c r="D66" s="54">
        <v>1444.92</v>
      </c>
      <c r="E66" s="54">
        <v>967.5299999999997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17" x14ac:dyDescent="0.25">
      <c r="A67" s="19">
        <v>9437</v>
      </c>
      <c r="B67" s="20" t="s">
        <v>67</v>
      </c>
      <c r="C67" s="54">
        <v>547.57</v>
      </c>
      <c r="D67" s="54">
        <v>27.84</v>
      </c>
      <c r="E67" s="54">
        <v>519.73</v>
      </c>
      <c r="F67" s="54">
        <v>240</v>
      </c>
      <c r="G67" s="54"/>
      <c r="H67" s="54"/>
      <c r="I67" s="54"/>
      <c r="J67" s="54"/>
      <c r="K67" s="54"/>
      <c r="L67" s="54"/>
      <c r="M67" s="54"/>
      <c r="N67" s="54"/>
      <c r="O67" s="54">
        <v>0</v>
      </c>
      <c r="P67" s="54">
        <v>0</v>
      </c>
      <c r="Q67" s="54">
        <v>240</v>
      </c>
    </row>
    <row r="68" ht="15" customHeight="1" spans="1:17" x14ac:dyDescent="0.25">
      <c r="A68" s="19">
        <v>7480</v>
      </c>
      <c r="B68" s="20" t="s">
        <v>66</v>
      </c>
      <c r="C68" s="54">
        <v>140.9</v>
      </c>
      <c r="D68" s="54">
        <v>0</v>
      </c>
      <c r="E68" s="54">
        <v>140.9</v>
      </c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</row>
    <row r="69" ht="15" customHeight="1" spans="1:17" x14ac:dyDescent="0.25">
      <c r="A69" s="19">
        <v>8829</v>
      </c>
      <c r="B69" s="20" t="s">
        <v>65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17" x14ac:dyDescent="0.25">
      <c r="A70" s="19">
        <v>8386</v>
      </c>
      <c r="B70" s="20" t="s">
        <v>64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0</v>
      </c>
      <c r="P70" s="54">
        <v>72</v>
      </c>
      <c r="Q70" s="54">
        <v>16</v>
      </c>
    </row>
    <row r="71" ht="15" customHeight="1" spans="1:17" x14ac:dyDescent="0.25">
      <c r="A71" s="19">
        <v>8530</v>
      </c>
      <c r="B71" s="20" t="s">
        <v>63</v>
      </c>
      <c r="C71" s="54">
        <v>36.92</v>
      </c>
      <c r="D71" s="54">
        <v>0</v>
      </c>
      <c r="E71" s="54">
        <v>36.92</v>
      </c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</row>
    <row r="72" ht="15" customHeight="1" spans="1:17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17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17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17" x14ac:dyDescent="0.25">
      <c r="A75" s="142"/>
      <c r="B75" s="146" t="s">
        <v>150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17" x14ac:dyDescent="0.25">
      <c r="A76" s="142"/>
      <c r="B76" s="77" t="s">
        <v>151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17" x14ac:dyDescent="0.25">
      <c r="A77" s="142"/>
      <c r="B77" s="77" t="s">
        <v>152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17" x14ac:dyDescent="0.25">
      <c r="A78" s="142"/>
      <c r="B78" s="148" t="s">
        <v>153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17" x14ac:dyDescent="0.25">
      <c r="A79" s="142"/>
      <c r="B79" s="151" t="s">
        <v>154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17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17" x14ac:dyDescent="0.25">
      <c r="A81" s="142"/>
      <c r="B81" s="156" t="s">
        <v>155</v>
      </c>
      <c r="C81" s="157" t="s">
        <v>156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17" x14ac:dyDescent="0.25">
      <c r="A82" s="161"/>
      <c r="B82" s="162" t="s">
        <v>157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17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64" t="s">
        <v>158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159</v>
      </c>
      <c r="M84" s="166"/>
      <c r="N84" s="35"/>
      <c r="O84" s="35"/>
      <c r="P84" s="35"/>
      <c r="Q84" s="35"/>
    </row>
    <row r="85" ht="15" customHeight="1" spans="1:17" x14ac:dyDescent="0.25">
      <c r="A85" s="35"/>
      <c r="B85" s="167" t="s">
        <v>160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 t="s">
        <v>167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 t="s">
        <v>168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 t="s">
        <v>169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 t="s">
        <v>170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 t="s">
        <v>174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 t="s">
        <v>175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 t="s">
        <v>176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9" t="s">
        <v>177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17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17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17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17" x14ac:dyDescent="0.25">
      <c r="A114" s="35"/>
      <c r="B114" s="164" t="s">
        <v>178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180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181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182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183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184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185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186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187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188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189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190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191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192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193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194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195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196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197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198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199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200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201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202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203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204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205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206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207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208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209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210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211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212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213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214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215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216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217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218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217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218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68</v>
      </c>
      <c r="D2" s="43" t="s">
        <v>69</v>
      </c>
      <c r="E2" s="43" t="s">
        <v>70</v>
      </c>
      <c r="F2" s="39" t="s">
        <v>71</v>
      </c>
      <c r="G2" s="40" t="s">
        <v>72</v>
      </c>
      <c r="H2" s="43" t="s">
        <v>73</v>
      </c>
      <c r="I2" s="43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2" t="s">
        <v>220</v>
      </c>
      <c r="P2" s="42" t="s">
        <v>221</v>
      </c>
      <c r="Q2" s="42" t="s">
        <v>222</v>
      </c>
      <c r="R2" s="43" t="s">
        <v>80</v>
      </c>
      <c r="S2" s="43" t="s">
        <v>81</v>
      </c>
      <c r="T2" s="39" t="s">
        <v>82</v>
      </c>
      <c r="U2" s="40" t="s">
        <v>83</v>
      </c>
      <c r="V2" s="214" t="s">
        <v>84</v>
      </c>
      <c r="W2" s="214" t="s">
        <v>85</v>
      </c>
      <c r="X2" s="45" t="s">
        <v>86</v>
      </c>
      <c r="Y2" s="40" t="s">
        <v>87</v>
      </c>
      <c r="Z2" s="42" t="s">
        <v>88</v>
      </c>
      <c r="AA2" s="46" t="s">
        <v>89</v>
      </c>
      <c r="AB2" s="47" t="s">
        <v>90</v>
      </c>
      <c r="AC2" s="46" t="s">
        <v>91</v>
      </c>
      <c r="AD2" s="48" t="s">
        <v>92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93</v>
      </c>
      <c r="AL3" s="50" t="s">
        <v>94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95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96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97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98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99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100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101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102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103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95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96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97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98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99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100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101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102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103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95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96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97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98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99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100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101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102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103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95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96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97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98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99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100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101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102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103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95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96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97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98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99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100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101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102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103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95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96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97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98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99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100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101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102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103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95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96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97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98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99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100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101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102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103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95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96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97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98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99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100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101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102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103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95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96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97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98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99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100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101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102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103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95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96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97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98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99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100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101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102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103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95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96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97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98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99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100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101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102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103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95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96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97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98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99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100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101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102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103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95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96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97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98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99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100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101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102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103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95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96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97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98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99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100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101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102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103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95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96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97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98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99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100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101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102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103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95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96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97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98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99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100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101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102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103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95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96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97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98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99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100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101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102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103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95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96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97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98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99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100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101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102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103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95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96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97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98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99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100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101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102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103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95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96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97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98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99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100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101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102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103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95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96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97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98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99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100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101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102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103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95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96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97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98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99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100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101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102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103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95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96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97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98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99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100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101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102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103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95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96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97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98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99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100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101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102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103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95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96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97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98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99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100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101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102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103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95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96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97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98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99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100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101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102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103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95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96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97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98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99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100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101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102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103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95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96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97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98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99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100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101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102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103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95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96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97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98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99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100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101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102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103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95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96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97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98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99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100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101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102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103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95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96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97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98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99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100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101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102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103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95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96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97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98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99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100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101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102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103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223</v>
      </c>
      <c r="C3" s="35" t="s">
        <v>224</v>
      </c>
      <c r="D3" s="35" t="s">
        <v>225</v>
      </c>
    </row>
    <row r="4" ht="15" customHeight="1" spans="1:4" x14ac:dyDescent="0.25">
      <c r="A4" s="35" t="s">
        <v>226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227</v>
      </c>
      <c r="B5" s="35">
        <v>60</v>
      </c>
      <c r="P5" s="35">
        <v>95.35</v>
      </c>
    </row>
    <row r="6" ht="15" customHeight="1" spans="1:16" x14ac:dyDescent="0.25">
      <c r="A6" s="35" t="s">
        <v>228</v>
      </c>
      <c r="B6" s="35">
        <v>100</v>
      </c>
      <c r="P6" s="35">
        <v>102.69</v>
      </c>
    </row>
    <row r="7" ht="15" customHeight="1" spans="1:16" x14ac:dyDescent="0.25">
      <c r="A7" s="35" t="s">
        <v>229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