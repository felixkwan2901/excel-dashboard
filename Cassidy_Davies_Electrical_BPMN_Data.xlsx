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<sst xmlns="http://schemas.openxmlformats.org/spreadsheetml/2006/main" count="1191" uniqueCount="231">
  <si>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</si>
  <si>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</si>
  <si>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</si>
  <si>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</si>
  <si>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</si>
  <si>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</si>
  <si>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</si>
  <si>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</si>
  <si>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</si>
  <si>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</si>
  <si>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</si>
  <si>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</si>
  <si>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</si>
  <si>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</si>
  <si>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</si>
  <si>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</si>
  <si>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</si>
  <si>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</si>
  <si>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</si>
  <si>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</si>
  <si>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</si>
  <si>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</si>
  <si>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</si>
  <si>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</si>
  <si>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</si>
  <si>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</si>
  <si>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 Skilton</t>
  </si>
  <si>
    <t>Yes</t>
  </si>
  <si>
    <t>N/A</t>
  </si>
  <si>
    <t>Fisher Developements</t>
  </si>
  <si>
    <t/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</si>
  <si>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</si>
  <si>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</si>
  <si>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</si>
  <si>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</si>
  <si>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</si>
  <si>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</si>
  <si>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</si>
  <si>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</si>
  <si>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</si>
  <si>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</si>
  <si>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</si>
  <si>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 Price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</si>
  <si>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</si>
  <si>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</si>
  <si>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</si>
  <si>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</si>
  <si>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</si>
  <si>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</si>
  <si>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</si>
  <si>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</si>
  <si>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</si>
  <si>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</si>
  <si>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</si>
  <si>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</si>
  <si>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</si>
  <si>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</si>
  <si>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</si>
  <si>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</si>
  <si>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</si>
  <si>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</si>
  <si>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</si>
  <si>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</si>
  <si>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224 Cashel St - Eastern WC Block Reno</t>
  </si>
  <si>
    <t>Charles Roselier</t>
  </si>
  <si>
    <t>Bach in Kaikoura</t>
  </si>
  <si>
    <t>Resi Reno at 124 Chapter Street</t>
  </si>
  <si>
    <t>New Build</t>
  </si>
  <si>
    <t>65A Belfast Road (Revised)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</si>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</sst>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6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 t="s">
        <v>27</v>
      </c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 t="s">
        <v>27</v>
      </c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 t="s">
        <v>27</v>
      </c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27</v>
      </c>
      <c r="L32" s="13" t="s">
        <v>27</v>
      </c>
      <c r="M32" s="13" t="s">
        <v>28</v>
      </c>
      <c r="N32" s="14" t="s">
        <v>27</v>
      </c>
      <c r="O32" s="13" t="s">
        <v>27</v>
      </c>
      <c r="P32" s="18" t="s">
        <v>30</v>
      </c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 t="s">
        <v>42</v>
      </c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 t="s">
        <v>42</v>
      </c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 t="s">
        <v>42</v>
      </c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 t="s">
        <v>42</v>
      </c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27</v>
      </c>
      <c r="L52" s="13" t="s">
        <v>28</v>
      </c>
      <c r="M52" s="13" t="s">
        <v>27</v>
      </c>
      <c r="N52" s="14"/>
      <c r="O52" s="13" t="s">
        <v>33</v>
      </c>
      <c r="P52" s="18"/>
      <c r="Q52" s="15" t="s">
        <v>30</v>
      </c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ht="15.75" customHeight="1" spans="1:30" x14ac:dyDescent="0.25">
      <c r="A68" s="27">
        <v>8530</v>
      </c>
      <c r="B68" s="21" t="s">
        <v>63</v>
      </c>
      <c r="C68" s="29" t="s">
        <v>64</v>
      </c>
      <c r="D68" s="29"/>
      <c r="E68" s="13"/>
      <c r="F68" s="13"/>
      <c r="G68" s="14"/>
      <c r="H68" s="13"/>
      <c r="I68" s="13"/>
      <c r="J68" s="13"/>
      <c r="K68" s="13"/>
      <c r="L68" s="13"/>
      <c r="M68" s="13"/>
      <c r="N68" s="14"/>
      <c r="O68" s="13"/>
      <c r="P68" s="13"/>
      <c r="Q68" s="15"/>
      <c r="R68" s="13"/>
      <c r="S68" s="13"/>
      <c r="T68" s="16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1:30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ht="15.75" customHeight="1" spans="1:30" x14ac:dyDescent="0.25">
      <c r="A70" s="27">
        <v>8386</v>
      </c>
      <c r="B70" s="21" t="s">
        <v>65</v>
      </c>
      <c r="C70" s="29" t="s">
        <v>42</v>
      </c>
      <c r="D70" s="29"/>
      <c r="E70" s="13"/>
      <c r="F70" s="13"/>
      <c r="G70" s="14"/>
      <c r="H70" s="13"/>
      <c r="I70" s="13"/>
      <c r="J70" s="13"/>
      <c r="K70" s="13"/>
      <c r="L70" s="13"/>
      <c r="M70" s="13"/>
      <c r="N70" s="14"/>
      <c r="O70" s="13"/>
      <c r="P70" s="13"/>
      <c r="Q70" s="15"/>
      <c r="R70" s="13"/>
      <c r="S70" s="13"/>
      <c r="T70" s="16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1:30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ht="15.75" customHeight="1" spans="1:30" x14ac:dyDescent="0.25">
      <c r="A72" s="27">
        <v>8829</v>
      </c>
      <c r="B72" s="21" t="s">
        <v>66</v>
      </c>
      <c r="C72" s="29" t="s">
        <v>42</v>
      </c>
      <c r="D72" s="29"/>
      <c r="E72" s="13"/>
      <c r="F72" s="13"/>
      <c r="G72" s="14"/>
      <c r="H72" s="13"/>
      <c r="I72" s="13"/>
      <c r="J72" s="13"/>
      <c r="K72" s="13"/>
      <c r="L72" s="13"/>
      <c r="M72" s="13"/>
      <c r="N72" s="14"/>
      <c r="O72" s="13"/>
      <c r="P72" s="13"/>
      <c r="Q72" s="15"/>
      <c r="R72" s="13"/>
      <c r="S72" s="13"/>
      <c r="T72" s="16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1:30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ht="15.75" customHeight="1" spans="1:30" x14ac:dyDescent="0.25">
      <c r="A74" s="27">
        <v>7480</v>
      </c>
      <c r="B74" s="21" t="s">
        <v>67</v>
      </c>
      <c r="C74" s="29" t="s">
        <v>42</v>
      </c>
      <c r="D74" s="29"/>
      <c r="E74" s="13"/>
      <c r="F74" s="13"/>
      <c r="G74" s="14"/>
      <c r="H74" s="13"/>
      <c r="I74" s="13"/>
      <c r="J74" s="13"/>
      <c r="K74" s="13"/>
      <c r="L74" s="13"/>
      <c r="M74" s="13"/>
      <c r="N74" s="14"/>
      <c r="O74" s="13"/>
      <c r="P74" s="13"/>
      <c r="Q74" s="15"/>
      <c r="R74" s="13"/>
      <c r="S74" s="13"/>
      <c r="T74" s="16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1:30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ht="15.75" customHeight="1" spans="1:30" x14ac:dyDescent="0.25">
      <c r="A76" s="27">
        <v>9437</v>
      </c>
      <c r="B76" s="21" t="s">
        <v>68</v>
      </c>
      <c r="C76" s="29" t="s">
        <v>30</v>
      </c>
      <c r="D76" s="29"/>
      <c r="E76" s="13"/>
      <c r="F76" s="13"/>
      <c r="G76" s="14"/>
      <c r="H76" s="13"/>
      <c r="I76" s="13"/>
      <c r="J76" s="13"/>
      <c r="K76" s="13"/>
      <c r="L76" s="13"/>
      <c r="M76" s="13"/>
      <c r="N76" s="14"/>
      <c r="O76" s="13"/>
      <c r="P76" s="13"/>
      <c r="Q76" s="15"/>
      <c r="R76" s="13"/>
      <c r="S76" s="13"/>
      <c r="T76" s="16"/>
      <c r="U76" s="1"/>
      <c r="V76" s="1"/>
      <c r="W76" s="1"/>
      <c r="X76" s="1"/>
      <c r="Y76" s="1"/>
      <c r="Z76" s="1"/>
      <c r="AA76" s="1"/>
      <c r="AB76" s="1"/>
      <c r="AC76" s="1"/>
      <c r="AD76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61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69</v>
      </c>
      <c r="D2" s="38" t="s">
        <v>70</v>
      </c>
      <c r="E2" s="38" t="s">
        <v>71</v>
      </c>
      <c r="F2" s="39" t="s">
        <v>72</v>
      </c>
      <c r="G2" s="40" t="s">
        <v>73</v>
      </c>
      <c r="H2" s="38" t="s">
        <v>74</v>
      </c>
      <c r="I2" s="38" t="s">
        <v>75</v>
      </c>
      <c r="J2" s="41" t="s">
        <v>76</v>
      </c>
      <c r="K2" s="41" t="s">
        <v>77</v>
      </c>
      <c r="L2" s="39" t="s">
        <v>78</v>
      </c>
      <c r="M2" s="40" t="s">
        <v>79</v>
      </c>
      <c r="N2" s="42" t="s">
        <v>80</v>
      </c>
      <c r="O2" s="43" t="s">
        <v>81</v>
      </c>
      <c r="P2" s="43" t="s">
        <v>82</v>
      </c>
      <c r="Q2" s="39" t="s">
        <v>83</v>
      </c>
      <c r="R2" s="40" t="s">
        <v>84</v>
      </c>
      <c r="S2" s="44" t="s">
        <v>85</v>
      </c>
      <c r="T2" s="44" t="s">
        <v>86</v>
      </c>
      <c r="U2" s="45" t="s">
        <v>87</v>
      </c>
      <c r="V2" s="40" t="s">
        <v>88</v>
      </c>
      <c r="W2" s="42" t="s">
        <v>89</v>
      </c>
      <c r="X2" s="46" t="s">
        <v>90</v>
      </c>
      <c r="Y2" s="47" t="s">
        <v>91</v>
      </c>
      <c r="Z2" s="46" t="s">
        <v>92</v>
      </c>
      <c r="AA2" s="48" t="s">
        <v>93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94</v>
      </c>
      <c r="AI3" s="50" t="s">
        <v>95</v>
      </c>
    </row>
    <row r="4" ht="15" customHeight="1" spans="1:35" x14ac:dyDescent="0.25">
      <c r="A4" s="19">
        <v>7658</v>
      </c>
      <c r="B4" s="20" t="s">
        <v>25</v>
      </c>
      <c r="C4" s="51" t="s">
        <v>96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97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98</v>
      </c>
      <c r="D5" s="52">
        <v>245679.5</v>
      </c>
      <c r="E5" s="52">
        <v>216530.08</v>
      </c>
      <c r="F5" s="52">
        <v>29149.420000000013</v>
      </c>
      <c r="G5" s="53">
        <v>0.11864815745717495</v>
      </c>
      <c r="H5" s="52">
        <v>208360.5</v>
      </c>
      <c r="I5" s="52">
        <v>168361.6</v>
      </c>
      <c r="J5" s="52">
        <v>180366.49</v>
      </c>
      <c r="K5" s="52">
        <v>138438.46000000002</v>
      </c>
      <c r="L5" s="52">
        <v>41928.02999999997</v>
      </c>
      <c r="M5" s="53">
        <v>0.23246019812216767</v>
      </c>
      <c r="N5" s="53"/>
      <c r="O5" s="52">
        <v>27994.01</v>
      </c>
      <c r="P5" s="52">
        <v>29923.14</v>
      </c>
      <c r="Q5" s="52">
        <v>-1929.130000000001</v>
      </c>
      <c r="R5" s="53">
        <v>-0.06891224229754869</v>
      </c>
      <c r="S5" s="54">
        <v>565.45</v>
      </c>
      <c r="T5" s="54">
        <v>600.25</v>
      </c>
      <c r="U5" s="54">
        <v>-34.799999999999955</v>
      </c>
      <c r="V5" s="53">
        <v>-0.061543903086037584</v>
      </c>
      <c r="W5" s="53"/>
      <c r="X5" s="55">
        <v>80.24736359850063</v>
      </c>
      <c r="Y5" s="55">
        <v>65.99877634098505</v>
      </c>
      <c r="Z5" s="53">
        <v>0.2225</v>
      </c>
      <c r="AA5" s="56">
        <v>0.1519</v>
      </c>
      <c r="AB5" s="57"/>
      <c r="AD5" s="35" t="s">
        <v>99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100</v>
      </c>
      <c r="D6" s="52">
        <v>245679.5</v>
      </c>
      <c r="E6" s="52">
        <v>216530.08</v>
      </c>
      <c r="F6" s="52">
        <v>29149.420000000013</v>
      </c>
      <c r="G6" s="53">
        <v>0.11864815745717495</v>
      </c>
      <c r="H6" s="52">
        <v>208360.5</v>
      </c>
      <c r="I6" s="52">
        <v>168361.6</v>
      </c>
      <c r="J6" s="52">
        <v>180366.49</v>
      </c>
      <c r="K6" s="52">
        <v>138438.46000000002</v>
      </c>
      <c r="L6" s="52">
        <v>41928.02999999997</v>
      </c>
      <c r="M6" s="53">
        <v>0.23246019812216767</v>
      </c>
      <c r="N6" s="53"/>
      <c r="O6" s="52">
        <v>27994.01</v>
      </c>
      <c r="P6" s="52">
        <v>29923.14</v>
      </c>
      <c r="Q6" s="52">
        <v>-1929.130000000001</v>
      </c>
      <c r="R6" s="53">
        <v>-0.06891224229754869</v>
      </c>
      <c r="S6" s="54">
        <v>565.45</v>
      </c>
      <c r="T6" s="54">
        <v>600.25</v>
      </c>
      <c r="U6" s="54">
        <v>-34.799999999999955</v>
      </c>
      <c r="V6" s="53">
        <v>-0.061543903086037584</v>
      </c>
      <c r="W6" s="53"/>
      <c r="X6" s="55">
        <v>80.24736359850063</v>
      </c>
      <c r="Y6" s="55">
        <v>65.99877634098505</v>
      </c>
      <c r="Z6" s="53">
        <v>0.2225</v>
      </c>
      <c r="AA6" s="56">
        <v>0.1519</v>
      </c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101</v>
      </c>
      <c r="D7" s="52">
        <v>267886.85</v>
      </c>
      <c r="E7" s="52">
        <v>216530.08</v>
      </c>
      <c r="F7" s="52">
        <v>51356.76999999999</v>
      </c>
      <c r="G7" s="53">
        <v>0.1917106793409232</v>
      </c>
      <c r="H7" s="52">
        <v>225410.55</v>
      </c>
      <c r="I7" s="52">
        <v>167992.78</v>
      </c>
      <c r="J7" s="52">
        <v>193787.25</v>
      </c>
      <c r="K7" s="52">
        <v>138051.32</v>
      </c>
      <c r="L7" s="52">
        <v>55735.92999999999</v>
      </c>
      <c r="M7" s="53">
        <v>0.2876140200142166</v>
      </c>
      <c r="N7" s="53"/>
      <c r="O7" s="52">
        <v>31623.3</v>
      </c>
      <c r="P7" s="52">
        <v>29941.46</v>
      </c>
      <c r="Q7" s="52">
        <v>1681.8400000000001</v>
      </c>
      <c r="R7" s="53">
        <v>0.053183570342121164</v>
      </c>
      <c r="S7" s="54">
        <v>638.02</v>
      </c>
      <c r="T7" s="54">
        <v>600.25</v>
      </c>
      <c r="U7" s="54">
        <v>37.76999999999998</v>
      </c>
      <c r="V7" s="53">
        <v>0.059198771198395006</v>
      </c>
      <c r="W7" s="53"/>
      <c r="X7" s="55">
        <v>80.86180758017493</v>
      </c>
      <c r="Y7" s="55">
        <v>66.57519091683645</v>
      </c>
      <c r="Z7" s="53">
        <v>0.2242</v>
      </c>
      <c r="AA7" s="56">
        <v>0.1586</v>
      </c>
      <c r="AB7" s="57"/>
      <c r="AD7" s="35" t="s">
        <v>102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103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104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96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97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98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79791.03</v>
      </c>
      <c r="J12" s="52">
        <v>83645.65</v>
      </c>
      <c r="K12" s="52">
        <v>71604.5</v>
      </c>
      <c r="L12" s="52">
        <v>12041.149999999994</v>
      </c>
      <c r="M12" s="53">
        <v>0.1439542881189876</v>
      </c>
      <c r="N12" s="53"/>
      <c r="O12" s="52">
        <v>17775.07</v>
      </c>
      <c r="P12" s="52">
        <v>8186.53</v>
      </c>
      <c r="Q12" s="52">
        <v>9588.54</v>
      </c>
      <c r="R12" s="53">
        <v>0.5394375380800188</v>
      </c>
      <c r="S12" s="54">
        <v>356.07</v>
      </c>
      <c r="T12" s="54">
        <v>168.25</v>
      </c>
      <c r="U12" s="54">
        <v>187.82</v>
      </c>
      <c r="V12" s="53">
        <v>0.5274805515769371</v>
      </c>
      <c r="W12" s="53"/>
      <c r="X12" s="55">
        <v>36.09539375928678</v>
      </c>
      <c r="Y12" s="55">
        <v>77.66490997775718</v>
      </c>
      <c r="Z12" s="53">
        <v>0.0707</v>
      </c>
      <c r="AA12" s="56">
        <v>0.2142</v>
      </c>
      <c r="AB12" s="57"/>
      <c r="AD12" s="35" t="s">
        <v>99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100</v>
      </c>
      <c r="D13" s="52">
        <v>129996.92</v>
      </c>
      <c r="E13" s="62">
        <v>85864.08</v>
      </c>
      <c r="F13" s="52">
        <v>44132.84</v>
      </c>
      <c r="G13" s="53">
        <v>0.3394914279507545</v>
      </c>
      <c r="H13" s="52">
        <v>101885.52</v>
      </c>
      <c r="I13" s="52">
        <v>79853.63</v>
      </c>
      <c r="J13" s="52">
        <v>83735.42000000001</v>
      </c>
      <c r="K13" s="52">
        <v>71667.1</v>
      </c>
      <c r="L13" s="52">
        <v>12068.320000000007</v>
      </c>
      <c r="M13" s="53">
        <v>0.14412443384173634</v>
      </c>
      <c r="N13" s="53"/>
      <c r="O13" s="52">
        <v>18150.1</v>
      </c>
      <c r="P13" s="52">
        <v>8186.53</v>
      </c>
      <c r="Q13" s="52">
        <v>9963.57</v>
      </c>
      <c r="R13" s="53">
        <v>0.5489540002534422</v>
      </c>
      <c r="S13" s="54">
        <v>363.57</v>
      </c>
      <c r="T13" s="54">
        <v>168.25</v>
      </c>
      <c r="U13" s="54">
        <v>195.32</v>
      </c>
      <c r="V13" s="53">
        <v>0.5372280441180516</v>
      </c>
      <c r="W13" s="53"/>
      <c r="X13" s="55">
        <v>35.72332838038633</v>
      </c>
      <c r="Y13" s="55">
        <v>77.32043896850674</v>
      </c>
      <c r="Z13" s="53">
        <v>0.07</v>
      </c>
      <c r="AA13" s="56">
        <v>0.2162</v>
      </c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101</v>
      </c>
      <c r="D14" s="52">
        <v>129996.92</v>
      </c>
      <c r="E14" s="62">
        <v>85864.08</v>
      </c>
      <c r="F14" s="52">
        <v>44132.84</v>
      </c>
      <c r="G14" s="53">
        <v>0.3394914279507545</v>
      </c>
      <c r="H14" s="52">
        <v>101885.52</v>
      </c>
      <c r="I14" s="52">
        <v>77983.94</v>
      </c>
      <c r="J14" s="52">
        <v>83735.42000000001</v>
      </c>
      <c r="K14" s="52">
        <v>69781.5</v>
      </c>
      <c r="L14" s="52">
        <v>13953.920000000013</v>
      </c>
      <c r="M14" s="53">
        <v>0.1666429809511914</v>
      </c>
      <c r="N14" s="53"/>
      <c r="O14" s="52">
        <v>18150.1</v>
      </c>
      <c r="P14" s="52">
        <v>8202.44</v>
      </c>
      <c r="Q14" s="52">
        <v>9947.659999999998</v>
      </c>
      <c r="R14" s="53">
        <v>0.548077421061041</v>
      </c>
      <c r="S14" s="54">
        <v>363.57</v>
      </c>
      <c r="T14" s="54">
        <v>168.25</v>
      </c>
      <c r="U14" s="54">
        <v>195.32</v>
      </c>
      <c r="V14" s="53">
        <v>0.5372280441180516</v>
      </c>
      <c r="W14" s="53"/>
      <c r="X14" s="55">
        <v>46.83589895988113</v>
      </c>
      <c r="Y14" s="55">
        <v>77.32043896850674</v>
      </c>
      <c r="Z14" s="53">
        <v>0.09179999999999999</v>
      </c>
      <c r="AA14" s="56">
        <v>0.2162</v>
      </c>
      <c r="AB14" s="57"/>
      <c r="AD14" s="35" t="s">
        <v>102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103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104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96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97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98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99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100</v>
      </c>
      <c r="D20" s="52">
        <v>27500.32</v>
      </c>
      <c r="E20" s="52">
        <v>11999.08</v>
      </c>
      <c r="F20" s="52">
        <v>15501.24</v>
      </c>
      <c r="G20" s="53">
        <v>0.5636748954193987</v>
      </c>
      <c r="H20" s="52">
        <v>19565.83</v>
      </c>
      <c r="I20" s="52">
        <v>7921.92</v>
      </c>
      <c r="J20" s="52">
        <v>13767.340000000002</v>
      </c>
      <c r="K20" s="52">
        <v>6211.24</v>
      </c>
      <c r="L20" s="52">
        <v>7556.100000000002</v>
      </c>
      <c r="M20" s="53">
        <v>0.5488424052867149</v>
      </c>
      <c r="N20" s="53"/>
      <c r="O20" s="52">
        <v>5798.49</v>
      </c>
      <c r="P20" s="52">
        <v>1710.68</v>
      </c>
      <c r="Q20" s="52">
        <v>4087.8099999999995</v>
      </c>
      <c r="R20" s="53">
        <v>0.7049783650571096</v>
      </c>
      <c r="S20" s="54">
        <v>125.39</v>
      </c>
      <c r="T20" s="54">
        <v>34.75</v>
      </c>
      <c r="U20" s="54">
        <v>90.64</v>
      </c>
      <c r="V20" s="53">
        <v>0.7228646622537682</v>
      </c>
      <c r="W20" s="53"/>
      <c r="X20" s="55">
        <v>117.328345323741</v>
      </c>
      <c r="Y20" s="55">
        <v>63.27846478985563</v>
      </c>
      <c r="Z20" s="53">
        <v>0.3398</v>
      </c>
      <c r="AA20" s="56">
        <v>0.2885</v>
      </c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101</v>
      </c>
      <c r="D21" s="52">
        <v>27500.32</v>
      </c>
      <c r="E21" s="52">
        <v>11999.08</v>
      </c>
      <c r="F21" s="52">
        <v>15501.24</v>
      </c>
      <c r="G21" s="53">
        <v>0.5636748954193987</v>
      </c>
      <c r="H21" s="52">
        <v>19565.83</v>
      </c>
      <c r="I21" s="52">
        <v>7921.92</v>
      </c>
      <c r="J21" s="52">
        <v>13767.340000000002</v>
      </c>
      <c r="K21" s="52">
        <v>6211.24</v>
      </c>
      <c r="L21" s="52">
        <v>7556.100000000002</v>
      </c>
      <c r="M21" s="53">
        <v>0.5488424052867149</v>
      </c>
      <c r="N21" s="53"/>
      <c r="O21" s="52">
        <v>5798.49</v>
      </c>
      <c r="P21" s="52">
        <v>1710.68</v>
      </c>
      <c r="Q21" s="52">
        <v>4087.8099999999995</v>
      </c>
      <c r="R21" s="53">
        <v>0.7049783650571096</v>
      </c>
      <c r="S21" s="54">
        <v>125.39</v>
      </c>
      <c r="T21" s="54">
        <v>34.75</v>
      </c>
      <c r="U21" s="54">
        <v>90.64</v>
      </c>
      <c r="V21" s="53">
        <v>0.7228646622537682</v>
      </c>
      <c r="W21" s="53"/>
      <c r="X21" s="55">
        <v>117.328345323741</v>
      </c>
      <c r="Y21" s="55">
        <v>63.27846478985563</v>
      </c>
      <c r="Z21" s="53">
        <v>0.3398</v>
      </c>
      <c r="AA21" s="56">
        <v>0.2885</v>
      </c>
      <c r="AB21" s="57"/>
      <c r="AD21" s="35" t="s">
        <v>102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103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104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96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97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98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89222.05</v>
      </c>
      <c r="J26" s="52">
        <v>62464.86</v>
      </c>
      <c r="K26" s="52">
        <v>58984</v>
      </c>
      <c r="L26" s="52">
        <v>3480.8600000000006</v>
      </c>
      <c r="M26" s="53">
        <v>0.05572509087509362</v>
      </c>
      <c r="N26" s="53"/>
      <c r="O26" s="52">
        <v>39713.56</v>
      </c>
      <c r="P26" s="52">
        <v>30238.05</v>
      </c>
      <c r="Q26" s="52">
        <v>9475.509999999998</v>
      </c>
      <c r="R26" s="53">
        <v>0.23859633837913294</v>
      </c>
      <c r="S26" s="54">
        <v>795.22</v>
      </c>
      <c r="T26" s="54">
        <v>615</v>
      </c>
      <c r="U26" s="54">
        <v>180.22000000000003</v>
      </c>
      <c r="V26" s="53">
        <v>0.22662910892583188</v>
      </c>
      <c r="W26" s="53"/>
      <c r="X26" s="55">
        <v>89.67276422764228</v>
      </c>
      <c r="Y26" s="55">
        <v>61.20621468124544</v>
      </c>
      <c r="Z26" s="53">
        <v>0.382</v>
      </c>
      <c r="AA26" s="56">
        <v>0.3227</v>
      </c>
      <c r="AB26" s="57"/>
      <c r="AD26" s="35" t="s">
        <v>99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100</v>
      </c>
      <c r="D27" s="55">
        <v>153553.67</v>
      </c>
      <c r="E27" s="55">
        <v>144370.8</v>
      </c>
      <c r="F27" s="52">
        <v>9182.870000000024</v>
      </c>
      <c r="G27" s="53">
        <v>0.05980234793476459</v>
      </c>
      <c r="H27" s="52">
        <v>104026.09</v>
      </c>
      <c r="I27" s="52">
        <v>90387.67</v>
      </c>
      <c r="J27" s="52">
        <v>63812.49</v>
      </c>
      <c r="K27" s="52">
        <v>59529.82</v>
      </c>
      <c r="L27" s="52">
        <v>4282.669999999998</v>
      </c>
      <c r="M27" s="53">
        <v>0.06711335038015283</v>
      </c>
      <c r="N27" s="53"/>
      <c r="O27" s="52">
        <v>40213.6</v>
      </c>
      <c r="P27" s="52">
        <v>30857.85</v>
      </c>
      <c r="Q27" s="52">
        <v>9355.75</v>
      </c>
      <c r="R27" s="53">
        <v>0.23265139156902143</v>
      </c>
      <c r="S27" s="54">
        <v>805.22</v>
      </c>
      <c r="T27" s="54">
        <v>625</v>
      </c>
      <c r="U27" s="54">
        <v>180.22000000000003</v>
      </c>
      <c r="V27" s="53">
        <v>0.22381460967189093</v>
      </c>
      <c r="W27" s="53"/>
      <c r="X27" s="55">
        <v>86.373008</v>
      </c>
      <c r="Y27" s="55">
        <v>61.50814037389784</v>
      </c>
      <c r="Z27" s="53">
        <v>0.3739</v>
      </c>
      <c r="AA27" s="56">
        <v>0.3225</v>
      </c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101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102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103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104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96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97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98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223659.54</v>
      </c>
      <c r="J33" s="52">
        <v>271519.78</v>
      </c>
      <c r="K33" s="52">
        <v>197370.72</v>
      </c>
      <c r="L33" s="52">
        <v>74149.06000000003</v>
      </c>
      <c r="M33" s="53">
        <v>0.27308898084699396</v>
      </c>
      <c r="N33" s="53"/>
      <c r="O33" s="52">
        <v>55911.34</v>
      </c>
      <c r="P33" s="52">
        <v>26288.82</v>
      </c>
      <c r="Q33" s="52">
        <v>29622.519999999997</v>
      </c>
      <c r="R33" s="53">
        <v>0.5298123779540966</v>
      </c>
      <c r="S33" s="54">
        <v>1120.27</v>
      </c>
      <c r="T33" s="54">
        <v>607.75</v>
      </c>
      <c r="U33" s="54">
        <v>512.52</v>
      </c>
      <c r="V33" s="53">
        <v>0.4574968534371178</v>
      </c>
      <c r="W33" s="53"/>
      <c r="X33" s="55">
        <v>58.721793500617025</v>
      </c>
      <c r="Y33" s="55">
        <v>61.5841822414239</v>
      </c>
      <c r="Z33" s="53">
        <v>0.1376</v>
      </c>
      <c r="AA33" s="56">
        <v>0.174</v>
      </c>
      <c r="AB33" s="57"/>
      <c r="AD33" s="35" t="s">
        <v>99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100</v>
      </c>
      <c r="D34" s="52">
        <v>397238.61</v>
      </c>
      <c r="E34" s="52">
        <v>259347.71</v>
      </c>
      <c r="F34" s="52">
        <v>137890.9</v>
      </c>
      <c r="G34" s="53">
        <v>0.34712360915773016</v>
      </c>
      <c r="H34" s="52">
        <v>328046.93</v>
      </c>
      <c r="I34" s="65">
        <v>224540.22</v>
      </c>
      <c r="J34" s="52">
        <v>271925.57</v>
      </c>
      <c r="K34" s="52">
        <v>197386.58000000002</v>
      </c>
      <c r="L34" s="52">
        <v>74538.98999999999</v>
      </c>
      <c r="M34" s="53">
        <v>0.27411541327283045</v>
      </c>
      <c r="N34" s="53"/>
      <c r="O34" s="52">
        <v>56121.36</v>
      </c>
      <c r="P34" s="52">
        <v>27153.64</v>
      </c>
      <c r="Q34" s="52">
        <v>28967.72</v>
      </c>
      <c r="R34" s="53">
        <v>0.5161621172402094</v>
      </c>
      <c r="S34" s="54">
        <v>1124.47</v>
      </c>
      <c r="T34" s="54">
        <v>627.75</v>
      </c>
      <c r="U34" s="54">
        <v>496.72</v>
      </c>
      <c r="V34" s="53">
        <v>0.44173699609593853</v>
      </c>
      <c r="W34" s="53"/>
      <c r="X34" s="55">
        <v>55.44801274392672</v>
      </c>
      <c r="Y34" s="55">
        <v>61.532703026350184</v>
      </c>
      <c r="Z34" s="53">
        <v>0.13419999999999999</v>
      </c>
      <c r="AA34" s="56">
        <v>0.1742</v>
      </c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101</v>
      </c>
      <c r="D35" s="52">
        <v>397238.61</v>
      </c>
      <c r="E35" s="52">
        <v>259347.71</v>
      </c>
      <c r="F35" s="52">
        <v>137890.9</v>
      </c>
      <c r="G35" s="53">
        <v>0.34712360915773016</v>
      </c>
      <c r="H35" s="52">
        <v>328046.93</v>
      </c>
      <c r="I35" s="65">
        <v>228092.96</v>
      </c>
      <c r="J35" s="52">
        <v>271925.57</v>
      </c>
      <c r="K35" s="52">
        <v>199320.36</v>
      </c>
      <c r="L35" s="52">
        <v>72605.21000000002</v>
      </c>
      <c r="M35" s="53">
        <v>0.2670039820087534</v>
      </c>
      <c r="N35" s="53"/>
      <c r="O35" s="52">
        <v>56121.36</v>
      </c>
      <c r="P35" s="52">
        <v>28772.6</v>
      </c>
      <c r="Q35" s="52">
        <v>27348.760000000002</v>
      </c>
      <c r="R35" s="53">
        <v>0.48731463385776824</v>
      </c>
      <c r="S35" s="54">
        <v>1124.47</v>
      </c>
      <c r="T35" s="54">
        <v>667.75</v>
      </c>
      <c r="U35" s="54">
        <v>456.72</v>
      </c>
      <c r="V35" s="53">
        <v>0.4061646820279776</v>
      </c>
      <c r="W35" s="53"/>
      <c r="X35" s="55">
        <v>46.806065144140774</v>
      </c>
      <c r="Y35" s="55">
        <v>61.532703026350184</v>
      </c>
      <c r="Z35" s="53">
        <v>0.12050000000000001</v>
      </c>
      <c r="AA35" s="56">
        <v>0.1742</v>
      </c>
      <c r="AB35" s="57"/>
      <c r="AD35" s="35" t="s">
        <v>102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103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104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96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97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98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49261.61</v>
      </c>
      <c r="J40" s="52">
        <v>69042.09000000001</v>
      </c>
      <c r="K40" s="52">
        <v>35683.74</v>
      </c>
      <c r="L40" s="52">
        <v>33358.35000000001</v>
      </c>
      <c r="M40" s="53">
        <v>0.4831596204576079</v>
      </c>
      <c r="N40" s="53"/>
      <c r="O40" s="52">
        <v>25056.23</v>
      </c>
      <c r="P40" s="52">
        <v>13577.87</v>
      </c>
      <c r="Q40" s="52">
        <v>11478.359999999999</v>
      </c>
      <c r="R40" s="53">
        <v>0.45810403241030273</v>
      </c>
      <c r="S40" s="54">
        <v>501.83</v>
      </c>
      <c r="T40" s="54">
        <v>299.5</v>
      </c>
      <c r="U40" s="54">
        <v>202.32999999999998</v>
      </c>
      <c r="V40" s="53">
        <v>0.40318434529621583</v>
      </c>
      <c r="W40" s="53"/>
      <c r="X40" s="55">
        <v>15.63679465776294</v>
      </c>
      <c r="Y40" s="55">
        <v>68.07122423898531</v>
      </c>
      <c r="Z40" s="53">
        <v>0.0868</v>
      </c>
      <c r="AA40" s="56">
        <v>0.2663</v>
      </c>
      <c r="AB40" s="57"/>
      <c r="AD40" s="35" t="s">
        <v>99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100</v>
      </c>
      <c r="D41" s="52">
        <v>128258.5</v>
      </c>
      <c r="E41" s="52">
        <v>53944.83</v>
      </c>
      <c r="F41" s="52">
        <v>74313.67</v>
      </c>
      <c r="G41" s="53">
        <v>0.5794054195238522</v>
      </c>
      <c r="H41" s="52">
        <v>94098.32</v>
      </c>
      <c r="I41" s="52">
        <v>50255.78</v>
      </c>
      <c r="J41" s="52">
        <v>69042.09000000001</v>
      </c>
      <c r="K41" s="52">
        <v>35683.74</v>
      </c>
      <c r="L41" s="52">
        <v>33358.35000000001</v>
      </c>
      <c r="M41" s="53">
        <v>0.4831596204576079</v>
      </c>
      <c r="N41" s="53"/>
      <c r="O41" s="52">
        <v>25056.23</v>
      </c>
      <c r="P41" s="52">
        <v>14572.04</v>
      </c>
      <c r="Q41" s="52">
        <v>10484.189999999999</v>
      </c>
      <c r="R41" s="53">
        <v>0.418426475172043</v>
      </c>
      <c r="S41" s="54">
        <v>501.83</v>
      </c>
      <c r="T41" s="54">
        <v>325.75</v>
      </c>
      <c r="U41" s="54">
        <v>176.07999999999998</v>
      </c>
      <c r="V41" s="53">
        <v>0.350875794591794</v>
      </c>
      <c r="W41" s="53"/>
      <c r="X41" s="55">
        <v>11.324788948580201</v>
      </c>
      <c r="Y41" s="55">
        <v>68.07122423898531</v>
      </c>
      <c r="Z41" s="53">
        <v>0.0684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101</v>
      </c>
      <c r="D42" s="52">
        <v>128258.5</v>
      </c>
      <c r="E42" s="52">
        <v>53944.83</v>
      </c>
      <c r="F42" s="52">
        <v>74313.67</v>
      </c>
      <c r="G42" s="53">
        <v>0.5794054195238522</v>
      </c>
      <c r="H42" s="52">
        <v>94098.32</v>
      </c>
      <c r="I42" s="52">
        <v>51662.71</v>
      </c>
      <c r="J42" s="52">
        <v>69042.09000000001</v>
      </c>
      <c r="K42" s="52">
        <v>35998.79</v>
      </c>
      <c r="L42" s="52">
        <v>33043.30000000001</v>
      </c>
      <c r="M42" s="53">
        <v>0.4785964619553088</v>
      </c>
      <c r="N42" s="53"/>
      <c r="O42" s="52">
        <v>25056.23</v>
      </c>
      <c r="P42" s="52">
        <v>15663.92</v>
      </c>
      <c r="Q42" s="52">
        <v>9392.31</v>
      </c>
      <c r="R42" s="53">
        <v>0.3748492889792279</v>
      </c>
      <c r="S42" s="54">
        <v>501.83</v>
      </c>
      <c r="T42" s="54">
        <v>354.75</v>
      </c>
      <c r="U42" s="54">
        <v>147.07999999999998</v>
      </c>
      <c r="V42" s="53">
        <v>0.2930873004802423</v>
      </c>
      <c r="W42" s="53"/>
      <c r="X42" s="55">
        <v>6.433037350246653</v>
      </c>
      <c r="Y42" s="55">
        <v>68.07122423898531</v>
      </c>
      <c r="Z42" s="53">
        <v>0.042300000000000004</v>
      </c>
      <c r="AA42" s="56">
        <v>0.2663</v>
      </c>
      <c r="AB42" s="57"/>
      <c r="AD42" s="35" t="s">
        <v>102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103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104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96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97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98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25196.36</v>
      </c>
      <c r="J47" s="52">
        <v>39438.990000000005</v>
      </c>
      <c r="K47" s="52">
        <v>20036.420000000002</v>
      </c>
      <c r="L47" s="52">
        <v>19402.570000000003</v>
      </c>
      <c r="M47" s="53">
        <v>0.49196417048205343</v>
      </c>
      <c r="N47" s="53"/>
      <c r="O47" s="52">
        <v>11143.38</v>
      </c>
      <c r="P47" s="52">
        <v>5159.94</v>
      </c>
      <c r="Q47" s="52">
        <v>5983.44</v>
      </c>
      <c r="R47" s="53">
        <v>0.5369501892603501</v>
      </c>
      <c r="S47" s="54">
        <v>223.22</v>
      </c>
      <c r="T47" s="54">
        <v>113.25</v>
      </c>
      <c r="U47" s="54">
        <v>109.97</v>
      </c>
      <c r="V47" s="53">
        <v>0.49265298808350505</v>
      </c>
      <c r="W47" s="53"/>
      <c r="X47" s="55">
        <v>71.78922737306843</v>
      </c>
      <c r="Y47" s="55">
        <v>67.69550512136009</v>
      </c>
      <c r="Z47" s="53">
        <v>0.244</v>
      </c>
      <c r="AA47" s="56">
        <v>0.23</v>
      </c>
      <c r="AB47" s="57"/>
      <c r="AD47" s="35" t="s">
        <v>99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100</v>
      </c>
      <c r="D48" s="52">
        <v>65693.36</v>
      </c>
      <c r="E48" s="52">
        <v>33326.49</v>
      </c>
      <c r="F48" s="52">
        <v>32366.870000000003</v>
      </c>
      <c r="G48" s="53">
        <v>0.49269621769993194</v>
      </c>
      <c r="H48" s="52">
        <v>50582.37</v>
      </c>
      <c r="I48" s="52">
        <v>25196.36</v>
      </c>
      <c r="J48" s="52">
        <v>39438.990000000005</v>
      </c>
      <c r="K48" s="52">
        <v>20036.420000000002</v>
      </c>
      <c r="L48" s="52">
        <v>19402.570000000003</v>
      </c>
      <c r="M48" s="53">
        <v>0.49196417048205343</v>
      </c>
      <c r="N48" s="53"/>
      <c r="O48" s="52">
        <v>11143.38</v>
      </c>
      <c r="P48" s="52">
        <v>5159.94</v>
      </c>
      <c r="Q48" s="52">
        <v>5983.44</v>
      </c>
      <c r="R48" s="53">
        <v>0.5369501892603501</v>
      </c>
      <c r="S48" s="54">
        <v>223.22</v>
      </c>
      <c r="T48" s="54">
        <v>113.25</v>
      </c>
      <c r="U48" s="54">
        <v>109.97</v>
      </c>
      <c r="V48" s="53">
        <v>0.49265298808350505</v>
      </c>
      <c r="W48" s="53"/>
      <c r="X48" s="55">
        <v>71.78922737306843</v>
      </c>
      <c r="Y48" s="55">
        <v>67.69550512136009</v>
      </c>
      <c r="Z48" s="53">
        <v>0.244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101</v>
      </c>
      <c r="D49" s="52">
        <v>65693.36</v>
      </c>
      <c r="E49" s="52">
        <v>33326.49</v>
      </c>
      <c r="F49" s="52">
        <v>32366.870000000003</v>
      </c>
      <c r="G49" s="53">
        <v>0.49269621769993194</v>
      </c>
      <c r="H49" s="52">
        <v>50582.37</v>
      </c>
      <c r="I49" s="52">
        <v>25764.18</v>
      </c>
      <c r="J49" s="52">
        <v>39438.990000000005</v>
      </c>
      <c r="K49" s="52">
        <v>20036.42</v>
      </c>
      <c r="L49" s="52">
        <v>19402.570000000007</v>
      </c>
      <c r="M49" s="53">
        <v>0.49196417048205354</v>
      </c>
      <c r="N49" s="53"/>
      <c r="O49" s="52">
        <v>11143.38</v>
      </c>
      <c r="P49" s="52">
        <v>5727.76</v>
      </c>
      <c r="Q49" s="52">
        <v>5415.619999999999</v>
      </c>
      <c r="R49" s="53">
        <v>0.48599437513573074</v>
      </c>
      <c r="S49" s="54">
        <v>223.22</v>
      </c>
      <c r="T49" s="54">
        <v>129</v>
      </c>
      <c r="U49" s="54">
        <v>94.22</v>
      </c>
      <c r="V49" s="53">
        <v>0.422094794373264</v>
      </c>
      <c r="W49" s="53"/>
      <c r="X49" s="55">
        <v>58.62255813953489</v>
      </c>
      <c r="Y49" s="55">
        <v>67.69550512136009</v>
      </c>
      <c r="Z49" s="53">
        <v>0.22690000000000002</v>
      </c>
      <c r="AA49" s="56">
        <v>0.23</v>
      </c>
      <c r="AB49" s="57"/>
      <c r="AD49" s="35" t="s">
        <v>102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103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104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96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97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98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96483.38</v>
      </c>
      <c r="J54" s="52">
        <v>75135.01000000001</v>
      </c>
      <c r="K54" s="52">
        <v>71221.34</v>
      </c>
      <c r="L54" s="52">
        <v>3913.670000000013</v>
      </c>
      <c r="M54" s="53">
        <v>0.05208850042077604</v>
      </c>
      <c r="N54" s="53"/>
      <c r="O54" s="52">
        <v>34229.96</v>
      </c>
      <c r="P54" s="52">
        <v>25262.04</v>
      </c>
      <c r="Q54" s="52">
        <v>8967.919999999998</v>
      </c>
      <c r="R54" s="53">
        <v>0.2619903733454552</v>
      </c>
      <c r="S54" s="54">
        <v>685.48</v>
      </c>
      <c r="T54" s="54">
        <v>533.75</v>
      </c>
      <c r="U54" s="54">
        <v>151.73000000000002</v>
      </c>
      <c r="V54" s="53">
        <v>0.22134854408589605</v>
      </c>
      <c r="W54" s="53"/>
      <c r="X54" s="55">
        <v>58.699953161592504</v>
      </c>
      <c r="Y54" s="55">
        <v>67.00679527854935</v>
      </c>
      <c r="Z54" s="53">
        <v>0.2451</v>
      </c>
      <c r="AA54" s="56">
        <v>0.2958</v>
      </c>
      <c r="AB54" s="57"/>
      <c r="AD54" s="35" t="s">
        <v>99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100</v>
      </c>
      <c r="D55" s="52">
        <v>155296.79</v>
      </c>
      <c r="E55" s="52">
        <v>127814.48</v>
      </c>
      <c r="F55" s="52">
        <v>27482.310000000012</v>
      </c>
      <c r="G55" s="53">
        <v>0.176966375158173</v>
      </c>
      <c r="H55" s="52">
        <v>109364.97</v>
      </c>
      <c r="I55" s="52">
        <v>98837.32</v>
      </c>
      <c r="J55" s="52">
        <v>75135.01000000001</v>
      </c>
      <c r="K55" s="52">
        <v>71357.43000000001</v>
      </c>
      <c r="L55" s="52">
        <v>3777.5800000000017</v>
      </c>
      <c r="M55" s="53">
        <v>0.05027722761998703</v>
      </c>
      <c r="N55" s="53"/>
      <c r="O55" s="52">
        <v>34229.96</v>
      </c>
      <c r="P55" s="52">
        <v>27479.89</v>
      </c>
      <c r="Q55" s="52">
        <v>6750.07</v>
      </c>
      <c r="R55" s="53">
        <v>0.19719771802245753</v>
      </c>
      <c r="S55" s="54">
        <v>685.48</v>
      </c>
      <c r="T55" s="54">
        <v>578.5</v>
      </c>
      <c r="U55" s="54">
        <v>106.98000000000002</v>
      </c>
      <c r="V55" s="53">
        <v>0.15606582248935055</v>
      </c>
      <c r="W55" s="53"/>
      <c r="X55" s="55">
        <v>50.09016421780467</v>
      </c>
      <c r="Y55" s="55">
        <v>67.00679527854935</v>
      </c>
      <c r="Z55" s="53">
        <v>0.2267</v>
      </c>
      <c r="AA55" s="56">
        <v>0.2958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101</v>
      </c>
      <c r="D56" s="52">
        <v>155296.79</v>
      </c>
      <c r="E56" s="52">
        <v>127814.48</v>
      </c>
      <c r="F56" s="52">
        <v>27482.310000000012</v>
      </c>
      <c r="G56" s="53">
        <v>0.176966375158173</v>
      </c>
      <c r="H56" s="52">
        <v>109364.97</v>
      </c>
      <c r="I56" s="52">
        <v>100761.26</v>
      </c>
      <c r="J56" s="52">
        <v>75135.01000000001</v>
      </c>
      <c r="K56" s="52">
        <v>71552.81</v>
      </c>
      <c r="L56" s="52">
        <v>3582.2000000000116</v>
      </c>
      <c r="M56" s="53">
        <v>0.04767684199416505</v>
      </c>
      <c r="N56" s="53"/>
      <c r="O56" s="52">
        <v>34229.96</v>
      </c>
      <c r="P56" s="52">
        <v>29208.45</v>
      </c>
      <c r="Q56" s="52">
        <v>5021.509999999998</v>
      </c>
      <c r="R56" s="53">
        <v>0.14669926578938447</v>
      </c>
      <c r="S56" s="54">
        <v>685.48</v>
      </c>
      <c r="T56" s="54">
        <v>610</v>
      </c>
      <c r="U56" s="54">
        <v>75.48000000000002</v>
      </c>
      <c r="V56" s="53">
        <v>0.11011262181245261</v>
      </c>
      <c r="W56" s="53"/>
      <c r="X56" s="55">
        <v>44.34954098360656</v>
      </c>
      <c r="Y56" s="55">
        <v>67.00679527854935</v>
      </c>
      <c r="Z56" s="53">
        <v>0.21170000000000003</v>
      </c>
      <c r="AA56" s="56">
        <v>0.2958</v>
      </c>
      <c r="AB56" s="57"/>
      <c r="AD56" s="35" t="s">
        <v>102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103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104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96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97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98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99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100</v>
      </c>
      <c r="D62" s="52">
        <v>20420.56</v>
      </c>
      <c r="E62" s="52">
        <v>20420.56</v>
      </c>
      <c r="F62" s="52">
        <v>0</v>
      </c>
      <c r="G62" s="53">
        <v>0</v>
      </c>
      <c r="H62" s="52">
        <v>15859.68</v>
      </c>
      <c r="I62" s="52">
        <v>13435.12</v>
      </c>
      <c r="J62" s="52">
        <v>12689.1</v>
      </c>
      <c r="K62" s="52">
        <v>11478.25</v>
      </c>
      <c r="L62" s="52">
        <v>1210.8500000000004</v>
      </c>
      <c r="M62" s="53">
        <v>0.09542441938356545</v>
      </c>
      <c r="N62" s="53"/>
      <c r="O62" s="52">
        <v>3170.58</v>
      </c>
      <c r="P62" s="52">
        <v>1956.87</v>
      </c>
      <c r="Q62" s="52">
        <v>1213.71</v>
      </c>
      <c r="R62" s="53">
        <v>0.38280377722687964</v>
      </c>
      <c r="S62" s="54">
        <v>63.5</v>
      </c>
      <c r="T62" s="54">
        <v>48.25</v>
      </c>
      <c r="U62" s="54">
        <v>15.25</v>
      </c>
      <c r="V62" s="53">
        <v>0.24015748031496062</v>
      </c>
      <c r="W62" s="53"/>
      <c r="X62" s="55">
        <v>144.7759585492228</v>
      </c>
      <c r="Y62" s="55">
        <v>71.82495570677168</v>
      </c>
      <c r="Z62" s="53">
        <v>0.3421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101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102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103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104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96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97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98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99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100</v>
      </c>
      <c r="D69" s="52">
        <v>53029.71</v>
      </c>
      <c r="E69" s="52">
        <v>10650.43</v>
      </c>
      <c r="F69" s="52">
        <v>42379.28</v>
      </c>
      <c r="G69" s="53">
        <v>0.7991610740469823</v>
      </c>
      <c r="H69" s="52">
        <v>39055.78</v>
      </c>
      <c r="I69" s="52">
        <v>16807.92</v>
      </c>
      <c r="J69" s="52">
        <v>29537.29</v>
      </c>
      <c r="K69" s="52">
        <v>16659.14</v>
      </c>
      <c r="L69" s="52">
        <v>12878.150000000001</v>
      </c>
      <c r="M69" s="53">
        <v>0.4359963287085579</v>
      </c>
      <c r="N69" s="53"/>
      <c r="O69" s="52">
        <v>9518.49</v>
      </c>
      <c r="P69" s="52">
        <v>148.78</v>
      </c>
      <c r="Q69" s="52">
        <v>9369.71</v>
      </c>
      <c r="R69" s="53">
        <v>0.9843693695113405</v>
      </c>
      <c r="S69" s="54">
        <v>193.32</v>
      </c>
      <c r="T69" s="54">
        <v>2.75</v>
      </c>
      <c r="U69" s="54">
        <v>190.57</v>
      </c>
      <c r="V69" s="53">
        <v>0.9857748810262776</v>
      </c>
      <c r="W69" s="53"/>
      <c r="X69" s="55">
        <v>-2239.0872727272726</v>
      </c>
      <c r="Y69" s="55">
        <v>72.28396616733912</v>
      </c>
      <c r="Z69" s="53">
        <v>-0.5781000000000001</v>
      </c>
      <c r="AA69" s="56">
        <v>0.2635</v>
      </c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101</v>
      </c>
      <c r="D70" s="52">
        <v>53029.71</v>
      </c>
      <c r="E70" s="52">
        <v>10650.43</v>
      </c>
      <c r="F70" s="52">
        <v>42379.28</v>
      </c>
      <c r="G70" s="53">
        <v>0.7991610740469823</v>
      </c>
      <c r="H70" s="52">
        <v>39055.78</v>
      </c>
      <c r="I70" s="52">
        <v>17736.52</v>
      </c>
      <c r="J70" s="52">
        <v>29537.29</v>
      </c>
      <c r="K70" s="52">
        <v>17587.74</v>
      </c>
      <c r="L70" s="52">
        <v>11949.55</v>
      </c>
      <c r="M70" s="53">
        <v>0.4045581026559985</v>
      </c>
      <c r="N70" s="53"/>
      <c r="O70" s="52">
        <v>9518.49</v>
      </c>
      <c r="P70" s="52">
        <v>148.78</v>
      </c>
      <c r="Q70" s="52">
        <v>9369.71</v>
      </c>
      <c r="R70" s="53">
        <v>0.9843693695113405</v>
      </c>
      <c r="S70" s="54">
        <v>193.32</v>
      </c>
      <c r="T70" s="54">
        <v>2.75</v>
      </c>
      <c r="U70" s="54">
        <v>190.57</v>
      </c>
      <c r="V70" s="53">
        <v>0.9857748810262776</v>
      </c>
      <c r="W70" s="53"/>
      <c r="X70" s="55">
        <v>-2576.76</v>
      </c>
      <c r="Y70" s="55">
        <v>72.28396616733912</v>
      </c>
      <c r="Z70" s="53">
        <v>-0.6653</v>
      </c>
      <c r="AA70" s="56">
        <v>0.2635</v>
      </c>
      <c r="AB70" s="57"/>
      <c r="AD70" s="35" t="s">
        <v>102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103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104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96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97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98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29696.65</v>
      </c>
      <c r="J75" s="52">
        <v>31383.390000000003</v>
      </c>
      <c r="K75" s="52">
        <v>23592.600000000002</v>
      </c>
      <c r="L75" s="52">
        <v>7790.790000000001</v>
      </c>
      <c r="M75" s="53">
        <v>0.24824564841465502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125.30844074844074</v>
      </c>
      <c r="Y75" s="55">
        <v>48.58165977967362</v>
      </c>
      <c r="Z75" s="53">
        <v>0.33659999999999995</v>
      </c>
      <c r="AA75" s="56">
        <v>0.2963</v>
      </c>
      <c r="AB75" s="57"/>
      <c r="AD75" s="35" t="s">
        <v>99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100</v>
      </c>
      <c r="D76" s="52">
        <v>77408.3</v>
      </c>
      <c r="E76" s="52">
        <v>44764.99</v>
      </c>
      <c r="F76" s="52">
        <v>32643.310000000005</v>
      </c>
      <c r="G76" s="53">
        <v>0.42170296983656796</v>
      </c>
      <c r="H76" s="52">
        <v>54446.73</v>
      </c>
      <c r="I76" s="52">
        <v>31669.14</v>
      </c>
      <c r="J76" s="52">
        <v>31451.700000000004</v>
      </c>
      <c r="K76" s="52">
        <v>23876.59</v>
      </c>
      <c r="L76" s="52">
        <v>7575.110000000004</v>
      </c>
      <c r="M76" s="53">
        <v>0.24084898431563329</v>
      </c>
      <c r="N76" s="53"/>
      <c r="O76" s="52">
        <v>22995.03</v>
      </c>
      <c r="P76" s="52">
        <v>7792.55</v>
      </c>
      <c r="Q76" s="52">
        <v>15202.48</v>
      </c>
      <c r="R76" s="53">
        <v>0.661120250767231</v>
      </c>
      <c r="S76" s="54">
        <v>472.14</v>
      </c>
      <c r="T76" s="54">
        <v>156</v>
      </c>
      <c r="U76" s="54">
        <v>316.14</v>
      </c>
      <c r="V76" s="53">
        <v>0.6695895285296734</v>
      </c>
      <c r="W76" s="53"/>
      <c r="X76" s="55">
        <v>83.94775641025642</v>
      </c>
      <c r="Y76" s="55">
        <v>48.63296805100184</v>
      </c>
      <c r="Z76" s="53">
        <v>0.2925</v>
      </c>
      <c r="AA76" s="56">
        <v>0.2966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101</v>
      </c>
      <c r="D77" s="52">
        <v>78753.07</v>
      </c>
      <c r="E77" s="52">
        <v>44764.99</v>
      </c>
      <c r="F77" s="52">
        <v>33988.08000000001</v>
      </c>
      <c r="G77" s="53">
        <v>0.4315778419812714</v>
      </c>
      <c r="H77" s="52">
        <v>55589.78</v>
      </c>
      <c r="I77" s="52">
        <v>32417.98</v>
      </c>
      <c r="J77" s="52">
        <v>32594.75</v>
      </c>
      <c r="K77" s="52">
        <v>24016.8</v>
      </c>
      <c r="L77" s="52">
        <v>8577.95</v>
      </c>
      <c r="M77" s="53">
        <v>0.26316968223410214</v>
      </c>
      <c r="N77" s="53"/>
      <c r="O77" s="52">
        <v>22995.03</v>
      </c>
      <c r="P77" s="52">
        <v>8401.18</v>
      </c>
      <c r="Q77" s="52">
        <v>14593.849999999999</v>
      </c>
      <c r="R77" s="53">
        <v>0.6346523574876832</v>
      </c>
      <c r="S77" s="54">
        <v>472.14</v>
      </c>
      <c r="T77" s="54">
        <v>167.25</v>
      </c>
      <c r="U77" s="54">
        <v>304.89</v>
      </c>
      <c r="V77" s="53">
        <v>0.6457618502986402</v>
      </c>
      <c r="W77" s="53"/>
      <c r="X77" s="55">
        <v>73.82367713004484</v>
      </c>
      <c r="Y77" s="55">
        <v>49.060202993773025</v>
      </c>
      <c r="Z77" s="53">
        <v>0.2758</v>
      </c>
      <c r="AA77" s="56">
        <v>0.2941</v>
      </c>
      <c r="AB77" s="57"/>
      <c r="AD77" s="35" t="s">
        <v>102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103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104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96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97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98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99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100</v>
      </c>
      <c r="D83" s="52">
        <v>25467.84</v>
      </c>
      <c r="E83" s="52">
        <v>19598.41</v>
      </c>
      <c r="F83" s="52">
        <v>5869.43</v>
      </c>
      <c r="G83" s="53">
        <v>0.2304643817457625</v>
      </c>
      <c r="H83" s="52">
        <v>16606.83</v>
      </c>
      <c r="I83" s="52">
        <v>11832.36</v>
      </c>
      <c r="J83" s="52">
        <v>9659.990000000002</v>
      </c>
      <c r="K83" s="52">
        <v>4228.240000000001</v>
      </c>
      <c r="L83" s="52">
        <v>5431.750000000001</v>
      </c>
      <c r="M83" s="53">
        <v>0.5622935427469387</v>
      </c>
      <c r="N83" s="53"/>
      <c r="O83" s="52">
        <v>6946.84</v>
      </c>
      <c r="P83" s="52">
        <v>7604.12</v>
      </c>
      <c r="Q83" s="52">
        <v>-657.2799999999997</v>
      </c>
      <c r="R83" s="53">
        <v>-0.09461568137455299</v>
      </c>
      <c r="S83" s="54">
        <v>139.07</v>
      </c>
      <c r="T83" s="54">
        <v>147.75</v>
      </c>
      <c r="U83" s="54">
        <v>-8.680000000000007</v>
      </c>
      <c r="V83" s="53">
        <v>-0.06241461134680382</v>
      </c>
      <c r="W83" s="53"/>
      <c r="X83" s="55">
        <v>52.562098138747885</v>
      </c>
      <c r="Y83" s="55">
        <v>63.7162162306752</v>
      </c>
      <c r="Z83" s="53">
        <v>0.39630000000000004</v>
      </c>
      <c r="AA83" s="56">
        <v>0.3479</v>
      </c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101</v>
      </c>
      <c r="D84" s="52">
        <v>25467.84</v>
      </c>
      <c r="E84" s="52">
        <v>19598.41</v>
      </c>
      <c r="F84" s="52">
        <v>5869.43</v>
      </c>
      <c r="G84" s="53">
        <v>0.2304643817457625</v>
      </c>
      <c r="H84" s="52">
        <v>16606.83</v>
      </c>
      <c r="I84" s="52">
        <v>12517.98</v>
      </c>
      <c r="J84" s="52">
        <v>9659.990000000002</v>
      </c>
      <c r="K84" s="52">
        <v>4823.58</v>
      </c>
      <c r="L84" s="52">
        <v>4836.410000000002</v>
      </c>
      <c r="M84" s="53">
        <v>0.5006640793624011</v>
      </c>
      <c r="N84" s="53"/>
      <c r="O84" s="52">
        <v>6946.84</v>
      </c>
      <c r="P84" s="52">
        <v>7694.4</v>
      </c>
      <c r="Q84" s="52">
        <v>-747.5599999999995</v>
      </c>
      <c r="R84" s="53">
        <v>-0.10761151833063659</v>
      </c>
      <c r="S84" s="54">
        <v>139.07</v>
      </c>
      <c r="T84" s="54">
        <v>147.75</v>
      </c>
      <c r="U84" s="54">
        <v>-8.680000000000007</v>
      </c>
      <c r="V84" s="53">
        <v>-0.06241461134680382</v>
      </c>
      <c r="W84" s="53"/>
      <c r="X84" s="55">
        <v>47.92169204737733</v>
      </c>
      <c r="Y84" s="55">
        <v>63.7162162306752</v>
      </c>
      <c r="Z84" s="53">
        <v>0.3613</v>
      </c>
      <c r="AA84" s="56">
        <v>0.3479</v>
      </c>
      <c r="AB84" s="57"/>
      <c r="AD84" s="35" t="s">
        <v>102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103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104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96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97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98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25060.53</v>
      </c>
      <c r="J89" s="52">
        <v>15440.32</v>
      </c>
      <c r="K89" s="52">
        <v>13974.73</v>
      </c>
      <c r="L89" s="52">
        <v>1465.5900000000001</v>
      </c>
      <c r="M89" s="53">
        <v>0.09491966487741188</v>
      </c>
      <c r="N89" s="53"/>
      <c r="O89" s="52">
        <v>11562.61</v>
      </c>
      <c r="P89" s="52">
        <v>11085.8</v>
      </c>
      <c r="Q89" s="52">
        <v>476.8100000000013</v>
      </c>
      <c r="R89" s="53">
        <v>0.041237229310683424</v>
      </c>
      <c r="S89" s="68">
        <v>231.75</v>
      </c>
      <c r="T89" s="68">
        <v>225.5</v>
      </c>
      <c r="U89" s="54">
        <v>6.25</v>
      </c>
      <c r="V89" s="53">
        <v>0.02696871628910464</v>
      </c>
      <c r="W89" s="53"/>
      <c r="X89" s="55">
        <v>50.20310421286031</v>
      </c>
      <c r="Y89" s="55">
        <v>43.49557070636461</v>
      </c>
      <c r="Z89" s="53">
        <v>0.31120000000000003</v>
      </c>
      <c r="AA89" s="56">
        <v>0.2718</v>
      </c>
      <c r="AB89" s="57"/>
      <c r="AD89" s="35" t="s">
        <v>99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100</v>
      </c>
      <c r="D90" s="67">
        <v>37083.03</v>
      </c>
      <c r="E90" s="67">
        <v>36381.33</v>
      </c>
      <c r="F90" s="52">
        <v>701.6999999999971</v>
      </c>
      <c r="G90" s="53">
        <v>0.018922401972007064</v>
      </c>
      <c r="H90" s="52">
        <v>27002.93</v>
      </c>
      <c r="I90" s="52">
        <v>25060.53</v>
      </c>
      <c r="J90" s="52">
        <v>15440.32</v>
      </c>
      <c r="K90" s="52">
        <v>13974.73</v>
      </c>
      <c r="L90" s="52">
        <v>1465.5900000000001</v>
      </c>
      <c r="M90" s="53">
        <v>0.09491966487741188</v>
      </c>
      <c r="N90" s="53"/>
      <c r="O90" s="52">
        <v>11562.61</v>
      </c>
      <c r="P90" s="52">
        <v>11085.8</v>
      </c>
      <c r="Q90" s="52">
        <v>476.8100000000013</v>
      </c>
      <c r="R90" s="53">
        <v>0.041237229310683424</v>
      </c>
      <c r="S90" s="68">
        <v>231.75</v>
      </c>
      <c r="T90" s="68">
        <v>225.5</v>
      </c>
      <c r="U90" s="54">
        <v>6.25</v>
      </c>
      <c r="V90" s="53">
        <v>0.02696871628910464</v>
      </c>
      <c r="W90" s="53"/>
      <c r="X90" s="55">
        <v>50.20310421286031</v>
      </c>
      <c r="Y90" s="55">
        <v>43.49557070636461</v>
      </c>
      <c r="Z90" s="53">
        <v>0.31120000000000003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101</v>
      </c>
      <c r="D91" s="67">
        <v>37083.03</v>
      </c>
      <c r="E91" s="67">
        <v>36381.33</v>
      </c>
      <c r="F91" s="52">
        <v>701.6999999999971</v>
      </c>
      <c r="G91" s="53">
        <v>0.018922401972007064</v>
      </c>
      <c r="H91" s="52">
        <v>27002.93</v>
      </c>
      <c r="I91" s="52">
        <v>25060.53</v>
      </c>
      <c r="J91" s="52">
        <v>15440.32</v>
      </c>
      <c r="K91" s="52">
        <v>13974.73</v>
      </c>
      <c r="L91" s="52">
        <v>1465.5900000000001</v>
      </c>
      <c r="M91" s="53">
        <v>0.09491966487741188</v>
      </c>
      <c r="N91" s="53"/>
      <c r="O91" s="52">
        <v>11562.61</v>
      </c>
      <c r="P91" s="52">
        <v>11085.8</v>
      </c>
      <c r="Q91" s="52">
        <v>476.8100000000013</v>
      </c>
      <c r="R91" s="53">
        <v>0.041237229310683424</v>
      </c>
      <c r="S91" s="68">
        <v>231.75</v>
      </c>
      <c r="T91" s="68">
        <v>225.5</v>
      </c>
      <c r="U91" s="54">
        <v>6.25</v>
      </c>
      <c r="V91" s="53">
        <v>0.02696871628910464</v>
      </c>
      <c r="W91" s="53"/>
      <c r="X91" s="55">
        <v>50.20310421286031</v>
      </c>
      <c r="Y91" s="55">
        <v>43.49557070636461</v>
      </c>
      <c r="Z91" s="53">
        <v>0.31120000000000003</v>
      </c>
      <c r="AA91" s="56">
        <v>0.2718</v>
      </c>
      <c r="AB91" s="57"/>
      <c r="AD91" s="35" t="s">
        <v>102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103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104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96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97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98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99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100</v>
      </c>
      <c r="D97" s="52">
        <v>26186.14</v>
      </c>
      <c r="E97" s="52">
        <v>5762.27</v>
      </c>
      <c r="F97" s="52">
        <v>20423.87</v>
      </c>
      <c r="G97" s="53">
        <v>0.7799496222047235</v>
      </c>
      <c r="H97" s="52">
        <v>19428.98</v>
      </c>
      <c r="I97" s="52">
        <v>7925.81</v>
      </c>
      <c r="J97" s="52">
        <v>12051.32</v>
      </c>
      <c r="K97" s="52">
        <v>7679.910000000001</v>
      </c>
      <c r="L97" s="52">
        <v>4371.409999999999</v>
      </c>
      <c r="M97" s="53">
        <v>0.36273287905391266</v>
      </c>
      <c r="N97" s="53"/>
      <c r="O97" s="52">
        <v>7377.66</v>
      </c>
      <c r="P97" s="52">
        <v>245.9</v>
      </c>
      <c r="Q97" s="52">
        <v>7131.76</v>
      </c>
      <c r="R97" s="53">
        <v>0.9666696486419813</v>
      </c>
      <c r="S97" s="54">
        <v>147.9</v>
      </c>
      <c r="T97" s="54">
        <v>5</v>
      </c>
      <c r="U97" s="54">
        <v>142.9</v>
      </c>
      <c r="V97" s="53">
        <v>0.9661933739012847</v>
      </c>
      <c r="W97" s="53"/>
      <c r="X97" s="55">
        <v>-432.70799999999997</v>
      </c>
      <c r="Y97" s="55">
        <v>45.687352144692355</v>
      </c>
      <c r="Z97" s="53">
        <v>-0.37549999999999994</v>
      </c>
      <c r="AA97" s="56">
        <v>0.258</v>
      </c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101</v>
      </c>
      <c r="D98" s="52">
        <v>26186.14</v>
      </c>
      <c r="E98" s="52">
        <v>5762.27</v>
      </c>
      <c r="F98" s="52">
        <v>20423.87</v>
      </c>
      <c r="G98" s="53">
        <v>0.7799496222047235</v>
      </c>
      <c r="H98" s="52">
        <v>19428.98</v>
      </c>
      <c r="I98" s="52">
        <v>7925.81</v>
      </c>
      <c r="J98" s="52">
        <v>12051.32</v>
      </c>
      <c r="K98" s="52">
        <v>7679.910000000001</v>
      </c>
      <c r="L98" s="52">
        <v>4371.409999999999</v>
      </c>
      <c r="M98" s="53">
        <v>0.36273287905391266</v>
      </c>
      <c r="N98" s="53"/>
      <c r="O98" s="52">
        <v>7377.66</v>
      </c>
      <c r="P98" s="52">
        <v>245.9</v>
      </c>
      <c r="Q98" s="52">
        <v>7131.76</v>
      </c>
      <c r="R98" s="53">
        <v>0.9666696486419813</v>
      </c>
      <c r="S98" s="54">
        <v>147.9</v>
      </c>
      <c r="T98" s="54">
        <v>5</v>
      </c>
      <c r="U98" s="54">
        <v>142.9</v>
      </c>
      <c r="V98" s="53">
        <v>0.9661933739012847</v>
      </c>
      <c r="W98" s="53"/>
      <c r="X98" s="55">
        <v>-432.70799999999997</v>
      </c>
      <c r="Y98" s="55">
        <v>45.687352144692355</v>
      </c>
      <c r="Z98" s="53">
        <v>-0.37549999999999994</v>
      </c>
      <c r="AA98" s="56">
        <v>0.258</v>
      </c>
      <c r="AB98" s="57"/>
      <c r="AD98" s="35" t="s">
        <v>102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103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104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96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97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98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99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100</v>
      </c>
      <c r="D104" s="52">
        <v>32473.02</v>
      </c>
      <c r="E104" s="69">
        <v>32473.03</v>
      </c>
      <c r="F104" s="52">
        <v>-0.00999999999839929</v>
      </c>
      <c r="G104" s="53">
        <v>-3.0794795181967334e-7</v>
      </c>
      <c r="H104" s="52">
        <v>23075.07</v>
      </c>
      <c r="I104" s="52">
        <v>31170.94</v>
      </c>
      <c r="J104" s="52">
        <v>12691.21</v>
      </c>
      <c r="K104" s="52">
        <v>15089.13</v>
      </c>
      <c r="L104" s="52">
        <v>-2397.92</v>
      </c>
      <c r="M104" s="53">
        <v>-0.18894337104184708</v>
      </c>
      <c r="N104" s="53"/>
      <c r="O104" s="52">
        <v>10383.86</v>
      </c>
      <c r="P104" s="52">
        <v>16081.81</v>
      </c>
      <c r="Q104" s="52">
        <v>-5697.949999999999</v>
      </c>
      <c r="R104" s="53">
        <v>-0.5487313966097385</v>
      </c>
      <c r="S104" s="54">
        <v>208.2</v>
      </c>
      <c r="T104" s="54">
        <v>324.25</v>
      </c>
      <c r="U104" s="54">
        <v>-116.05000000000001</v>
      </c>
      <c r="V104" s="53">
        <v>-0.5573967339097023</v>
      </c>
      <c r="W104" s="53"/>
      <c r="X104" s="55">
        <v>4.015697764070933</v>
      </c>
      <c r="Y104" s="55">
        <v>45.139084580403456</v>
      </c>
      <c r="Z104" s="53">
        <v>0.0401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101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102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103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104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96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97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98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99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100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45817.77</v>
      </c>
      <c r="J111" s="52">
        <v>21415.85</v>
      </c>
      <c r="K111" s="52">
        <v>23939.389999999996</v>
      </c>
      <c r="L111" s="52">
        <v>-2523.5399999999972</v>
      </c>
      <c r="M111" s="53">
        <v>-0.11783515480356826</v>
      </c>
      <c r="N111" s="53"/>
      <c r="O111" s="52">
        <v>16186.03</v>
      </c>
      <c r="P111" s="52">
        <v>21878.38</v>
      </c>
      <c r="Q111" s="52">
        <v>-5692.35</v>
      </c>
      <c r="R111" s="53">
        <v>-0.3516829018604315</v>
      </c>
      <c r="S111" s="54">
        <v>324.19</v>
      </c>
      <c r="T111" s="54">
        <v>472.75</v>
      </c>
      <c r="U111" s="54">
        <v>-148.56</v>
      </c>
      <c r="V111" s="53">
        <v>-0.45824979178876585</v>
      </c>
      <c r="W111" s="53"/>
      <c r="X111" s="55">
        <v>48.973178212585935</v>
      </c>
      <c r="Y111" s="55">
        <v>65.70431400737223</v>
      </c>
      <c r="Z111" s="53">
        <v>0.3357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101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102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103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104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96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97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98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99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100</v>
      </c>
      <c r="D118" s="52">
        <v>21404.82</v>
      </c>
      <c r="E118" s="52">
        <v>0</v>
      </c>
      <c r="F118" s="52">
        <v>21404.82</v>
      </c>
      <c r="G118" s="53">
        <v>1</v>
      </c>
      <c r="H118" s="52">
        <v>17514.09</v>
      </c>
      <c r="I118" s="52">
        <v>0</v>
      </c>
      <c r="J118" s="52">
        <v>13318.880000000001</v>
      </c>
      <c r="K118" s="52">
        <v>0</v>
      </c>
      <c r="L118" s="52">
        <v>13318.880000000001</v>
      </c>
      <c r="M118" s="53">
        <v>1</v>
      </c>
      <c r="N118" s="53"/>
      <c r="O118" s="52">
        <v>4195.21</v>
      </c>
      <c r="P118" s="52">
        <v>0</v>
      </c>
      <c r="Q118" s="52">
        <v>4195.21</v>
      </c>
      <c r="R118" s="53">
        <v>1</v>
      </c>
      <c r="S118" s="54">
        <v>84.05</v>
      </c>
      <c r="T118" s="54">
        <v>0</v>
      </c>
      <c r="U118" s="54">
        <v>84.05</v>
      </c>
      <c r="V118" s="53">
        <v>1</v>
      </c>
      <c r="W118" s="53"/>
      <c r="X118" s="55">
        <v>0</v>
      </c>
      <c r="Y118" s="55">
        <v>46.29062162403328</v>
      </c>
      <c r="Z118" s="53">
        <v>0</v>
      </c>
      <c r="AA118" s="56">
        <v>0.1818</v>
      </c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101</v>
      </c>
      <c r="D119" s="52">
        <v>21404.82</v>
      </c>
      <c r="E119" s="52">
        <v>0</v>
      </c>
      <c r="F119" s="52">
        <v>21404.82</v>
      </c>
      <c r="G119" s="53">
        <v>1</v>
      </c>
      <c r="H119" s="52">
        <v>17514.09</v>
      </c>
      <c r="I119" s="52">
        <v>0</v>
      </c>
      <c r="J119" s="52">
        <v>13318.880000000001</v>
      </c>
      <c r="K119" s="52">
        <v>0</v>
      </c>
      <c r="L119" s="52">
        <v>13318.880000000001</v>
      </c>
      <c r="M119" s="53">
        <v>1</v>
      </c>
      <c r="N119" s="53"/>
      <c r="O119" s="52">
        <v>4195.21</v>
      </c>
      <c r="P119" s="52">
        <v>0</v>
      </c>
      <c r="Q119" s="52">
        <v>4195.21</v>
      </c>
      <c r="R119" s="53">
        <v>1</v>
      </c>
      <c r="S119" s="54">
        <v>84.05</v>
      </c>
      <c r="T119" s="54">
        <v>0</v>
      </c>
      <c r="U119" s="54">
        <v>84.05</v>
      </c>
      <c r="V119" s="53">
        <v>1</v>
      </c>
      <c r="W119" s="53"/>
      <c r="X119" s="55">
        <v>0</v>
      </c>
      <c r="Y119" s="55">
        <v>46.29062162403328</v>
      </c>
      <c r="Z119" s="53">
        <v>0</v>
      </c>
      <c r="AA119" s="56">
        <v>0.1818</v>
      </c>
      <c r="AB119" s="57"/>
      <c r="AD119" s="35" t="s">
        <v>102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103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104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96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97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98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99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100</v>
      </c>
      <c r="D125" s="52">
        <v>105896.96</v>
      </c>
      <c r="E125" s="52">
        <v>67407.3</v>
      </c>
      <c r="F125" s="52">
        <v>38489.66</v>
      </c>
      <c r="G125" s="53">
        <v>0.36346331377218005</v>
      </c>
      <c r="H125" s="52">
        <v>85934.2</v>
      </c>
      <c r="I125" s="52">
        <v>56814.23</v>
      </c>
      <c r="J125" s="52">
        <v>70065.72</v>
      </c>
      <c r="K125" s="52">
        <v>51957.8</v>
      </c>
      <c r="L125" s="52">
        <v>18107.92</v>
      </c>
      <c r="M125" s="53">
        <v>0.2584419313752859</v>
      </c>
      <c r="N125" s="53"/>
      <c r="O125" s="52">
        <v>15868.48</v>
      </c>
      <c r="P125" s="52">
        <v>4856.43</v>
      </c>
      <c r="Q125" s="52">
        <v>11012.05</v>
      </c>
      <c r="R125" s="53">
        <v>0.6939574552824215</v>
      </c>
      <c r="S125" s="54">
        <v>317.92</v>
      </c>
      <c r="T125" s="54">
        <v>106</v>
      </c>
      <c r="U125" s="54">
        <v>211.92000000000002</v>
      </c>
      <c r="V125" s="53">
        <v>0.6665827881227983</v>
      </c>
      <c r="W125" s="53"/>
      <c r="X125" s="55">
        <v>99.93462264150943</v>
      </c>
      <c r="Y125" s="55">
        <v>62.79176131227983</v>
      </c>
      <c r="Z125" s="53">
        <v>0.1572</v>
      </c>
      <c r="AA125" s="56">
        <v>0.1885</v>
      </c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101</v>
      </c>
      <c r="D126" s="52">
        <v>105896.96</v>
      </c>
      <c r="E126" s="52">
        <v>67407.3</v>
      </c>
      <c r="F126" s="52">
        <v>38489.66</v>
      </c>
      <c r="G126" s="53">
        <v>0.36346331377218005</v>
      </c>
      <c r="H126" s="52">
        <v>85934.2</v>
      </c>
      <c r="I126" s="52">
        <v>56814.97</v>
      </c>
      <c r="J126" s="52">
        <v>70065.72</v>
      </c>
      <c r="K126" s="52">
        <v>51957.8</v>
      </c>
      <c r="L126" s="52">
        <v>18107.92</v>
      </c>
      <c r="M126" s="53">
        <v>0.2584419313752859</v>
      </c>
      <c r="N126" s="53"/>
      <c r="O126" s="52">
        <v>15868.48</v>
      </c>
      <c r="P126" s="52">
        <v>4857.17</v>
      </c>
      <c r="Q126" s="52">
        <v>11011.31</v>
      </c>
      <c r="R126" s="53">
        <v>0.6939108219564822</v>
      </c>
      <c r="S126" s="54">
        <v>317.92</v>
      </c>
      <c r="T126" s="54">
        <v>106</v>
      </c>
      <c r="U126" s="54">
        <v>211.92000000000002</v>
      </c>
      <c r="V126" s="53">
        <v>0.6665827881227983</v>
      </c>
      <c r="W126" s="53"/>
      <c r="X126" s="55">
        <v>99.92764150943397</v>
      </c>
      <c r="Y126" s="55">
        <v>62.79176131227983</v>
      </c>
      <c r="Z126" s="53">
        <v>0.15710000000000002</v>
      </c>
      <c r="AA126" s="56">
        <v>0.1885</v>
      </c>
      <c r="AB126" s="57"/>
      <c r="AD126" s="35" t="s">
        <v>102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103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104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96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97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98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99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100</v>
      </c>
      <c r="D132" s="52">
        <v>31802.41</v>
      </c>
      <c r="E132" s="52">
        <v>16498.64</v>
      </c>
      <c r="F132" s="52">
        <v>15303.77</v>
      </c>
      <c r="G132" s="53">
        <v>0.4812141595558324</v>
      </c>
      <c r="H132" s="52">
        <v>23448.14</v>
      </c>
      <c r="I132" s="52">
        <v>12360.83</v>
      </c>
      <c r="J132" s="52">
        <v>15632.029999999999</v>
      </c>
      <c r="K132" s="52">
        <v>11772.08</v>
      </c>
      <c r="L132" s="52">
        <v>3859.949999999999</v>
      </c>
      <c r="M132" s="53">
        <v>0.24692570318762178</v>
      </c>
      <c r="N132" s="53"/>
      <c r="O132" s="52">
        <v>7816.11</v>
      </c>
      <c r="P132" s="52">
        <v>588.75</v>
      </c>
      <c r="Q132" s="52">
        <v>7227.36</v>
      </c>
      <c r="R132" s="53">
        <v>0.9246748062655208</v>
      </c>
      <c r="S132" s="54">
        <v>156.69</v>
      </c>
      <c r="T132" s="54">
        <v>11.5</v>
      </c>
      <c r="U132" s="54">
        <v>145.19</v>
      </c>
      <c r="V132" s="53">
        <v>0.9266066756015061</v>
      </c>
      <c r="W132" s="53"/>
      <c r="X132" s="55">
        <v>359.80956521739137</v>
      </c>
      <c r="Y132" s="55">
        <v>53.31719360265494</v>
      </c>
      <c r="Z132" s="53">
        <v>0.25079999999999997</v>
      </c>
      <c r="AA132" s="56">
        <v>0.2627</v>
      </c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101</v>
      </c>
      <c r="D133" s="52">
        <v>31802.41</v>
      </c>
      <c r="E133" s="52">
        <v>16498.64</v>
      </c>
      <c r="F133" s="52">
        <v>15303.77</v>
      </c>
      <c r="G133" s="53">
        <v>0.4812141595558324</v>
      </c>
      <c r="H133" s="52">
        <v>23448.14</v>
      </c>
      <c r="I133" s="52">
        <v>12360.83</v>
      </c>
      <c r="J133" s="52">
        <v>15632.029999999999</v>
      </c>
      <c r="K133" s="52">
        <v>11772.08</v>
      </c>
      <c r="L133" s="52">
        <v>3859.949999999999</v>
      </c>
      <c r="M133" s="53">
        <v>0.24692570318762178</v>
      </c>
      <c r="N133" s="53"/>
      <c r="O133" s="52">
        <v>7816.11</v>
      </c>
      <c r="P133" s="52">
        <v>588.75</v>
      </c>
      <c r="Q133" s="52">
        <v>7227.36</v>
      </c>
      <c r="R133" s="53">
        <v>0.9246748062655208</v>
      </c>
      <c r="S133" s="54">
        <v>156.69</v>
      </c>
      <c r="T133" s="54">
        <v>11.5</v>
      </c>
      <c r="U133" s="54">
        <v>145.19</v>
      </c>
      <c r="V133" s="53">
        <v>0.9266066756015061</v>
      </c>
      <c r="W133" s="53"/>
      <c r="X133" s="55">
        <v>359.80956521739137</v>
      </c>
      <c r="Y133" s="55">
        <v>53.31719360265494</v>
      </c>
      <c r="Z133" s="53">
        <v>0.25079999999999997</v>
      </c>
      <c r="AA133" s="56">
        <v>0.2627</v>
      </c>
      <c r="AB133" s="57"/>
      <c r="AD133" s="35" t="s">
        <v>102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103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104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96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97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98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99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100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25891.86</v>
      </c>
      <c r="J139" s="52">
        <v>12565.06</v>
      </c>
      <c r="K139" s="52">
        <v>11792.09</v>
      </c>
      <c r="L139" s="52">
        <v>772.9699999999993</v>
      </c>
      <c r="M139" s="53">
        <v>0.061517414162765585</v>
      </c>
      <c r="N139" s="53"/>
      <c r="O139" s="52">
        <v>10022.83</v>
      </c>
      <c r="P139" s="52">
        <v>14099.77</v>
      </c>
      <c r="Q139" s="52">
        <v>-4076.9400000000005</v>
      </c>
      <c r="R139" s="53">
        <v>-0.40676535469523084</v>
      </c>
      <c r="S139" s="54">
        <v>200.82</v>
      </c>
      <c r="T139" s="54">
        <v>283.75</v>
      </c>
      <c r="U139" s="54">
        <v>-82.93</v>
      </c>
      <c r="V139" s="53">
        <v>-0.4129568768050991</v>
      </c>
      <c r="W139" s="53"/>
      <c r="X139" s="55">
        <v>17.118519823788546</v>
      </c>
      <c r="Y139" s="55">
        <v>40.64013272149188</v>
      </c>
      <c r="Z139" s="53">
        <v>0.158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101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102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103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104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96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97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98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99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100</v>
      </c>
      <c r="D146" s="52">
        <v>268228.26</v>
      </c>
      <c r="E146" s="52">
        <v>9034.53</v>
      </c>
      <c r="F146" s="52">
        <v>259193.73</v>
      </c>
      <c r="G146" s="53">
        <v>0.9663177548853353</v>
      </c>
      <c r="H146" s="52">
        <v>238611.58</v>
      </c>
      <c r="I146" s="52">
        <v>6362.08</v>
      </c>
      <c r="J146" s="52">
        <v>214154.25</v>
      </c>
      <c r="K146" s="52">
        <v>3465.35</v>
      </c>
      <c r="L146" s="52">
        <v>210688.9</v>
      </c>
      <c r="M146" s="53">
        <v>0.9838184392791645</v>
      </c>
      <c r="N146" s="53"/>
      <c r="O146" s="52">
        <v>24457.33</v>
      </c>
      <c r="P146" s="52">
        <v>2896.73</v>
      </c>
      <c r="Q146" s="52">
        <v>21560.600000000002</v>
      </c>
      <c r="R146" s="53">
        <v>0.8815598432044708</v>
      </c>
      <c r="S146" s="54">
        <v>497.55</v>
      </c>
      <c r="T146" s="54">
        <v>58.25</v>
      </c>
      <c r="U146" s="54">
        <v>439.3</v>
      </c>
      <c r="V146" s="53">
        <v>0.8829263390614008</v>
      </c>
      <c r="W146" s="53"/>
      <c r="X146" s="55">
        <v>45.878969957081544</v>
      </c>
      <c r="Y146" s="55">
        <v>59.525035875791396</v>
      </c>
      <c r="Z146" s="53">
        <v>0.2958</v>
      </c>
      <c r="AA146" s="56">
        <v>0.1104</v>
      </c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101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102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103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104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96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97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98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99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100</v>
      </c>
      <c r="D153" s="52">
        <v>32773.41</v>
      </c>
      <c r="E153" s="52">
        <v>32773.41</v>
      </c>
      <c r="F153" s="52">
        <v>0</v>
      </c>
      <c r="G153" s="53">
        <v>0</v>
      </c>
      <c r="H153" s="52">
        <v>22750.99</v>
      </c>
      <c r="I153" s="52">
        <v>22254.11</v>
      </c>
      <c r="J153" s="52">
        <v>12243.410000000002</v>
      </c>
      <c r="K153" s="52">
        <v>9324.41</v>
      </c>
      <c r="L153" s="52">
        <v>2919.000000000002</v>
      </c>
      <c r="M153" s="53">
        <v>0.23841397127107575</v>
      </c>
      <c r="N153" s="53"/>
      <c r="O153" s="52">
        <v>10507.58</v>
      </c>
      <c r="P153" s="52">
        <v>12929.7</v>
      </c>
      <c r="Q153" s="52">
        <v>-2422.120000000001</v>
      </c>
      <c r="R153" s="53">
        <v>-0.23051168775303169</v>
      </c>
      <c r="S153" s="54">
        <v>210.6</v>
      </c>
      <c r="T153" s="54">
        <v>260.75</v>
      </c>
      <c r="U153" s="54">
        <v>-50.150000000000006</v>
      </c>
      <c r="V153" s="53">
        <v>-0.2381291547958215</v>
      </c>
      <c r="W153" s="53"/>
      <c r="X153" s="55">
        <v>40.342473633748796</v>
      </c>
      <c r="Y153" s="55">
        <v>47.58984852136751</v>
      </c>
      <c r="Z153" s="53">
        <v>0.321</v>
      </c>
      <c r="AA153" s="56">
        <v>0.3058</v>
      </c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101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102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103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104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96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97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98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99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100</v>
      </c>
      <c r="D160" s="52">
        <v>17899.33</v>
      </c>
      <c r="E160" s="52">
        <v>13424.5</v>
      </c>
      <c r="F160" s="52">
        <v>4474.830000000002</v>
      </c>
      <c r="G160" s="53">
        <v>0.24999986032996774</v>
      </c>
      <c r="H160" s="52">
        <v>13919.4</v>
      </c>
      <c r="I160" s="52">
        <v>10402.37</v>
      </c>
      <c r="J160" s="52">
        <v>8410.93</v>
      </c>
      <c r="K160" s="52">
        <v>7278.380000000001</v>
      </c>
      <c r="L160" s="52">
        <v>1132.5499999999993</v>
      </c>
      <c r="M160" s="53">
        <v>0.13465217282749936</v>
      </c>
      <c r="N160" s="53"/>
      <c r="O160" s="52">
        <v>5508.47</v>
      </c>
      <c r="P160" s="52">
        <v>3123.99</v>
      </c>
      <c r="Q160" s="52">
        <v>2384.4800000000005</v>
      </c>
      <c r="R160" s="53">
        <v>0.43287519038861977</v>
      </c>
      <c r="S160" s="54">
        <v>110.44</v>
      </c>
      <c r="T160" s="54">
        <v>60.75</v>
      </c>
      <c r="U160" s="54">
        <v>49.69</v>
      </c>
      <c r="V160" s="53">
        <v>0.44992756247736326</v>
      </c>
      <c r="W160" s="53"/>
      <c r="X160" s="55">
        <v>49.74699588477367</v>
      </c>
      <c r="Y160" s="55">
        <v>36.03704967040926</v>
      </c>
      <c r="Z160" s="53">
        <v>0.22510000000000002</v>
      </c>
      <c r="AA160" s="56">
        <v>0.2224</v>
      </c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101</v>
      </c>
      <c r="D161" s="52">
        <v>17899.33</v>
      </c>
      <c r="E161" s="52">
        <v>13424.5</v>
      </c>
      <c r="F161" s="52">
        <v>4474.830000000002</v>
      </c>
      <c r="G161" s="53">
        <v>0.24999986032996774</v>
      </c>
      <c r="H161" s="52">
        <v>13919.4</v>
      </c>
      <c r="I161" s="52">
        <v>12130.47</v>
      </c>
      <c r="J161" s="52">
        <v>8410.93</v>
      </c>
      <c r="K161" s="52">
        <v>7623.429999999999</v>
      </c>
      <c r="L161" s="52">
        <v>787.5000000000009</v>
      </c>
      <c r="M161" s="53">
        <v>0.09362817191440197</v>
      </c>
      <c r="N161" s="53"/>
      <c r="O161" s="52">
        <v>5508.47</v>
      </c>
      <c r="P161" s="52">
        <v>4507.04</v>
      </c>
      <c r="Q161" s="52">
        <v>1001.4300000000003</v>
      </c>
      <c r="R161" s="53">
        <v>0.1817982125708228</v>
      </c>
      <c r="S161" s="54">
        <v>110.44</v>
      </c>
      <c r="T161" s="54">
        <v>87</v>
      </c>
      <c r="U161" s="54">
        <v>23.439999999999998</v>
      </c>
      <c r="V161" s="53">
        <v>0.21224194132560664</v>
      </c>
      <c r="W161" s="53"/>
      <c r="X161" s="55">
        <v>14.87390804597701</v>
      </c>
      <c r="Y161" s="55">
        <v>36.03704967040926</v>
      </c>
      <c r="Z161" s="53">
        <v>0.0964</v>
      </c>
      <c r="AA161" s="56">
        <v>0.2224</v>
      </c>
      <c r="AB161" s="57"/>
      <c r="AD161" s="35" t="s">
        <v>102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103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104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96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105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97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98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99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100</v>
      </c>
      <c r="D167" s="52">
        <v>10827.2</v>
      </c>
      <c r="E167" s="52">
        <v>0</v>
      </c>
      <c r="F167" s="52">
        <v>10827.2</v>
      </c>
      <c r="G167" s="53">
        <v>1</v>
      </c>
      <c r="H167" s="52">
        <v>7687.77</v>
      </c>
      <c r="I167" s="52">
        <v>2116.21</v>
      </c>
      <c r="J167" s="52">
        <v>4437.14</v>
      </c>
      <c r="K167" s="52">
        <v>1029.51</v>
      </c>
      <c r="L167" s="52">
        <v>3407.63</v>
      </c>
      <c r="M167" s="53">
        <v>0.7679789233605431</v>
      </c>
      <c r="N167" s="53"/>
      <c r="O167" s="52">
        <v>3250.63</v>
      </c>
      <c r="P167" s="52">
        <v>1086.7</v>
      </c>
      <c r="Q167" s="52">
        <v>2163.9300000000003</v>
      </c>
      <c r="R167" s="53">
        <v>0.6656955728581845</v>
      </c>
      <c r="S167" s="54">
        <v>65.13</v>
      </c>
      <c r="T167" s="54">
        <v>24.33</v>
      </c>
      <c r="U167" s="54">
        <v>40.8</v>
      </c>
      <c r="V167" s="53">
        <v>0.6264394288346384</v>
      </c>
      <c r="W167" s="53"/>
      <c r="X167" s="55">
        <v>-86.97944923962187</v>
      </c>
      <c r="Y167" s="55">
        <v>48.202633430830645</v>
      </c>
      <c r="Z167" s="53">
        <v>0</v>
      </c>
      <c r="AA167" s="56">
        <v>0.29</v>
      </c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101</v>
      </c>
      <c r="D168" s="52">
        <v>10827.2</v>
      </c>
      <c r="E168" s="52">
        <v>0</v>
      </c>
      <c r="F168" s="52">
        <v>10827.2</v>
      </c>
      <c r="G168" s="53">
        <v>1</v>
      </c>
      <c r="H168" s="52">
        <v>7687.77</v>
      </c>
      <c r="I168" s="52">
        <v>2116.21</v>
      </c>
      <c r="J168" s="52">
        <v>4437.14</v>
      </c>
      <c r="K168" s="52">
        <v>1029.51</v>
      </c>
      <c r="L168" s="52">
        <v>3407.63</v>
      </c>
      <c r="M168" s="53">
        <v>0.7679789233605431</v>
      </c>
      <c r="N168" s="53"/>
      <c r="O168" s="52">
        <v>3250.63</v>
      </c>
      <c r="P168" s="52">
        <v>1086.7</v>
      </c>
      <c r="Q168" s="52">
        <v>2163.9300000000003</v>
      </c>
      <c r="R168" s="53">
        <v>0.6656955728581845</v>
      </c>
      <c r="S168" s="54">
        <v>65.13</v>
      </c>
      <c r="T168" s="54">
        <v>24.33</v>
      </c>
      <c r="U168" s="54">
        <v>40.8</v>
      </c>
      <c r="V168" s="53">
        <v>0.6264394288346384</v>
      </c>
      <c r="W168" s="53"/>
      <c r="X168" s="55">
        <v>-86.97944923962187</v>
      </c>
      <c r="Y168" s="55">
        <v>48.202633430830645</v>
      </c>
      <c r="Z168" s="53">
        <v>0</v>
      </c>
      <c r="AA168" s="56">
        <v>0.29</v>
      </c>
      <c r="AB168" s="57"/>
      <c r="AD168" s="35" t="s">
        <v>102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103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104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96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97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98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99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100</v>
      </c>
      <c r="D174" s="52">
        <v>146237.11</v>
      </c>
      <c r="E174" s="52">
        <v>125386.21</v>
      </c>
      <c r="F174" s="52">
        <v>20850.89999999998</v>
      </c>
      <c r="G174" s="53">
        <v>0.14258282319720336</v>
      </c>
      <c r="H174" s="52">
        <v>114651.87</v>
      </c>
      <c r="I174" s="52">
        <v>105655.21</v>
      </c>
      <c r="J174" s="52">
        <v>82888.07999999999</v>
      </c>
      <c r="K174" s="52">
        <v>78304.64000000001</v>
      </c>
      <c r="L174" s="52">
        <v>4583.439999999973</v>
      </c>
      <c r="M174" s="53">
        <v>0.055296732654441676</v>
      </c>
      <c r="N174" s="53"/>
      <c r="O174" s="52">
        <v>31763.79</v>
      </c>
      <c r="P174" s="52">
        <v>27350.57</v>
      </c>
      <c r="Q174" s="52">
        <v>4413.220000000001</v>
      </c>
      <c r="R174" s="53">
        <v>0.13893870976983544</v>
      </c>
      <c r="S174" s="54">
        <v>659.73</v>
      </c>
      <c r="T174" s="54">
        <v>548.75</v>
      </c>
      <c r="U174" s="54">
        <v>110.98000000000002</v>
      </c>
      <c r="V174" s="53">
        <v>0.16822033256028984</v>
      </c>
      <c r="W174" s="53"/>
      <c r="X174" s="55">
        <v>35.95626423690205</v>
      </c>
      <c r="Y174" s="55">
        <v>47.87601261940491</v>
      </c>
      <c r="Z174" s="53">
        <v>0.1574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101</v>
      </c>
      <c r="D175" s="52">
        <v>146237.11</v>
      </c>
      <c r="E175" s="52">
        <v>125386.21</v>
      </c>
      <c r="F175" s="52">
        <v>20850.89999999998</v>
      </c>
      <c r="G175" s="53">
        <v>0.14258282319720336</v>
      </c>
      <c r="H175" s="52">
        <v>114651.87</v>
      </c>
      <c r="I175" s="52">
        <v>105657.8</v>
      </c>
      <c r="J175" s="52">
        <v>82888.07999999999</v>
      </c>
      <c r="K175" s="52">
        <v>78304.64</v>
      </c>
      <c r="L175" s="52">
        <v>4583.439999999988</v>
      </c>
      <c r="M175" s="53">
        <v>0.05529673265444185</v>
      </c>
      <c r="N175" s="53"/>
      <c r="O175" s="52">
        <v>31763.79</v>
      </c>
      <c r="P175" s="52">
        <v>27353.16</v>
      </c>
      <c r="Q175" s="52">
        <v>4410.630000000001</v>
      </c>
      <c r="R175" s="53">
        <v>0.13885717038174603</v>
      </c>
      <c r="S175" s="54">
        <v>659.73</v>
      </c>
      <c r="T175" s="54">
        <v>548.75</v>
      </c>
      <c r="U175" s="54">
        <v>110.98000000000002</v>
      </c>
      <c r="V175" s="53">
        <v>0.16822033256028984</v>
      </c>
      <c r="W175" s="53"/>
      <c r="X175" s="55">
        <v>35.95154441913439</v>
      </c>
      <c r="Y175" s="55">
        <v>47.87601261940491</v>
      </c>
      <c r="Z175" s="53">
        <v>0.1573</v>
      </c>
      <c r="AA175" s="56">
        <v>0.216</v>
      </c>
      <c r="AB175" s="57"/>
      <c r="AD175" s="35" t="s">
        <v>102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103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104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96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97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98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99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100</v>
      </c>
      <c r="D181" s="52">
        <v>16897.53</v>
      </c>
      <c r="E181" s="52">
        <v>5491.7</v>
      </c>
      <c r="F181" s="52">
        <v>11405.829999999998</v>
      </c>
      <c r="G181" s="53">
        <v>0.6749998372543206</v>
      </c>
      <c r="H181" s="52">
        <v>9226.27</v>
      </c>
      <c r="I181" s="52">
        <v>3702.78</v>
      </c>
      <c r="J181" s="52">
        <v>2977.1100000000006</v>
      </c>
      <c r="K181" s="52">
        <v>2335.9700000000003</v>
      </c>
      <c r="L181" s="52">
        <v>641.1400000000003</v>
      </c>
      <c r="M181" s="53">
        <v>0.2153565034546927</v>
      </c>
      <c r="N181" s="53"/>
      <c r="O181" s="52">
        <v>6249.16</v>
      </c>
      <c r="P181" s="52">
        <v>1366.81</v>
      </c>
      <c r="Q181" s="52">
        <v>4882.35</v>
      </c>
      <c r="R181" s="53">
        <v>0.7812810041669601</v>
      </c>
      <c r="S181" s="54">
        <v>125.17</v>
      </c>
      <c r="T181" s="54">
        <v>23.75</v>
      </c>
      <c r="U181" s="54">
        <v>101.42</v>
      </c>
      <c r="V181" s="53">
        <v>0.8102580490532876</v>
      </c>
      <c r="W181" s="53"/>
      <c r="X181" s="55">
        <v>75.32294736842105</v>
      </c>
      <c r="Y181" s="55">
        <v>61.286703843093385</v>
      </c>
      <c r="Z181" s="53">
        <v>0.3257</v>
      </c>
      <c r="AA181" s="56">
        <v>0.454</v>
      </c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101</v>
      </c>
      <c r="D182" s="52">
        <v>16897.53</v>
      </c>
      <c r="E182" s="52">
        <v>5491.7</v>
      </c>
      <c r="F182" s="52">
        <v>11405.829999999998</v>
      </c>
      <c r="G182" s="53">
        <v>0.6749998372543206</v>
      </c>
      <c r="H182" s="52">
        <v>9226.27</v>
      </c>
      <c r="I182" s="52">
        <v>3702.78</v>
      </c>
      <c r="J182" s="52">
        <v>2977.1100000000006</v>
      </c>
      <c r="K182" s="52">
        <v>2335.9700000000003</v>
      </c>
      <c r="L182" s="52">
        <v>641.1400000000003</v>
      </c>
      <c r="M182" s="53">
        <v>0.2153565034546927</v>
      </c>
      <c r="N182" s="53"/>
      <c r="O182" s="52">
        <v>6249.16</v>
      </c>
      <c r="P182" s="52">
        <v>1366.81</v>
      </c>
      <c r="Q182" s="52">
        <v>4882.35</v>
      </c>
      <c r="R182" s="53">
        <v>0.7812810041669601</v>
      </c>
      <c r="S182" s="54">
        <v>125.17</v>
      </c>
      <c r="T182" s="54">
        <v>23.75</v>
      </c>
      <c r="U182" s="54">
        <v>101.42</v>
      </c>
      <c r="V182" s="53">
        <v>0.8102580490532876</v>
      </c>
      <c r="W182" s="53"/>
      <c r="X182" s="55">
        <v>75.32294736842105</v>
      </c>
      <c r="Y182" s="55">
        <v>61.286703843093385</v>
      </c>
      <c r="Z182" s="53">
        <v>0.3257</v>
      </c>
      <c r="AA182" s="56">
        <v>0.454</v>
      </c>
      <c r="AB182" s="57"/>
      <c r="AD182" s="35" t="s">
        <v>102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103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104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96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97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98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99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100</v>
      </c>
      <c r="D188" s="52">
        <v>20992.12</v>
      </c>
      <c r="E188" s="52">
        <v>14169.68</v>
      </c>
      <c r="F188" s="52">
        <v>6822.439999999999</v>
      </c>
      <c r="G188" s="53">
        <v>0.32500004763692275</v>
      </c>
      <c r="H188" s="52">
        <v>16299.09</v>
      </c>
      <c r="I188" s="52">
        <v>9699.51</v>
      </c>
      <c r="J188" s="52">
        <v>9784.33</v>
      </c>
      <c r="K188" s="52">
        <v>8137.88</v>
      </c>
      <c r="L188" s="52">
        <v>1646.4499999999998</v>
      </c>
      <c r="M188" s="53">
        <v>0.16827416900288522</v>
      </c>
      <c r="N188" s="53"/>
      <c r="O188" s="52">
        <v>6514.76</v>
      </c>
      <c r="P188" s="52">
        <v>1561.63</v>
      </c>
      <c r="Q188" s="52">
        <v>4953.13</v>
      </c>
      <c r="R188" s="53">
        <v>0.7602935488030257</v>
      </c>
      <c r="S188" s="54">
        <v>130.62</v>
      </c>
      <c r="T188" s="54">
        <v>34.75</v>
      </c>
      <c r="U188" s="54">
        <v>95.87</v>
      </c>
      <c r="V188" s="53">
        <v>0.7339611085591793</v>
      </c>
      <c r="W188" s="53"/>
      <c r="X188" s="55">
        <v>128.6379856115108</v>
      </c>
      <c r="Y188" s="55">
        <v>35.92887828502527</v>
      </c>
      <c r="Z188" s="53">
        <v>0.3155</v>
      </c>
      <c r="AA188" s="56">
        <v>0.2236</v>
      </c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101</v>
      </c>
      <c r="D189" s="52">
        <v>20992.12</v>
      </c>
      <c r="E189" s="52">
        <v>14169.68</v>
      </c>
      <c r="F189" s="52">
        <v>6822.439999999999</v>
      </c>
      <c r="G189" s="53">
        <v>0.32500004763692275</v>
      </c>
      <c r="H189" s="52">
        <v>16299.09</v>
      </c>
      <c r="I189" s="52">
        <v>9699.51</v>
      </c>
      <c r="J189" s="52">
        <v>9784.33</v>
      </c>
      <c r="K189" s="52">
        <v>8137.88</v>
      </c>
      <c r="L189" s="52">
        <v>1646.4499999999998</v>
      </c>
      <c r="M189" s="53">
        <v>0.16827416900288522</v>
      </c>
      <c r="N189" s="53"/>
      <c r="O189" s="52">
        <v>6514.76</v>
      </c>
      <c r="P189" s="52">
        <v>1561.63</v>
      </c>
      <c r="Q189" s="52">
        <v>4953.13</v>
      </c>
      <c r="R189" s="53">
        <v>0.7602935488030257</v>
      </c>
      <c r="S189" s="54">
        <v>130.62</v>
      </c>
      <c r="T189" s="54">
        <v>34.75</v>
      </c>
      <c r="U189" s="54">
        <v>95.87</v>
      </c>
      <c r="V189" s="53">
        <v>0.7339611085591793</v>
      </c>
      <c r="W189" s="53"/>
      <c r="X189" s="55">
        <v>128.6379856115108</v>
      </c>
      <c r="Y189" s="55">
        <v>35.92887828502527</v>
      </c>
      <c r="Z189" s="53">
        <v>0.3155</v>
      </c>
      <c r="AA189" s="56">
        <v>0.2236</v>
      </c>
      <c r="AB189" s="57"/>
      <c r="AD189" s="35" t="s">
        <v>102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103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104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96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97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98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99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100</v>
      </c>
      <c r="D195" s="52">
        <v>23770.95</v>
      </c>
      <c r="E195" s="52">
        <v>10204.54</v>
      </c>
      <c r="F195" s="52">
        <v>13566.41</v>
      </c>
      <c r="G195" s="53">
        <v>0.5707138334816235</v>
      </c>
      <c r="H195" s="52">
        <v>14310.96</v>
      </c>
      <c r="I195" s="52">
        <v>7114.14</v>
      </c>
      <c r="J195" s="52">
        <v>7389.339999999999</v>
      </c>
      <c r="K195" s="52">
        <v>6605.05</v>
      </c>
      <c r="L195" s="52">
        <v>784.289999999999</v>
      </c>
      <c r="M195" s="53">
        <v>0.1061380312720756</v>
      </c>
      <c r="N195" s="53"/>
      <c r="O195" s="52">
        <v>6921.62</v>
      </c>
      <c r="P195" s="52">
        <v>509.09</v>
      </c>
      <c r="Q195" s="52">
        <v>6412.53</v>
      </c>
      <c r="R195" s="53">
        <v>0.9264492994414603</v>
      </c>
      <c r="S195" s="54">
        <v>140.15</v>
      </c>
      <c r="T195" s="54">
        <v>9.25</v>
      </c>
      <c r="U195" s="54">
        <v>130.9</v>
      </c>
      <c r="V195" s="53">
        <v>0.9339992864787727</v>
      </c>
      <c r="W195" s="53"/>
      <c r="X195" s="55">
        <v>334.0972972972973</v>
      </c>
      <c r="Y195" s="55">
        <v>67.49902570438813</v>
      </c>
      <c r="Z195" s="53">
        <v>0.3028</v>
      </c>
      <c r="AA195" s="56">
        <v>0.398</v>
      </c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101</v>
      </c>
      <c r="D196" s="52">
        <v>23770.95</v>
      </c>
      <c r="E196" s="52">
        <v>10204.54</v>
      </c>
      <c r="F196" s="52">
        <v>13566.41</v>
      </c>
      <c r="G196" s="53">
        <v>0.5707138334816235</v>
      </c>
      <c r="H196" s="52">
        <v>14310.96</v>
      </c>
      <c r="I196" s="52">
        <v>7116.73</v>
      </c>
      <c r="J196" s="52">
        <v>7389.339999999999</v>
      </c>
      <c r="K196" s="52">
        <v>6605.049999999999</v>
      </c>
      <c r="L196" s="52">
        <v>784.29</v>
      </c>
      <c r="M196" s="53">
        <v>0.10613803127207573</v>
      </c>
      <c r="N196" s="53"/>
      <c r="O196" s="52">
        <v>6921.62</v>
      </c>
      <c r="P196" s="52">
        <v>511.68</v>
      </c>
      <c r="Q196" s="52">
        <v>6409.94</v>
      </c>
      <c r="R196" s="53">
        <v>0.9260751095841725</v>
      </c>
      <c r="S196" s="54">
        <v>140.15</v>
      </c>
      <c r="T196" s="54">
        <v>9.25</v>
      </c>
      <c r="U196" s="54">
        <v>130.9</v>
      </c>
      <c r="V196" s="53">
        <v>0.9339992864787727</v>
      </c>
      <c r="W196" s="53"/>
      <c r="X196" s="55">
        <v>333.8172972972973</v>
      </c>
      <c r="Y196" s="55">
        <v>67.49902570438813</v>
      </c>
      <c r="Z196" s="53">
        <v>0.30260000000000004</v>
      </c>
      <c r="AA196" s="56">
        <v>0.398</v>
      </c>
      <c r="AB196" s="57"/>
      <c r="AD196" s="35" t="s">
        <v>102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103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104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96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97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98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99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100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101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102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103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104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96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97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98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99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100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101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102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103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104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96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97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98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99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100</v>
      </c>
      <c r="D216" s="52">
        <v>137109.56</v>
      </c>
      <c r="E216" s="52">
        <v>30174.75</v>
      </c>
      <c r="F216" s="52">
        <v>106934.81</v>
      </c>
      <c r="G216" s="53">
        <v>0.7799223482301307</v>
      </c>
      <c r="H216" s="52">
        <v>117394.57</v>
      </c>
      <c r="I216" s="52">
        <v>30594.96</v>
      </c>
      <c r="J216" s="52">
        <v>99479.62000000001</v>
      </c>
      <c r="K216" s="52">
        <v>30594.96</v>
      </c>
      <c r="L216" s="52">
        <v>68884.66</v>
      </c>
      <c r="M216" s="53">
        <v>0.692449971159922</v>
      </c>
      <c r="N216" s="53"/>
      <c r="O216" s="52">
        <v>17914.95</v>
      </c>
      <c r="P216" s="52">
        <v>0</v>
      </c>
      <c r="Q216" s="52">
        <v>17914.95</v>
      </c>
      <c r="R216" s="53">
        <v>1</v>
      </c>
      <c r="S216" s="54">
        <v>358.86</v>
      </c>
      <c r="T216" s="54">
        <v>0</v>
      </c>
      <c r="U216" s="54">
        <v>358.86</v>
      </c>
      <c r="V216" s="53">
        <v>1</v>
      </c>
      <c r="W216" s="53"/>
      <c r="X216" s="55">
        <v>0</v>
      </c>
      <c r="Y216" s="55">
        <v>54.93783457863793</v>
      </c>
      <c r="Z216" s="53">
        <v>-0.0139</v>
      </c>
      <c r="AA216" s="56">
        <v>0.1438</v>
      </c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101</v>
      </c>
      <c r="D217" s="52">
        <v>137109.56</v>
      </c>
      <c r="E217" s="52">
        <v>30174.75</v>
      </c>
      <c r="F217" s="52">
        <v>106934.81</v>
      </c>
      <c r="G217" s="53">
        <v>0.7799223482301307</v>
      </c>
      <c r="H217" s="52">
        <v>117394.57</v>
      </c>
      <c r="I217" s="52">
        <v>30594.96</v>
      </c>
      <c r="J217" s="52">
        <v>99479.62000000001</v>
      </c>
      <c r="K217" s="52">
        <v>30594.96</v>
      </c>
      <c r="L217" s="52">
        <v>68884.66</v>
      </c>
      <c r="M217" s="53">
        <v>0.692449971159922</v>
      </c>
      <c r="N217" s="53"/>
      <c r="O217" s="52">
        <v>17914.95</v>
      </c>
      <c r="P217" s="52">
        <v>0</v>
      </c>
      <c r="Q217" s="52">
        <v>17914.95</v>
      </c>
      <c r="R217" s="53">
        <v>1</v>
      </c>
      <c r="S217" s="54">
        <v>358.86</v>
      </c>
      <c r="T217" s="54">
        <v>0</v>
      </c>
      <c r="U217" s="54">
        <v>358.86</v>
      </c>
      <c r="V217" s="53">
        <v>1</v>
      </c>
      <c r="W217" s="53"/>
      <c r="X217" s="55">
        <v>0</v>
      </c>
      <c r="Y217" s="55">
        <v>54.93783457863793</v>
      </c>
      <c r="Z217" s="53">
        <v>-0.0139</v>
      </c>
      <c r="AA217" s="56">
        <v>0.1438</v>
      </c>
      <c r="AB217" s="57"/>
      <c r="AD217" s="35" t="s">
        <v>102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103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104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96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97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98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99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100</v>
      </c>
      <c r="D223" s="52">
        <v>408794.64</v>
      </c>
      <c r="E223" s="52">
        <v>306038.55</v>
      </c>
      <c r="F223" s="52">
        <v>102756.09000000003</v>
      </c>
      <c r="G223" s="53">
        <v>0.25136359419976745</v>
      </c>
      <c r="H223" s="52">
        <v>304310.08</v>
      </c>
      <c r="I223" s="52">
        <v>249180.5</v>
      </c>
      <c r="J223" s="52">
        <v>185072.60000000003</v>
      </c>
      <c r="K223" s="52">
        <v>182215.95</v>
      </c>
      <c r="L223" s="52">
        <v>2856.6500000000233</v>
      </c>
      <c r="M223" s="53">
        <v>0.015435294041365512</v>
      </c>
      <c r="N223" s="53"/>
      <c r="O223" s="52">
        <v>119237.48</v>
      </c>
      <c r="P223" s="52">
        <v>66964.55</v>
      </c>
      <c r="Q223" s="52">
        <v>52272.92999999999</v>
      </c>
      <c r="R223" s="53">
        <v>0.4383934481003791</v>
      </c>
      <c r="S223" s="54">
        <v>2397.2</v>
      </c>
      <c r="T223" s="54">
        <v>1427.42</v>
      </c>
      <c r="U223" s="54">
        <v>969.7799999999997</v>
      </c>
      <c r="V223" s="53">
        <v>0.4045469714667111</v>
      </c>
      <c r="W223" s="53"/>
      <c r="X223" s="55">
        <v>39.832740188592005</v>
      </c>
      <c r="Y223" s="55">
        <v>43.58608178135741</v>
      </c>
      <c r="Z223" s="53">
        <v>0.1858</v>
      </c>
      <c r="AA223" s="56">
        <v>0.2556</v>
      </c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101</v>
      </c>
      <c r="D224" s="52">
        <v>412300.73</v>
      </c>
      <c r="E224" s="52">
        <v>306038.55</v>
      </c>
      <c r="F224" s="52">
        <v>106262.18</v>
      </c>
      <c r="G224" s="53">
        <v>0.25772978864238244</v>
      </c>
      <c r="H224" s="52">
        <v>306356.28</v>
      </c>
      <c r="I224" s="52">
        <v>250902.09</v>
      </c>
      <c r="J224" s="52">
        <v>186357.49000000005</v>
      </c>
      <c r="K224" s="52">
        <v>183091.72999999998</v>
      </c>
      <c r="L224" s="52">
        <v>3265.7600000000675</v>
      </c>
      <c r="M224" s="53">
        <v>0.01752416819951839</v>
      </c>
      <c r="N224" s="53"/>
      <c r="O224" s="52">
        <v>119998.79</v>
      </c>
      <c r="P224" s="52">
        <v>67810.36</v>
      </c>
      <c r="Q224" s="52">
        <v>52188.42999999999</v>
      </c>
      <c r="R224" s="53">
        <v>0.4349079686553506</v>
      </c>
      <c r="S224" s="54">
        <v>2412.45</v>
      </c>
      <c r="T224" s="54">
        <v>1444.92</v>
      </c>
      <c r="U224" s="54">
        <v>967.5299999999997</v>
      </c>
      <c r="V224" s="53">
        <v>0.4010570167257352</v>
      </c>
      <c r="W224" s="53"/>
      <c r="X224" s="55">
        <v>38.158832322896764</v>
      </c>
      <c r="Y224" s="55">
        <v>43.91570973337064</v>
      </c>
      <c r="Z224" s="53">
        <v>0.1802</v>
      </c>
      <c r="AA224" s="56">
        <v>0.257</v>
      </c>
      <c r="AB224" s="57"/>
      <c r="AD224" s="35" t="s">
        <v>102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103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104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  <row r="227" ht="9" customHeight="1" spans="1:35" x14ac:dyDescent="0.25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D227" s="35"/>
      <c r="AE227" s="35"/>
      <c r="AH227" s="35"/>
      <c r="AI227" s="35"/>
    </row>
    <row r="228" ht="15" customHeight="1" spans="1:35" x14ac:dyDescent="0.25">
      <c r="A228" s="19">
        <v>8530</v>
      </c>
      <c r="B228" s="19" t="s">
        <v>63</v>
      </c>
      <c r="C228" s="51" t="s">
        <v>96</v>
      </c>
      <c r="D228" s="52">
        <v>0</v>
      </c>
      <c r="E228" s="52">
        <v>0</v>
      </c>
      <c r="F228" s="52">
        <v>0</v>
      </c>
      <c r="G228" s="53">
        <v>0</v>
      </c>
      <c r="H228" s="52">
        <v>0</v>
      </c>
      <c r="I228" s="52">
        <v>0</v>
      </c>
      <c r="J228" s="52">
        <v>0</v>
      </c>
      <c r="K228" s="52">
        <v>0</v>
      </c>
      <c r="L228" s="52">
        <v>0</v>
      </c>
      <c r="M228" s="53">
        <v>0</v>
      </c>
      <c r="N228" s="53"/>
      <c r="O228" s="52">
        <v>0</v>
      </c>
      <c r="P228" s="52">
        <v>0</v>
      </c>
      <c r="Q228" s="52">
        <v>0</v>
      </c>
      <c r="R228" s="53">
        <v>0</v>
      </c>
      <c r="S228" s="54">
        <v>0</v>
      </c>
      <c r="T228" s="54">
        <v>0</v>
      </c>
      <c r="U228" s="54">
        <v>0</v>
      </c>
      <c r="V228" s="53">
        <v>0</v>
      </c>
      <c r="W228" s="53"/>
      <c r="X228" s="55">
        <v>0</v>
      </c>
      <c r="Y228" s="55">
        <v>0</v>
      </c>
      <c r="Z228" s="53">
        <v>0</v>
      </c>
      <c r="AA228" s="56">
        <v>0</v>
      </c>
      <c r="AB228" s="57"/>
      <c r="AD228" s="35"/>
      <c r="AE228" s="35"/>
      <c r="AH228" s="19"/>
      <c r="AI228" s="58"/>
    </row>
    <row r="229" ht="15" customHeight="1" spans="1:35" x14ac:dyDescent="0.25">
      <c r="A229" s="19"/>
      <c r="B229" s="20"/>
      <c r="C229" s="51" t="s">
        <v>98</v>
      </c>
      <c r="D229" s="52">
        <v>8795.03</v>
      </c>
      <c r="E229" s="52">
        <v>0</v>
      </c>
      <c r="F229" s="52">
        <v>8795.03</v>
      </c>
      <c r="G229" s="53">
        <v>1</v>
      </c>
      <c r="H229" s="52">
        <v>6369.12</v>
      </c>
      <c r="I229" s="52">
        <v>0</v>
      </c>
      <c r="J229" s="52">
        <v>4527.889999999999</v>
      </c>
      <c r="K229" s="52">
        <v>0</v>
      </c>
      <c r="L229" s="52">
        <v>4527.889999999999</v>
      </c>
      <c r="M229" s="53">
        <v>1</v>
      </c>
      <c r="N229" s="53"/>
      <c r="O229" s="52">
        <v>1841.23</v>
      </c>
      <c r="P229" s="52">
        <v>0</v>
      </c>
      <c r="Q229" s="52">
        <v>1841.23</v>
      </c>
      <c r="R229" s="53">
        <v>1</v>
      </c>
      <c r="S229" s="54">
        <v>36.92</v>
      </c>
      <c r="T229" s="54">
        <v>0</v>
      </c>
      <c r="U229" s="54">
        <v>36.92</v>
      </c>
      <c r="V229" s="53">
        <v>1</v>
      </c>
      <c r="W229" s="53"/>
      <c r="X229" s="55">
        <v>0</v>
      </c>
      <c r="Y229" s="55">
        <v>65.70711175027087</v>
      </c>
      <c r="Z229" s="53">
        <v>0</v>
      </c>
      <c r="AA229" s="56">
        <v>0.2758</v>
      </c>
      <c r="AB229" s="57"/>
      <c r="AD229" s="35"/>
      <c r="AE229" s="36"/>
      <c r="AH229" s="19"/>
      <c r="AI229" s="58"/>
    </row>
    <row r="230" ht="15" customHeight="1" spans="1:35" x14ac:dyDescent="0.25">
      <c r="A230" s="19"/>
      <c r="B230" s="20"/>
      <c r="C230" s="51" t="s">
        <v>100</v>
      </c>
      <c r="D230" s="52">
        <v>8795.03</v>
      </c>
      <c r="E230" s="52">
        <v>0</v>
      </c>
      <c r="F230" s="52">
        <v>8795.03</v>
      </c>
      <c r="G230" s="53">
        <v>1</v>
      </c>
      <c r="H230" s="52">
        <v>6369.12</v>
      </c>
      <c r="I230" s="52">
        <v>0</v>
      </c>
      <c r="J230" s="52">
        <v>4527.889999999999</v>
      </c>
      <c r="K230" s="52">
        <v>0</v>
      </c>
      <c r="L230" s="52">
        <v>4527.889999999999</v>
      </c>
      <c r="M230" s="53">
        <v>1</v>
      </c>
      <c r="N230" s="53"/>
      <c r="O230" s="52">
        <v>1841.23</v>
      </c>
      <c r="P230" s="52">
        <v>0</v>
      </c>
      <c r="Q230" s="52">
        <v>1841.23</v>
      </c>
      <c r="R230" s="53">
        <v>1</v>
      </c>
      <c r="S230" s="54">
        <v>36.92</v>
      </c>
      <c r="T230" s="54">
        <v>0</v>
      </c>
      <c r="U230" s="54">
        <v>36.92</v>
      </c>
      <c r="V230" s="53">
        <v>1</v>
      </c>
      <c r="W230" s="53"/>
      <c r="X230" s="55">
        <v>0</v>
      </c>
      <c r="Y230" s="55">
        <v>65.70711175027087</v>
      </c>
      <c r="Z230" s="53">
        <v>0</v>
      </c>
      <c r="AA230" s="56">
        <v>0.2758</v>
      </c>
      <c r="AB230" s="57"/>
      <c r="AD230" s="35"/>
      <c r="AE230" s="35"/>
      <c r="AH230" s="19"/>
      <c r="AI230" s="58"/>
    </row>
    <row r="231" ht="15" customHeight="1" spans="1:35" x14ac:dyDescent="0.25">
      <c r="A231" s="19"/>
      <c r="B231" s="20"/>
      <c r="C231" s="51" t="s">
        <v>101</v>
      </c>
      <c r="D231" s="52">
        <v>8795.03</v>
      </c>
      <c r="E231" s="52">
        <v>0</v>
      </c>
      <c r="F231" s="52">
        <v>8795.03</v>
      </c>
      <c r="G231" s="53">
        <v>1</v>
      </c>
      <c r="H231" s="52">
        <v>6369.12</v>
      </c>
      <c r="I231" s="52">
        <v>0</v>
      </c>
      <c r="J231" s="52">
        <v>4527.889999999999</v>
      </c>
      <c r="K231" s="52">
        <v>0</v>
      </c>
      <c r="L231" s="52">
        <v>4527.889999999999</v>
      </c>
      <c r="M231" s="53">
        <v>1</v>
      </c>
      <c r="N231" s="53"/>
      <c r="O231" s="52">
        <v>1841.23</v>
      </c>
      <c r="P231" s="52">
        <v>0</v>
      </c>
      <c r="Q231" s="52">
        <v>1841.23</v>
      </c>
      <c r="R231" s="53">
        <v>1</v>
      </c>
      <c r="S231" s="54">
        <v>36.92</v>
      </c>
      <c r="T231" s="54">
        <v>0</v>
      </c>
      <c r="U231" s="54">
        <v>36.92</v>
      </c>
      <c r="V231" s="53">
        <v>1</v>
      </c>
      <c r="W231" s="53"/>
      <c r="X231" s="55">
        <v>0</v>
      </c>
      <c r="Y231" s="55">
        <v>65.70711175027087</v>
      </c>
      <c r="Z231" s="53">
        <v>0</v>
      </c>
      <c r="AA231" s="56">
        <v>0.2758</v>
      </c>
      <c r="AB231" s="57"/>
      <c r="AD231" s="35"/>
      <c r="AE231" s="36"/>
      <c r="AH231" s="19"/>
      <c r="AI231" s="58"/>
    </row>
    <row r="232" ht="15" customHeight="1" spans="1:35" x14ac:dyDescent="0.25">
      <c r="A232" s="19"/>
      <c r="B232" s="20"/>
      <c r="C232" s="51" t="s">
        <v>103</v>
      </c>
      <c r="D232" s="52"/>
      <c r="E232" s="52"/>
      <c r="F232" s="52"/>
      <c r="G232" s="53"/>
      <c r="H232" s="52"/>
      <c r="I232" s="52"/>
      <c r="J232" s="52"/>
      <c r="K232" s="52"/>
      <c r="L232" s="52"/>
      <c r="M232" s="53"/>
      <c r="N232" s="53"/>
      <c r="O232" s="52"/>
      <c r="P232" s="52"/>
      <c r="Q232" s="52"/>
      <c r="R232" s="53"/>
      <c r="S232" s="54"/>
      <c r="T232" s="54"/>
      <c r="U232" s="54"/>
      <c r="V232" s="53"/>
      <c r="W232" s="53"/>
      <c r="X232" s="55"/>
      <c r="Y232" s="55"/>
      <c r="Z232" s="53"/>
      <c r="AA232" s="56"/>
      <c r="AB232" s="57"/>
      <c r="AD232" s="35"/>
      <c r="AE232" s="35"/>
      <c r="AH232" s="19"/>
      <c r="AI232" s="58"/>
    </row>
    <row r="233" ht="15.75" customHeight="1" spans="1:35" x14ac:dyDescent="0.25">
      <c r="A233" s="59"/>
      <c r="B233" s="75"/>
      <c r="C233" s="76" t="s">
        <v>104</v>
      </c>
      <c r="D233" s="52"/>
      <c r="E233" s="52"/>
      <c r="F233" s="52"/>
      <c r="G233" s="53"/>
      <c r="H233" s="52"/>
      <c r="I233" s="52"/>
      <c r="J233" s="52"/>
      <c r="K233" s="52"/>
      <c r="L233" s="52"/>
      <c r="M233" s="53"/>
      <c r="N233" s="53"/>
      <c r="O233" s="52"/>
      <c r="P233" s="52"/>
      <c r="Q233" s="52"/>
      <c r="R233" s="53"/>
      <c r="S233" s="54"/>
      <c r="T233" s="54"/>
      <c r="U233" s="54"/>
      <c r="V233" s="53"/>
      <c r="W233" s="53"/>
      <c r="X233" s="55"/>
      <c r="Y233" s="55"/>
      <c r="Z233" s="53"/>
      <c r="AA233" s="56"/>
      <c r="AB233" s="57"/>
      <c r="AD233" s="35"/>
      <c r="AE233" s="35"/>
      <c r="AH233" s="59"/>
      <c r="AI233" s="60"/>
    </row>
    <row r="234" ht="9" customHeight="1" spans="1:35" x14ac:dyDescent="0.25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D234" s="35"/>
      <c r="AE234" s="35"/>
      <c r="AH234" s="35"/>
      <c r="AI234" s="35"/>
    </row>
    <row r="235" ht="15" customHeight="1" spans="1:35" x14ac:dyDescent="0.25">
      <c r="A235" s="19">
        <v>8386</v>
      </c>
      <c r="B235" s="19" t="s">
        <v>65</v>
      </c>
      <c r="C235" s="51" t="s">
        <v>96</v>
      </c>
      <c r="D235" s="52">
        <v>0</v>
      </c>
      <c r="E235" s="52">
        <v>0</v>
      </c>
      <c r="F235" s="52">
        <v>0</v>
      </c>
      <c r="G235" s="53">
        <v>0</v>
      </c>
      <c r="H235" s="52">
        <v>0</v>
      </c>
      <c r="I235" s="52">
        <v>0</v>
      </c>
      <c r="J235" s="52">
        <v>0</v>
      </c>
      <c r="K235" s="52">
        <v>0</v>
      </c>
      <c r="L235" s="52">
        <v>0</v>
      </c>
      <c r="M235" s="53">
        <v>0</v>
      </c>
      <c r="N235" s="53"/>
      <c r="O235" s="52">
        <v>0</v>
      </c>
      <c r="P235" s="52">
        <v>0</v>
      </c>
      <c r="Q235" s="52">
        <v>0</v>
      </c>
      <c r="R235" s="53">
        <v>0</v>
      </c>
      <c r="S235" s="54">
        <v>0</v>
      </c>
      <c r="T235" s="54">
        <v>0</v>
      </c>
      <c r="U235" s="54">
        <v>0</v>
      </c>
      <c r="V235" s="53">
        <v>0</v>
      </c>
      <c r="W235" s="53"/>
      <c r="X235" s="55">
        <v>0</v>
      </c>
      <c r="Y235" s="55">
        <v>0</v>
      </c>
      <c r="Z235" s="53">
        <v>0</v>
      </c>
      <c r="AA235" s="56">
        <v>0</v>
      </c>
      <c r="AB235" s="57"/>
      <c r="AD235" s="35"/>
      <c r="AE235" s="35"/>
      <c r="AH235" s="19"/>
      <c r="AI235" s="58"/>
    </row>
    <row r="236" ht="15" customHeight="1" spans="1:35" x14ac:dyDescent="0.25">
      <c r="A236" s="19"/>
      <c r="B236" s="20"/>
      <c r="C236" s="51" t="s">
        <v>98</v>
      </c>
      <c r="D236" s="52"/>
      <c r="E236" s="52"/>
      <c r="F236" s="52"/>
      <c r="G236" s="53"/>
      <c r="H236" s="52"/>
      <c r="I236" s="52"/>
      <c r="J236" s="52"/>
      <c r="K236" s="52"/>
      <c r="L236" s="52"/>
      <c r="M236" s="53"/>
      <c r="N236" s="53"/>
      <c r="O236" s="52"/>
      <c r="P236" s="52"/>
      <c r="Q236" s="52"/>
      <c r="R236" s="53"/>
      <c r="S236" s="54"/>
      <c r="T236" s="54"/>
      <c r="U236" s="54"/>
      <c r="V236" s="53"/>
      <c r="W236" s="53"/>
      <c r="X236" s="55"/>
      <c r="Y236" s="55"/>
      <c r="Z236" s="53"/>
      <c r="AA236" s="56"/>
      <c r="AB236" s="57"/>
      <c r="AD236" s="35"/>
      <c r="AE236" s="36"/>
      <c r="AH236" s="19"/>
      <c r="AI236" s="58"/>
    </row>
    <row r="237" ht="15" customHeight="1" spans="1:35" x14ac:dyDescent="0.25">
      <c r="A237" s="19"/>
      <c r="B237" s="20"/>
      <c r="C237" s="51" t="s">
        <v>100</v>
      </c>
      <c r="D237" s="52">
        <v>27503.14</v>
      </c>
      <c r="E237" s="52">
        <v>0</v>
      </c>
      <c r="F237" s="52">
        <v>27503.14</v>
      </c>
      <c r="G237" s="53">
        <v>1</v>
      </c>
      <c r="H237" s="52">
        <v>19683.28</v>
      </c>
      <c r="I237" s="52">
        <v>0</v>
      </c>
      <c r="J237" s="52">
        <v>10693.529999999999</v>
      </c>
      <c r="K237" s="52">
        <v>0</v>
      </c>
      <c r="L237" s="52">
        <v>10693.529999999999</v>
      </c>
      <c r="M237" s="53">
        <v>1</v>
      </c>
      <c r="N237" s="53"/>
      <c r="O237" s="52">
        <v>8989.75</v>
      </c>
      <c r="P237" s="52">
        <v>0</v>
      </c>
      <c r="Q237" s="52">
        <v>8989.75</v>
      </c>
      <c r="R237" s="53">
        <v>1</v>
      </c>
      <c r="S237" s="54">
        <v>180.16</v>
      </c>
      <c r="T237" s="54">
        <v>0</v>
      </c>
      <c r="U237" s="54">
        <v>180.16</v>
      </c>
      <c r="V237" s="53">
        <v>1</v>
      </c>
      <c r="W237" s="53"/>
      <c r="X237" s="55">
        <v>0</v>
      </c>
      <c r="Y237" s="55">
        <v>43.40506224750221</v>
      </c>
      <c r="Z237" s="53">
        <v>0</v>
      </c>
      <c r="AA237" s="56">
        <v>0.2843</v>
      </c>
      <c r="AB237" s="57"/>
      <c r="AD237" s="35"/>
      <c r="AE237" s="35"/>
      <c r="AH237" s="19"/>
      <c r="AI237" s="58"/>
    </row>
    <row r="238" ht="15" customHeight="1" spans="1:35" x14ac:dyDescent="0.25">
      <c r="A238" s="19"/>
      <c r="B238" s="20"/>
      <c r="C238" s="51" t="s">
        <v>101</v>
      </c>
      <c r="D238" s="52">
        <v>27503.14</v>
      </c>
      <c r="E238" s="52">
        <v>0</v>
      </c>
      <c r="F238" s="52">
        <v>27503.14</v>
      </c>
      <c r="G238" s="53">
        <v>1</v>
      </c>
      <c r="H238" s="52">
        <v>19683.28</v>
      </c>
      <c r="I238" s="52">
        <v>0</v>
      </c>
      <c r="J238" s="52">
        <v>10693.529999999999</v>
      </c>
      <c r="K238" s="52">
        <v>0</v>
      </c>
      <c r="L238" s="52">
        <v>10693.529999999999</v>
      </c>
      <c r="M238" s="53">
        <v>1</v>
      </c>
      <c r="N238" s="53"/>
      <c r="O238" s="52">
        <v>8989.75</v>
      </c>
      <c r="P238" s="52">
        <v>0</v>
      </c>
      <c r="Q238" s="52">
        <v>8989.75</v>
      </c>
      <c r="R238" s="53">
        <v>1</v>
      </c>
      <c r="S238" s="54">
        <v>180.16</v>
      </c>
      <c r="T238" s="54">
        <v>0</v>
      </c>
      <c r="U238" s="54">
        <v>180.16</v>
      </c>
      <c r="V238" s="53">
        <v>1</v>
      </c>
      <c r="W238" s="53"/>
      <c r="X238" s="55">
        <v>0</v>
      </c>
      <c r="Y238" s="55">
        <v>43.40506224750221</v>
      </c>
      <c r="Z238" s="53">
        <v>0</v>
      </c>
      <c r="AA238" s="56">
        <v>0.2843</v>
      </c>
      <c r="AB238" s="57"/>
      <c r="AD238" s="35"/>
      <c r="AE238" s="36"/>
      <c r="AH238" s="19"/>
      <c r="AI238" s="58"/>
    </row>
    <row r="239" ht="15" customHeight="1" spans="1:35" x14ac:dyDescent="0.25">
      <c r="A239" s="19"/>
      <c r="B239" s="20"/>
      <c r="C239" s="51" t="s">
        <v>103</v>
      </c>
      <c r="D239" s="52"/>
      <c r="E239" s="52"/>
      <c r="F239" s="52"/>
      <c r="G239" s="53"/>
      <c r="H239" s="52"/>
      <c r="I239" s="52"/>
      <c r="J239" s="52"/>
      <c r="K239" s="52"/>
      <c r="L239" s="52"/>
      <c r="M239" s="53"/>
      <c r="N239" s="53"/>
      <c r="O239" s="52"/>
      <c r="P239" s="52"/>
      <c r="Q239" s="52"/>
      <c r="R239" s="53"/>
      <c r="S239" s="54"/>
      <c r="T239" s="54"/>
      <c r="U239" s="54"/>
      <c r="V239" s="53"/>
      <c r="W239" s="53"/>
      <c r="X239" s="55"/>
      <c r="Y239" s="55"/>
      <c r="Z239" s="53"/>
      <c r="AA239" s="56"/>
      <c r="AB239" s="57"/>
      <c r="AD239" s="35"/>
      <c r="AE239" s="35"/>
      <c r="AH239" s="19"/>
      <c r="AI239" s="58"/>
    </row>
    <row r="240" ht="15.75" customHeight="1" spans="1:35" x14ac:dyDescent="0.25">
      <c r="A240" s="59"/>
      <c r="B240" s="75"/>
      <c r="C240" s="76" t="s">
        <v>104</v>
      </c>
      <c r="D240" s="52"/>
      <c r="E240" s="52"/>
      <c r="F240" s="52"/>
      <c r="G240" s="53"/>
      <c r="H240" s="52"/>
      <c r="I240" s="52"/>
      <c r="J240" s="52"/>
      <c r="K240" s="52"/>
      <c r="L240" s="52"/>
      <c r="M240" s="53"/>
      <c r="N240" s="53"/>
      <c r="O240" s="52"/>
      <c r="P240" s="52"/>
      <c r="Q240" s="52"/>
      <c r="R240" s="53"/>
      <c r="S240" s="54"/>
      <c r="T240" s="54"/>
      <c r="U240" s="54"/>
      <c r="V240" s="53"/>
      <c r="W240" s="53"/>
      <c r="X240" s="55"/>
      <c r="Y240" s="55"/>
      <c r="Z240" s="53"/>
      <c r="AA240" s="56"/>
      <c r="AB240" s="57"/>
      <c r="AD240" s="35"/>
      <c r="AE240" s="35"/>
      <c r="AH240" s="59"/>
      <c r="AI240" s="60"/>
    </row>
    <row r="241" ht="9" customHeight="1" spans="1:35" x14ac:dyDescent="0.25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D241" s="35"/>
      <c r="AE241" s="35"/>
      <c r="AH241" s="35"/>
      <c r="AI241" s="35"/>
    </row>
    <row r="242" ht="15" customHeight="1" spans="1:35" x14ac:dyDescent="0.25">
      <c r="A242" s="19">
        <v>8829</v>
      </c>
      <c r="B242" s="19" t="s">
        <v>66</v>
      </c>
      <c r="C242" s="51" t="s">
        <v>96</v>
      </c>
      <c r="D242" s="52">
        <v>0</v>
      </c>
      <c r="E242" s="52">
        <v>0</v>
      </c>
      <c r="F242" s="52">
        <v>0</v>
      </c>
      <c r="G242" s="53">
        <v>0</v>
      </c>
      <c r="H242" s="52">
        <v>0</v>
      </c>
      <c r="I242" s="52">
        <v>0</v>
      </c>
      <c r="J242" s="52">
        <v>0</v>
      </c>
      <c r="K242" s="52">
        <v>0</v>
      </c>
      <c r="L242" s="52">
        <v>0</v>
      </c>
      <c r="M242" s="53">
        <v>0</v>
      </c>
      <c r="N242" s="53"/>
      <c r="O242" s="52">
        <v>0</v>
      </c>
      <c r="P242" s="52">
        <v>0</v>
      </c>
      <c r="Q242" s="52">
        <v>0</v>
      </c>
      <c r="R242" s="53">
        <v>0</v>
      </c>
      <c r="S242" s="54">
        <v>0</v>
      </c>
      <c r="T242" s="54">
        <v>0</v>
      </c>
      <c r="U242" s="54">
        <v>0</v>
      </c>
      <c r="V242" s="53">
        <v>0</v>
      </c>
      <c r="W242" s="53"/>
      <c r="X242" s="55">
        <v>0</v>
      </c>
      <c r="Y242" s="55">
        <v>0</v>
      </c>
      <c r="Z242" s="53">
        <v>0</v>
      </c>
      <c r="AA242" s="56">
        <v>0</v>
      </c>
      <c r="AB242" s="57"/>
      <c r="AD242" s="35"/>
      <c r="AE242" s="35"/>
      <c r="AH242" s="19"/>
      <c r="AI242" s="58"/>
    </row>
    <row r="243" ht="15" customHeight="1" spans="1:35" x14ac:dyDescent="0.25">
      <c r="A243" s="19"/>
      <c r="B243" s="20"/>
      <c r="C243" s="51" t="s">
        <v>98</v>
      </c>
      <c r="D243" s="52"/>
      <c r="E243" s="52"/>
      <c r="F243" s="52"/>
      <c r="G243" s="53"/>
      <c r="H243" s="52"/>
      <c r="I243" s="52"/>
      <c r="J243" s="52"/>
      <c r="K243" s="52"/>
      <c r="L243" s="52"/>
      <c r="M243" s="53"/>
      <c r="N243" s="53"/>
      <c r="O243" s="52"/>
      <c r="P243" s="52"/>
      <c r="Q243" s="52"/>
      <c r="R243" s="53"/>
      <c r="S243" s="54"/>
      <c r="T243" s="54"/>
      <c r="U243" s="54"/>
      <c r="V243" s="53"/>
      <c r="W243" s="53"/>
      <c r="X243" s="55"/>
      <c r="Y243" s="55"/>
      <c r="Z243" s="53"/>
      <c r="AA243" s="56"/>
      <c r="AB243" s="57"/>
      <c r="AD243" s="35"/>
      <c r="AE243" s="36"/>
      <c r="AH243" s="19"/>
      <c r="AI243" s="58"/>
    </row>
    <row r="244" ht="15" customHeight="1" spans="1:35" x14ac:dyDescent="0.25">
      <c r="A244" s="19"/>
      <c r="B244" s="20"/>
      <c r="C244" s="51" t="s">
        <v>100</v>
      </c>
      <c r="D244" s="52">
        <v>40670.15</v>
      </c>
      <c r="E244" s="52">
        <v>0</v>
      </c>
      <c r="F244" s="52">
        <v>40670.15</v>
      </c>
      <c r="G244" s="53">
        <v>1</v>
      </c>
      <c r="H244" s="52">
        <v>29498.31</v>
      </c>
      <c r="I244" s="52">
        <v>0</v>
      </c>
      <c r="J244" s="52">
        <v>24964.33</v>
      </c>
      <c r="K244" s="52">
        <v>0</v>
      </c>
      <c r="L244" s="52">
        <v>24964.33</v>
      </c>
      <c r="M244" s="53">
        <v>1</v>
      </c>
      <c r="N244" s="53"/>
      <c r="O244" s="52">
        <v>4533.98</v>
      </c>
      <c r="P244" s="52">
        <v>0</v>
      </c>
      <c r="Q244" s="52">
        <v>4533.98</v>
      </c>
      <c r="R244" s="53">
        <v>1</v>
      </c>
      <c r="S244" s="54">
        <v>90.88</v>
      </c>
      <c r="T244" s="54">
        <v>0</v>
      </c>
      <c r="U244" s="54">
        <v>90.88</v>
      </c>
      <c r="V244" s="53">
        <v>1</v>
      </c>
      <c r="W244" s="53"/>
      <c r="X244" s="55">
        <v>0</v>
      </c>
      <c r="Y244" s="55">
        <v>122.92957895026407</v>
      </c>
      <c r="Z244" s="53">
        <v>0</v>
      </c>
      <c r="AA244" s="56">
        <v>0.2747</v>
      </c>
      <c r="AB244" s="57"/>
      <c r="AD244" s="35"/>
      <c r="AE244" s="35"/>
      <c r="AH244" s="19"/>
      <c r="AI244" s="58"/>
    </row>
    <row r="245" ht="15" customHeight="1" spans="1:35" x14ac:dyDescent="0.25">
      <c r="A245" s="19"/>
      <c r="B245" s="20"/>
      <c r="C245" s="51" t="s">
        <v>101</v>
      </c>
      <c r="D245" s="52">
        <v>40670.15</v>
      </c>
      <c r="E245" s="52">
        <v>0</v>
      </c>
      <c r="F245" s="52">
        <v>40670.15</v>
      </c>
      <c r="G245" s="53">
        <v>1</v>
      </c>
      <c r="H245" s="52">
        <v>29498.31</v>
      </c>
      <c r="I245" s="52">
        <v>0</v>
      </c>
      <c r="J245" s="52">
        <v>24964.33</v>
      </c>
      <c r="K245" s="52">
        <v>0</v>
      </c>
      <c r="L245" s="52">
        <v>24964.33</v>
      </c>
      <c r="M245" s="53">
        <v>1</v>
      </c>
      <c r="N245" s="53"/>
      <c r="O245" s="52">
        <v>4533.98</v>
      </c>
      <c r="P245" s="52">
        <v>0</v>
      </c>
      <c r="Q245" s="52">
        <v>4533.98</v>
      </c>
      <c r="R245" s="53">
        <v>1</v>
      </c>
      <c r="S245" s="54">
        <v>90.88</v>
      </c>
      <c r="T245" s="54">
        <v>0</v>
      </c>
      <c r="U245" s="54">
        <v>90.88</v>
      </c>
      <c r="V245" s="53">
        <v>1</v>
      </c>
      <c r="W245" s="53"/>
      <c r="X245" s="55">
        <v>0</v>
      </c>
      <c r="Y245" s="55">
        <v>122.92957895026407</v>
      </c>
      <c r="Z245" s="53">
        <v>0</v>
      </c>
      <c r="AA245" s="56">
        <v>0.2747</v>
      </c>
      <c r="AB245" s="57"/>
      <c r="AD245" s="35"/>
      <c r="AE245" s="36"/>
      <c r="AH245" s="19"/>
      <c r="AI245" s="58"/>
    </row>
    <row r="246" ht="15" customHeight="1" spans="1:35" x14ac:dyDescent="0.25">
      <c r="A246" s="19"/>
      <c r="B246" s="20"/>
      <c r="C246" s="51" t="s">
        <v>103</v>
      </c>
      <c r="D246" s="52"/>
      <c r="E246" s="52"/>
      <c r="F246" s="52"/>
      <c r="G246" s="53"/>
      <c r="H246" s="52"/>
      <c r="I246" s="52"/>
      <c r="J246" s="52"/>
      <c r="K246" s="52"/>
      <c r="L246" s="52"/>
      <c r="M246" s="53"/>
      <c r="N246" s="53"/>
      <c r="O246" s="52"/>
      <c r="P246" s="52"/>
      <c r="Q246" s="52"/>
      <c r="R246" s="53"/>
      <c r="S246" s="54"/>
      <c r="T246" s="54"/>
      <c r="U246" s="54"/>
      <c r="V246" s="53"/>
      <c r="W246" s="53"/>
      <c r="X246" s="55"/>
      <c r="Y246" s="55"/>
      <c r="Z246" s="53"/>
      <c r="AA246" s="56"/>
      <c r="AB246" s="57"/>
      <c r="AD246" s="35"/>
      <c r="AE246" s="35"/>
      <c r="AH246" s="19"/>
      <c r="AI246" s="58"/>
    </row>
    <row r="247" ht="15.75" customHeight="1" spans="1:35" x14ac:dyDescent="0.25">
      <c r="A247" s="59"/>
      <c r="B247" s="75"/>
      <c r="C247" s="76" t="s">
        <v>104</v>
      </c>
      <c r="D247" s="52"/>
      <c r="E247" s="52"/>
      <c r="F247" s="52"/>
      <c r="G247" s="53"/>
      <c r="H247" s="52"/>
      <c r="I247" s="52"/>
      <c r="J247" s="52"/>
      <c r="K247" s="52"/>
      <c r="L247" s="52"/>
      <c r="M247" s="53"/>
      <c r="N247" s="53"/>
      <c r="O247" s="52"/>
      <c r="P247" s="52"/>
      <c r="Q247" s="52"/>
      <c r="R247" s="53"/>
      <c r="S247" s="54"/>
      <c r="T247" s="54"/>
      <c r="U247" s="54"/>
      <c r="V247" s="53"/>
      <c r="W247" s="53"/>
      <c r="X247" s="55"/>
      <c r="Y247" s="55"/>
      <c r="Z247" s="53"/>
      <c r="AA247" s="56"/>
      <c r="AB247" s="57"/>
      <c r="AD247" s="35"/>
      <c r="AE247" s="35"/>
      <c r="AH247" s="59"/>
      <c r="AI247" s="60"/>
    </row>
    <row r="248" ht="9" customHeight="1" spans="1:35" x14ac:dyDescent="0.25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D248" s="35"/>
      <c r="AE248" s="35"/>
      <c r="AH248" s="35"/>
      <c r="AI248" s="35"/>
    </row>
    <row r="249" ht="15" customHeight="1" spans="1:35" x14ac:dyDescent="0.25">
      <c r="A249" s="19">
        <v>7480</v>
      </c>
      <c r="B249" s="19" t="s">
        <v>67</v>
      </c>
      <c r="C249" s="51" t="s">
        <v>96</v>
      </c>
      <c r="D249" s="52">
        <v>0</v>
      </c>
      <c r="E249" s="52">
        <v>0</v>
      </c>
      <c r="F249" s="52">
        <v>0</v>
      </c>
      <c r="G249" s="53">
        <v>0</v>
      </c>
      <c r="H249" s="52">
        <v>0</v>
      </c>
      <c r="I249" s="52">
        <v>0</v>
      </c>
      <c r="J249" s="52">
        <v>0</v>
      </c>
      <c r="K249" s="52">
        <v>0</v>
      </c>
      <c r="L249" s="52">
        <v>0</v>
      </c>
      <c r="M249" s="53">
        <v>0</v>
      </c>
      <c r="N249" s="53"/>
      <c r="O249" s="52">
        <v>0</v>
      </c>
      <c r="P249" s="52">
        <v>0</v>
      </c>
      <c r="Q249" s="52">
        <v>0</v>
      </c>
      <c r="R249" s="53">
        <v>0</v>
      </c>
      <c r="S249" s="54">
        <v>0</v>
      </c>
      <c r="T249" s="54">
        <v>0</v>
      </c>
      <c r="U249" s="54">
        <v>0</v>
      </c>
      <c r="V249" s="53">
        <v>0</v>
      </c>
      <c r="W249" s="53"/>
      <c r="X249" s="55">
        <v>0</v>
      </c>
      <c r="Y249" s="55">
        <v>0</v>
      </c>
      <c r="Z249" s="53">
        <v>0</v>
      </c>
      <c r="AA249" s="56">
        <v>0</v>
      </c>
      <c r="AB249" s="57"/>
      <c r="AD249" s="35"/>
      <c r="AE249" s="35"/>
      <c r="AH249" s="19"/>
      <c r="AI249" s="58"/>
    </row>
    <row r="250" ht="15" customHeight="1" spans="1:35" x14ac:dyDescent="0.25">
      <c r="A250" s="19"/>
      <c r="B250" s="20"/>
      <c r="C250" s="51" t="s">
        <v>98</v>
      </c>
      <c r="D250" s="52"/>
      <c r="E250" s="52"/>
      <c r="F250" s="52"/>
      <c r="G250" s="53"/>
      <c r="H250" s="52"/>
      <c r="I250" s="52"/>
      <c r="J250" s="52"/>
      <c r="K250" s="52"/>
      <c r="L250" s="52"/>
      <c r="M250" s="53"/>
      <c r="N250" s="53"/>
      <c r="O250" s="52"/>
      <c r="P250" s="52"/>
      <c r="Q250" s="52"/>
      <c r="R250" s="53"/>
      <c r="S250" s="54"/>
      <c r="T250" s="54"/>
      <c r="U250" s="54"/>
      <c r="V250" s="53"/>
      <c r="W250" s="53"/>
      <c r="X250" s="55"/>
      <c r="Y250" s="55"/>
      <c r="Z250" s="53"/>
      <c r="AA250" s="56"/>
      <c r="AB250" s="57"/>
      <c r="AD250" s="35"/>
      <c r="AE250" s="36"/>
      <c r="AH250" s="19"/>
      <c r="AI250" s="58"/>
    </row>
    <row r="251" ht="15" customHeight="1" spans="1:35" x14ac:dyDescent="0.25">
      <c r="A251" s="19"/>
      <c r="B251" s="20"/>
      <c r="C251" s="51" t="s">
        <v>100</v>
      </c>
      <c r="D251" s="52">
        <v>21396.5</v>
      </c>
      <c r="E251" s="52">
        <v>0</v>
      </c>
      <c r="F251" s="52">
        <v>21396.5</v>
      </c>
      <c r="G251" s="53">
        <v>1</v>
      </c>
      <c r="H251" s="52">
        <v>15378.24</v>
      </c>
      <c r="I251" s="52">
        <v>0</v>
      </c>
      <c r="J251" s="52">
        <v>8344.599999999999</v>
      </c>
      <c r="K251" s="52">
        <v>0</v>
      </c>
      <c r="L251" s="52">
        <v>8344.599999999999</v>
      </c>
      <c r="M251" s="53">
        <v>1</v>
      </c>
      <c r="N251" s="53"/>
      <c r="O251" s="52">
        <v>7033.64</v>
      </c>
      <c r="P251" s="52">
        <v>0</v>
      </c>
      <c r="Q251" s="52">
        <v>7033.64</v>
      </c>
      <c r="R251" s="53">
        <v>1</v>
      </c>
      <c r="S251" s="54">
        <v>140.9</v>
      </c>
      <c r="T251" s="54">
        <v>0</v>
      </c>
      <c r="U251" s="54">
        <v>140.9</v>
      </c>
      <c r="V251" s="53">
        <v>1</v>
      </c>
      <c r="W251" s="53"/>
      <c r="X251" s="55">
        <v>0</v>
      </c>
      <c r="Y251" s="55">
        <v>42.71295951611073</v>
      </c>
      <c r="Z251" s="53">
        <v>0</v>
      </c>
      <c r="AA251" s="56">
        <v>0.2813</v>
      </c>
      <c r="AB251" s="57"/>
      <c r="AD251" s="35"/>
      <c r="AE251" s="35"/>
      <c r="AH251" s="19"/>
      <c r="AI251" s="58"/>
    </row>
    <row r="252" ht="15" customHeight="1" spans="1:35" x14ac:dyDescent="0.25">
      <c r="A252" s="19"/>
      <c r="B252" s="20"/>
      <c r="C252" s="51" t="s">
        <v>101</v>
      </c>
      <c r="D252" s="52">
        <v>21396.5</v>
      </c>
      <c r="E252" s="52">
        <v>0</v>
      </c>
      <c r="F252" s="52">
        <v>21396.5</v>
      </c>
      <c r="G252" s="53">
        <v>1</v>
      </c>
      <c r="H252" s="52">
        <v>15378.24</v>
      </c>
      <c r="I252" s="52">
        <v>0</v>
      </c>
      <c r="J252" s="52">
        <v>8344.599999999999</v>
      </c>
      <c r="K252" s="52">
        <v>0</v>
      </c>
      <c r="L252" s="52">
        <v>8344.599999999999</v>
      </c>
      <c r="M252" s="53">
        <v>1</v>
      </c>
      <c r="N252" s="53"/>
      <c r="O252" s="52">
        <v>7033.64</v>
      </c>
      <c r="P252" s="52">
        <v>0</v>
      </c>
      <c r="Q252" s="52">
        <v>7033.64</v>
      </c>
      <c r="R252" s="53">
        <v>1</v>
      </c>
      <c r="S252" s="54">
        <v>140.9</v>
      </c>
      <c r="T252" s="54">
        <v>0</v>
      </c>
      <c r="U252" s="54">
        <v>140.9</v>
      </c>
      <c r="V252" s="53">
        <v>1</v>
      </c>
      <c r="W252" s="53"/>
      <c r="X252" s="55">
        <v>0</v>
      </c>
      <c r="Y252" s="55">
        <v>42.71295951611073</v>
      </c>
      <c r="Z252" s="53">
        <v>0</v>
      </c>
      <c r="AA252" s="56">
        <v>0.2813</v>
      </c>
      <c r="AB252" s="57"/>
      <c r="AD252" s="35"/>
      <c r="AE252" s="36"/>
      <c r="AH252" s="19"/>
      <c r="AI252" s="58"/>
    </row>
    <row r="253" ht="15" customHeight="1" spans="1:35" x14ac:dyDescent="0.25">
      <c r="A253" s="19"/>
      <c r="B253" s="20"/>
      <c r="C253" s="51" t="s">
        <v>103</v>
      </c>
      <c r="D253" s="52"/>
      <c r="E253" s="52"/>
      <c r="F253" s="52"/>
      <c r="G253" s="53"/>
      <c r="H253" s="52"/>
      <c r="I253" s="52"/>
      <c r="J253" s="52"/>
      <c r="K253" s="52"/>
      <c r="L253" s="52"/>
      <c r="M253" s="53"/>
      <c r="N253" s="53"/>
      <c r="O253" s="52"/>
      <c r="P253" s="52"/>
      <c r="Q253" s="52"/>
      <c r="R253" s="53"/>
      <c r="S253" s="54"/>
      <c r="T253" s="54"/>
      <c r="U253" s="54"/>
      <c r="V253" s="53"/>
      <c r="W253" s="53"/>
      <c r="X253" s="55"/>
      <c r="Y253" s="55"/>
      <c r="Z253" s="53"/>
      <c r="AA253" s="56"/>
      <c r="AB253" s="57"/>
      <c r="AD253" s="35"/>
      <c r="AE253" s="35"/>
      <c r="AH253" s="19"/>
      <c r="AI253" s="58"/>
    </row>
    <row r="254" ht="15.75" customHeight="1" spans="1:35" x14ac:dyDescent="0.25">
      <c r="A254" s="59"/>
      <c r="B254" s="75"/>
      <c r="C254" s="76" t="s">
        <v>104</v>
      </c>
      <c r="D254" s="52"/>
      <c r="E254" s="52"/>
      <c r="F254" s="52"/>
      <c r="G254" s="53"/>
      <c r="H254" s="52"/>
      <c r="I254" s="52"/>
      <c r="J254" s="52"/>
      <c r="K254" s="52"/>
      <c r="L254" s="52"/>
      <c r="M254" s="53"/>
      <c r="N254" s="53"/>
      <c r="O254" s="52"/>
      <c r="P254" s="52"/>
      <c r="Q254" s="52"/>
      <c r="R254" s="53"/>
      <c r="S254" s="54"/>
      <c r="T254" s="54"/>
      <c r="U254" s="54"/>
      <c r="V254" s="53"/>
      <c r="W254" s="53"/>
      <c r="X254" s="55"/>
      <c r="Y254" s="55"/>
      <c r="Z254" s="53"/>
      <c r="AA254" s="56"/>
      <c r="AB254" s="57"/>
      <c r="AD254" s="35"/>
      <c r="AE254" s="35"/>
      <c r="AH254" s="59"/>
      <c r="AI254" s="60"/>
    </row>
    <row r="255" ht="9" customHeight="1" spans="1:35" x14ac:dyDescent="0.25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D255" s="35"/>
      <c r="AE255" s="35"/>
      <c r="AH255" s="35"/>
      <c r="AI255" s="35"/>
    </row>
    <row r="256" ht="15" customHeight="1" spans="1:35" x14ac:dyDescent="0.25">
      <c r="A256" s="19">
        <v>9437</v>
      </c>
      <c r="B256" s="19" t="s">
        <v>68</v>
      </c>
      <c r="C256" s="51" t="s">
        <v>96</v>
      </c>
      <c r="D256" s="52">
        <v>0</v>
      </c>
      <c r="E256" s="52">
        <v>0</v>
      </c>
      <c r="F256" s="52">
        <v>0</v>
      </c>
      <c r="G256" s="53">
        <v>0</v>
      </c>
      <c r="H256" s="52">
        <v>0</v>
      </c>
      <c r="I256" s="52">
        <v>0</v>
      </c>
      <c r="J256" s="52">
        <v>0</v>
      </c>
      <c r="K256" s="52">
        <v>0</v>
      </c>
      <c r="L256" s="52">
        <v>0</v>
      </c>
      <c r="M256" s="53">
        <v>0</v>
      </c>
      <c r="N256" s="53"/>
      <c r="O256" s="52">
        <v>0</v>
      </c>
      <c r="P256" s="52">
        <v>0</v>
      </c>
      <c r="Q256" s="52">
        <v>0</v>
      </c>
      <c r="R256" s="53">
        <v>0</v>
      </c>
      <c r="S256" s="54">
        <v>0</v>
      </c>
      <c r="T256" s="54">
        <v>0</v>
      </c>
      <c r="U256" s="54">
        <v>0</v>
      </c>
      <c r="V256" s="53">
        <v>0</v>
      </c>
      <c r="W256" s="53"/>
      <c r="X256" s="55">
        <v>0</v>
      </c>
      <c r="Y256" s="55">
        <v>0</v>
      </c>
      <c r="Z256" s="53">
        <v>0</v>
      </c>
      <c r="AA256" s="56">
        <v>0</v>
      </c>
      <c r="AB256" s="57"/>
      <c r="AD256" s="35"/>
      <c r="AE256" s="35"/>
      <c r="AH256" s="19"/>
      <c r="AI256" s="58"/>
    </row>
    <row r="257" ht="15" customHeight="1" spans="1:35" x14ac:dyDescent="0.25">
      <c r="A257" s="19"/>
      <c r="B257" s="20"/>
      <c r="C257" s="51" t="s">
        <v>98</v>
      </c>
      <c r="D257" s="52"/>
      <c r="E257" s="52"/>
      <c r="F257" s="52"/>
      <c r="G257" s="53"/>
      <c r="H257" s="52"/>
      <c r="I257" s="52"/>
      <c r="J257" s="52"/>
      <c r="K257" s="52"/>
      <c r="L257" s="52"/>
      <c r="M257" s="53"/>
      <c r="N257" s="53"/>
      <c r="O257" s="52"/>
      <c r="P257" s="52"/>
      <c r="Q257" s="52"/>
      <c r="R257" s="53"/>
      <c r="S257" s="54"/>
      <c r="T257" s="54"/>
      <c r="U257" s="54"/>
      <c r="V257" s="53"/>
      <c r="W257" s="53"/>
      <c r="X257" s="55"/>
      <c r="Y257" s="55"/>
      <c r="Z257" s="53"/>
      <c r="AA257" s="56"/>
      <c r="AB257" s="57"/>
      <c r="AD257" s="35"/>
      <c r="AE257" s="36"/>
      <c r="AH257" s="19"/>
      <c r="AI257" s="58"/>
    </row>
    <row r="258" ht="15" customHeight="1" spans="1:35" x14ac:dyDescent="0.25">
      <c r="A258" s="19"/>
      <c r="B258" s="20"/>
      <c r="C258" s="51" t="s">
        <v>100</v>
      </c>
      <c r="D258" s="52">
        <v>239296.88</v>
      </c>
      <c r="E258" s="52">
        <v>10598.48</v>
      </c>
      <c r="F258" s="52">
        <v>228698.4</v>
      </c>
      <c r="G258" s="53">
        <v>0.9557099114706384</v>
      </c>
      <c r="H258" s="52">
        <v>203192.69</v>
      </c>
      <c r="I258" s="52">
        <v>18229.7</v>
      </c>
      <c r="J258" s="52">
        <v>175849.53</v>
      </c>
      <c r="K258" s="52">
        <v>16839.61</v>
      </c>
      <c r="L258" s="52">
        <v>159009.91999999998</v>
      </c>
      <c r="M258" s="53">
        <v>0.9042385271089436</v>
      </c>
      <c r="N258" s="53"/>
      <c r="O258" s="52">
        <v>27343.16</v>
      </c>
      <c r="P258" s="52">
        <v>1390.09</v>
      </c>
      <c r="Q258" s="52">
        <v>25953.07</v>
      </c>
      <c r="R258" s="53">
        <v>0.9491613259038092</v>
      </c>
      <c r="S258" s="54">
        <v>547.57</v>
      </c>
      <c r="T258" s="54">
        <v>27.84</v>
      </c>
      <c r="U258" s="54">
        <v>519.73</v>
      </c>
      <c r="V258" s="53">
        <v>0.9491571853826908</v>
      </c>
      <c r="W258" s="53"/>
      <c r="X258" s="55">
        <v>-274.10991379310343</v>
      </c>
      <c r="Y258" s="55">
        <v>65.93529946112827</v>
      </c>
      <c r="Z258" s="53">
        <v>-0.72</v>
      </c>
      <c r="AA258" s="56">
        <v>0.1509</v>
      </c>
      <c r="AB258" s="57"/>
      <c r="AD258" s="35"/>
      <c r="AE258" s="35"/>
      <c r="AH258" s="19"/>
      <c r="AI258" s="58"/>
    </row>
    <row r="259" ht="15" customHeight="1" spans="1:35" x14ac:dyDescent="0.25">
      <c r="A259" s="19"/>
      <c r="B259" s="20"/>
      <c r="C259" s="51" t="s">
        <v>101</v>
      </c>
      <c r="D259" s="52">
        <v>239296.88</v>
      </c>
      <c r="E259" s="52">
        <v>10598.48</v>
      </c>
      <c r="F259" s="52">
        <v>228698.4</v>
      </c>
      <c r="G259" s="53">
        <v>0.9557099114706384</v>
      </c>
      <c r="H259" s="52">
        <v>203192.69</v>
      </c>
      <c r="I259" s="52">
        <v>18229.7</v>
      </c>
      <c r="J259" s="52">
        <v>175849.53</v>
      </c>
      <c r="K259" s="52">
        <v>16839.61</v>
      </c>
      <c r="L259" s="52">
        <v>159009.91999999998</v>
      </c>
      <c r="M259" s="53">
        <v>0.9042385271089436</v>
      </c>
      <c r="N259" s="53"/>
      <c r="O259" s="52">
        <v>27343.16</v>
      </c>
      <c r="P259" s="52">
        <v>1390.09</v>
      </c>
      <c r="Q259" s="52">
        <v>25953.07</v>
      </c>
      <c r="R259" s="53">
        <v>0.9491613259038092</v>
      </c>
      <c r="S259" s="54">
        <v>547.57</v>
      </c>
      <c r="T259" s="54">
        <v>27.84</v>
      </c>
      <c r="U259" s="54">
        <v>519.73</v>
      </c>
      <c r="V259" s="53">
        <v>0.9491571853826908</v>
      </c>
      <c r="W259" s="53"/>
      <c r="X259" s="55">
        <v>-274.10991379310343</v>
      </c>
      <c r="Y259" s="55">
        <v>65.93529946112827</v>
      </c>
      <c r="Z259" s="53">
        <v>-0.72</v>
      </c>
      <c r="AA259" s="56">
        <v>0.1509</v>
      </c>
      <c r="AB259" s="57"/>
      <c r="AD259" s="35"/>
      <c r="AE259" s="36"/>
      <c r="AH259" s="19"/>
      <c r="AI259" s="58"/>
    </row>
    <row r="260" ht="15" customHeight="1" spans="1:35" x14ac:dyDescent="0.25">
      <c r="A260" s="19"/>
      <c r="B260" s="20"/>
      <c r="C260" s="51" t="s">
        <v>103</v>
      </c>
      <c r="D260" s="52"/>
      <c r="E260" s="52"/>
      <c r="F260" s="52"/>
      <c r="G260" s="53"/>
      <c r="H260" s="52"/>
      <c r="I260" s="52"/>
      <c r="J260" s="52"/>
      <c r="K260" s="52"/>
      <c r="L260" s="52"/>
      <c r="M260" s="53"/>
      <c r="N260" s="53"/>
      <c r="O260" s="52"/>
      <c r="P260" s="52"/>
      <c r="Q260" s="52"/>
      <c r="R260" s="53"/>
      <c r="S260" s="54"/>
      <c r="T260" s="54"/>
      <c r="U260" s="54"/>
      <c r="V260" s="53"/>
      <c r="W260" s="53"/>
      <c r="X260" s="55"/>
      <c r="Y260" s="55"/>
      <c r="Z260" s="53"/>
      <c r="AA260" s="56"/>
      <c r="AB260" s="57"/>
      <c r="AD260" s="35"/>
      <c r="AE260" s="35"/>
      <c r="AH260" s="19"/>
      <c r="AI260" s="58"/>
    </row>
    <row r="261" ht="15.75" customHeight="1" spans="1:35" x14ac:dyDescent="0.25">
      <c r="A261" s="59"/>
      <c r="B261" s="75"/>
      <c r="C261" s="76" t="s">
        <v>104</v>
      </c>
      <c r="D261" s="52"/>
      <c r="E261" s="52"/>
      <c r="F261" s="52"/>
      <c r="G261" s="53"/>
      <c r="H261" s="52"/>
      <c r="I261" s="52"/>
      <c r="J261" s="52"/>
      <c r="K261" s="52"/>
      <c r="L261" s="52"/>
      <c r="M261" s="53"/>
      <c r="N261" s="53"/>
      <c r="O261" s="52"/>
      <c r="P261" s="52"/>
      <c r="Q261" s="52"/>
      <c r="R261" s="53"/>
      <c r="S261" s="54"/>
      <c r="T261" s="54"/>
      <c r="U261" s="54"/>
      <c r="V261" s="53"/>
      <c r="W261" s="53"/>
      <c r="X261" s="55"/>
      <c r="Y261" s="55"/>
      <c r="Z261" s="53"/>
      <c r="AA261" s="56"/>
      <c r="AB261" s="57"/>
      <c r="AD261" s="35"/>
      <c r="AE261" s="35"/>
      <c r="AH261" s="59"/>
      <c r="AI261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5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106</v>
      </c>
      <c r="B2" s="81" t="s">
        <v>107</v>
      </c>
      <c r="C2" s="82" t="s">
        <v>108</v>
      </c>
      <c r="D2" s="82" t="s">
        <v>109</v>
      </c>
      <c r="E2" s="82" t="s">
        <v>110</v>
      </c>
      <c r="F2" s="82" t="s">
        <v>111</v>
      </c>
      <c r="G2" s="83" t="s">
        <v>112</v>
      </c>
      <c r="H2" s="83" t="s">
        <v>113</v>
      </c>
      <c r="I2" s="81" t="s">
        <v>114</v>
      </c>
      <c r="J2" s="82" t="s">
        <v>115</v>
      </c>
      <c r="K2" s="82" t="s">
        <v>116</v>
      </c>
      <c r="L2" s="83" t="s">
        <v>117</v>
      </c>
      <c r="M2" s="83" t="s">
        <v>118</v>
      </c>
      <c r="N2" s="81" t="s">
        <v>119</v>
      </c>
      <c r="O2" s="84" t="s">
        <v>120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35.10000000000582</v>
      </c>
      <c r="E4" s="52">
        <v>-35.10000000000582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-7035.100000000006</v>
      </c>
      <c r="N4" s="54">
        <v>20</v>
      </c>
      <c r="O4" s="58">
        <v>-100.50142857142866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0</v>
      </c>
      <c r="D6" s="52">
        <v>3846.6199999999953</v>
      </c>
      <c r="E6" s="52">
        <v>-3846.6199999999953</v>
      </c>
      <c r="F6" s="52">
        <v>7</v>
      </c>
      <c r="G6" s="53">
        <v>0</v>
      </c>
      <c r="H6" s="53">
        <v>0.239214585617637</v>
      </c>
      <c r="I6" s="54">
        <v>500</v>
      </c>
      <c r="J6" s="52">
        <v>272.6</v>
      </c>
      <c r="K6" s="52">
        <v>20272.6</v>
      </c>
      <c r="L6" s="53">
        <v>0</v>
      </c>
      <c r="M6" s="52">
        <v>-24112.219999999994</v>
      </c>
      <c r="N6" s="54">
        <v>-52.5</v>
      </c>
      <c r="O6" s="58">
        <v>-53.88205586592177</v>
      </c>
      <c r="Q6" s="35" t="s">
        <v>121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4539.259999999995</v>
      </c>
      <c r="E10" s="52">
        <v>-4539.259999999995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-9459.259999999995</v>
      </c>
      <c r="N10" s="54">
        <v>-388.25</v>
      </c>
      <c r="O10" s="58">
        <v>27.80091109478323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122</v>
      </c>
      <c r="C12" s="52">
        <v>0</v>
      </c>
      <c r="D12" s="52">
        <v>11748.359999999986</v>
      </c>
      <c r="E12" s="52">
        <v>-11748.359999999986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-14385.359999999986</v>
      </c>
      <c r="N12" s="54">
        <v>53</v>
      </c>
      <c r="O12" s="58">
        <v>-208.48347826086936</v>
      </c>
      <c r="Q12" s="35" t="s">
        <v>123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9389.019999999997</v>
      </c>
      <c r="E14" s="52">
        <v>-9389.019999999997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-12389.019999999997</v>
      </c>
      <c r="N14" s="54">
        <v>-112</v>
      </c>
      <c r="O14" s="58">
        <v>110.61624999999997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552.5999999999985</v>
      </c>
      <c r="E16" s="52">
        <v>-552.5999999999985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-3552.5999999999985</v>
      </c>
      <c r="N16" s="54">
        <v>-86.75</v>
      </c>
      <c r="O16" s="58">
        <v>40.952161383285286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5440.75</v>
      </c>
      <c r="E18" s="52">
        <v>-5440.75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-13640.75</v>
      </c>
      <c r="N18" s="54">
        <v>-269</v>
      </c>
      <c r="O18" s="58">
        <v>72.17328042328042</v>
      </c>
      <c r="Q18" s="35" t="s">
        <v>124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7755.09</v>
      </c>
      <c r="E22" s="52">
        <v>-7755.09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-7752.09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499.0499999999993</v>
      </c>
      <c r="E24" s="52">
        <v>-499.0499999999993</v>
      </c>
      <c r="F24" s="52">
        <v>3</v>
      </c>
      <c r="G24" s="53">
        <v>0</v>
      </c>
      <c r="H24" s="53"/>
      <c r="I24" s="54"/>
      <c r="J24" s="52"/>
      <c r="K24" s="52">
        <v>0</v>
      </c>
      <c r="L24" s="53">
        <v>0</v>
      </c>
      <c r="M24" s="52">
        <v>-496.0499999999993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-440.2600000000002</v>
      </c>
      <c r="E26" s="52">
        <v>440.2600000000002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440.2600000000002</v>
      </c>
      <c r="N26" s="54">
        <v>-143.25</v>
      </c>
      <c r="O26" s="58">
        <v>-3.0733682373472964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-945.4600000000028</v>
      </c>
      <c r="E28" s="52">
        <v>945.4600000000028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945.4600000000028</v>
      </c>
      <c r="N28" s="54">
        <v>-148.5</v>
      </c>
      <c r="O28" s="58">
        <v>-6.366734006734025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-715</v>
      </c>
      <c r="D32" s="52">
        <v>245.72999999999956</v>
      </c>
      <c r="E32" s="52">
        <v>-960.7299999999996</v>
      </c>
      <c r="F32" s="52">
        <v>0</v>
      </c>
      <c r="G32" s="53">
        <v>1.343678321678321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4.924097902097902</v>
      </c>
      <c r="M32" s="52">
        <v>-3520.7299999999996</v>
      </c>
      <c r="N32" s="54">
        <v>-317.25</v>
      </c>
      <c r="O32" s="58">
        <v>13.90219151036525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49</v>
      </c>
      <c r="C38" s="52">
        <v>52040.560000000005</v>
      </c>
      <c r="D38" s="52">
        <v>577.7200000000012</v>
      </c>
      <c r="E38" s="52">
        <v>51462.840000000004</v>
      </c>
      <c r="F38" s="52">
        <v>0</v>
      </c>
      <c r="G38" s="53">
        <v>0.9888986590459441</v>
      </c>
      <c r="H38" s="53">
        <v>0.1750921737769</v>
      </c>
      <c r="I38" s="54"/>
      <c r="J38" s="52"/>
      <c r="K38" s="52">
        <v>0</v>
      </c>
      <c r="L38" s="53">
        <v>0.9888986590459441</v>
      </c>
      <c r="M38" s="52">
        <v>51462.840000000004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51</v>
      </c>
      <c r="C42" s="52">
        <v>0</v>
      </c>
      <c r="D42" s="52">
        <v>-13.369999999998981</v>
      </c>
      <c r="E42" s="52">
        <v>13.369999999998981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13.369999999998981</v>
      </c>
      <c r="N42" s="54">
        <v>-266.75</v>
      </c>
      <c r="O42" s="58">
        <v>-0.05012183692595682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54</v>
      </c>
      <c r="C48" s="99">
        <v>0</v>
      </c>
      <c r="D48" s="99">
        <v>1728.0999999999985</v>
      </c>
      <c r="E48" s="99">
        <v>-1728.0999999999985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-4258.0999999999985</v>
      </c>
      <c r="N48" s="98">
        <v>-44.75</v>
      </c>
      <c r="O48" s="60">
        <v>95.15307262569829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55</v>
      </c>
      <c r="C50" s="99">
        <v>0</v>
      </c>
      <c r="D50" s="99">
        <v>2116.21</v>
      </c>
      <c r="E50" s="99">
        <v>-2116.21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-2116.21</v>
      </c>
      <c r="N50" s="98"/>
      <c r="O50" s="60">
        <v>0</v>
      </c>
      <c r="Q50" s="35" t="s">
        <v>125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56</v>
      </c>
      <c r="C52" s="99">
        <v>0</v>
      </c>
      <c r="D52" s="99">
        <v>2775.6800000000076</v>
      </c>
      <c r="E52" s="99">
        <v>-2775.6800000000076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-4055.6800000000076</v>
      </c>
      <c r="N52" s="98">
        <v>-304.75</v>
      </c>
      <c r="O52" s="60">
        <v>14.869587534372164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59</v>
      </c>
      <c r="C58" s="99">
        <v>0</v>
      </c>
      <c r="D58" s="99">
        <v>180.76999999999953</v>
      </c>
      <c r="E58" s="99">
        <v>-180.76999999999953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-180.76999999999953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62</v>
      </c>
      <c r="C66" s="99">
        <v>34650.399999999965</v>
      </c>
      <c r="D66" s="99">
        <v>16579.28</v>
      </c>
      <c r="E66" s="99">
        <v>18071.119999999966</v>
      </c>
      <c r="F66" s="99"/>
      <c r="G66" s="100">
        <v>0.5215270242190562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0.4291759979682769</v>
      </c>
      <c r="M66" s="99">
        <v>14871.119999999966</v>
      </c>
      <c r="N66" s="98">
        <v>-1014.25</v>
      </c>
      <c r="O66" s="60">
        <v>-15.917709392560841</v>
      </c>
    </row>
    <row r="67" ht="15" customHeight="1" spans="1:15" x14ac:dyDescent="0.25">
      <c r="A67" s="102">
        <v>9437</v>
      </c>
      <c r="B67" s="98" t="s">
        <v>68</v>
      </c>
      <c r="C67" s="99">
        <v>10598.48</v>
      </c>
      <c r="D67" s="99">
        <v>18229.7</v>
      </c>
      <c r="E67" s="99">
        <v>-7631.220000000001</v>
      </c>
      <c r="F67" s="99"/>
      <c r="G67" s="100">
        <v>-0.7200296646311548</v>
      </c>
      <c r="H67" s="100">
        <f>'Deliverables Sheet'!AA256</f>
      </c>
      <c r="I67" s="98"/>
      <c r="J67" s="99"/>
      <c r="K67" s="99">
        <v>0</v>
      </c>
      <c r="L67" s="100">
        <v>-0.7200296646311548</v>
      </c>
      <c r="M67" s="99">
        <v>-7631.220000000001</v>
      </c>
      <c r="N67" s="98"/>
      <c r="O67" s="60">
        <v>0</v>
      </c>
    </row>
    <row r="68" ht="15" customHeight="1" spans="1:15" x14ac:dyDescent="0.25">
      <c r="A68" s="102">
        <v>7480</v>
      </c>
      <c r="B68" s="98" t="s">
        <v>67</v>
      </c>
      <c r="C68" s="99">
        <v>0</v>
      </c>
      <c r="D68" s="99">
        <v>0</v>
      </c>
      <c r="E68" s="99">
        <v>0</v>
      </c>
      <c r="F68" s="99"/>
      <c r="G68" s="100">
        <v>0</v>
      </c>
      <c r="H68" s="100">
        <f>'Deliverables Sheet'!AA249</f>
      </c>
      <c r="I68" s="98"/>
      <c r="J68" s="99"/>
      <c r="K68" s="99">
        <v>0</v>
      </c>
      <c r="L68" s="100">
        <v>0</v>
      </c>
      <c r="M68" s="99">
        <v>0</v>
      </c>
      <c r="N68" s="98"/>
      <c r="O68" s="60">
        <v>0</v>
      </c>
    </row>
    <row r="69" ht="15" customHeight="1" spans="1:15" x14ac:dyDescent="0.25">
      <c r="A69" s="102">
        <v>8829</v>
      </c>
      <c r="B69" s="98" t="s">
        <v>66</v>
      </c>
      <c r="C69" s="99">
        <v>0</v>
      </c>
      <c r="D69" s="99">
        <v>0</v>
      </c>
      <c r="E69" s="99">
        <v>0</v>
      </c>
      <c r="F69" s="99"/>
      <c r="G69" s="100">
        <v>0</v>
      </c>
      <c r="H69" s="100">
        <f>'Deliverables Sheet'!AA242</f>
      </c>
      <c r="I69" s="98"/>
      <c r="J69" s="99"/>
      <c r="K69" s="99">
        <v>0</v>
      </c>
      <c r="L69" s="100">
        <v>0</v>
      </c>
      <c r="M69" s="99">
        <v>0</v>
      </c>
      <c r="N69" s="98"/>
      <c r="O69" s="60">
        <v>0</v>
      </c>
    </row>
    <row r="70" ht="15" customHeight="1" spans="1:15" x14ac:dyDescent="0.25">
      <c r="A70" s="102">
        <v>8386</v>
      </c>
      <c r="B70" s="98" t="s">
        <v>65</v>
      </c>
      <c r="C70" s="99">
        <v>0</v>
      </c>
      <c r="D70" s="99">
        <v>0</v>
      </c>
      <c r="E70" s="99">
        <v>0</v>
      </c>
      <c r="F70" s="99"/>
      <c r="G70" s="100">
        <v>0</v>
      </c>
      <c r="H70" s="100">
        <f>'Deliverables Sheet'!AA235</f>
      </c>
      <c r="I70" s="98"/>
      <c r="J70" s="99"/>
      <c r="K70" s="99">
        <v>0</v>
      </c>
      <c r="L70" s="100">
        <v>0</v>
      </c>
      <c r="M70" s="99">
        <v>0</v>
      </c>
      <c r="N70" s="98"/>
      <c r="O70" s="60">
        <v>0</v>
      </c>
    </row>
    <row r="71" ht="15" customHeight="1" spans="1:15" x14ac:dyDescent="0.25">
      <c r="A71" s="102">
        <v>8530</v>
      </c>
      <c r="B71" s="98" t="s">
        <v>63</v>
      </c>
      <c r="C71" s="99">
        <v>0</v>
      </c>
      <c r="D71" s="99">
        <v>0</v>
      </c>
      <c r="E71" s="99">
        <v>0</v>
      </c>
      <c r="F71" s="99"/>
      <c r="G71" s="100">
        <v>0</v>
      </c>
      <c r="H71" s="100">
        <f>'Deliverables Sheet'!AA228</f>
      </c>
      <c r="I71" s="98"/>
      <c r="J71" s="99"/>
      <c r="K71" s="99">
        <v>0</v>
      </c>
      <c r="L71" s="100">
        <v>0</v>
      </c>
      <c r="M71" s="99">
        <v>0</v>
      </c>
      <c r="N71" s="98"/>
      <c r="O71" s="60">
        <v>0</v>
      </c>
    </row>
    <row r="72" ht="15" customHeight="1" spans="1:15" x14ac:dyDescent="0.25">
      <c r="A72" s="35"/>
      <c r="B72" s="35"/>
      <c r="C72" s="36"/>
      <c r="D72" s="36"/>
      <c r="E72" s="36"/>
      <c r="F72" s="36"/>
      <c r="G72" s="37"/>
      <c r="H72" s="37"/>
      <c r="I72" s="35"/>
      <c r="J72" s="36"/>
      <c r="K72" s="36"/>
      <c r="L72" s="37"/>
      <c r="M72" s="36"/>
      <c r="N72" s="35"/>
      <c r="O72" s="36"/>
    </row>
    <row r="73" spans="1:15" x14ac:dyDescent="0.25">
      <c r="A73" s="35"/>
      <c r="B73" s="35"/>
      <c r="C73" s="36"/>
      <c r="D73" s="36"/>
      <c r="E73" s="36"/>
      <c r="F73" s="36"/>
      <c r="G73" s="37"/>
      <c r="H73" s="37"/>
      <c r="I73" s="35"/>
      <c r="J73" s="36"/>
      <c r="K73" s="36"/>
      <c r="L73" s="37"/>
      <c r="M73" s="37"/>
      <c r="N73" s="35"/>
      <c r="O73" s="35"/>
    </row>
    <row r="74" ht="15" customHeight="1" spans="1:15" x14ac:dyDescent="0.25">
      <c r="A74" s="49" t="s">
        <v>126</v>
      </c>
      <c r="B74" s="103" t="s">
        <v>127</v>
      </c>
      <c r="C74" s="104">
        <v>98702.24999999996</v>
      </c>
      <c r="D74" s="104">
        <v>90534.78999999996</v>
      </c>
      <c r="E74" s="105">
        <v>8167.459999999994</v>
      </c>
      <c r="F74" s="106" t="s">
        <v>128</v>
      </c>
      <c r="G74" s="107">
        <v>0.08274846824667115</v>
      </c>
      <c r="H74" s="108" t="s">
        <v>129</v>
      </c>
      <c r="I74" s="109">
        <v>-0.6288118052020095</v>
      </c>
      <c r="J74" s="36"/>
      <c r="K74" s="36"/>
      <c r="L74" s="37"/>
      <c r="M74" s="37"/>
      <c r="N74" s="35"/>
      <c r="O74" s="35"/>
    </row>
    <row r="75" ht="15" customHeight="1" spans="1:15" x14ac:dyDescent="0.25">
      <c r="A75" s="59"/>
      <c r="B75" s="98" t="s">
        <v>130</v>
      </c>
      <c r="C75" s="99">
        <v>-22865.6</v>
      </c>
      <c r="D75" s="99">
        <v>32774.04000000001</v>
      </c>
      <c r="E75" s="110">
        <v>-55639.640000000014</v>
      </c>
      <c r="F75" s="111"/>
      <c r="G75" s="112">
        <v>2.433333916450914</v>
      </c>
      <c r="H75" s="113" t="s">
        <v>129</v>
      </c>
      <c r="I75" s="114">
        <v>2.685240710936954</v>
      </c>
      <c r="J75" s="36"/>
      <c r="K75" s="36"/>
      <c r="L75" s="37"/>
      <c r="M75" s="37"/>
      <c r="N75" s="35"/>
      <c r="O75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14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131</v>
      </c>
      <c r="C2" s="117" t="s">
        <v>132</v>
      </c>
      <c r="D2" s="117" t="s">
        <v>133</v>
      </c>
      <c r="E2" s="117" t="s">
        <v>134</v>
      </c>
      <c r="F2" s="117" t="s">
        <v>135</v>
      </c>
      <c r="G2" s="117" t="s">
        <v>136</v>
      </c>
      <c r="H2" s="117" t="s">
        <v>137</v>
      </c>
      <c r="I2" s="117" t="s">
        <v>138</v>
      </c>
      <c r="J2" s="117" t="s">
        <v>139</v>
      </c>
      <c r="K2" s="117" t="s">
        <v>140</v>
      </c>
      <c r="L2" s="117" t="s">
        <v>141</v>
      </c>
      <c r="M2" s="117" t="s">
        <v>142</v>
      </c>
      <c r="N2" s="117" t="s">
        <v>143</v>
      </c>
      <c r="O2" s="117" t="s">
        <v>144</v>
      </c>
      <c r="P2" s="117" t="s">
        <v>145</v>
      </c>
      <c r="Q2" s="118" t="s">
        <v>146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147</v>
      </c>
      <c r="B3" s="123" t="s">
        <v>148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638.02</v>
      </c>
      <c r="D4" s="54">
        <v>600.25</v>
      </c>
      <c r="E4" s="54">
        <v>37.76999999999998</v>
      </c>
      <c r="F4" s="54">
        <v>0</v>
      </c>
      <c r="G4" s="54">
        <v>0</v>
      </c>
      <c r="H4" s="54">
        <v>0</v>
      </c>
      <c r="I4" s="54"/>
      <c r="J4" s="54"/>
      <c r="K4" s="54"/>
      <c r="L4" s="54"/>
      <c r="M4" s="54">
        <v>0</v>
      </c>
      <c r="N4" s="54"/>
      <c r="O4" s="54"/>
      <c r="P4" s="54"/>
      <c r="Q4" s="131"/>
      <c r="S4" s="35" t="s">
        <v>149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363.57</v>
      </c>
      <c r="D6" s="54">
        <v>168.25</v>
      </c>
      <c r="E6" s="54">
        <v>195.32</v>
      </c>
      <c r="F6" s="54"/>
      <c r="G6" s="54"/>
      <c r="H6" s="54"/>
      <c r="I6" s="54"/>
      <c r="J6" s="54"/>
      <c r="K6" s="54"/>
      <c r="L6" s="54"/>
      <c r="M6" s="54"/>
      <c r="N6" s="54">
        <v>0</v>
      </c>
      <c r="O6" s="54">
        <v>60</v>
      </c>
      <c r="P6" s="54"/>
      <c r="Q6" s="131"/>
      <c r="S6" s="35" t="s">
        <v>150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0</v>
      </c>
      <c r="O8" s="54">
        <v>58</v>
      </c>
      <c r="P8" s="54"/>
      <c r="Q8" s="131"/>
      <c r="S8" s="35" t="s">
        <v>149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805.22</v>
      </c>
      <c r="D10" s="54">
        <v>625</v>
      </c>
      <c r="E10" s="54">
        <v>180.22000000000003</v>
      </c>
      <c r="F10" s="54"/>
      <c r="G10" s="54"/>
      <c r="H10" s="54"/>
      <c r="I10" s="54"/>
      <c r="J10" s="54"/>
      <c r="K10" s="54"/>
      <c r="L10" s="54"/>
      <c r="M10" s="54">
        <v>0</v>
      </c>
      <c r="N10" s="54">
        <v>0</v>
      </c>
      <c r="O10" s="54">
        <v>0</v>
      </c>
      <c r="P10" s="54"/>
      <c r="Q10" s="131"/>
      <c r="S10" s="35" t="s">
        <v>149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122</v>
      </c>
      <c r="C12" s="54">
        <v>1124.47</v>
      </c>
      <c r="D12" s="54">
        <v>667.75</v>
      </c>
      <c r="E12" s="54">
        <v>456.72</v>
      </c>
      <c r="F12" s="54"/>
      <c r="G12" s="54"/>
      <c r="H12" s="54"/>
      <c r="I12" s="54"/>
      <c r="J12" s="54"/>
      <c r="K12" s="54"/>
      <c r="L12" s="54"/>
      <c r="M12" s="54">
        <v>0</v>
      </c>
      <c r="N12" s="54">
        <v>0</v>
      </c>
      <c r="O12" s="86">
        <v>80</v>
      </c>
      <c r="P12" s="54">
        <v>0</v>
      </c>
      <c r="Q12" s="131"/>
      <c r="S12" s="35" t="s">
        <v>30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354.75</v>
      </c>
      <c r="E14" s="54">
        <v>147.07999999999998</v>
      </c>
      <c r="F14" s="54"/>
      <c r="G14" s="54"/>
      <c r="H14" s="54"/>
      <c r="I14" s="54"/>
      <c r="J14" s="54"/>
      <c r="K14" s="54"/>
      <c r="L14" s="54">
        <v>0</v>
      </c>
      <c r="M14" s="54">
        <v>0</v>
      </c>
      <c r="N14" s="54">
        <v>0</v>
      </c>
      <c r="O14" s="54">
        <v>30</v>
      </c>
      <c r="P14" s="54"/>
      <c r="Q14" s="131"/>
      <c r="S14" s="35" t="s">
        <v>149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129</v>
      </c>
      <c r="E16" s="54">
        <v>94.22</v>
      </c>
      <c r="F16" s="54"/>
      <c r="G16" s="54"/>
      <c r="H16" s="54"/>
      <c r="I16" s="54"/>
      <c r="J16" s="54"/>
      <c r="K16" s="54"/>
      <c r="L16" s="54"/>
      <c r="M16" s="54">
        <v>0</v>
      </c>
      <c r="N16" s="54">
        <v>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685.48</v>
      </c>
      <c r="D18" s="54">
        <v>610</v>
      </c>
      <c r="E18" s="54">
        <v>75.48000000000002</v>
      </c>
      <c r="F18" s="54"/>
      <c r="G18" s="54"/>
      <c r="H18" s="54"/>
      <c r="I18" s="54"/>
      <c r="J18" s="54"/>
      <c r="K18" s="54"/>
      <c r="L18" s="54"/>
      <c r="M18" s="54">
        <v>0</v>
      </c>
      <c r="N18" s="54">
        <v>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0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193.32</v>
      </c>
      <c r="D22" s="54">
        <v>2.75</v>
      </c>
      <c r="E22" s="54">
        <v>190.57</v>
      </c>
      <c r="F22" s="54"/>
      <c r="G22" s="54"/>
      <c r="H22" s="54"/>
      <c r="I22" s="54"/>
      <c r="J22" s="54"/>
      <c r="K22" s="54"/>
      <c r="L22" s="54"/>
      <c r="M22" s="54">
        <v>0</v>
      </c>
      <c r="N22" s="54">
        <v>0</v>
      </c>
      <c r="O22" s="54">
        <v>160</v>
      </c>
      <c r="P22" s="54">
        <v>30</v>
      </c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472.14</v>
      </c>
      <c r="D24" s="54">
        <v>167.25</v>
      </c>
      <c r="E24" s="54">
        <v>304.89</v>
      </c>
      <c r="F24" s="54"/>
      <c r="G24" s="54"/>
      <c r="H24" s="54"/>
      <c r="I24" s="54"/>
      <c r="J24" s="54"/>
      <c r="K24" s="54"/>
      <c r="L24" s="54"/>
      <c r="M24" s="54">
        <v>0</v>
      </c>
      <c r="N24" s="54">
        <v>0</v>
      </c>
      <c r="O24" s="54">
        <v>80</v>
      </c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0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225.5</v>
      </c>
      <c r="E28" s="54">
        <v>6.25</v>
      </c>
      <c r="F28" s="54"/>
      <c r="G28" s="54"/>
      <c r="H28" s="54"/>
      <c r="I28" s="54"/>
      <c r="J28" s="54"/>
      <c r="K28" s="54"/>
      <c r="L28" s="54"/>
      <c r="M28" s="54">
        <v>0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0</v>
      </c>
      <c r="O30" s="54">
        <v>0</v>
      </c>
      <c r="P30" s="54">
        <v>48</v>
      </c>
      <c r="Q30" s="131">
        <v>16</v>
      </c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324.25</v>
      </c>
      <c r="E32" s="54">
        <v>-116.05000000000001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0</v>
      </c>
      <c r="N36" s="54">
        <v>0</v>
      </c>
      <c r="O36" s="54">
        <v>30</v>
      </c>
      <c r="P36" s="54">
        <v>50</v>
      </c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49</v>
      </c>
      <c r="C38" s="54">
        <v>317.92</v>
      </c>
      <c r="D38" s="54">
        <v>106</v>
      </c>
      <c r="E38" s="54">
        <v>211.92000000000002</v>
      </c>
      <c r="F38" s="54"/>
      <c r="G38" s="54"/>
      <c r="H38" s="54"/>
      <c r="I38" s="54"/>
      <c r="J38" s="54"/>
      <c r="K38" s="54"/>
      <c r="L38" s="54"/>
      <c r="M38" s="54">
        <v>0</v>
      </c>
      <c r="N38" s="54">
        <v>0</v>
      </c>
      <c r="O38" s="54">
        <v>170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>
        <v>58</v>
      </c>
      <c r="P40" s="54">
        <v>16</v>
      </c>
      <c r="Q40" s="131">
        <v>72</v>
      </c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0</v>
      </c>
      <c r="O44" s="54">
        <v>0</v>
      </c>
      <c r="P44" s="54">
        <v>0</v>
      </c>
      <c r="Q44" s="131">
        <v>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54</v>
      </c>
      <c r="C48" s="54">
        <v>110.44</v>
      </c>
      <c r="D48" s="54">
        <v>87</v>
      </c>
      <c r="E48" s="54">
        <v>23.439999999999998</v>
      </c>
      <c r="F48" s="54"/>
      <c r="G48" s="54"/>
      <c r="H48" s="54"/>
      <c r="I48" s="54"/>
      <c r="J48" s="54"/>
      <c r="K48" s="54"/>
      <c r="L48" s="54"/>
      <c r="M48" s="54">
        <v>0</v>
      </c>
      <c r="N48" s="54">
        <v>0</v>
      </c>
      <c r="O48" s="54">
        <v>18</v>
      </c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55</v>
      </c>
      <c r="C50" s="54">
        <v>65.13</v>
      </c>
      <c r="D50" s="54">
        <v>24.33</v>
      </c>
      <c r="E50" s="54">
        <v>40.8</v>
      </c>
      <c r="F50" s="54"/>
      <c r="G50" s="54"/>
      <c r="H50" s="54"/>
      <c r="I50" s="54"/>
      <c r="J50" s="54"/>
      <c r="K50" s="54"/>
      <c r="L50" s="54"/>
      <c r="M50" s="54">
        <v>0</v>
      </c>
      <c r="N50" s="54">
        <v>0</v>
      </c>
      <c r="O50" s="54">
        <v>40</v>
      </c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0</v>
      </c>
      <c r="N52" s="54">
        <v>0</v>
      </c>
      <c r="O52" s="141">
        <v>110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0</v>
      </c>
      <c r="M54" s="54">
        <v>0</v>
      </c>
      <c r="N54" s="54">
        <v>0</v>
      </c>
      <c r="O54" s="54">
        <v>60</v>
      </c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0</v>
      </c>
      <c r="N56" s="54">
        <v>0</v>
      </c>
      <c r="O56" s="54">
        <v>16</v>
      </c>
      <c r="P56" s="54">
        <v>70</v>
      </c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59</v>
      </c>
      <c r="C58" s="54">
        <v>140.15</v>
      </c>
      <c r="D58" s="54">
        <v>9.25</v>
      </c>
      <c r="E58" s="54">
        <v>130.9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0</v>
      </c>
      <c r="O64" s="54">
        <v>140</v>
      </c>
      <c r="P64" s="54">
        <v>40</v>
      </c>
      <c r="Q64" s="131">
        <v>178</v>
      </c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62</v>
      </c>
      <c r="C66" s="54">
        <v>2412.45</v>
      </c>
      <c r="D66" s="54">
        <v>1444.92</v>
      </c>
      <c r="E66" s="54">
        <v>967.5299999999997</v>
      </c>
      <c r="F66" s="54"/>
      <c r="G66" s="54"/>
      <c r="H66" s="54"/>
      <c r="I66" s="54"/>
      <c r="J66" s="54"/>
      <c r="K66" s="54"/>
      <c r="L66" s="54"/>
      <c r="M66" s="54">
        <v>0</v>
      </c>
      <c r="N66" s="54">
        <v>0</v>
      </c>
      <c r="O66" s="54">
        <v>320</v>
      </c>
      <c r="P66" s="54">
        <v>80</v>
      </c>
      <c r="Q66" s="54">
        <v>80</v>
      </c>
    </row>
    <row r="67" ht="15" customHeight="1" spans="1:17" x14ac:dyDescent="0.25">
      <c r="A67" s="19">
        <v>9437</v>
      </c>
      <c r="B67" s="20" t="s">
        <v>68</v>
      </c>
      <c r="C67" s="54">
        <v>547.57</v>
      </c>
      <c r="D67" s="54">
        <v>27.84</v>
      </c>
      <c r="E67" s="54">
        <v>519.73</v>
      </c>
      <c r="F67" s="54">
        <v>240</v>
      </c>
      <c r="G67" s="54"/>
      <c r="H67" s="54"/>
      <c r="I67" s="54"/>
      <c r="J67" s="54"/>
      <c r="K67" s="54"/>
      <c r="L67" s="54"/>
      <c r="M67" s="54"/>
      <c r="N67" s="54"/>
      <c r="O67" s="54">
        <v>0</v>
      </c>
      <c r="P67" s="54">
        <v>0</v>
      </c>
      <c r="Q67" s="54">
        <v>240</v>
      </c>
    </row>
    <row r="68" ht="15" customHeight="1" spans="1:17" x14ac:dyDescent="0.25">
      <c r="A68" s="19">
        <v>7480</v>
      </c>
      <c r="B68" s="20" t="s">
        <v>67</v>
      </c>
      <c r="C68" s="54">
        <v>140.9</v>
      </c>
      <c r="D68" s="54">
        <v>0</v>
      </c>
      <c r="E68" s="54">
        <v>140.9</v>
      </c>
      <c r="F68" s="54"/>
      <c r="G68" s="54"/>
      <c r="H68" s="54"/>
      <c r="I68" s="54"/>
      <c r="J68" s="54"/>
      <c r="K68" s="54"/>
      <c r="L68" s="54"/>
      <c r="M68" s="54"/>
      <c r="N68" s="54"/>
      <c r="O68" s="54">
        <v>56</v>
      </c>
      <c r="P68" s="54">
        <v>16</v>
      </c>
      <c r="Q68" s="54">
        <v>68</v>
      </c>
    </row>
    <row r="69" ht="15" customHeight="1" spans="1:17" x14ac:dyDescent="0.25">
      <c r="A69" s="19">
        <v>8829</v>
      </c>
      <c r="B69" s="20" t="s">
        <v>66</v>
      </c>
      <c r="C69" s="54">
        <v>90.88</v>
      </c>
      <c r="D69" s="54">
        <v>0</v>
      </c>
      <c r="E69" s="54">
        <v>90.88</v>
      </c>
      <c r="F69" s="54"/>
      <c r="G69" s="54"/>
      <c r="H69" s="54"/>
      <c r="I69" s="54"/>
      <c r="J69" s="54"/>
      <c r="K69" s="54"/>
      <c r="L69" s="54"/>
      <c r="M69" s="54"/>
      <c r="N69" s="54"/>
      <c r="O69" s="54">
        <v>56</v>
      </c>
      <c r="P69" s="54"/>
      <c r="Q69" s="54">
        <v>16</v>
      </c>
    </row>
    <row r="70" ht="15" customHeight="1" spans="1:17" x14ac:dyDescent="0.25">
      <c r="A70" s="19">
        <v>8386</v>
      </c>
      <c r="B70" s="20" t="s">
        <v>65</v>
      </c>
      <c r="C70" s="54">
        <v>180.16</v>
      </c>
      <c r="D70" s="54">
        <v>0</v>
      </c>
      <c r="E70" s="54">
        <v>180.16</v>
      </c>
      <c r="F70" s="54"/>
      <c r="G70" s="54"/>
      <c r="H70" s="54"/>
      <c r="I70" s="54"/>
      <c r="J70" s="54"/>
      <c r="K70" s="54"/>
      <c r="L70" s="54"/>
      <c r="M70" s="54"/>
      <c r="N70" s="54"/>
      <c r="O70" s="54">
        <v>72</v>
      </c>
      <c r="P70" s="54">
        <v>18</v>
      </c>
      <c r="Q70" s="54">
        <v>90</v>
      </c>
    </row>
    <row r="71" ht="15" customHeight="1" spans="1:17" x14ac:dyDescent="0.25">
      <c r="A71" s="19">
        <v>8530</v>
      </c>
      <c r="B71" s="20" t="s">
        <v>63</v>
      </c>
      <c r="C71" s="54">
        <v>36.92</v>
      </c>
      <c r="D71" s="54">
        <v>0</v>
      </c>
      <c r="E71" s="54">
        <v>36.92</v>
      </c>
      <c r="F71" s="54"/>
      <c r="G71" s="54"/>
      <c r="H71" s="54"/>
      <c r="I71" s="54"/>
      <c r="J71" s="54"/>
      <c r="K71" s="54"/>
      <c r="L71" s="54"/>
      <c r="M71" s="54"/>
      <c r="N71" s="54"/>
      <c r="O71" s="54">
        <v>20</v>
      </c>
      <c r="P71" s="54">
        <v>16</v>
      </c>
      <c r="Q71" s="54"/>
    </row>
    <row r="72" ht="15" customHeight="1" spans="1:17" x14ac:dyDescent="0.25">
      <c r="A72" s="142"/>
      <c r="B72" s="143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144"/>
    </row>
    <row r="73" ht="15" customHeight="1" spans="1:17" x14ac:dyDescent="0.25">
      <c r="A73" s="142"/>
      <c r="B73" s="143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144"/>
    </row>
    <row r="74" ht="15.75" customHeight="1" spans="1:17" x14ac:dyDescent="0.25">
      <c r="A74" s="145"/>
      <c r="B74" s="145"/>
      <c r="C74" s="145"/>
      <c r="D74" s="145"/>
      <c r="E74" s="145"/>
      <c r="F74" s="145"/>
      <c r="G74" s="145"/>
      <c r="H74" s="145"/>
      <c r="I74" s="145"/>
      <c r="J74" s="145"/>
      <c r="K74" s="145"/>
      <c r="L74" s="145"/>
      <c r="M74" s="145"/>
      <c r="N74" s="145"/>
      <c r="O74" s="145"/>
      <c r="P74" s="145"/>
      <c r="Q74" s="145"/>
    </row>
    <row r="75" ht="15" customHeight="1" spans="1:17" x14ac:dyDescent="0.25">
      <c r="A75" s="142"/>
      <c r="B75" s="146" t="s">
        <v>151</v>
      </c>
      <c r="C75" s="147"/>
      <c r="D75" s="147"/>
      <c r="E75" s="147"/>
      <c r="F75" s="147">
        <v>640</v>
      </c>
      <c r="G75" s="147">
        <v>715</v>
      </c>
      <c r="H75" s="147">
        <v>790</v>
      </c>
      <c r="I75" s="147">
        <v>700</v>
      </c>
      <c r="J75" s="147">
        <v>700</v>
      </c>
      <c r="K75" s="147">
        <v>700</v>
      </c>
      <c r="L75" s="147">
        <v>716</v>
      </c>
      <c r="M75" s="147">
        <v>2520</v>
      </c>
      <c r="N75" s="147">
        <v>3060</v>
      </c>
      <c r="O75" s="147">
        <v>1316</v>
      </c>
      <c r="P75" s="147">
        <v>914</v>
      </c>
      <c r="Q75" s="147">
        <v>650</v>
      </c>
    </row>
    <row r="76" ht="15" customHeight="1" spans="1:17" x14ac:dyDescent="0.25">
      <c r="A76" s="142"/>
      <c r="B76" s="77" t="s">
        <v>152</v>
      </c>
      <c r="C76" s="20"/>
      <c r="D76" s="20"/>
      <c r="E76" s="20"/>
      <c r="F76" s="20">
        <v>140</v>
      </c>
      <c r="G76" s="20">
        <v>15</v>
      </c>
      <c r="H76" s="20">
        <v>90</v>
      </c>
      <c r="I76" s="20"/>
      <c r="J76" s="20"/>
      <c r="K76" s="20"/>
      <c r="L76" s="20">
        <v>16</v>
      </c>
      <c r="M76" s="20">
        <v>800</v>
      </c>
      <c r="N76" s="20">
        <v>858</v>
      </c>
      <c r="O76" s="20">
        <v>476</v>
      </c>
      <c r="P76" s="20">
        <v>214</v>
      </c>
      <c r="Q76" s="20">
        <v>150</v>
      </c>
    </row>
    <row r="77" ht="15" customHeight="1" spans="1:17" x14ac:dyDescent="0.25">
      <c r="A77" s="142"/>
      <c r="B77" s="77" t="s">
        <v>153</v>
      </c>
      <c r="C77" s="20">
        <v>4490.26</v>
      </c>
      <c r="D77" s="20"/>
      <c r="E77" s="20"/>
      <c r="F77" s="20"/>
      <c r="G77" s="20"/>
      <c r="H77" s="20"/>
      <c r="I77" s="20"/>
      <c r="J77" s="20"/>
      <c r="K77" s="20"/>
      <c r="L77" s="20"/>
      <c r="M77" s="20">
        <v>1020</v>
      </c>
      <c r="N77" s="20">
        <v>1502</v>
      </c>
      <c r="O77" s="20">
        <v>140</v>
      </c>
      <c r="P77" s="20"/>
      <c r="Q77" s="20"/>
    </row>
    <row r="78" ht="15" customHeight="1" spans="1:17" x14ac:dyDescent="0.25">
      <c r="A78" s="142"/>
      <c r="B78" s="148" t="s">
        <v>154</v>
      </c>
      <c r="C78" s="149"/>
      <c r="D78" s="149"/>
      <c r="E78" s="149"/>
      <c r="F78" s="149">
        <v>1488</v>
      </c>
      <c r="G78" s="149">
        <v>2112</v>
      </c>
      <c r="H78" s="149">
        <v>1984</v>
      </c>
      <c r="I78" s="149">
        <v>1884.8</v>
      </c>
      <c r="J78" s="149">
        <v>1948.8</v>
      </c>
      <c r="K78" s="149">
        <v>2083.2</v>
      </c>
      <c r="L78" s="149">
        <v>2604.8</v>
      </c>
      <c r="M78" s="149">
        <v>2486.4</v>
      </c>
      <c r="N78" s="149">
        <v>2604.8</v>
      </c>
      <c r="O78" s="149">
        <v>2217.6</v>
      </c>
      <c r="P78" s="149">
        <v>2112</v>
      </c>
      <c r="Q78" s="150">
        <v>1478.4</v>
      </c>
    </row>
    <row r="79" ht="15" customHeight="1" spans="1:17" x14ac:dyDescent="0.25">
      <c r="A79" s="142"/>
      <c r="B79" s="151" t="s">
        <v>155</v>
      </c>
      <c r="C79" s="152"/>
      <c r="D79" s="152"/>
      <c r="E79" s="152"/>
      <c r="F79" s="153">
        <v>-848</v>
      </c>
      <c r="G79" s="153">
        <v>-1397</v>
      </c>
      <c r="H79" s="154">
        <v>-1194</v>
      </c>
      <c r="I79" s="153">
        <v>-1184.8</v>
      </c>
      <c r="J79" s="153">
        <v>-1248.8</v>
      </c>
      <c r="K79" s="153">
        <v>-1383.2</v>
      </c>
      <c r="L79" s="153">
        <v>-1888.8</v>
      </c>
      <c r="M79" s="153">
        <v>33.5999999999999</v>
      </c>
      <c r="N79" s="153">
        <v>455.2</v>
      </c>
      <c r="O79" s="153">
        <v>-901.6</v>
      </c>
      <c r="P79" s="153">
        <v>-1198</v>
      </c>
      <c r="Q79" s="155">
        <v>-828.4</v>
      </c>
    </row>
    <row r="80" ht="15" customHeight="1" spans="1:17" x14ac:dyDescent="0.25">
      <c r="A80" s="142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144"/>
    </row>
    <row r="81" ht="15" customHeight="1" spans="1:17" x14ac:dyDescent="0.25">
      <c r="A81" s="142"/>
      <c r="B81" s="156" t="s">
        <v>156</v>
      </c>
      <c r="C81" s="157" t="s">
        <v>157</v>
      </c>
      <c r="D81" s="157"/>
      <c r="E81" s="157"/>
      <c r="F81" s="158">
        <v>15</v>
      </c>
      <c r="G81" s="159">
        <v>20</v>
      </c>
      <c r="H81" s="159">
        <v>20</v>
      </c>
      <c r="I81" s="159">
        <v>19</v>
      </c>
      <c r="J81" s="159">
        <v>21</v>
      </c>
      <c r="K81" s="159">
        <v>21</v>
      </c>
      <c r="L81" s="159">
        <v>22</v>
      </c>
      <c r="M81" s="159">
        <v>21</v>
      </c>
      <c r="N81" s="159">
        <v>22</v>
      </c>
      <c r="O81" s="159">
        <v>21</v>
      </c>
      <c r="P81" s="159">
        <v>20</v>
      </c>
      <c r="Q81" s="160">
        <v>14</v>
      </c>
    </row>
    <row r="82" ht="15" customHeight="1" spans="1:17" x14ac:dyDescent="0.25">
      <c r="A82" s="161"/>
      <c r="B82" s="162" t="s">
        <v>158</v>
      </c>
      <c r="C82" s="157"/>
      <c r="D82" s="157"/>
      <c r="E82" s="157"/>
      <c r="F82" s="163">
        <v>15.5</v>
      </c>
      <c r="G82" s="163">
        <v>16.5</v>
      </c>
      <c r="H82" s="163">
        <v>15.5</v>
      </c>
      <c r="I82" s="163">
        <v>15.5</v>
      </c>
      <c r="J82" s="163">
        <v>14.5</v>
      </c>
      <c r="K82" s="163">
        <v>15.5</v>
      </c>
      <c r="L82" s="163">
        <v>18.5</v>
      </c>
      <c r="M82" s="163">
        <v>18.5</v>
      </c>
      <c r="N82" s="163">
        <v>18.5</v>
      </c>
      <c r="O82" s="163">
        <v>16.5</v>
      </c>
      <c r="P82" s="163">
        <v>16.5</v>
      </c>
      <c r="Q82" s="163">
        <v>16.5</v>
      </c>
    </row>
    <row r="83" spans="1:17" x14ac:dyDescent="0.25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64" t="s">
        <v>159</v>
      </c>
      <c r="C84" s="165"/>
      <c r="D84" s="35"/>
      <c r="E84" s="35"/>
      <c r="F84" s="35"/>
      <c r="G84" s="35"/>
      <c r="H84" s="35"/>
      <c r="I84" s="35"/>
      <c r="J84" s="35"/>
      <c r="K84" s="35"/>
      <c r="L84" s="166" t="s">
        <v>160</v>
      </c>
      <c r="M84" s="166"/>
      <c r="N84" s="35"/>
      <c r="O84" s="35"/>
      <c r="P84" s="35"/>
      <c r="Q84" s="35"/>
    </row>
    <row r="85" ht="15" customHeight="1" spans="1:17" x14ac:dyDescent="0.25">
      <c r="A85" s="35"/>
      <c r="B85" s="167" t="s">
        <v>161</v>
      </c>
      <c r="C85" s="168">
        <v>1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162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163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164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165</v>
      </c>
      <c r="C89" s="131">
        <v>1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166</v>
      </c>
      <c r="C90" s="131">
        <v>0.5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 t="s">
        <v>167</v>
      </c>
      <c r="C91" s="131">
        <v>1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 t="s">
        <v>168</v>
      </c>
      <c r="C92" s="131">
        <v>1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 t="s">
        <v>169</v>
      </c>
      <c r="C93" s="131">
        <v>1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 t="s">
        <v>170</v>
      </c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 t="s">
        <v>171</v>
      </c>
      <c r="C95" s="131">
        <v>1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/>
      <c r="C98" s="131">
        <v>0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/>
      <c r="C99" s="131">
        <v>0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/>
      <c r="C100" s="131">
        <v>0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/>
      <c r="C101" s="131">
        <v>0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/>
      <c r="C102" s="131">
        <v>0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172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173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 t="s">
        <v>174</v>
      </c>
      <c r="C105" s="131">
        <v>1</v>
      </c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 t="s">
        <v>175</v>
      </c>
      <c r="C106" s="131">
        <v>1</v>
      </c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 t="s">
        <v>176</v>
      </c>
      <c r="C107" s="131">
        <v>1</v>
      </c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9" t="s">
        <v>177</v>
      </c>
      <c r="C108" s="131">
        <v>1</v>
      </c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9" t="s">
        <v>178</v>
      </c>
      <c r="C109" s="131">
        <v>1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  <row r="110" ht="15" customHeight="1" spans="1:17" x14ac:dyDescent="0.25">
      <c r="A110" s="35"/>
      <c r="B110" s="19"/>
      <c r="C110" s="131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</row>
    <row r="111" ht="15" customHeight="1" spans="1:17" x14ac:dyDescent="0.25">
      <c r="A111" s="35"/>
      <c r="B111" s="19"/>
      <c r="C111" s="131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</row>
    <row r="112" ht="15" customHeight="1" spans="1:17" x14ac:dyDescent="0.25">
      <c r="A112" s="35"/>
      <c r="B112" s="19"/>
      <c r="C112" s="131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</row>
    <row r="113" ht="15" customHeight="1" spans="1:17" x14ac:dyDescent="0.25">
      <c r="A113" s="35"/>
      <c r="B113" s="169"/>
      <c r="C113" s="150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</row>
    <row r="114" ht="15" customHeight="1" spans="1:17" x14ac:dyDescent="0.25">
      <c r="A114" s="35"/>
      <c r="B114" s="164" t="s">
        <v>179</v>
      </c>
      <c r="C114" s="170">
        <v>16.5</v>
      </c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74:Q74"/>
    <mergeCell ref="C81:E82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180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181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182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183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184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185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186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187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188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189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190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191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192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193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194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195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196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197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198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199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200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201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202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203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204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205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206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207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208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209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210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211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212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213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214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215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216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217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218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219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220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218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219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69</v>
      </c>
      <c r="D2" s="43" t="s">
        <v>70</v>
      </c>
      <c r="E2" s="43" t="s">
        <v>71</v>
      </c>
      <c r="F2" s="39" t="s">
        <v>72</v>
      </c>
      <c r="G2" s="40" t="s">
        <v>73</v>
      </c>
      <c r="H2" s="43" t="s">
        <v>74</v>
      </c>
      <c r="I2" s="43" t="s">
        <v>75</v>
      </c>
      <c r="J2" s="41" t="s">
        <v>76</v>
      </c>
      <c r="K2" s="41" t="s">
        <v>77</v>
      </c>
      <c r="L2" s="39" t="s">
        <v>78</v>
      </c>
      <c r="M2" s="40" t="s">
        <v>79</v>
      </c>
      <c r="N2" s="42" t="s">
        <v>80</v>
      </c>
      <c r="O2" s="42" t="s">
        <v>221</v>
      </c>
      <c r="P2" s="42" t="s">
        <v>222</v>
      </c>
      <c r="Q2" s="42" t="s">
        <v>223</v>
      </c>
      <c r="R2" s="43" t="s">
        <v>81</v>
      </c>
      <c r="S2" s="43" t="s">
        <v>82</v>
      </c>
      <c r="T2" s="39" t="s">
        <v>83</v>
      </c>
      <c r="U2" s="40" t="s">
        <v>84</v>
      </c>
      <c r="V2" s="214" t="s">
        <v>85</v>
      </c>
      <c r="W2" s="214" t="s">
        <v>86</v>
      </c>
      <c r="X2" s="45" t="s">
        <v>87</v>
      </c>
      <c r="Y2" s="40" t="s">
        <v>88</v>
      </c>
      <c r="Z2" s="42" t="s">
        <v>89</v>
      </c>
      <c r="AA2" s="46" t="s">
        <v>90</v>
      </c>
      <c r="AB2" s="47" t="s">
        <v>91</v>
      </c>
      <c r="AC2" s="46" t="s">
        <v>92</v>
      </c>
      <c r="AD2" s="48" t="s">
        <v>93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94</v>
      </c>
      <c r="AL3" s="50" t="s">
        <v>95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96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97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98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99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100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101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102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103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104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96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97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98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99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100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101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102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103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104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96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97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98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99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100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101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102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103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104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96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97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98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99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100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101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102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103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104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96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97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98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99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100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101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102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103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104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96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97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98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99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100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101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102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103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104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96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97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98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99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100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101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102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103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104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96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97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98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99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100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101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102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103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104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96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97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98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99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100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101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102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103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104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96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97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98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99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100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101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102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103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104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96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97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98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99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100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101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102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103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104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96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97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98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99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100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101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102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103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104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96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97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98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99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100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101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102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103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104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96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97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98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99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100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101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102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103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104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96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97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98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99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100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101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102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103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104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96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97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98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99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100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101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102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103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104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96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97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98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99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100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101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102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103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104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96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97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98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99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100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101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102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103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104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96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97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98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99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100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101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102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103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104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96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97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98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99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100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101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102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103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104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96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97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98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99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100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101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102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103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104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96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97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98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99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100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101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102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103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104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96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97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98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99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100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101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102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103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104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96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97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98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99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100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101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102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103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104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96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97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98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99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100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101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102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103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104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96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97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98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99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100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101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102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103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104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96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97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98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99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100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101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102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103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104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96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97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98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99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100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101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102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103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104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96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97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98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99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100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101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102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103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104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96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97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98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99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100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101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102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103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104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96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97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98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99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100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101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102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103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104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96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97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98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99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100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101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102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103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104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224</v>
      </c>
      <c r="C3" s="35" t="s">
        <v>225</v>
      </c>
      <c r="D3" s="35" t="s">
        <v>226</v>
      </c>
    </row>
    <row r="4" ht="15" customHeight="1" spans="1:4" x14ac:dyDescent="0.25">
      <c r="A4" s="35" t="s">
        <v>227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228</v>
      </c>
      <c r="B5" s="35">
        <v>60</v>
      </c>
      <c r="P5" s="35">
        <v>95.35</v>
      </c>
    </row>
    <row r="6" ht="15" customHeight="1" spans="1:16" x14ac:dyDescent="0.25">
      <c r="A6" s="35" t="s">
        <v>229</v>
      </c>
      <c r="B6" s="35">
        <v>100</v>
      </c>
      <c r="P6" s="35">
        <v>102.69</v>
      </c>
    </row>
    <row r="7" ht="15" customHeight="1" spans="1:16" x14ac:dyDescent="0.25">
      <c r="A7" s="35" t="s">
        <v>230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