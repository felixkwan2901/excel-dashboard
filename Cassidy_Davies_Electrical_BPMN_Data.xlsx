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B8A65AB7-91F5-DC4F-8143-EBA45B9F2C7A}" xr6:coauthVersionLast="47" xr6:coauthVersionMax="47" xr10:uidLastSave="{00000000-0000-0000-0000-000000000000}"/>
  <bookViews>
    <workbookView xWindow="0" yWindow="760" windowWidth="29400" windowHeight="17340" activeTab="1" xr2:uid="{00000000-000D-0000-FFFF-FFFF00000000}"/>
  </bookViews>
  <sheets>
    <sheet name="Executive Summary" sheetId="1" r:id="rId1"/>
    <sheet name="Job Directory" sheetId="2" r:id="rId2"/>
    <sheet name="Swimlane Reference" sheetId="3" r:id="rId3"/>
  </sheets>
  <definedNames>
    <definedName name="_xlnm._FilterDatabase" localSheetId="1" hidden="1">'Job Directory'!$A$4:$K$22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D19" i="1"/>
  <c r="C19" i="1"/>
  <c r="B18" i="1"/>
  <c r="B17" i="1"/>
  <c r="B16" i="1"/>
  <c r="B15" i="1"/>
  <c r="E14" i="1"/>
  <c r="B14" i="1"/>
  <c r="E13" i="1"/>
  <c r="E19" i="1" s="1"/>
  <c r="B13" i="1"/>
  <c r="B19" i="1" s="1"/>
  <c r="E8" i="1"/>
  <c r="B8" i="1"/>
  <c r="E5" i="1"/>
  <c r="B5" i="1"/>
</calcChain>
</file>

<file path=xl/sharedStrings.xml><?xml version="1.0" encoding="utf-8"?>
<sst xmlns="http://schemas.openxmlformats.org/spreadsheetml/2006/main" count="244" uniqueCount="145">
  <si>
    <t>Cassidy-Davies Electrical — Operations &amp; Workflow Dashboard</t>
  </si>
  <si>
    <t>Summary of active jobs, swimlane SLA status, and automated BPMN workflow routing metrics.</t>
  </si>
  <si>
    <t>Total Active Jobs</t>
  </si>
  <si>
    <t>Automated AI Validations</t>
  </si>
  <si>
    <t>Pending Manual Approval</t>
  </si>
  <si>
    <t>Total Revenue Pipeline</t>
  </si>
  <si>
    <t>BPMN Swimlane Performance &amp; Backlog</t>
  </si>
  <si>
    <t>Swimlane Role</t>
  </si>
  <si>
    <t>Active Task Count</t>
  </si>
  <si>
    <t>Avg Cycle Time (Hrs)</t>
  </si>
  <si>
    <t>Target SLA (Hrs)</t>
  </si>
  <si>
    <t>SLA Compliance %</t>
  </si>
  <si>
    <t>1. Client / Portal</t>
  </si>
  <si>
    <t>2. Service Coordinator</t>
  </si>
  <si>
    <t>3. Central Knowledge Repository</t>
  </si>
  <si>
    <t>4. AI Validation Layer</t>
  </si>
  <si>
    <t>5. Electrical Technician</t>
  </si>
  <si>
    <t>6. Accounts &amp; Billing</t>
  </si>
  <si>
    <t>Total / Average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</si>
  <si>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</si>
  <si>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</si>
  <si>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</si>
  <si>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</si>
  <si>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</si>
  <si>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</si>
  <si>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</si>
  <si>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Current Swimlane</t>
  </si>
  <si>
    <t>AI Check Status</t>
  </si>
  <si>
    <t>Approval Status</t>
  </si>
  <si>
    <t>Assigned Tech</t>
  </si>
  <si>
    <t>Est. Value ($)</t>
  </si>
  <si>
    <t>BPMN Process ID</t>
  </si>
  <si>
    <t>CDE-2026-001</t>
  </si>
  <si>
    <t>Commercial</t>
  </si>
  <si>
    <t>3-Phase Power Distribution</t>
  </si>
  <si>
    <t>2026-07-10</t>
  </si>
  <si>
    <t>Passed</t>
  </si>
  <si>
    <t>Approved</t>
  </si>
  <si>
    <t>Mark Stevens</t>
  </si>
  <si>
    <t>PROC_COM_01</t>
  </si>
  <si>
    <t>CDE-2026-002</t>
  </si>
  <si>
    <t>Switchboard Upgrade</t>
  </si>
  <si>
    <t>2026-07-22</t>
  </si>
  <si>
    <t>Pending</t>
  </si>
  <si>
    <t>Sarah Jenkins</t>
  </si>
  <si>
    <t>PROC_COM_02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</si>
  <si>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</si>
  <si>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</si>
  <si>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</si>
  <si>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</si>
  <si>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</si>
  <si>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</si>
  <si>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</si>
  <si>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</si>
  <si>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</si>
  <si>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PROC_COM_03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</si>
  <si>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</si>
  <si>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</si>
  <si>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</si>
  <si>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</si>
  <si>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</si>
  <si>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</si>
  <si>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</si>
  <si>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</si>
  <si>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CDE-2026-007</t>
  </si>
  <si>
    <t>Aidan &amp; Grace Family Home</t>
  </si>
  <si>
    <t>Residential</t>
  </si>
  <si>
    <t>Full House Rewire</t>
  </si>
  <si>
    <t>2026-07-05</t>
  </si>
  <si>
    <t>PROC_RES_01</t>
  </si>
  <si>
    <t>CDE-2026-008</t>
  </si>
  <si>
    <t>Switchboard Safety Upgrade</t>
  </si>
  <si>
    <t>2026-07-19</t>
  </si>
  <si>
    <t>PROC_RES_02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</si>
  <si>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</si>
  <si>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</si>
  <si>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</si>
  <si>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</si>
  <si>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</si>
  <si>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</si>
  <si>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</si>
  <si>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</si>
  <si>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</si>
  <si>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</si>
  <si>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</si>
  <si>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</si>
  <si>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</si>
  <si>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</si>
  <si>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</si>
  <si>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</si>
  <si>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</si>
  <si>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</si>
  <si>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</si>
  <si>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PROC_VEN_01</t>
  </si>
  <si>
    <t>CDE-2026-014</t>
  </si>
  <si>
    <t>Ventilation System Service</t>
  </si>
  <si>
    <t>2026-07-23</t>
  </si>
  <si>
    <t>PROC_VEN_02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</si>
  <si>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</si>
  <si>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</si>
  <si>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</si>
  <si>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</si>
  <si>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</si>
  <si>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</si>
  <si>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</si>
  <si>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</si>
  <si>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</si>
  <si>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</si>
  <si>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</si>
  <si>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CDE-2026-018</t>
  </si>
  <si>
    <t>Ducted Ventilation Maintenance</t>
  </si>
  <si>
    <t>2026-07-29</t>
  </si>
  <si>
    <t>Total Pipeline Value</t>
  </si>
  <si>
    <t>Camunda BPMN 2.0 Swimlane Mapping — Cassidy-Davies Electrical</t>
  </si>
  <si>
    <t>Reference framework for automated workflows, repositories, and human task layers.</t>
  </si>
  <si>
    <t>Swimlane #</t>
  </si>
  <si>
    <t>Role / System Name</t>
  </si>
  <si>
    <t>BPMN Element Type</t>
  </si>
  <si>
    <t>Primary Responsibilities</t>
  </si>
  <si>
    <t>System Integration Point</t>
  </si>
  <si>
    <t>Client / Portal</t>
  </si>
  <si>
    <t>Start Event / Customer Pool</t>
  </si>
  <si>
    <t>Submits job requests, views real-time status updates, approves quotes, and receives final invoices.</t>
  </si>
  <si>
    <t>Web Portal / Mobile App</t>
  </si>
  <si>
    <t>Service Coordinator</t>
  </si>
  <si>
    <t>User Task / Manual Gateway</t>
  </si>
  <si>
    <t>Reviews incoming service requests, verifies schedule availability, and dispatches field technicians.</t>
  </si>
  <si>
    <t>Job Management System</t>
  </si>
  <si>
    <t>Central Knowledge Repository</t>
  </si>
  <si>
    <t>Data Store / Service Task</t>
  </si>
  <si>
    <t>Stores equipment specs, compliance checklists, site history, and technical schematics.</t>
  </si>
  <si>
    <t>Central Database / Cloud Docs</t>
  </si>
  <si>
    <t>AI Validation Layer</t>
  </si>
  <si>
    <t>Service Task / Decision Table (DMN)</t>
  </si>
  <si>
    <t>Automates job pre-validation, verifies regulatory compliance rules, and checks technician availability.</t>
  </si>
  <si>
    <t>Camunda AI Engine / DMN Rules</t>
  </si>
  <si>
    <t>Electrical Technician</t>
  </si>
  <si>
    <t>User Task / Sub-Process</t>
  </si>
  <si>
    <t>Performed on-site electrical work, logs safety checks, records parts used, and captures client sign-off.</t>
  </si>
  <si>
    <t>Field Tech Mobile App</t>
  </si>
  <si>
    <t>Accounts &amp; Billing</t>
  </si>
  <si>
    <t>User Task / Service Task</t>
  </si>
  <si>
    <t>Generates job invoices, validates billable hours, processes payments, and syncs accounting ledgers.</t>
  </si>
  <si>
    <t>Xero / MYOB API Integration</t>
  </si>
  <si>
    <t>Riccarton Business Parks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</si>
</sst>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0" fontId="3" fillId="0" borderId="2" xfId="0" applyFont="1" applyBorder="1"/>
    <xf numFmtId="165" fontId="3" fillId="0" borderId="2" xfId="0" applyNumberFormat="1" applyFont="1" applyBorder="1"/>
    <xf numFmtId="166" fontId="3" fillId="0" borderId="2" xfId="0" applyNumberFormat="1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0" borderId="0" xfId="0" applyFont="1"/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workbookViewId="0">
      <selection sqref="A1:G1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23" t="s">
        <v>0</v>
      </c>
      <c r="B1" s="24"/>
      <c r="C1" s="24"/>
      <c r="D1" s="24"/>
      <c r="E1" s="24"/>
      <c r="F1" s="24"/>
      <c r="G1" s="24"/>
    </row>
    <row r="2" spans="1:7" x14ac:dyDescent="0.2">
      <c r="A2" s="27" t="s">
        <v>1</v>
      </c>
      <c r="B2" s="24"/>
      <c r="C2" s="24"/>
      <c r="D2" s="24"/>
      <c r="E2" s="24"/>
      <c r="F2" s="24"/>
      <c r="G2" s="24"/>
    </row>
    <row r="4" spans="1:7" x14ac:dyDescent="0.2">
      <c r="B4" s="21" t="s">
        <v>2</v>
      </c>
      <c r="C4" s="22"/>
      <c r="E4" s="21" t="s">
        <v>3</v>
      </c>
      <c r="F4" s="22"/>
    </row>
    <row r="5" spans="1:7" ht="21" x14ac:dyDescent="0.2">
      <c r="B5" s="25">
        <f>COUNTA('Job Directory'!A5:A24)</f>
        <v>19</v>
      </c>
      <c r="C5" s="22"/>
      <c r="E5" s="25">
        <f>COUNTIF('Job Directory'!F5:F24, "Passed")</f>
        <v>0</v>
      </c>
      <c r="F5" s="22"/>
    </row>
    <row r="7" spans="1:7" x14ac:dyDescent="0.2">
      <c r="B7" s="21" t="s">
        <v>4</v>
      </c>
      <c r="C7" s="22"/>
      <c r="E7" s="21" t="s">
        <v>5</v>
      </c>
      <c r="F7" s="22"/>
    </row>
    <row r="8" spans="1:7" ht="21" x14ac:dyDescent="0.2">
      <c r="B8" s="25">
        <f>COUNTIF('Job Directory'!G5:G24, "Pending")</f>
        <v>0</v>
      </c>
      <c r="C8" s="22"/>
      <c r="E8" s="26">
        <f>SUM('Job Directory'!I5:I24)</f>
        <v>0</v>
      </c>
      <c r="F8" s="22"/>
    </row>
    <row r="11" spans="1:7" ht="16" x14ac:dyDescent="0.2">
      <c r="A11" s="3" t="s">
        <v>6</v>
      </c>
    </row>
    <row r="12" spans="1:7" ht="16" x14ac:dyDescent="0.2">
      <c r="A12" s="4" t="s">
        <v>7</v>
      </c>
      <c r="B12" s="4" t="s">
        <v>8</v>
      </c>
      <c r="C12" s="4" t="s">
        <v>9</v>
      </c>
      <c r="D12" s="4" t="s">
        <v>10</v>
      </c>
      <c r="E12" s="4" t="s">
        <v>11</v>
      </c>
    </row>
    <row r="13" spans="1:7" x14ac:dyDescent="0.2">
      <c r="A13" s="5" t="s">
        <v>12</v>
      </c>
      <c r="B13" s="6">
        <f>COUNTIF('Job Directory'!E5:E24, "1. Client / Portal")</f>
        <v>0</v>
      </c>
      <c r="C13" s="7">
        <v>1.5</v>
      </c>
      <c r="D13" s="7">
        <v>2</v>
      </c>
      <c r="E13" s="8">
        <f>1-(C13/D13-1)</f>
        <v>1.25</v>
      </c>
    </row>
    <row r="14" spans="1:7" x14ac:dyDescent="0.2">
      <c r="A14" s="5" t="s">
        <v>13</v>
      </c>
      <c r="B14" s="6">
        <f>COUNTIF('Job Directory'!E5:E24, "2. Service Coordinator")</f>
        <v>0</v>
      </c>
      <c r="C14" s="7">
        <v>4.2</v>
      </c>
      <c r="D14" s="7">
        <v>4</v>
      </c>
      <c r="E14" s="8">
        <f>1-(C14/D14-1)</f>
        <v>0.95</v>
      </c>
    </row>
    <row r="15" spans="1:7" x14ac:dyDescent="0.2">
      <c r="A15" s="5" t="s">
        <v>14</v>
      </c>
      <c r="B15" s="6">
        <f>COUNTIF('Job Directory'!E5:E24, "3. Central Knowledge Repository")</f>
        <v>0</v>
      </c>
      <c r="C15" s="7">
        <v>0.1</v>
      </c>
      <c r="D15" s="7">
        <v>0.5</v>
      </c>
      <c r="E15" s="8">
        <v>1</v>
      </c>
    </row>
    <row r="16" spans="1:7" x14ac:dyDescent="0.2">
      <c r="A16" s="5" t="s">
        <v>15</v>
      </c>
      <c r="B16" s="6">
        <f>COUNTIF('Job Directory'!E5:E24, "4. AI Validation Layer")</f>
        <v>0</v>
      </c>
      <c r="C16" s="7">
        <v>0.2</v>
      </c>
      <c r="D16" s="7">
        <v>0.5</v>
      </c>
      <c r="E16" s="8">
        <v>1</v>
      </c>
    </row>
    <row r="17" spans="1:5" x14ac:dyDescent="0.2">
      <c r="A17" s="5" t="s">
        <v>16</v>
      </c>
      <c r="B17" s="6">
        <f>COUNTIF('Job Directory'!E5:E24, "5. Electrical Technician")</f>
        <v>0</v>
      </c>
      <c r="C17" s="7">
        <v>18.5</v>
      </c>
      <c r="D17" s="7">
        <v>24</v>
      </c>
      <c r="E17" s="8">
        <v>0.95</v>
      </c>
    </row>
    <row r="18" spans="1:5" x14ac:dyDescent="0.2">
      <c r="A18" s="5" t="s">
        <v>17</v>
      </c>
      <c r="B18" s="6">
        <f>COUNTIF('Job Directory'!E5:E24, "6. Accounts &amp; Billing")</f>
        <v>0</v>
      </c>
      <c r="C18" s="7">
        <v>8</v>
      </c>
      <c r="D18" s="7">
        <v>12</v>
      </c>
      <c r="E18" s="8">
        <v>0.92</v>
      </c>
    </row>
    <row r="19" spans="1:5" x14ac:dyDescent="0.2">
      <c r="A19" s="9" t="s">
        <v>18</v>
      </c>
      <c r="B19" s="9">
        <f>SUM(B13:B18)</f>
        <v>0</v>
      </c>
      <c r="C19" s="10">
        <f>AVERAGE(C13:C18)</f>
        <v>5.416666666666667</v>
      </c>
      <c r="D19" s="10">
        <f>AVERAGE(D13:D18)</f>
        <v>7.166666666666667</v>
      </c>
      <c r="E19" s="11">
        <f>AVERAGE(E13:E18)</f>
        <v>1.0116666666666667</v>
      </c>
    </row>
  </sheetData>
  <mergeCells count="10">
    <mergeCell ref="E8:F8"/>
    <mergeCell ref="E5:F5"/>
    <mergeCell ref="A2:G2"/>
    <mergeCell ref="B8:C8"/>
    <mergeCell ref="B4:C4"/>
    <mergeCell ref="E4:F4"/>
    <mergeCell ref="A1:G1"/>
    <mergeCell ref="B7:C7"/>
    <mergeCell ref="E7:F7"/>
    <mergeCell ref="B5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tabSelected="1" workbookViewId="0">
      <pane ySplit="4" topLeftCell="A5" activePane="bottomLeft" state="frozen"/>
      <selection pane="bottomLeft" activeCell="B27" sqref="B27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35" customWidth="1"/>
    <col min="7" max="8" width="19" customWidth="1"/>
    <col min="9" max="9" width="17" customWidth="1"/>
    <col min="10" max="10" width="18" customWidth="1"/>
    <col min="11" max="11" width="19" customWidth="1"/>
  </cols>
  <sheetData>
    <row r="1" spans="1:11" ht="23" x14ac:dyDescent="0.3">
      <c r="A1" s="1" t="s">
        <v>19</v>
      </c>
    </row>
    <row r="2" spans="1:11" x14ac:dyDescent="0.2">
      <c r="A2" s="2" t="s">
        <v>20</v>
      </c>
    </row>
    <row r="4" spans="1:11" ht="16" x14ac:dyDescent="0.2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</row>
    <row r="5" spans="1:11" x14ac:dyDescent="0.2">
      <c r="A5" s="12" t="s">
        <v>32</v>
      </c>
      <c r="B5" s="5" t="s">
        <v>144</v>
      </c>
      <c r="C5" s="12" t="s">
        <v>33</v>
      </c>
      <c r="D5" s="5" t="s">
        <v>34</v>
      </c>
      <c r="E5" s="12" t="s">
        <v>35</v>
      </c>
      <c r="F5" s="5" t="s">
        <v>16</v>
      </c>
      <c r="G5" s="12" t="s">
        <v>36</v>
      </c>
      <c r="H5" s="12" t="s">
        <v>37</v>
      </c>
      <c r="I5" s="5" t="s">
        <v>38</v>
      </c>
      <c r="J5" s="13">
        <v>8200</v>
      </c>
      <c r="K5" s="12" t="s">
        <v>39</v>
      </c>
    </row>
    <row r="6" spans="1:11" x14ac:dyDescent="0.2">
      <c r="A6" s="14" t="s">
        <v>40</v>
      </c>
      <c r="B6" s="15" t="s">
        <v>144</v>
      </c>
      <c r="C6" s="14" t="s">
        <v>33</v>
      </c>
      <c r="D6" s="15" t="s">
        <v>41</v>
      </c>
      <c r="E6" s="14" t="s">
        <v>42</v>
      </c>
      <c r="F6" s="15" t="s">
        <v>13</v>
      </c>
      <c r="G6" s="14" t="s">
        <v>36</v>
      </c>
      <c r="H6" s="14" t="s">
        <v>43</v>
      </c>
      <c r="I6" s="15" t="s">
        <v>44</v>
      </c>
      <c r="J6" s="16">
        <v>6400</v>
      </c>
      <c r="K6" s="14" t="s">
        <v>45</v>
      </c>
    </row>
    <row r="7" spans="1:11" x14ac:dyDescent="0.2">
      <c r="A7" s="12" t="s">
        <v>46</v>
      </c>
      <c r="B7" s="5" t="s">
        <v>47</v>
      </c>
      <c r="C7" s="12" t="s">
        <v>33</v>
      </c>
      <c r="D7" s="5" t="s">
        <v>48</v>
      </c>
      <c r="E7" s="12" t="s">
        <v>49</v>
      </c>
      <c r="F7" s="5" t="s">
        <v>17</v>
      </c>
      <c r="G7" s="12" t="s">
        <v>36</v>
      </c>
      <c r="H7" s="12" t="s">
        <v>37</v>
      </c>
      <c r="I7" s="5" t="s">
        <v>38</v>
      </c>
      <c r="J7" s="13">
        <v>11200</v>
      </c>
      <c r="K7" s="12" t="s">
        <v>39</v>
      </c>
    </row>
    <row r="8" spans="1:11" x14ac:dyDescent="0.2">
      <c r="A8" s="14" t="s">
        <v>50</v>
      </c>
      <c r="B8" s="15" t="s">
        <v>47</v>
      </c>
      <c r="C8" s="14" t="s">
        <v>33</v>
      </c>
      <c r="D8" s="15" t="s">
        <v>51</v>
      </c>
      <c r="E8" s="14" t="s">
        <v>52</v>
      </c>
      <c r="F8" s="15" t="s">
        <v>15</v>
      </c>
      <c r="G8" s="14" t="s">
        <v>53</v>
      </c>
      <c r="H8" s="14" t="s">
        <v>43</v>
      </c>
      <c r="I8" s="15" t="s">
        <v>54</v>
      </c>
      <c r="J8" s="16">
        <v>3100</v>
      </c>
      <c r="K8" s="14" t="s">
        <v>55</v>
      </c>
    </row>
    <row r="9" spans="1:11" x14ac:dyDescent="0.2">
      <c r="A9" s="12" t="s">
        <v>56</v>
      </c>
      <c r="B9" s="5" t="s">
        <v>57</v>
      </c>
      <c r="C9" s="12" t="s">
        <v>33</v>
      </c>
      <c r="D9" s="5" t="s">
        <v>58</v>
      </c>
      <c r="E9" s="12" t="s">
        <v>59</v>
      </c>
      <c r="F9" s="5" t="s">
        <v>16</v>
      </c>
      <c r="G9" s="12" t="s">
        <v>36</v>
      </c>
      <c r="H9" s="12" t="s">
        <v>37</v>
      </c>
      <c r="I9" s="5" t="s">
        <v>60</v>
      </c>
      <c r="J9" s="13">
        <v>5400</v>
      </c>
      <c r="K9" s="12" t="s">
        <v>39</v>
      </c>
    </row>
    <row r="10" spans="1:11" x14ac:dyDescent="0.2">
      <c r="A10" s="14" t="s">
        <v>61</v>
      </c>
      <c r="B10" s="15" t="s">
        <v>57</v>
      </c>
      <c r="C10" s="14" t="s">
        <v>33</v>
      </c>
      <c r="D10" s="15" t="s">
        <v>62</v>
      </c>
      <c r="E10" s="14" t="s">
        <v>63</v>
      </c>
      <c r="F10" s="15" t="s">
        <v>12</v>
      </c>
      <c r="G10" s="14" t="s">
        <v>36</v>
      </c>
      <c r="H10" s="14" t="s">
        <v>43</v>
      </c>
      <c r="I10" s="15" t="s">
        <v>54</v>
      </c>
      <c r="J10" s="16">
        <v>850</v>
      </c>
      <c r="K10" s="14" t="s">
        <v>45</v>
      </c>
    </row>
    <row r="11" spans="1:11" x14ac:dyDescent="0.2">
      <c r="A11" s="12" t="s">
        <v>64</v>
      </c>
      <c r="B11" s="5" t="s">
        <v>65</v>
      </c>
      <c r="C11" s="12" t="s">
        <v>66</v>
      </c>
      <c r="D11" s="5" t="s">
        <v>67</v>
      </c>
      <c r="E11" s="12" t="s">
        <v>68</v>
      </c>
      <c r="F11" s="5" t="s">
        <v>16</v>
      </c>
      <c r="G11" s="12" t="s">
        <v>36</v>
      </c>
      <c r="H11" s="12" t="s">
        <v>37</v>
      </c>
      <c r="I11" s="5" t="s">
        <v>38</v>
      </c>
      <c r="J11" s="13">
        <v>15400</v>
      </c>
      <c r="K11" s="12" t="s">
        <v>69</v>
      </c>
    </row>
    <row r="12" spans="1:11" x14ac:dyDescent="0.2">
      <c r="A12" s="14" t="s">
        <v>70</v>
      </c>
      <c r="B12" s="15" t="s">
        <v>65</v>
      </c>
      <c r="C12" s="14" t="s">
        <v>66</v>
      </c>
      <c r="D12" s="15" t="s">
        <v>71</v>
      </c>
      <c r="E12" s="14" t="s">
        <v>72</v>
      </c>
      <c r="F12" s="15" t="s">
        <v>17</v>
      </c>
      <c r="G12" s="14" t="s">
        <v>36</v>
      </c>
      <c r="H12" s="14" t="s">
        <v>37</v>
      </c>
      <c r="I12" s="15" t="s">
        <v>38</v>
      </c>
      <c r="J12" s="16">
        <v>2150</v>
      </c>
      <c r="K12" s="14" t="s">
        <v>73</v>
      </c>
    </row>
    <row r="13" spans="1:11" x14ac:dyDescent="0.2">
      <c r="A13" s="12" t="s">
        <v>74</v>
      </c>
      <c r="B13" s="5" t="s">
        <v>75</v>
      </c>
      <c r="C13" s="12" t="s">
        <v>66</v>
      </c>
      <c r="D13" s="5" t="s">
        <v>76</v>
      </c>
      <c r="E13" s="12" t="s">
        <v>77</v>
      </c>
      <c r="F13" s="5" t="s">
        <v>13</v>
      </c>
      <c r="G13" s="12" t="s">
        <v>36</v>
      </c>
      <c r="H13" s="12" t="s">
        <v>43</v>
      </c>
      <c r="I13" s="5" t="s">
        <v>44</v>
      </c>
      <c r="J13" s="13">
        <v>3900</v>
      </c>
      <c r="K13" s="12" t="s">
        <v>69</v>
      </c>
    </row>
    <row r="14" spans="1:11" x14ac:dyDescent="0.2">
      <c r="A14" s="14" t="s">
        <v>78</v>
      </c>
      <c r="B14" s="15" t="s">
        <v>75</v>
      </c>
      <c r="C14" s="14" t="s">
        <v>66</v>
      </c>
      <c r="D14" s="15" t="s">
        <v>79</v>
      </c>
      <c r="E14" s="14" t="s">
        <v>80</v>
      </c>
      <c r="F14" s="15" t="s">
        <v>14</v>
      </c>
      <c r="G14" s="14" t="s">
        <v>36</v>
      </c>
      <c r="H14" s="14" t="s">
        <v>37</v>
      </c>
      <c r="I14" s="15" t="s">
        <v>44</v>
      </c>
      <c r="J14" s="16">
        <v>2750</v>
      </c>
      <c r="K14" s="14" t="s">
        <v>73</v>
      </c>
    </row>
    <row r="15" spans="1:11" x14ac:dyDescent="0.2">
      <c r="A15" s="12" t="s">
        <v>81</v>
      </c>
      <c r="B15" s="5" t="s">
        <v>82</v>
      </c>
      <c r="C15" s="12" t="s">
        <v>66</v>
      </c>
      <c r="D15" s="5" t="s">
        <v>83</v>
      </c>
      <c r="E15" s="12" t="s">
        <v>84</v>
      </c>
      <c r="F15" s="5" t="s">
        <v>15</v>
      </c>
      <c r="G15" s="12" t="s">
        <v>53</v>
      </c>
      <c r="H15" s="12" t="s">
        <v>43</v>
      </c>
      <c r="I15" s="5" t="s">
        <v>54</v>
      </c>
      <c r="J15" s="13">
        <v>8900</v>
      </c>
      <c r="K15" s="12" t="s">
        <v>69</v>
      </c>
    </row>
    <row r="16" spans="1:11" x14ac:dyDescent="0.2">
      <c r="A16" s="14" t="s">
        <v>85</v>
      </c>
      <c r="B16" s="15" t="s">
        <v>82</v>
      </c>
      <c r="C16" s="14" t="s">
        <v>66</v>
      </c>
      <c r="D16" s="15" t="s">
        <v>86</v>
      </c>
      <c r="E16" s="14" t="s">
        <v>87</v>
      </c>
      <c r="F16" s="15" t="s">
        <v>16</v>
      </c>
      <c r="G16" s="14" t="s">
        <v>36</v>
      </c>
      <c r="H16" s="14" t="s">
        <v>37</v>
      </c>
      <c r="I16" s="15" t="s">
        <v>60</v>
      </c>
      <c r="J16" s="16">
        <v>1850</v>
      </c>
      <c r="K16" s="14" t="s">
        <v>73</v>
      </c>
    </row>
    <row r="17" spans="1:11" x14ac:dyDescent="0.2">
      <c r="A17" s="12" t="s">
        <v>88</v>
      </c>
      <c r="B17" s="5" t="s">
        <v>89</v>
      </c>
      <c r="C17" s="12" t="s">
        <v>90</v>
      </c>
      <c r="D17" s="5" t="s">
        <v>91</v>
      </c>
      <c r="E17" s="12" t="s">
        <v>92</v>
      </c>
      <c r="F17" s="5" t="s">
        <v>16</v>
      </c>
      <c r="G17" s="12" t="s">
        <v>36</v>
      </c>
      <c r="H17" s="12" t="s">
        <v>37</v>
      </c>
      <c r="I17" s="5" t="s">
        <v>60</v>
      </c>
      <c r="J17" s="13">
        <v>4600</v>
      </c>
      <c r="K17" s="12" t="s">
        <v>93</v>
      </c>
    </row>
    <row r="18" spans="1:11" x14ac:dyDescent="0.2">
      <c r="A18" s="14" t="s">
        <v>94</v>
      </c>
      <c r="B18" s="15" t="s">
        <v>89</v>
      </c>
      <c r="C18" s="14" t="s">
        <v>90</v>
      </c>
      <c r="D18" s="15" t="s">
        <v>95</v>
      </c>
      <c r="E18" s="14" t="s">
        <v>96</v>
      </c>
      <c r="F18" s="15" t="s">
        <v>12</v>
      </c>
      <c r="G18" s="14" t="s">
        <v>36</v>
      </c>
      <c r="H18" s="14" t="s">
        <v>43</v>
      </c>
      <c r="I18" s="15" t="s">
        <v>54</v>
      </c>
      <c r="J18" s="16">
        <v>1250</v>
      </c>
      <c r="K18" s="14" t="s">
        <v>97</v>
      </c>
    </row>
    <row r="19" spans="1:11" x14ac:dyDescent="0.2">
      <c r="A19" s="12" t="s">
        <v>98</v>
      </c>
      <c r="B19" s="5" t="s">
        <v>99</v>
      </c>
      <c r="C19" s="12" t="s">
        <v>90</v>
      </c>
      <c r="D19" s="5" t="s">
        <v>100</v>
      </c>
      <c r="E19" s="12" t="s">
        <v>101</v>
      </c>
      <c r="F19" s="5" t="s">
        <v>13</v>
      </c>
      <c r="G19" s="12" t="s">
        <v>36</v>
      </c>
      <c r="H19" s="12" t="s">
        <v>43</v>
      </c>
      <c r="I19" s="5" t="s">
        <v>44</v>
      </c>
      <c r="J19" s="13">
        <v>7300</v>
      </c>
      <c r="K19" s="12" t="s">
        <v>93</v>
      </c>
    </row>
    <row r="20" spans="1:11" x14ac:dyDescent="0.2">
      <c r="A20" s="14" t="s">
        <v>102</v>
      </c>
      <c r="B20" s="15" t="s">
        <v>99</v>
      </c>
      <c r="C20" s="14" t="s">
        <v>90</v>
      </c>
      <c r="D20" s="15" t="s">
        <v>103</v>
      </c>
      <c r="E20" s="14" t="s">
        <v>104</v>
      </c>
      <c r="F20" s="15" t="s">
        <v>17</v>
      </c>
      <c r="G20" s="14" t="s">
        <v>36</v>
      </c>
      <c r="H20" s="14" t="s">
        <v>37</v>
      </c>
      <c r="I20" s="15" t="s">
        <v>38</v>
      </c>
      <c r="J20" s="16">
        <v>950</v>
      </c>
      <c r="K20" s="14" t="s">
        <v>97</v>
      </c>
    </row>
    <row r="21" spans="1:11" x14ac:dyDescent="0.2">
      <c r="A21" s="12" t="s">
        <v>105</v>
      </c>
      <c r="B21" s="5" t="s">
        <v>106</v>
      </c>
      <c r="C21" s="12" t="s">
        <v>90</v>
      </c>
      <c r="D21" s="5" t="s">
        <v>107</v>
      </c>
      <c r="E21" s="12" t="s">
        <v>108</v>
      </c>
      <c r="F21" s="5" t="s">
        <v>16</v>
      </c>
      <c r="G21" s="12" t="s">
        <v>36</v>
      </c>
      <c r="H21" s="12" t="s">
        <v>37</v>
      </c>
      <c r="I21" s="5" t="s">
        <v>60</v>
      </c>
      <c r="J21" s="13">
        <v>6100</v>
      </c>
      <c r="K21" s="12" t="s">
        <v>93</v>
      </c>
    </row>
    <row r="22" spans="1:11" x14ac:dyDescent="0.2">
      <c r="A22" s="14" t="s">
        <v>109</v>
      </c>
      <c r="B22" s="15" t="s">
        <v>106</v>
      </c>
      <c r="C22" s="14" t="s">
        <v>90</v>
      </c>
      <c r="D22" s="15" t="s">
        <v>110</v>
      </c>
      <c r="E22" s="14" t="s">
        <v>111</v>
      </c>
      <c r="F22" s="15" t="s">
        <v>15</v>
      </c>
      <c r="G22" s="14" t="s">
        <v>36</v>
      </c>
      <c r="H22" s="14" t="s">
        <v>43</v>
      </c>
      <c r="I22" s="15" t="s">
        <v>54</v>
      </c>
      <c r="J22" s="16">
        <v>1600</v>
      </c>
      <c r="K22" s="14" t="s">
        <v>97</v>
      </c>
    </row>
    <row r="23" spans="1:11" x14ac:dyDescent="0.2">
      <c r="A23" s="9" t="s">
        <v>112</v>
      </c>
      <c r="B23" s="17"/>
      <c r="C23" s="17"/>
      <c r="D23" s="17"/>
      <c r="E23" s="17"/>
      <c r="F23" s="17"/>
      <c r="G23" s="17"/>
      <c r="H23" s="17"/>
      <c r="I23" s="17"/>
      <c r="J23" s="18">
        <f>SUM(J5:J22)</f>
        <v>91900</v>
      </c>
      <c r="K23" s="17"/>
    </row>
  </sheetData>
  <autoFilter ref="A4:K2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baseColWidth="10" defaultColWidth="8.83203125" defaultRowHeight="15" x14ac:dyDescent="0.2"/>
  <cols>
    <col min="1" max="1" width="14" customWidth="1"/>
    <col min="2" max="2" width="30" customWidth="1"/>
    <col min="3" max="3" width="28" customWidth="1"/>
    <col min="4" max="4" width="50" customWidth="1"/>
    <col min="5" max="5" width="32" customWidth="1"/>
  </cols>
  <sheetData>
    <row r="1" spans="1:5" ht="23" x14ac:dyDescent="0.3">
      <c r="A1" s="1" t="s">
        <v>113</v>
      </c>
    </row>
    <row r="2" spans="1:5" x14ac:dyDescent="0.2">
      <c r="A2" s="2" t="s">
        <v>114</v>
      </c>
    </row>
    <row r="4" spans="1:5" ht="16" x14ac:dyDescent="0.2">
      <c r="A4" s="4" t="s">
        <v>115</v>
      </c>
      <c r="B4" s="4" t="s">
        <v>116</v>
      </c>
      <c r="C4" s="4" t="s">
        <v>117</v>
      </c>
      <c r="D4" s="4" t="s">
        <v>118</v>
      </c>
      <c r="E4" s="4" t="s">
        <v>119</v>
      </c>
    </row>
    <row r="5" spans="1:5" ht="30" x14ac:dyDescent="0.2">
      <c r="A5" s="12">
        <v>1</v>
      </c>
      <c r="B5" s="5" t="s">
        <v>120</v>
      </c>
      <c r="C5" s="5" t="s">
        <v>121</v>
      </c>
      <c r="D5" s="19" t="s">
        <v>122</v>
      </c>
      <c r="E5" s="5" t="s">
        <v>123</v>
      </c>
    </row>
    <row r="6" spans="1:5" ht="30" x14ac:dyDescent="0.2">
      <c r="A6" s="14">
        <v>2</v>
      </c>
      <c r="B6" s="15" t="s">
        <v>124</v>
      </c>
      <c r="C6" s="15" t="s">
        <v>125</v>
      </c>
      <c r="D6" s="20" t="s">
        <v>126</v>
      </c>
      <c r="E6" s="15" t="s">
        <v>127</v>
      </c>
    </row>
    <row r="7" spans="1:5" ht="30" x14ac:dyDescent="0.2">
      <c r="A7" s="12">
        <v>3</v>
      </c>
      <c r="B7" s="5" t="s">
        <v>128</v>
      </c>
      <c r="C7" s="5" t="s">
        <v>129</v>
      </c>
      <c r="D7" s="19" t="s">
        <v>130</v>
      </c>
      <c r="E7" s="5" t="s">
        <v>131</v>
      </c>
    </row>
    <row r="8" spans="1:5" ht="30" x14ac:dyDescent="0.2">
      <c r="A8" s="14">
        <v>4</v>
      </c>
      <c r="B8" s="15" t="s">
        <v>132</v>
      </c>
      <c r="C8" s="15" t="s">
        <v>133</v>
      </c>
      <c r="D8" s="20" t="s">
        <v>134</v>
      </c>
      <c r="E8" s="15" t="s">
        <v>135</v>
      </c>
    </row>
    <row r="9" spans="1:5" ht="30" x14ac:dyDescent="0.2">
      <c r="A9" s="12">
        <v>5</v>
      </c>
      <c r="B9" s="5" t="s">
        <v>136</v>
      </c>
      <c r="C9" s="5" t="s">
        <v>137</v>
      </c>
      <c r="D9" s="19" t="s">
        <v>138</v>
      </c>
      <c r="E9" s="5" t="s">
        <v>139</v>
      </c>
    </row>
    <row r="10" spans="1:5" ht="30" x14ac:dyDescent="0.2">
      <c r="A10" s="14">
        <v>6</v>
      </c>
      <c r="B10" s="15" t="s">
        <v>140</v>
      </c>
      <c r="C10" s="15" t="s">
        <v>141</v>
      </c>
      <c r="D10" s="20" t="s">
        <v>142</v>
      </c>
      <c r="E10" s="15" t="s">
        <v>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Job Directory</vt:lpstr>
      <vt:lpstr>Swimlane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2026-07-30T00:38:50Z</dcterms:modified>
</cp:coreProperties>
</file>