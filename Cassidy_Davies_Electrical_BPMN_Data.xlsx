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<sst xmlns="http://schemas.openxmlformats.org/spreadsheetml/2006/main" count="1136" uniqueCount="227">
  <si>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</si>
  <si>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</si>
  <si>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</si>
  <si>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</si>
  <si>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</si>
  <si>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</si>
  <si>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</si>
  <si>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</si>
  <si>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</si>
  <si>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</si>
  <si>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</si>
  <si>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</si>
  <si>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</si>
  <si>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</si>
  <si>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</si>
  <si>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</si>
  <si>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</si>
  <si>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</si>
  <si>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</si>
  <si>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</si>
  <si>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</si>
  <si>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</si>
  <si>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</si>
  <si>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</si>
  <si>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</si>
  <si>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</si>
  <si>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</si>
  <si>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</si>
  <si>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</si>
  <si>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</si>
  <si>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>yes</t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</si>
  <si>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</si>
  <si>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</si>
  <si>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</si>
  <si>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</si>
  <si>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</si>
  <si>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</si>
  <si>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</si>
  <si>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</si>
  <si>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</si>
  <si>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</si>
  <si>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</si>
  <si>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</si>
  <si>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</si>
  <si>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</si>
  <si>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</si>
  <si>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</si>
  <si>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</si>
  <si>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</si>
  <si>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</si>
  <si>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</si>
  <si>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</si>
  <si>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</si>
  <si>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</si>
  <si>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</si>
  <si>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</si>
  <si>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</si>
  <si>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</si>
  <si>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</si>
  <si>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</si>
  <si>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</si>
  <si>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</si>
  <si>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</si>
  <si>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224 Cashel St - Eastern WC Block Reno</t>
  </si>
  <si>
    <t/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</si>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</sst>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8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/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/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 t="s">
        <v>27</v>
      </c>
      <c r="M22" s="13" t="s">
        <v>27</v>
      </c>
      <c r="N22" s="14" t="s">
        <v>27</v>
      </c>
      <c r="O22" s="13"/>
      <c r="P22" s="13"/>
      <c r="Q22" s="15" t="s">
        <v>27</v>
      </c>
      <c r="R22" s="13" t="s">
        <v>27</v>
      </c>
      <c r="S22" s="13" t="s">
        <v>28</v>
      </c>
      <c r="T22" s="16"/>
      <c r="U22" s="1" t="s">
        <v>27</v>
      </c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 t="s">
        <v>27</v>
      </c>
      <c r="E24" s="13"/>
      <c r="F24" s="13" t="s">
        <v>27</v>
      </c>
      <c r="G24" s="14" t="s">
        <v>27</v>
      </c>
      <c r="H24" s="13" t="s">
        <v>28</v>
      </c>
      <c r="I24" s="13" t="s">
        <v>27</v>
      </c>
      <c r="J24" s="13" t="s">
        <v>27</v>
      </c>
      <c r="K24" s="13" t="s">
        <v>27</v>
      </c>
      <c r="L24" s="13" t="s">
        <v>27</v>
      </c>
      <c r="M24" s="13" t="s">
        <v>27</v>
      </c>
      <c r="N24" s="14" t="s">
        <v>27</v>
      </c>
      <c r="O24" s="13" t="s">
        <v>27</v>
      </c>
      <c r="P24" s="13" t="s">
        <v>27</v>
      </c>
      <c r="Q24" s="15" t="s">
        <v>27</v>
      </c>
      <c r="R24" s="13" t="s">
        <v>27</v>
      </c>
      <c r="S24" s="13" t="s">
        <v>28</v>
      </c>
      <c r="T24" s="16"/>
      <c r="U24" s="1" t="s">
        <v>27</v>
      </c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27</v>
      </c>
      <c r="L32" s="13" t="s">
        <v>27</v>
      </c>
      <c r="M32" s="13" t="s">
        <v>28</v>
      </c>
      <c r="N32" s="14" t="s">
        <v>27</v>
      </c>
      <c r="O32" s="13" t="s">
        <v>27</v>
      </c>
      <c r="P32" s="18"/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ht="15.75" customHeight="1" spans="1:30" x14ac:dyDescent="0.25">
      <c r="A68" s="27">
        <v>8530</v>
      </c>
      <c r="B68" s="21" t="s">
        <v>63</v>
      </c>
      <c r="C68" s="29" t="s">
        <v>64</v>
      </c>
      <c r="D68" s="29"/>
      <c r="E68" s="13"/>
      <c r="F68" s="13"/>
      <c r="G68" s="14"/>
      <c r="H68" s="13"/>
      <c r="I68" s="13"/>
      <c r="J68" s="13"/>
      <c r="K68" s="13"/>
      <c r="L68" s="13"/>
      <c r="M68" s="13"/>
      <c r="N68" s="14"/>
      <c r="O68" s="13"/>
      <c r="P68" s="13"/>
      <c r="Q68" s="15"/>
      <c r="R68" s="13"/>
      <c r="S68" s="13"/>
      <c r="T68" s="16"/>
      <c r="U68" s="1"/>
      <c r="V68" s="1"/>
      <c r="W68" s="1"/>
      <c r="X68" s="1"/>
      <c r="Y68" s="1"/>
      <c r="Z68" s="1"/>
      <c r="AA68" s="1"/>
      <c r="AB68" s="1"/>
      <c r="AC68" s="1"/>
      <c r="AD68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33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65</v>
      </c>
      <c r="D2" s="38" t="s">
        <v>66</v>
      </c>
      <c r="E2" s="38" t="s">
        <v>67</v>
      </c>
      <c r="F2" s="39" t="s">
        <v>68</v>
      </c>
      <c r="G2" s="40" t="s">
        <v>69</v>
      </c>
      <c r="H2" s="38" t="s">
        <v>70</v>
      </c>
      <c r="I2" s="38" t="s">
        <v>71</v>
      </c>
      <c r="J2" s="41" t="s">
        <v>72</v>
      </c>
      <c r="K2" s="41" t="s">
        <v>73</v>
      </c>
      <c r="L2" s="39" t="s">
        <v>74</v>
      </c>
      <c r="M2" s="40" t="s">
        <v>75</v>
      </c>
      <c r="N2" s="42" t="s">
        <v>76</v>
      </c>
      <c r="O2" s="43" t="s">
        <v>77</v>
      </c>
      <c r="P2" s="43" t="s">
        <v>78</v>
      </c>
      <c r="Q2" s="39" t="s">
        <v>79</v>
      </c>
      <c r="R2" s="40" t="s">
        <v>80</v>
      </c>
      <c r="S2" s="44" t="s">
        <v>81</v>
      </c>
      <c r="T2" s="44" t="s">
        <v>82</v>
      </c>
      <c r="U2" s="45" t="s">
        <v>83</v>
      </c>
      <c r="V2" s="40" t="s">
        <v>84</v>
      </c>
      <c r="W2" s="42" t="s">
        <v>85</v>
      </c>
      <c r="X2" s="46" t="s">
        <v>86</v>
      </c>
      <c r="Y2" s="47" t="s">
        <v>87</v>
      </c>
      <c r="Z2" s="46" t="s">
        <v>88</v>
      </c>
      <c r="AA2" s="48" t="s">
        <v>89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90</v>
      </c>
      <c r="AI3" s="50" t="s">
        <v>91</v>
      </c>
    </row>
    <row r="4" ht="15" customHeight="1" spans="1:35" x14ac:dyDescent="0.25">
      <c r="A4" s="19">
        <v>7658</v>
      </c>
      <c r="B4" s="20" t="s">
        <v>25</v>
      </c>
      <c r="C4" s="51" t="s">
        <v>92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93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94</v>
      </c>
      <c r="D5" s="52">
        <v>245679.5</v>
      </c>
      <c r="E5" s="52">
        <v>216530.08</v>
      </c>
      <c r="F5" s="52">
        <v>29149.420000000013</v>
      </c>
      <c r="G5" s="53">
        <v>0.11864815745717495</v>
      </c>
      <c r="H5" s="52">
        <v>208360.5</v>
      </c>
      <c r="I5" s="52">
        <v>168361.6</v>
      </c>
      <c r="J5" s="52">
        <v>180366.49</v>
      </c>
      <c r="K5" s="52">
        <v>138438.46000000002</v>
      </c>
      <c r="L5" s="52">
        <v>41928.02999999997</v>
      </c>
      <c r="M5" s="53">
        <v>0.23246019812216767</v>
      </c>
      <c r="N5" s="53"/>
      <c r="O5" s="52">
        <v>27994.01</v>
      </c>
      <c r="P5" s="52">
        <v>29923.14</v>
      </c>
      <c r="Q5" s="52">
        <v>-1929.130000000001</v>
      </c>
      <c r="R5" s="53">
        <v>-0.06891224229754869</v>
      </c>
      <c r="S5" s="54">
        <v>565.45</v>
      </c>
      <c r="T5" s="54">
        <v>600.25</v>
      </c>
      <c r="U5" s="54">
        <v>-34.799999999999955</v>
      </c>
      <c r="V5" s="53">
        <v>-0.061543903086037584</v>
      </c>
      <c r="W5" s="53"/>
      <c r="X5" s="55">
        <v>80.24736359850063</v>
      </c>
      <c r="Y5" s="55">
        <v>65.99877634098505</v>
      </c>
      <c r="Z5" s="53">
        <v>0.2225</v>
      </c>
      <c r="AA5" s="56">
        <v>0.1519</v>
      </c>
      <c r="AB5" s="57"/>
      <c r="AD5" s="35" t="s">
        <v>95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96</v>
      </c>
      <c r="D6" s="52">
        <v>245679.5</v>
      </c>
      <c r="E6" s="52">
        <v>216530.08</v>
      </c>
      <c r="F6" s="52">
        <v>29149.420000000013</v>
      </c>
      <c r="G6" s="53">
        <v>0.11864815745717495</v>
      </c>
      <c r="H6" s="52">
        <v>208360.5</v>
      </c>
      <c r="I6" s="52">
        <v>168361.6</v>
      </c>
      <c r="J6" s="52">
        <v>180366.49</v>
      </c>
      <c r="K6" s="52">
        <v>138438.46000000002</v>
      </c>
      <c r="L6" s="52">
        <v>41928.02999999997</v>
      </c>
      <c r="M6" s="53">
        <v>0.23246019812216767</v>
      </c>
      <c r="N6" s="53"/>
      <c r="O6" s="52">
        <v>27994.01</v>
      </c>
      <c r="P6" s="52">
        <v>29923.14</v>
      </c>
      <c r="Q6" s="52">
        <v>-1929.130000000001</v>
      </c>
      <c r="R6" s="53">
        <v>-0.06891224229754869</v>
      </c>
      <c r="S6" s="54">
        <v>565.45</v>
      </c>
      <c r="T6" s="54">
        <v>600.25</v>
      </c>
      <c r="U6" s="54">
        <v>-34.799999999999955</v>
      </c>
      <c r="V6" s="53">
        <v>-0.061543903086037584</v>
      </c>
      <c r="W6" s="53"/>
      <c r="X6" s="55">
        <v>80.24736359850063</v>
      </c>
      <c r="Y6" s="55">
        <v>65.99877634098505</v>
      </c>
      <c r="Z6" s="53">
        <v>0.2225</v>
      </c>
      <c r="AA6" s="56">
        <v>0.1519</v>
      </c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97</v>
      </c>
      <c r="D7" s="52"/>
      <c r="E7" s="52"/>
      <c r="F7" s="52"/>
      <c r="G7" s="53"/>
      <c r="H7" s="52"/>
      <c r="I7" s="52"/>
      <c r="J7" s="52"/>
      <c r="K7" s="52"/>
      <c r="L7" s="52"/>
      <c r="M7" s="53"/>
      <c r="N7" s="53"/>
      <c r="O7" s="52"/>
      <c r="P7" s="52"/>
      <c r="Q7" s="52"/>
      <c r="R7" s="53"/>
      <c r="S7" s="54"/>
      <c r="T7" s="54"/>
      <c r="U7" s="54"/>
      <c r="V7" s="53"/>
      <c r="W7" s="53"/>
      <c r="X7" s="55"/>
      <c r="Y7" s="55"/>
      <c r="Z7" s="53"/>
      <c r="AA7" s="56"/>
      <c r="AB7" s="57"/>
      <c r="AD7" s="35" t="s">
        <v>98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99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100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92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93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94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79791.03</v>
      </c>
      <c r="J12" s="52">
        <v>83645.65</v>
      </c>
      <c r="K12" s="52">
        <v>71604.5</v>
      </c>
      <c r="L12" s="52">
        <v>12041.149999999994</v>
      </c>
      <c r="M12" s="53">
        <v>0.1439542881189876</v>
      </c>
      <c r="N12" s="53"/>
      <c r="O12" s="52">
        <v>17775.07</v>
      </c>
      <c r="P12" s="52">
        <v>8186.53</v>
      </c>
      <c r="Q12" s="52">
        <v>9588.54</v>
      </c>
      <c r="R12" s="53">
        <v>0.5394375380800188</v>
      </c>
      <c r="S12" s="54">
        <v>356.07</v>
      </c>
      <c r="T12" s="54">
        <v>168.25</v>
      </c>
      <c r="U12" s="54">
        <v>187.82</v>
      </c>
      <c r="V12" s="53">
        <v>0.5274805515769371</v>
      </c>
      <c r="W12" s="53"/>
      <c r="X12" s="55">
        <v>36.09539375928678</v>
      </c>
      <c r="Y12" s="55">
        <v>77.66490997775718</v>
      </c>
      <c r="Z12" s="53">
        <v>0.0707</v>
      </c>
      <c r="AA12" s="56">
        <v>0.2142</v>
      </c>
      <c r="AB12" s="57"/>
      <c r="AD12" s="35" t="s">
        <v>95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96</v>
      </c>
      <c r="D13" s="52">
        <v>129074.86</v>
      </c>
      <c r="E13" s="62">
        <v>85864.08</v>
      </c>
      <c r="F13" s="52">
        <v>43210.78</v>
      </c>
      <c r="G13" s="53">
        <v>0.3347730146676123</v>
      </c>
      <c r="H13" s="52">
        <v>101420.72</v>
      </c>
      <c r="I13" s="52">
        <v>79791.03</v>
      </c>
      <c r="J13" s="52">
        <v>83645.65</v>
      </c>
      <c r="K13" s="52">
        <v>71604.5</v>
      </c>
      <c r="L13" s="52">
        <v>12041.149999999994</v>
      </c>
      <c r="M13" s="53">
        <v>0.1439542881189876</v>
      </c>
      <c r="N13" s="53"/>
      <c r="O13" s="52">
        <v>17775.07</v>
      </c>
      <c r="P13" s="52">
        <v>8186.53</v>
      </c>
      <c r="Q13" s="52">
        <v>9588.54</v>
      </c>
      <c r="R13" s="53">
        <v>0.5394375380800188</v>
      </c>
      <c r="S13" s="54">
        <v>356.07</v>
      </c>
      <c r="T13" s="54">
        <v>168.25</v>
      </c>
      <c r="U13" s="54">
        <v>187.82</v>
      </c>
      <c r="V13" s="53">
        <v>0.5274805515769371</v>
      </c>
      <c r="W13" s="53"/>
      <c r="X13" s="55">
        <v>36.09539375928678</v>
      </c>
      <c r="Y13" s="55">
        <v>77.66490997775718</v>
      </c>
      <c r="Z13" s="53">
        <v>0.0707</v>
      </c>
      <c r="AA13" s="56">
        <v>0.2142</v>
      </c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97</v>
      </c>
      <c r="D14" s="52"/>
      <c r="E14" s="62"/>
      <c r="F14" s="52"/>
      <c r="G14" s="53"/>
      <c r="H14" s="52"/>
      <c r="I14" s="52"/>
      <c r="J14" s="52"/>
      <c r="K14" s="52"/>
      <c r="L14" s="52"/>
      <c r="M14" s="53"/>
      <c r="N14" s="53"/>
      <c r="O14" s="52"/>
      <c r="P14" s="52"/>
      <c r="Q14" s="52"/>
      <c r="R14" s="53"/>
      <c r="S14" s="54"/>
      <c r="T14" s="54"/>
      <c r="U14" s="54"/>
      <c r="V14" s="53"/>
      <c r="W14" s="53"/>
      <c r="X14" s="55"/>
      <c r="Y14" s="55"/>
      <c r="Z14" s="53"/>
      <c r="AA14" s="56"/>
      <c r="AB14" s="57"/>
      <c r="AD14" s="35" t="s">
        <v>98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99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100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92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93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94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95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96</v>
      </c>
      <c r="D20" s="52">
        <v>27500.32</v>
      </c>
      <c r="E20" s="52">
        <v>11999.08</v>
      </c>
      <c r="F20" s="52">
        <v>15501.24</v>
      </c>
      <c r="G20" s="53">
        <v>0.5636748954193987</v>
      </c>
      <c r="H20" s="52">
        <v>19565.83</v>
      </c>
      <c r="I20" s="52">
        <v>7921.92</v>
      </c>
      <c r="J20" s="52">
        <v>13767.340000000002</v>
      </c>
      <c r="K20" s="52">
        <v>6211.24</v>
      </c>
      <c r="L20" s="52">
        <v>7556.100000000002</v>
      </c>
      <c r="M20" s="53">
        <v>0.5488424052867149</v>
      </c>
      <c r="N20" s="53"/>
      <c r="O20" s="52">
        <v>5798.49</v>
      </c>
      <c r="P20" s="52">
        <v>1710.68</v>
      </c>
      <c r="Q20" s="52">
        <v>4087.8099999999995</v>
      </c>
      <c r="R20" s="53">
        <v>0.7049783650571096</v>
      </c>
      <c r="S20" s="54">
        <v>125.39</v>
      </c>
      <c r="T20" s="54">
        <v>34.75</v>
      </c>
      <c r="U20" s="54">
        <v>90.64</v>
      </c>
      <c r="V20" s="53">
        <v>0.7228646622537682</v>
      </c>
      <c r="W20" s="53"/>
      <c r="X20" s="55">
        <v>117.328345323741</v>
      </c>
      <c r="Y20" s="55">
        <v>63.27846478985563</v>
      </c>
      <c r="Z20" s="53">
        <v>0.3398</v>
      </c>
      <c r="AA20" s="56">
        <v>0.2885</v>
      </c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97</v>
      </c>
      <c r="D21" s="52"/>
      <c r="E21" s="52"/>
      <c r="F21" s="52"/>
      <c r="G21" s="53"/>
      <c r="H21" s="52"/>
      <c r="I21" s="52"/>
      <c r="J21" s="52"/>
      <c r="K21" s="52"/>
      <c r="L21" s="52"/>
      <c r="M21" s="53"/>
      <c r="N21" s="53"/>
      <c r="O21" s="52"/>
      <c r="P21" s="52"/>
      <c r="Q21" s="52"/>
      <c r="R21" s="53"/>
      <c r="S21" s="54"/>
      <c r="T21" s="54"/>
      <c r="U21" s="54"/>
      <c r="V21" s="53"/>
      <c r="W21" s="53"/>
      <c r="X21" s="55"/>
      <c r="Y21" s="55"/>
      <c r="Z21" s="53"/>
      <c r="AA21" s="56"/>
      <c r="AB21" s="57"/>
      <c r="AD21" s="35" t="s">
        <v>98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99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100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92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93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94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89222.05</v>
      </c>
      <c r="J26" s="52">
        <v>62464.86</v>
      </c>
      <c r="K26" s="52">
        <v>58984</v>
      </c>
      <c r="L26" s="52">
        <v>3480.8600000000006</v>
      </c>
      <c r="M26" s="53">
        <v>0.05572509087509362</v>
      </c>
      <c r="N26" s="53"/>
      <c r="O26" s="52">
        <v>39713.56</v>
      </c>
      <c r="P26" s="52">
        <v>30238.05</v>
      </c>
      <c r="Q26" s="52">
        <v>9475.509999999998</v>
      </c>
      <c r="R26" s="53">
        <v>0.23859633837913294</v>
      </c>
      <c r="S26" s="54">
        <v>795.22</v>
      </c>
      <c r="T26" s="54">
        <v>615</v>
      </c>
      <c r="U26" s="54">
        <v>180.22000000000003</v>
      </c>
      <c r="V26" s="53">
        <v>0.22662910892583188</v>
      </c>
      <c r="W26" s="53"/>
      <c r="X26" s="55">
        <v>89.67276422764228</v>
      </c>
      <c r="Y26" s="55">
        <v>61.20621468124544</v>
      </c>
      <c r="Z26" s="53">
        <v>0.382</v>
      </c>
      <c r="AA26" s="56">
        <v>0.3227</v>
      </c>
      <c r="AB26" s="57"/>
      <c r="AD26" s="35" t="s">
        <v>95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96</v>
      </c>
      <c r="D27" s="55">
        <v>150850.82</v>
      </c>
      <c r="E27" s="55">
        <v>144370.8</v>
      </c>
      <c r="F27" s="52">
        <v>6480.020000000019</v>
      </c>
      <c r="G27" s="53">
        <v>0.042956478459978</v>
      </c>
      <c r="H27" s="52">
        <v>102178.42</v>
      </c>
      <c r="I27" s="52">
        <v>89222.05</v>
      </c>
      <c r="J27" s="52">
        <v>62464.86</v>
      </c>
      <c r="K27" s="52">
        <v>58984</v>
      </c>
      <c r="L27" s="52">
        <v>3480.8600000000006</v>
      </c>
      <c r="M27" s="53">
        <v>0.05572509087509362</v>
      </c>
      <c r="N27" s="53"/>
      <c r="O27" s="52">
        <v>39713.56</v>
      </c>
      <c r="P27" s="52">
        <v>30238.05</v>
      </c>
      <c r="Q27" s="52">
        <v>9475.509999999998</v>
      </c>
      <c r="R27" s="53">
        <v>0.23859633837913294</v>
      </c>
      <c r="S27" s="54">
        <v>795.22</v>
      </c>
      <c r="T27" s="54">
        <v>615</v>
      </c>
      <c r="U27" s="54">
        <v>180.22000000000003</v>
      </c>
      <c r="V27" s="53">
        <v>0.22662910892583188</v>
      </c>
      <c r="W27" s="53"/>
      <c r="X27" s="55">
        <v>89.67276422764228</v>
      </c>
      <c r="Y27" s="55">
        <v>61.20621468124544</v>
      </c>
      <c r="Z27" s="53">
        <v>0.382</v>
      </c>
      <c r="AA27" s="56">
        <v>0.3227</v>
      </c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97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98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99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100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92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93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94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223659.54</v>
      </c>
      <c r="J33" s="52">
        <v>271519.78</v>
      </c>
      <c r="K33" s="52">
        <v>197370.72</v>
      </c>
      <c r="L33" s="52">
        <v>74149.06000000003</v>
      </c>
      <c r="M33" s="53">
        <v>0.27308898084699396</v>
      </c>
      <c r="N33" s="53"/>
      <c r="O33" s="52">
        <v>55911.34</v>
      </c>
      <c r="P33" s="52">
        <v>26288.82</v>
      </c>
      <c r="Q33" s="52">
        <v>29622.519999999997</v>
      </c>
      <c r="R33" s="53">
        <v>0.5298123779540966</v>
      </c>
      <c r="S33" s="54">
        <v>1120.27</v>
      </c>
      <c r="T33" s="54">
        <v>607.75</v>
      </c>
      <c r="U33" s="54">
        <v>512.52</v>
      </c>
      <c r="V33" s="53">
        <v>0.4574968534371178</v>
      </c>
      <c r="W33" s="53"/>
      <c r="X33" s="55">
        <v>58.721793500617025</v>
      </c>
      <c r="Y33" s="55">
        <v>61.5841822414239</v>
      </c>
      <c r="Z33" s="53">
        <v>0.1376</v>
      </c>
      <c r="AA33" s="56">
        <v>0.174</v>
      </c>
      <c r="AB33" s="57"/>
      <c r="AD33" s="35" t="s">
        <v>95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96</v>
      </c>
      <c r="D34" s="52">
        <v>396422.03</v>
      </c>
      <c r="E34" s="52">
        <v>259347.71</v>
      </c>
      <c r="F34" s="52">
        <v>137074.32000000004</v>
      </c>
      <c r="G34" s="53">
        <v>0.3457787651205964</v>
      </c>
      <c r="H34" s="52">
        <v>327431.12</v>
      </c>
      <c r="I34" s="65">
        <v>223659.54</v>
      </c>
      <c r="J34" s="52">
        <v>271519.78</v>
      </c>
      <c r="K34" s="52">
        <v>197370.72</v>
      </c>
      <c r="L34" s="52">
        <v>74149.06000000003</v>
      </c>
      <c r="M34" s="53">
        <v>0.27308898084699396</v>
      </c>
      <c r="N34" s="53"/>
      <c r="O34" s="52">
        <v>55911.34</v>
      </c>
      <c r="P34" s="52">
        <v>26288.82</v>
      </c>
      <c r="Q34" s="52">
        <v>29622.519999999997</v>
      </c>
      <c r="R34" s="53">
        <v>0.5298123779540966</v>
      </c>
      <c r="S34" s="54">
        <v>1120.27</v>
      </c>
      <c r="T34" s="54">
        <v>607.75</v>
      </c>
      <c r="U34" s="54">
        <v>512.52</v>
      </c>
      <c r="V34" s="53">
        <v>0.4574968534371178</v>
      </c>
      <c r="W34" s="53"/>
      <c r="X34" s="55">
        <v>58.721793500617025</v>
      </c>
      <c r="Y34" s="55">
        <v>61.5841822414239</v>
      </c>
      <c r="Z34" s="53">
        <v>0.1376</v>
      </c>
      <c r="AA34" s="56">
        <v>0.174</v>
      </c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97</v>
      </c>
      <c r="D35" s="52"/>
      <c r="E35" s="52"/>
      <c r="F35" s="52"/>
      <c r="G35" s="53"/>
      <c r="H35" s="52"/>
      <c r="I35" s="65"/>
      <c r="J35" s="52"/>
      <c r="K35" s="52"/>
      <c r="L35" s="52"/>
      <c r="M35" s="53"/>
      <c r="N35" s="53"/>
      <c r="O35" s="52"/>
      <c r="P35" s="52"/>
      <c r="Q35" s="52"/>
      <c r="R35" s="53"/>
      <c r="S35" s="54"/>
      <c r="T35" s="54"/>
      <c r="U35" s="54"/>
      <c r="V35" s="53"/>
      <c r="W35" s="53"/>
      <c r="X35" s="55"/>
      <c r="Y35" s="55"/>
      <c r="Z35" s="53"/>
      <c r="AA35" s="56"/>
      <c r="AB35" s="57"/>
      <c r="AD35" s="35" t="s">
        <v>98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99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100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92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93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94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49261.61</v>
      </c>
      <c r="J40" s="52">
        <v>69042.09000000001</v>
      </c>
      <c r="K40" s="52">
        <v>35683.74</v>
      </c>
      <c r="L40" s="52">
        <v>33358.35000000001</v>
      </c>
      <c r="M40" s="53">
        <v>0.4831596204576079</v>
      </c>
      <c r="N40" s="53"/>
      <c r="O40" s="52">
        <v>25056.23</v>
      </c>
      <c r="P40" s="52">
        <v>13577.87</v>
      </c>
      <c r="Q40" s="52">
        <v>11478.359999999999</v>
      </c>
      <c r="R40" s="53">
        <v>0.45810403241030273</v>
      </c>
      <c r="S40" s="54">
        <v>501.83</v>
      </c>
      <c r="T40" s="54">
        <v>299.5</v>
      </c>
      <c r="U40" s="54">
        <v>202.32999999999998</v>
      </c>
      <c r="V40" s="53">
        <v>0.40318434529621583</v>
      </c>
      <c r="W40" s="53"/>
      <c r="X40" s="55">
        <v>15.63679465776294</v>
      </c>
      <c r="Y40" s="55">
        <v>68.07122423898531</v>
      </c>
      <c r="Z40" s="53">
        <v>0.0868</v>
      </c>
      <c r="AA40" s="56">
        <v>0.2663</v>
      </c>
      <c r="AB40" s="57"/>
      <c r="AD40" s="35" t="s">
        <v>95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96</v>
      </c>
      <c r="D41" s="52">
        <v>128258.5</v>
      </c>
      <c r="E41" s="52">
        <v>53944.83</v>
      </c>
      <c r="F41" s="52">
        <v>74313.67</v>
      </c>
      <c r="G41" s="53">
        <v>0.5794054195238522</v>
      </c>
      <c r="H41" s="52">
        <v>94098.32</v>
      </c>
      <c r="I41" s="52">
        <v>49261.61</v>
      </c>
      <c r="J41" s="52">
        <v>69042.09000000001</v>
      </c>
      <c r="K41" s="52">
        <v>35683.74</v>
      </c>
      <c r="L41" s="52">
        <v>33358.35000000001</v>
      </c>
      <c r="M41" s="53">
        <v>0.4831596204576079</v>
      </c>
      <c r="N41" s="53"/>
      <c r="O41" s="52">
        <v>25056.23</v>
      </c>
      <c r="P41" s="52">
        <v>13577.87</v>
      </c>
      <c r="Q41" s="52">
        <v>11478.359999999999</v>
      </c>
      <c r="R41" s="53">
        <v>0.45810403241030273</v>
      </c>
      <c r="S41" s="54">
        <v>501.83</v>
      </c>
      <c r="T41" s="54">
        <v>299.5</v>
      </c>
      <c r="U41" s="54">
        <v>202.32999999999998</v>
      </c>
      <c r="V41" s="53">
        <v>0.40318434529621583</v>
      </c>
      <c r="W41" s="53"/>
      <c r="X41" s="55">
        <v>15.63679465776294</v>
      </c>
      <c r="Y41" s="55">
        <v>68.07122423898531</v>
      </c>
      <c r="Z41" s="53">
        <v>0.0868</v>
      </c>
      <c r="AA41" s="56">
        <v>0.2663</v>
      </c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97</v>
      </c>
      <c r="D42" s="52"/>
      <c r="E42" s="52"/>
      <c r="F42" s="52"/>
      <c r="G42" s="53"/>
      <c r="H42" s="52"/>
      <c r="I42" s="52"/>
      <c r="J42" s="52"/>
      <c r="K42" s="52"/>
      <c r="L42" s="52"/>
      <c r="M42" s="53"/>
      <c r="N42" s="53"/>
      <c r="O42" s="52"/>
      <c r="P42" s="52"/>
      <c r="Q42" s="52"/>
      <c r="R42" s="53"/>
      <c r="S42" s="54"/>
      <c r="T42" s="54"/>
      <c r="U42" s="54"/>
      <c r="V42" s="53"/>
      <c r="W42" s="53"/>
      <c r="X42" s="55"/>
      <c r="Y42" s="55"/>
      <c r="Z42" s="53"/>
      <c r="AA42" s="56"/>
      <c r="AB42" s="57"/>
      <c r="AD42" s="35" t="s">
        <v>98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99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100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92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93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94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25196.36</v>
      </c>
      <c r="J47" s="52">
        <v>39438.990000000005</v>
      </c>
      <c r="K47" s="52">
        <v>20036.420000000002</v>
      </c>
      <c r="L47" s="52">
        <v>19402.570000000003</v>
      </c>
      <c r="M47" s="53">
        <v>0.49196417048205343</v>
      </c>
      <c r="N47" s="53"/>
      <c r="O47" s="52">
        <v>11143.38</v>
      </c>
      <c r="P47" s="52">
        <v>5159.94</v>
      </c>
      <c r="Q47" s="52">
        <v>5983.44</v>
      </c>
      <c r="R47" s="53">
        <v>0.5369501892603501</v>
      </c>
      <c r="S47" s="54">
        <v>223.22</v>
      </c>
      <c r="T47" s="54">
        <v>113.25</v>
      </c>
      <c r="U47" s="54">
        <v>109.97</v>
      </c>
      <c r="V47" s="53">
        <v>0.49265298808350505</v>
      </c>
      <c r="W47" s="53"/>
      <c r="X47" s="55">
        <v>71.78922737306843</v>
      </c>
      <c r="Y47" s="55">
        <v>67.69550512136009</v>
      </c>
      <c r="Z47" s="53">
        <v>0.244</v>
      </c>
      <c r="AA47" s="56">
        <v>0.23</v>
      </c>
      <c r="AB47" s="57"/>
      <c r="AD47" s="35" t="s">
        <v>95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96</v>
      </c>
      <c r="D48" s="52">
        <v>65693.36</v>
      </c>
      <c r="E48" s="52">
        <v>33326.49</v>
      </c>
      <c r="F48" s="52">
        <v>32366.870000000003</v>
      </c>
      <c r="G48" s="53">
        <v>0.49269621769993194</v>
      </c>
      <c r="H48" s="52">
        <v>50582.37</v>
      </c>
      <c r="I48" s="52">
        <v>25196.36</v>
      </c>
      <c r="J48" s="52">
        <v>39438.990000000005</v>
      </c>
      <c r="K48" s="52">
        <v>20036.420000000002</v>
      </c>
      <c r="L48" s="52">
        <v>19402.570000000003</v>
      </c>
      <c r="M48" s="53">
        <v>0.49196417048205343</v>
      </c>
      <c r="N48" s="53"/>
      <c r="O48" s="52">
        <v>11143.38</v>
      </c>
      <c r="P48" s="52">
        <v>5159.94</v>
      </c>
      <c r="Q48" s="52">
        <v>5983.44</v>
      </c>
      <c r="R48" s="53">
        <v>0.5369501892603501</v>
      </c>
      <c r="S48" s="54">
        <v>223.22</v>
      </c>
      <c r="T48" s="54">
        <v>113.25</v>
      </c>
      <c r="U48" s="54">
        <v>109.97</v>
      </c>
      <c r="V48" s="53">
        <v>0.49265298808350505</v>
      </c>
      <c r="W48" s="53"/>
      <c r="X48" s="55">
        <v>71.78922737306843</v>
      </c>
      <c r="Y48" s="55">
        <v>67.69550512136009</v>
      </c>
      <c r="Z48" s="53">
        <v>0.244</v>
      </c>
      <c r="AA48" s="56">
        <v>0.23</v>
      </c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97</v>
      </c>
      <c r="D49" s="52"/>
      <c r="E49" s="52"/>
      <c r="F49" s="52"/>
      <c r="G49" s="53"/>
      <c r="H49" s="52"/>
      <c r="I49" s="52"/>
      <c r="J49" s="52"/>
      <c r="K49" s="52"/>
      <c r="L49" s="52"/>
      <c r="M49" s="53"/>
      <c r="N49" s="53"/>
      <c r="O49" s="52"/>
      <c r="P49" s="52"/>
      <c r="Q49" s="52"/>
      <c r="R49" s="53"/>
      <c r="S49" s="54"/>
      <c r="T49" s="54"/>
      <c r="U49" s="54"/>
      <c r="V49" s="53"/>
      <c r="W49" s="53"/>
      <c r="X49" s="55"/>
      <c r="Y49" s="55"/>
      <c r="Z49" s="53"/>
      <c r="AA49" s="56"/>
      <c r="AB49" s="57"/>
      <c r="AD49" s="35" t="s">
        <v>98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99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100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92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93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94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96483.38</v>
      </c>
      <c r="J54" s="52">
        <v>75135.01000000001</v>
      </c>
      <c r="K54" s="52">
        <v>71221.34</v>
      </c>
      <c r="L54" s="52">
        <v>3913.670000000013</v>
      </c>
      <c r="M54" s="53">
        <v>0.05208850042077604</v>
      </c>
      <c r="N54" s="53"/>
      <c r="O54" s="52">
        <v>34229.96</v>
      </c>
      <c r="P54" s="52">
        <v>25262.04</v>
      </c>
      <c r="Q54" s="52">
        <v>8967.919999999998</v>
      </c>
      <c r="R54" s="53">
        <v>0.2619903733454552</v>
      </c>
      <c r="S54" s="54">
        <v>685.48</v>
      </c>
      <c r="T54" s="54">
        <v>533.75</v>
      </c>
      <c r="U54" s="54">
        <v>151.73000000000002</v>
      </c>
      <c r="V54" s="53">
        <v>0.22134854408589605</v>
      </c>
      <c r="W54" s="53"/>
      <c r="X54" s="55">
        <v>58.699953161592504</v>
      </c>
      <c r="Y54" s="55">
        <v>67.00679527854935</v>
      </c>
      <c r="Z54" s="53">
        <v>0.2451</v>
      </c>
      <c r="AA54" s="56">
        <v>0.2958</v>
      </c>
      <c r="AB54" s="57"/>
      <c r="AD54" s="35" t="s">
        <v>95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96</v>
      </c>
      <c r="D55" s="52">
        <v>155296.79</v>
      </c>
      <c r="E55" s="52">
        <v>127814.48</v>
      </c>
      <c r="F55" s="52">
        <v>27482.310000000012</v>
      </c>
      <c r="G55" s="53">
        <v>0.176966375158173</v>
      </c>
      <c r="H55" s="52">
        <v>109364.97</v>
      </c>
      <c r="I55" s="52">
        <v>96483.38</v>
      </c>
      <c r="J55" s="52">
        <v>75135.01000000001</v>
      </c>
      <c r="K55" s="52">
        <v>71221.34</v>
      </c>
      <c r="L55" s="52">
        <v>3913.670000000013</v>
      </c>
      <c r="M55" s="53">
        <v>0.05208850042077604</v>
      </c>
      <c r="N55" s="53"/>
      <c r="O55" s="52">
        <v>34229.96</v>
      </c>
      <c r="P55" s="52">
        <v>25262.04</v>
      </c>
      <c r="Q55" s="52">
        <v>8967.919999999998</v>
      </c>
      <c r="R55" s="53">
        <v>0.2619903733454552</v>
      </c>
      <c r="S55" s="54">
        <v>685.48</v>
      </c>
      <c r="T55" s="54">
        <v>533.75</v>
      </c>
      <c r="U55" s="54">
        <v>151.73000000000002</v>
      </c>
      <c r="V55" s="53">
        <v>0.22134854408589605</v>
      </c>
      <c r="W55" s="53"/>
      <c r="X55" s="55">
        <v>58.699953161592504</v>
      </c>
      <c r="Y55" s="55">
        <v>67.00679527854935</v>
      </c>
      <c r="Z55" s="53">
        <v>0.2451</v>
      </c>
      <c r="AA55" s="56">
        <v>0.2958</v>
      </c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97</v>
      </c>
      <c r="D56" s="52"/>
      <c r="E56" s="52"/>
      <c r="F56" s="52"/>
      <c r="G56" s="53"/>
      <c r="H56" s="52"/>
      <c r="I56" s="52"/>
      <c r="J56" s="52"/>
      <c r="K56" s="52"/>
      <c r="L56" s="52"/>
      <c r="M56" s="53"/>
      <c r="N56" s="53"/>
      <c r="O56" s="52"/>
      <c r="P56" s="52"/>
      <c r="Q56" s="52"/>
      <c r="R56" s="53"/>
      <c r="S56" s="54"/>
      <c r="T56" s="54"/>
      <c r="U56" s="54"/>
      <c r="V56" s="53"/>
      <c r="W56" s="53"/>
      <c r="X56" s="55"/>
      <c r="Y56" s="55"/>
      <c r="Z56" s="53"/>
      <c r="AA56" s="56"/>
      <c r="AB56" s="57"/>
      <c r="AD56" s="35" t="s">
        <v>98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99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100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92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93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94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95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96</v>
      </c>
      <c r="D62" s="52">
        <v>20420.56</v>
      </c>
      <c r="E62" s="52">
        <v>20420.56</v>
      </c>
      <c r="F62" s="52">
        <v>0</v>
      </c>
      <c r="G62" s="53">
        <v>0</v>
      </c>
      <c r="H62" s="52">
        <v>15859.68</v>
      </c>
      <c r="I62" s="52">
        <v>13435.12</v>
      </c>
      <c r="J62" s="52">
        <v>12689.1</v>
      </c>
      <c r="K62" s="52">
        <v>11478.25</v>
      </c>
      <c r="L62" s="52">
        <v>1210.8500000000004</v>
      </c>
      <c r="M62" s="53">
        <v>0.09542441938356545</v>
      </c>
      <c r="N62" s="53"/>
      <c r="O62" s="52">
        <v>3170.58</v>
      </c>
      <c r="P62" s="52">
        <v>1956.87</v>
      </c>
      <c r="Q62" s="52">
        <v>1213.71</v>
      </c>
      <c r="R62" s="53">
        <v>0.38280377722687964</v>
      </c>
      <c r="S62" s="54">
        <v>63.5</v>
      </c>
      <c r="T62" s="54">
        <v>48.25</v>
      </c>
      <c r="U62" s="54">
        <v>15.25</v>
      </c>
      <c r="V62" s="53">
        <v>0.24015748031496062</v>
      </c>
      <c r="W62" s="53"/>
      <c r="X62" s="55">
        <v>144.7759585492228</v>
      </c>
      <c r="Y62" s="55">
        <v>71.82495570677168</v>
      </c>
      <c r="Z62" s="53">
        <v>0.3421</v>
      </c>
      <c r="AA62" s="56">
        <v>0.2233</v>
      </c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97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98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99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100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92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93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94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95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96</v>
      </c>
      <c r="D69" s="52">
        <v>47801.68</v>
      </c>
      <c r="E69" s="52">
        <v>10650.43</v>
      </c>
      <c r="F69" s="52">
        <v>37151.25</v>
      </c>
      <c r="G69" s="53">
        <v>0.7771954876899724</v>
      </c>
      <c r="H69" s="52">
        <v>35572.59</v>
      </c>
      <c r="I69" s="52">
        <v>10547.08</v>
      </c>
      <c r="J69" s="52">
        <v>27136.549999999996</v>
      </c>
      <c r="K69" s="52">
        <v>10398.3</v>
      </c>
      <c r="L69" s="52">
        <v>16738.249999999996</v>
      </c>
      <c r="M69" s="53">
        <v>0.6168156969106242</v>
      </c>
      <c r="N69" s="53"/>
      <c r="O69" s="52">
        <v>8436.04</v>
      </c>
      <c r="P69" s="52">
        <v>148.78</v>
      </c>
      <c r="Q69" s="52">
        <v>8287.26</v>
      </c>
      <c r="R69" s="53">
        <v>0.9823637630926358</v>
      </c>
      <c r="S69" s="54">
        <v>169.32</v>
      </c>
      <c r="T69" s="54">
        <v>2.75</v>
      </c>
      <c r="U69" s="54">
        <v>166.57</v>
      </c>
      <c r="V69" s="53">
        <v>0.9837585636664304</v>
      </c>
      <c r="W69" s="53"/>
      <c r="X69" s="55">
        <v>37.58181818181818</v>
      </c>
      <c r="Y69" s="55">
        <v>72.22475431425701</v>
      </c>
      <c r="Z69" s="53">
        <v>0.0097</v>
      </c>
      <c r="AA69" s="56">
        <v>0.2558</v>
      </c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97</v>
      </c>
      <c r="D70" s="52"/>
      <c r="E70" s="52"/>
      <c r="F70" s="52"/>
      <c r="G70" s="53"/>
      <c r="H70" s="52"/>
      <c r="I70" s="52"/>
      <c r="J70" s="52"/>
      <c r="K70" s="52"/>
      <c r="L70" s="52"/>
      <c r="M70" s="53"/>
      <c r="N70" s="53"/>
      <c r="O70" s="52"/>
      <c r="P70" s="52"/>
      <c r="Q70" s="52"/>
      <c r="R70" s="53"/>
      <c r="S70" s="54"/>
      <c r="T70" s="54"/>
      <c r="U70" s="54"/>
      <c r="V70" s="53"/>
      <c r="W70" s="53"/>
      <c r="X70" s="55"/>
      <c r="Y70" s="55"/>
      <c r="Z70" s="53"/>
      <c r="AA70" s="56"/>
      <c r="AB70" s="57"/>
      <c r="AD70" s="35" t="s">
        <v>98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99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100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92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93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94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29696.65</v>
      </c>
      <c r="J75" s="52">
        <v>31383.390000000003</v>
      </c>
      <c r="K75" s="52">
        <v>23592.600000000002</v>
      </c>
      <c r="L75" s="52">
        <v>7790.790000000001</v>
      </c>
      <c r="M75" s="53">
        <v>0.24824564841465502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125.30844074844074</v>
      </c>
      <c r="Y75" s="55">
        <v>48.58165977967362</v>
      </c>
      <c r="Z75" s="53">
        <v>0.33659999999999995</v>
      </c>
      <c r="AA75" s="56">
        <v>0.2963</v>
      </c>
      <c r="AB75" s="57"/>
      <c r="AD75" s="35" t="s">
        <v>95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96</v>
      </c>
      <c r="D76" s="52">
        <v>77166.16</v>
      </c>
      <c r="E76" s="52">
        <v>44764.99</v>
      </c>
      <c r="F76" s="52">
        <v>32401.170000000006</v>
      </c>
      <c r="G76" s="53">
        <v>0.41988832928838243</v>
      </c>
      <c r="H76" s="52">
        <v>54302.66</v>
      </c>
      <c r="I76" s="52">
        <v>29696.65</v>
      </c>
      <c r="J76" s="52">
        <v>31383.390000000003</v>
      </c>
      <c r="K76" s="52">
        <v>23592.600000000002</v>
      </c>
      <c r="L76" s="52">
        <v>7790.790000000001</v>
      </c>
      <c r="M76" s="53">
        <v>0.24824564841465502</v>
      </c>
      <c r="N76" s="53"/>
      <c r="O76" s="52">
        <v>22919.27</v>
      </c>
      <c r="P76" s="52">
        <v>6104.05</v>
      </c>
      <c r="Q76" s="52">
        <v>16815.22</v>
      </c>
      <c r="R76" s="53">
        <v>0.7336717094392623</v>
      </c>
      <c r="S76" s="54">
        <v>470.62</v>
      </c>
      <c r="T76" s="54">
        <v>120.25</v>
      </c>
      <c r="U76" s="54">
        <v>350.37</v>
      </c>
      <c r="V76" s="53">
        <v>0.7444859971951894</v>
      </c>
      <c r="W76" s="53"/>
      <c r="X76" s="55">
        <v>125.30844074844074</v>
      </c>
      <c r="Y76" s="55">
        <v>48.58165977967362</v>
      </c>
      <c r="Z76" s="53">
        <v>0.33659999999999995</v>
      </c>
      <c r="AA76" s="56">
        <v>0.2963</v>
      </c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97</v>
      </c>
      <c r="D77" s="52"/>
      <c r="E77" s="52"/>
      <c r="F77" s="52"/>
      <c r="G77" s="53"/>
      <c r="H77" s="52"/>
      <c r="I77" s="52"/>
      <c r="J77" s="52"/>
      <c r="K77" s="52"/>
      <c r="L77" s="52"/>
      <c r="M77" s="53"/>
      <c r="N77" s="53"/>
      <c r="O77" s="52"/>
      <c r="P77" s="52"/>
      <c r="Q77" s="52"/>
      <c r="R77" s="53"/>
      <c r="S77" s="54"/>
      <c r="T77" s="54"/>
      <c r="U77" s="54"/>
      <c r="V77" s="53"/>
      <c r="W77" s="53"/>
      <c r="X77" s="55"/>
      <c r="Y77" s="55"/>
      <c r="Z77" s="53"/>
      <c r="AA77" s="56"/>
      <c r="AB77" s="57"/>
      <c r="AD77" s="35" t="s">
        <v>98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99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100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92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93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94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95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96</v>
      </c>
      <c r="D83" s="52">
        <v>25467.84</v>
      </c>
      <c r="E83" s="52">
        <v>19598.41</v>
      </c>
      <c r="F83" s="52">
        <v>5869.43</v>
      </c>
      <c r="G83" s="53">
        <v>0.2304643817457625</v>
      </c>
      <c r="H83" s="52">
        <v>16606.83</v>
      </c>
      <c r="I83" s="52">
        <v>12958.24</v>
      </c>
      <c r="J83" s="52">
        <v>9659.990000000002</v>
      </c>
      <c r="K83" s="52">
        <v>5354.12</v>
      </c>
      <c r="L83" s="52">
        <v>4305.870000000002</v>
      </c>
      <c r="M83" s="53">
        <v>0.44574269745620865</v>
      </c>
      <c r="N83" s="53"/>
      <c r="O83" s="52">
        <v>6946.84</v>
      </c>
      <c r="P83" s="52">
        <v>7604.12</v>
      </c>
      <c r="Q83" s="52">
        <v>-657.2799999999997</v>
      </c>
      <c r="R83" s="53">
        <v>-0.09461568137455299</v>
      </c>
      <c r="S83" s="54">
        <v>139.07</v>
      </c>
      <c r="T83" s="54">
        <v>147.75</v>
      </c>
      <c r="U83" s="54">
        <v>-8.680000000000007</v>
      </c>
      <c r="V83" s="53">
        <v>-0.06241461134680382</v>
      </c>
      <c r="W83" s="53"/>
      <c r="X83" s="55">
        <v>44.94192893401015</v>
      </c>
      <c r="Y83" s="55">
        <v>63.7162162306752</v>
      </c>
      <c r="Z83" s="53">
        <v>0.33880000000000005</v>
      </c>
      <c r="AA83" s="56">
        <v>0.3479</v>
      </c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97</v>
      </c>
      <c r="D84" s="52"/>
      <c r="E84" s="52"/>
      <c r="F84" s="52"/>
      <c r="G84" s="53"/>
      <c r="H84" s="52"/>
      <c r="I84" s="52"/>
      <c r="J84" s="52"/>
      <c r="K84" s="52"/>
      <c r="L84" s="52"/>
      <c r="M84" s="53"/>
      <c r="N84" s="53"/>
      <c r="O84" s="52"/>
      <c r="P84" s="52"/>
      <c r="Q84" s="52"/>
      <c r="R84" s="53"/>
      <c r="S84" s="54"/>
      <c r="T84" s="54"/>
      <c r="U84" s="54"/>
      <c r="V84" s="53"/>
      <c r="W84" s="53"/>
      <c r="X84" s="55"/>
      <c r="Y84" s="55"/>
      <c r="Z84" s="53"/>
      <c r="AA84" s="56"/>
      <c r="AB84" s="57"/>
      <c r="AD84" s="35" t="s">
        <v>98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99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100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92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93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94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25060.53</v>
      </c>
      <c r="J89" s="52">
        <v>15440.32</v>
      </c>
      <c r="K89" s="52">
        <v>13974.73</v>
      </c>
      <c r="L89" s="52">
        <v>1465.5900000000001</v>
      </c>
      <c r="M89" s="53">
        <v>0.09491966487741188</v>
      </c>
      <c r="N89" s="53"/>
      <c r="O89" s="52">
        <v>11562.61</v>
      </c>
      <c r="P89" s="52">
        <v>11085.8</v>
      </c>
      <c r="Q89" s="52">
        <v>476.8100000000013</v>
      </c>
      <c r="R89" s="53">
        <v>0.041237229310683424</v>
      </c>
      <c r="S89" s="68">
        <v>231.75</v>
      </c>
      <c r="T89" s="68">
        <v>225.5</v>
      </c>
      <c r="U89" s="54">
        <v>6.25</v>
      </c>
      <c r="V89" s="53">
        <v>0.02696871628910464</v>
      </c>
      <c r="W89" s="53"/>
      <c r="X89" s="55">
        <v>50.20310421286031</v>
      </c>
      <c r="Y89" s="55">
        <v>43.49557070636461</v>
      </c>
      <c r="Z89" s="53">
        <v>0.31120000000000003</v>
      </c>
      <c r="AA89" s="56">
        <v>0.2718</v>
      </c>
      <c r="AB89" s="57"/>
      <c r="AD89" s="35" t="s">
        <v>95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96</v>
      </c>
      <c r="D90" s="67">
        <v>37083.03</v>
      </c>
      <c r="E90" s="67">
        <v>36381.33</v>
      </c>
      <c r="F90" s="52">
        <v>701.6999999999971</v>
      </c>
      <c r="G90" s="53">
        <v>0.018922401972007064</v>
      </c>
      <c r="H90" s="52">
        <v>27002.93</v>
      </c>
      <c r="I90" s="52">
        <v>25060.53</v>
      </c>
      <c r="J90" s="52">
        <v>15440.32</v>
      </c>
      <c r="K90" s="52">
        <v>13974.73</v>
      </c>
      <c r="L90" s="52">
        <v>1465.5900000000001</v>
      </c>
      <c r="M90" s="53">
        <v>0.09491966487741188</v>
      </c>
      <c r="N90" s="53"/>
      <c r="O90" s="52">
        <v>11562.61</v>
      </c>
      <c r="P90" s="52">
        <v>11085.8</v>
      </c>
      <c r="Q90" s="52">
        <v>476.8100000000013</v>
      </c>
      <c r="R90" s="53">
        <v>0.041237229310683424</v>
      </c>
      <c r="S90" s="68">
        <v>231.75</v>
      </c>
      <c r="T90" s="68">
        <v>225.5</v>
      </c>
      <c r="U90" s="54">
        <v>6.25</v>
      </c>
      <c r="V90" s="53">
        <v>0.02696871628910464</v>
      </c>
      <c r="W90" s="53"/>
      <c r="X90" s="55">
        <v>50.20310421286031</v>
      </c>
      <c r="Y90" s="55">
        <v>43.49557070636461</v>
      </c>
      <c r="Z90" s="53">
        <v>0.31120000000000003</v>
      </c>
      <c r="AA90" s="56">
        <v>0.2718</v>
      </c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97</v>
      </c>
      <c r="D91" s="67"/>
      <c r="E91" s="67"/>
      <c r="F91" s="52"/>
      <c r="G91" s="53"/>
      <c r="H91" s="52"/>
      <c r="I91" s="52"/>
      <c r="J91" s="52"/>
      <c r="K91" s="52"/>
      <c r="L91" s="52"/>
      <c r="M91" s="53"/>
      <c r="N91" s="53"/>
      <c r="O91" s="52"/>
      <c r="P91" s="52"/>
      <c r="Q91" s="52"/>
      <c r="R91" s="53"/>
      <c r="S91" s="68"/>
      <c r="T91" s="68"/>
      <c r="U91" s="54"/>
      <c r="V91" s="53"/>
      <c r="W91" s="53"/>
      <c r="X91" s="55"/>
      <c r="Y91" s="55"/>
      <c r="Z91" s="53"/>
      <c r="AA91" s="56"/>
      <c r="AB91" s="57"/>
      <c r="AD91" s="35" t="s">
        <v>98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99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100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92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93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94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95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96</v>
      </c>
      <c r="D97" s="52">
        <v>26186.14</v>
      </c>
      <c r="E97" s="52">
        <v>5762.27</v>
      </c>
      <c r="F97" s="52">
        <v>20423.87</v>
      </c>
      <c r="G97" s="53">
        <v>0.7799496222047235</v>
      </c>
      <c r="H97" s="52">
        <v>19428.98</v>
      </c>
      <c r="I97" s="52">
        <v>7925.81</v>
      </c>
      <c r="J97" s="52">
        <v>12051.32</v>
      </c>
      <c r="K97" s="52">
        <v>7679.910000000001</v>
      </c>
      <c r="L97" s="52">
        <v>4371.409999999999</v>
      </c>
      <c r="M97" s="53">
        <v>0.36273287905391266</v>
      </c>
      <c r="N97" s="53"/>
      <c r="O97" s="52">
        <v>7377.66</v>
      </c>
      <c r="P97" s="52">
        <v>245.9</v>
      </c>
      <c r="Q97" s="52">
        <v>7131.76</v>
      </c>
      <c r="R97" s="53">
        <v>0.9666696486419813</v>
      </c>
      <c r="S97" s="54">
        <v>147.9</v>
      </c>
      <c r="T97" s="54">
        <v>5</v>
      </c>
      <c r="U97" s="54">
        <v>142.9</v>
      </c>
      <c r="V97" s="53">
        <v>0.9661933739012847</v>
      </c>
      <c r="W97" s="53"/>
      <c r="X97" s="55">
        <v>-432.70799999999997</v>
      </c>
      <c r="Y97" s="55">
        <v>45.687352144692355</v>
      </c>
      <c r="Z97" s="53">
        <v>-0.37549999999999994</v>
      </c>
      <c r="AA97" s="56">
        <v>0.258</v>
      </c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97</v>
      </c>
      <c r="D98" s="52"/>
      <c r="E98" s="52"/>
      <c r="F98" s="52"/>
      <c r="G98" s="53"/>
      <c r="H98" s="52"/>
      <c r="I98" s="52"/>
      <c r="J98" s="52"/>
      <c r="K98" s="52"/>
      <c r="L98" s="52"/>
      <c r="M98" s="53"/>
      <c r="N98" s="53"/>
      <c r="O98" s="52"/>
      <c r="P98" s="52"/>
      <c r="Q98" s="52"/>
      <c r="R98" s="53"/>
      <c r="S98" s="54"/>
      <c r="T98" s="54"/>
      <c r="U98" s="54"/>
      <c r="V98" s="53"/>
      <c r="W98" s="53"/>
      <c r="X98" s="55"/>
      <c r="Y98" s="55"/>
      <c r="Z98" s="53"/>
      <c r="AA98" s="56"/>
      <c r="AB98" s="57"/>
      <c r="AD98" s="35" t="s">
        <v>98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99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100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92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93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94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95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96</v>
      </c>
      <c r="D104" s="52">
        <v>32473.02</v>
      </c>
      <c r="E104" s="69">
        <v>33188.03</v>
      </c>
      <c r="F104" s="52">
        <v>-715.0099999999984</v>
      </c>
      <c r="G104" s="53">
        <v>-0.022018586506582952</v>
      </c>
      <c r="H104" s="52">
        <v>23075.07</v>
      </c>
      <c r="I104" s="52">
        <v>30925.21</v>
      </c>
      <c r="J104" s="52">
        <v>12691.21</v>
      </c>
      <c r="K104" s="52">
        <v>15184.269999999999</v>
      </c>
      <c r="L104" s="52">
        <v>-2493.0599999999995</v>
      </c>
      <c r="M104" s="53">
        <v>-0.1964398981657383</v>
      </c>
      <c r="N104" s="53"/>
      <c r="O104" s="52">
        <v>10383.86</v>
      </c>
      <c r="P104" s="52">
        <v>15740.94</v>
      </c>
      <c r="Q104" s="52">
        <v>-5357.08</v>
      </c>
      <c r="R104" s="53">
        <v>-0.5159044902377343</v>
      </c>
      <c r="S104" s="54">
        <v>208.2</v>
      </c>
      <c r="T104" s="54">
        <v>317.25</v>
      </c>
      <c r="U104" s="54">
        <v>-109.05000000000001</v>
      </c>
      <c r="V104" s="53">
        <v>-0.5237752161383286</v>
      </c>
      <c r="W104" s="53"/>
      <c r="X104" s="55">
        <v>7.132608353033885</v>
      </c>
      <c r="Y104" s="55">
        <v>45.139084580403456</v>
      </c>
      <c r="Z104" s="53">
        <v>0.0682</v>
      </c>
      <c r="AA104" s="56">
        <v>0.2894</v>
      </c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97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98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99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100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92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93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94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95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96</v>
      </c>
      <c r="D111" s="52">
        <v>58902.56</v>
      </c>
      <c r="E111" s="52">
        <v>0</v>
      </c>
      <c r="F111" s="52">
        <v>58902.56</v>
      </c>
      <c r="G111" s="53">
        <v>1</v>
      </c>
      <c r="H111" s="52">
        <v>37601.88</v>
      </c>
      <c r="I111" s="52">
        <v>45817.77</v>
      </c>
      <c r="J111" s="52">
        <v>21415.85</v>
      </c>
      <c r="K111" s="52">
        <v>23939.389999999996</v>
      </c>
      <c r="L111" s="52">
        <v>-2523.5399999999972</v>
      </c>
      <c r="M111" s="53">
        <v>-0.11783515480356826</v>
      </c>
      <c r="N111" s="53"/>
      <c r="O111" s="52">
        <v>16186.03</v>
      </c>
      <c r="P111" s="52">
        <v>21878.38</v>
      </c>
      <c r="Q111" s="52">
        <v>-5692.35</v>
      </c>
      <c r="R111" s="53">
        <v>-0.3516829018604315</v>
      </c>
      <c r="S111" s="54">
        <v>324.19</v>
      </c>
      <c r="T111" s="54">
        <v>472.75</v>
      </c>
      <c r="U111" s="54">
        <v>-148.56</v>
      </c>
      <c r="V111" s="53">
        <v>-0.45824979178876585</v>
      </c>
      <c r="W111" s="53"/>
      <c r="X111" s="55">
        <v>48.973178212585935</v>
      </c>
      <c r="Y111" s="55">
        <v>65.70431400737223</v>
      </c>
      <c r="Z111" s="53">
        <v>0.3357</v>
      </c>
      <c r="AA111" s="56">
        <v>0.3616</v>
      </c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97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98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99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100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92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93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94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95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96</v>
      </c>
      <c r="D118" s="52">
        <v>21404.82</v>
      </c>
      <c r="E118" s="52">
        <v>0</v>
      </c>
      <c r="F118" s="52">
        <v>21404.82</v>
      </c>
      <c r="G118" s="53">
        <v>1</v>
      </c>
      <c r="H118" s="52">
        <v>17514.09</v>
      </c>
      <c r="I118" s="52">
        <v>0</v>
      </c>
      <c r="J118" s="52">
        <v>13318.880000000001</v>
      </c>
      <c r="K118" s="52">
        <v>0</v>
      </c>
      <c r="L118" s="52">
        <v>13318.880000000001</v>
      </c>
      <c r="M118" s="53">
        <v>1</v>
      </c>
      <c r="N118" s="53"/>
      <c r="O118" s="52">
        <v>4195.21</v>
      </c>
      <c r="P118" s="52">
        <v>0</v>
      </c>
      <c r="Q118" s="52">
        <v>4195.21</v>
      </c>
      <c r="R118" s="53">
        <v>1</v>
      </c>
      <c r="S118" s="54">
        <v>84.05</v>
      </c>
      <c r="T118" s="54">
        <v>0</v>
      </c>
      <c r="U118" s="54">
        <v>84.05</v>
      </c>
      <c r="V118" s="53">
        <v>1</v>
      </c>
      <c r="W118" s="53"/>
      <c r="X118" s="55">
        <v>0</v>
      </c>
      <c r="Y118" s="55">
        <v>46.29062162403328</v>
      </c>
      <c r="Z118" s="53">
        <v>0</v>
      </c>
      <c r="AA118" s="56">
        <v>0.1818</v>
      </c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97</v>
      </c>
      <c r="D119" s="52"/>
      <c r="E119" s="52"/>
      <c r="F119" s="52"/>
      <c r="G119" s="53"/>
      <c r="H119" s="52"/>
      <c r="I119" s="52"/>
      <c r="J119" s="52"/>
      <c r="K119" s="52"/>
      <c r="L119" s="52"/>
      <c r="M119" s="53"/>
      <c r="N119" s="53"/>
      <c r="O119" s="52"/>
      <c r="P119" s="52"/>
      <c r="Q119" s="52"/>
      <c r="R119" s="53"/>
      <c r="S119" s="54"/>
      <c r="T119" s="54"/>
      <c r="U119" s="54"/>
      <c r="V119" s="53"/>
      <c r="W119" s="53"/>
      <c r="X119" s="55"/>
      <c r="Y119" s="55"/>
      <c r="Z119" s="53"/>
      <c r="AA119" s="56"/>
      <c r="AB119" s="57"/>
      <c r="AD119" s="35" t="s">
        <v>98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99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100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92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93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94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95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96</v>
      </c>
      <c r="D125" s="52">
        <v>100987.51</v>
      </c>
      <c r="E125" s="52">
        <v>67407.3</v>
      </c>
      <c r="F125" s="52">
        <v>33580.20999999999</v>
      </c>
      <c r="G125" s="53">
        <v>0.33251844708320855</v>
      </c>
      <c r="H125" s="52">
        <v>82694.87</v>
      </c>
      <c r="I125" s="52">
        <v>56814.23</v>
      </c>
      <c r="J125" s="52">
        <v>68214.25</v>
      </c>
      <c r="K125" s="52">
        <v>51957.8</v>
      </c>
      <c r="L125" s="52">
        <v>16256.449999999997</v>
      </c>
      <c r="M125" s="53">
        <v>0.23831457503380887</v>
      </c>
      <c r="N125" s="53"/>
      <c r="O125" s="52">
        <v>14480.62</v>
      </c>
      <c r="P125" s="52">
        <v>4856.43</v>
      </c>
      <c r="Q125" s="52">
        <v>9624.19</v>
      </c>
      <c r="R125" s="53">
        <v>0.66462554780113</v>
      </c>
      <c r="S125" s="54">
        <v>290.15</v>
      </c>
      <c r="T125" s="54">
        <v>106</v>
      </c>
      <c r="U125" s="54">
        <v>184.14999999999998</v>
      </c>
      <c r="V125" s="53">
        <v>0.6346717215233499</v>
      </c>
      <c r="W125" s="53"/>
      <c r="X125" s="55">
        <v>99.93462264150943</v>
      </c>
      <c r="Y125" s="55">
        <v>63.04545035767707</v>
      </c>
      <c r="Z125" s="53">
        <v>0.1572</v>
      </c>
      <c r="AA125" s="56">
        <v>0.1811</v>
      </c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97</v>
      </c>
      <c r="D126" s="52"/>
      <c r="E126" s="52"/>
      <c r="F126" s="52"/>
      <c r="G126" s="53"/>
      <c r="H126" s="52"/>
      <c r="I126" s="52"/>
      <c r="J126" s="52"/>
      <c r="K126" s="52"/>
      <c r="L126" s="52"/>
      <c r="M126" s="53"/>
      <c r="N126" s="53"/>
      <c r="O126" s="52"/>
      <c r="P126" s="52"/>
      <c r="Q126" s="52"/>
      <c r="R126" s="53"/>
      <c r="S126" s="54"/>
      <c r="T126" s="54"/>
      <c r="U126" s="54"/>
      <c r="V126" s="53"/>
      <c r="W126" s="53"/>
      <c r="X126" s="55"/>
      <c r="Y126" s="55"/>
      <c r="Z126" s="53"/>
      <c r="AA126" s="56"/>
      <c r="AB126" s="57"/>
      <c r="AD126" s="35" t="s">
        <v>98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99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100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92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93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94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95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96</v>
      </c>
      <c r="D132" s="52">
        <v>31802.41</v>
      </c>
      <c r="E132" s="52">
        <v>16498.64</v>
      </c>
      <c r="F132" s="52">
        <v>15303.77</v>
      </c>
      <c r="G132" s="53">
        <v>0.4812141595558324</v>
      </c>
      <c r="H132" s="52">
        <v>23448.14</v>
      </c>
      <c r="I132" s="52">
        <v>12360.83</v>
      </c>
      <c r="J132" s="52">
        <v>15632.029999999999</v>
      </c>
      <c r="K132" s="52">
        <v>11772.08</v>
      </c>
      <c r="L132" s="52">
        <v>3859.949999999999</v>
      </c>
      <c r="M132" s="53">
        <v>0.24692570318762178</v>
      </c>
      <c r="N132" s="53"/>
      <c r="O132" s="52">
        <v>7816.11</v>
      </c>
      <c r="P132" s="52">
        <v>588.75</v>
      </c>
      <c r="Q132" s="52">
        <v>7227.36</v>
      </c>
      <c r="R132" s="53">
        <v>0.9246748062655208</v>
      </c>
      <c r="S132" s="54">
        <v>156.69</v>
      </c>
      <c r="T132" s="54">
        <v>11.5</v>
      </c>
      <c r="U132" s="54">
        <v>145.19</v>
      </c>
      <c r="V132" s="53">
        <v>0.9266066756015061</v>
      </c>
      <c r="W132" s="53"/>
      <c r="X132" s="55">
        <v>359.80956521739137</v>
      </c>
      <c r="Y132" s="55">
        <v>53.31719360265494</v>
      </c>
      <c r="Z132" s="53">
        <v>0.25079999999999997</v>
      </c>
      <c r="AA132" s="56">
        <v>0.2627</v>
      </c>
      <c r="AB132" s="57"/>
      <c r="AD132" s="35"/>
      <c r="AE132" s="35"/>
      <c r="AH132" s="19"/>
      <c r="AI132" s="58"/>
    </row>
    <row r="133" ht="15" customHeight="1" spans="2:35" x14ac:dyDescent="0.25">
      <c r="B133" s="20"/>
      <c r="C133" s="51" t="s">
        <v>97</v>
      </c>
      <c r="D133" s="52"/>
      <c r="E133" s="52"/>
      <c r="F133" s="52"/>
      <c r="G133" s="53"/>
      <c r="H133" s="52"/>
      <c r="I133" s="52"/>
      <c r="J133" s="52"/>
      <c r="K133" s="52"/>
      <c r="L133" s="52"/>
      <c r="M133" s="53"/>
      <c r="N133" s="53"/>
      <c r="O133" s="52"/>
      <c r="P133" s="52"/>
      <c r="Q133" s="52"/>
      <c r="R133" s="53"/>
      <c r="S133" s="54"/>
      <c r="T133" s="54"/>
      <c r="U133" s="54"/>
      <c r="V133" s="53"/>
      <c r="W133" s="53"/>
      <c r="X133" s="55"/>
      <c r="Y133" s="55"/>
      <c r="Z133" s="53"/>
      <c r="AA133" s="56"/>
      <c r="AB133" s="57"/>
      <c r="AD133" s="35" t="s">
        <v>98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99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100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92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93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94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95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96</v>
      </c>
      <c r="D139" s="52">
        <v>30749.24</v>
      </c>
      <c r="E139" s="52">
        <v>30749.24</v>
      </c>
      <c r="F139" s="52">
        <v>0</v>
      </c>
      <c r="G139" s="53">
        <v>0</v>
      </c>
      <c r="H139" s="52">
        <v>22587.89</v>
      </c>
      <c r="I139" s="52">
        <v>25905.23</v>
      </c>
      <c r="J139" s="52">
        <v>12565.06</v>
      </c>
      <c r="K139" s="52">
        <v>11805.46</v>
      </c>
      <c r="L139" s="52">
        <v>759.6000000000004</v>
      </c>
      <c r="M139" s="53">
        <v>0.06045335239147289</v>
      </c>
      <c r="N139" s="53"/>
      <c r="O139" s="52">
        <v>10022.83</v>
      </c>
      <c r="P139" s="52">
        <v>14099.77</v>
      </c>
      <c r="Q139" s="52">
        <v>-4076.9400000000005</v>
      </c>
      <c r="R139" s="53">
        <v>-0.40676535469523084</v>
      </c>
      <c r="S139" s="54">
        <v>200.82</v>
      </c>
      <c r="T139" s="54">
        <v>283.75</v>
      </c>
      <c r="U139" s="54">
        <v>-82.93</v>
      </c>
      <c r="V139" s="53">
        <v>-0.4129568768050991</v>
      </c>
      <c r="W139" s="53"/>
      <c r="X139" s="55">
        <v>17.07140088105727</v>
      </c>
      <c r="Y139" s="55">
        <v>40.64013272149188</v>
      </c>
      <c r="Z139" s="53">
        <v>0.1575</v>
      </c>
      <c r="AA139" s="56">
        <v>0.2654</v>
      </c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97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98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99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100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92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93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94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95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96</v>
      </c>
      <c r="D146" s="52">
        <v>268228.26</v>
      </c>
      <c r="E146" s="52">
        <v>9034.53</v>
      </c>
      <c r="F146" s="52">
        <v>259193.73</v>
      </c>
      <c r="G146" s="53">
        <v>0.9663177548853353</v>
      </c>
      <c r="H146" s="52">
        <v>238611.58</v>
      </c>
      <c r="I146" s="52">
        <v>6362.08</v>
      </c>
      <c r="J146" s="52">
        <v>214154.25</v>
      </c>
      <c r="K146" s="52">
        <v>3465.35</v>
      </c>
      <c r="L146" s="52">
        <v>210688.9</v>
      </c>
      <c r="M146" s="53">
        <v>0.9838184392791645</v>
      </c>
      <c r="N146" s="53"/>
      <c r="O146" s="52">
        <v>24457.33</v>
      </c>
      <c r="P146" s="52">
        <v>2896.73</v>
      </c>
      <c r="Q146" s="52">
        <v>21560.600000000002</v>
      </c>
      <c r="R146" s="53">
        <v>0.8815598432044708</v>
      </c>
      <c r="S146" s="54">
        <v>497.55</v>
      </c>
      <c r="T146" s="54">
        <v>58.25</v>
      </c>
      <c r="U146" s="54">
        <v>439.3</v>
      </c>
      <c r="V146" s="53">
        <v>0.8829263390614008</v>
      </c>
      <c r="W146" s="53"/>
      <c r="X146" s="55">
        <v>45.878969957081544</v>
      </c>
      <c r="Y146" s="55">
        <v>59.525035875791396</v>
      </c>
      <c r="Z146" s="53">
        <v>0.2958</v>
      </c>
      <c r="AA146" s="56">
        <v>0.1104</v>
      </c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97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98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99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100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92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93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94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95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96</v>
      </c>
      <c r="D153" s="52">
        <v>32773.41</v>
      </c>
      <c r="E153" s="52">
        <v>32773.41</v>
      </c>
      <c r="F153" s="52">
        <v>0</v>
      </c>
      <c r="G153" s="53">
        <v>0</v>
      </c>
      <c r="H153" s="52">
        <v>22750.99</v>
      </c>
      <c r="I153" s="52">
        <v>22254.11</v>
      </c>
      <c r="J153" s="52">
        <v>12243.410000000002</v>
      </c>
      <c r="K153" s="52">
        <v>9324.41</v>
      </c>
      <c r="L153" s="52">
        <v>2919.000000000002</v>
      </c>
      <c r="M153" s="53">
        <v>0.23841397127107575</v>
      </c>
      <c r="N153" s="53"/>
      <c r="O153" s="52">
        <v>10507.58</v>
      </c>
      <c r="P153" s="52">
        <v>12929.7</v>
      </c>
      <c r="Q153" s="52">
        <v>-2422.120000000001</v>
      </c>
      <c r="R153" s="53">
        <v>-0.23051168775303169</v>
      </c>
      <c r="S153" s="54">
        <v>210.6</v>
      </c>
      <c r="T153" s="54">
        <v>260.75</v>
      </c>
      <c r="U153" s="54">
        <v>-50.150000000000006</v>
      </c>
      <c r="V153" s="53">
        <v>-0.2381291547958215</v>
      </c>
      <c r="W153" s="53"/>
      <c r="X153" s="55">
        <v>40.342473633748796</v>
      </c>
      <c r="Y153" s="55">
        <v>47.58984852136751</v>
      </c>
      <c r="Z153" s="53">
        <v>0.321</v>
      </c>
      <c r="AA153" s="56">
        <v>0.3058</v>
      </c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97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98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99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100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92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93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94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95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96</v>
      </c>
      <c r="D160" s="52">
        <v>17899.33</v>
      </c>
      <c r="E160" s="52">
        <v>13424.5</v>
      </c>
      <c r="F160" s="52">
        <v>4474.830000000002</v>
      </c>
      <c r="G160" s="53">
        <v>0.24999986032996774</v>
      </c>
      <c r="H160" s="52">
        <v>13919.4</v>
      </c>
      <c r="I160" s="52">
        <v>10402.37</v>
      </c>
      <c r="J160" s="52">
        <v>8410.93</v>
      </c>
      <c r="K160" s="52">
        <v>7278.380000000001</v>
      </c>
      <c r="L160" s="52">
        <v>1132.5499999999993</v>
      </c>
      <c r="M160" s="53">
        <v>0.13465217282749936</v>
      </c>
      <c r="N160" s="53"/>
      <c r="O160" s="52">
        <v>5508.47</v>
      </c>
      <c r="P160" s="52">
        <v>3123.99</v>
      </c>
      <c r="Q160" s="52">
        <v>2384.4800000000005</v>
      </c>
      <c r="R160" s="53">
        <v>0.43287519038861977</v>
      </c>
      <c r="S160" s="54">
        <v>110.44</v>
      </c>
      <c r="T160" s="54">
        <v>60.75</v>
      </c>
      <c r="U160" s="54">
        <v>49.69</v>
      </c>
      <c r="V160" s="53">
        <v>0.44992756247736326</v>
      </c>
      <c r="W160" s="53"/>
      <c r="X160" s="55">
        <v>49.74699588477367</v>
      </c>
      <c r="Y160" s="55">
        <v>36.03704967040926</v>
      </c>
      <c r="Z160" s="53">
        <v>0.22510000000000002</v>
      </c>
      <c r="AA160" s="56">
        <v>0.2224</v>
      </c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97</v>
      </c>
      <c r="D161" s="52"/>
      <c r="E161" s="52"/>
      <c r="F161" s="52"/>
      <c r="G161" s="53"/>
      <c r="H161" s="52"/>
      <c r="I161" s="52"/>
      <c r="J161" s="52"/>
      <c r="K161" s="52"/>
      <c r="L161" s="52"/>
      <c r="M161" s="53"/>
      <c r="N161" s="53"/>
      <c r="O161" s="52"/>
      <c r="P161" s="52"/>
      <c r="Q161" s="52"/>
      <c r="R161" s="53"/>
      <c r="S161" s="54"/>
      <c r="T161" s="54"/>
      <c r="U161" s="54"/>
      <c r="V161" s="53"/>
      <c r="W161" s="53"/>
      <c r="X161" s="55"/>
      <c r="Y161" s="55"/>
      <c r="Z161" s="53"/>
      <c r="AA161" s="56"/>
      <c r="AB161" s="57"/>
      <c r="AD161" s="35" t="s">
        <v>98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99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100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92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101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93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94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95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96</v>
      </c>
      <c r="D167" s="52">
        <v>10827.2</v>
      </c>
      <c r="E167" s="52">
        <v>0</v>
      </c>
      <c r="F167" s="52">
        <v>10827.2</v>
      </c>
      <c r="G167" s="53">
        <v>1</v>
      </c>
      <c r="H167" s="52">
        <v>7687.77</v>
      </c>
      <c r="I167" s="52">
        <v>2116.21</v>
      </c>
      <c r="J167" s="52">
        <v>4437.14</v>
      </c>
      <c r="K167" s="52">
        <v>1029.51</v>
      </c>
      <c r="L167" s="52">
        <v>3407.63</v>
      </c>
      <c r="M167" s="53">
        <v>0.7679789233605431</v>
      </c>
      <c r="N167" s="53"/>
      <c r="O167" s="52">
        <v>3250.63</v>
      </c>
      <c r="P167" s="52">
        <v>1086.7</v>
      </c>
      <c r="Q167" s="52">
        <v>2163.9300000000003</v>
      </c>
      <c r="R167" s="53">
        <v>0.6656955728581845</v>
      </c>
      <c r="S167" s="54">
        <v>65.13</v>
      </c>
      <c r="T167" s="54">
        <v>24.33</v>
      </c>
      <c r="U167" s="54">
        <v>40.8</v>
      </c>
      <c r="V167" s="53">
        <v>0.6264394288346384</v>
      </c>
      <c r="W167" s="53"/>
      <c r="X167" s="55">
        <v>-86.97944923962187</v>
      </c>
      <c r="Y167" s="55">
        <v>48.202633430830645</v>
      </c>
      <c r="Z167" s="53">
        <v>0</v>
      </c>
      <c r="AA167" s="56">
        <v>0.29</v>
      </c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97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98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99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100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92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93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94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95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96</v>
      </c>
      <c r="D174" s="52">
        <v>146237.11</v>
      </c>
      <c r="E174" s="52">
        <v>125386.21</v>
      </c>
      <c r="F174" s="52">
        <v>20850.89999999998</v>
      </c>
      <c r="G174" s="53">
        <v>0.14258282319720336</v>
      </c>
      <c r="H174" s="52">
        <v>114651.87</v>
      </c>
      <c r="I174" s="52">
        <v>105118.87</v>
      </c>
      <c r="J174" s="52">
        <v>82888.07999999999</v>
      </c>
      <c r="K174" s="52">
        <v>77768.29999999999</v>
      </c>
      <c r="L174" s="52">
        <v>5119.779999999999</v>
      </c>
      <c r="M174" s="53">
        <v>0.06176738561202044</v>
      </c>
      <c r="N174" s="53"/>
      <c r="O174" s="52">
        <v>31763.79</v>
      </c>
      <c r="P174" s="52">
        <v>27350.57</v>
      </c>
      <c r="Q174" s="52">
        <v>4413.220000000001</v>
      </c>
      <c r="R174" s="53">
        <v>0.13893870976983544</v>
      </c>
      <c r="S174" s="54">
        <v>659.73</v>
      </c>
      <c r="T174" s="54">
        <v>548.75</v>
      </c>
      <c r="U174" s="54">
        <v>110.98000000000002</v>
      </c>
      <c r="V174" s="53">
        <v>0.16822033256028984</v>
      </c>
      <c r="W174" s="53"/>
      <c r="X174" s="55">
        <v>36.933649202733484</v>
      </c>
      <c r="Y174" s="55">
        <v>47.87601261940491</v>
      </c>
      <c r="Z174" s="53">
        <v>0.1616</v>
      </c>
      <c r="AA174" s="56">
        <v>0.216</v>
      </c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97</v>
      </c>
      <c r="D175" s="52"/>
      <c r="E175" s="52"/>
      <c r="F175" s="52"/>
      <c r="G175" s="53"/>
      <c r="H175" s="52"/>
      <c r="I175" s="52"/>
      <c r="J175" s="52"/>
      <c r="K175" s="52"/>
      <c r="L175" s="52"/>
      <c r="M175" s="53"/>
      <c r="N175" s="53"/>
      <c r="O175" s="52"/>
      <c r="P175" s="52"/>
      <c r="Q175" s="52"/>
      <c r="R175" s="53"/>
      <c r="S175" s="54"/>
      <c r="T175" s="54"/>
      <c r="U175" s="54"/>
      <c r="V175" s="53"/>
      <c r="W175" s="53"/>
      <c r="X175" s="55"/>
      <c r="Y175" s="55"/>
      <c r="Z175" s="53"/>
      <c r="AA175" s="56"/>
      <c r="AB175" s="57"/>
      <c r="AD175" s="35" t="s">
        <v>98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99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100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92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93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94</v>
      </c>
      <c r="D180" s="52">
        <v>16897.53</v>
      </c>
      <c r="E180" s="52">
        <v>5491.7</v>
      </c>
      <c r="F180" s="52">
        <v>11405.829999999998</v>
      </c>
      <c r="G180" s="53">
        <v>0.6749998372543206</v>
      </c>
      <c r="H180" s="52">
        <v>9226.27</v>
      </c>
      <c r="I180" s="52">
        <v>3702.78</v>
      </c>
      <c r="J180" s="52">
        <v>2977.1100000000006</v>
      </c>
      <c r="K180" s="52">
        <v>2335.9700000000003</v>
      </c>
      <c r="L180" s="52">
        <v>641.1400000000003</v>
      </c>
      <c r="M180" s="53">
        <v>0.2153565034546927</v>
      </c>
      <c r="N180" s="53"/>
      <c r="O180" s="52">
        <v>6249.16</v>
      </c>
      <c r="P180" s="52">
        <v>1366.81</v>
      </c>
      <c r="Q180" s="52">
        <v>4882.35</v>
      </c>
      <c r="R180" s="53">
        <v>0.7812810041669601</v>
      </c>
      <c r="S180" s="54">
        <v>125.17</v>
      </c>
      <c r="T180" s="54">
        <v>23.75</v>
      </c>
      <c r="U180" s="54">
        <v>101.42</v>
      </c>
      <c r="V180" s="53">
        <v>0.8102580490532876</v>
      </c>
      <c r="W180" s="53"/>
      <c r="X180" s="55">
        <v>75.32294736842105</v>
      </c>
      <c r="Y180" s="55">
        <v>61.286703843093385</v>
      </c>
      <c r="Z180" s="53">
        <v>0.3257</v>
      </c>
      <c r="AA180" s="56">
        <v>0.454</v>
      </c>
      <c r="AB180" s="57"/>
      <c r="AD180" s="35" t="s">
        <v>95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96</v>
      </c>
      <c r="D181" s="52">
        <v>16897.53</v>
      </c>
      <c r="E181" s="52">
        <v>5491.7</v>
      </c>
      <c r="F181" s="52">
        <v>11405.829999999998</v>
      </c>
      <c r="G181" s="53">
        <v>0.6749998372543206</v>
      </c>
      <c r="H181" s="52">
        <v>9226.27</v>
      </c>
      <c r="I181" s="52">
        <v>3702.78</v>
      </c>
      <c r="J181" s="52">
        <v>2977.1100000000006</v>
      </c>
      <c r="K181" s="52">
        <v>2335.9700000000003</v>
      </c>
      <c r="L181" s="52">
        <v>641.1400000000003</v>
      </c>
      <c r="M181" s="53">
        <v>0.2153565034546927</v>
      </c>
      <c r="N181" s="53"/>
      <c r="O181" s="52">
        <v>6249.16</v>
      </c>
      <c r="P181" s="52">
        <v>1366.81</v>
      </c>
      <c r="Q181" s="52">
        <v>4882.35</v>
      </c>
      <c r="R181" s="53">
        <v>0.7812810041669601</v>
      </c>
      <c r="S181" s="54">
        <v>125.17</v>
      </c>
      <c r="T181" s="54">
        <v>23.75</v>
      </c>
      <c r="U181" s="54">
        <v>101.42</v>
      </c>
      <c r="V181" s="53">
        <v>0.8102580490532876</v>
      </c>
      <c r="W181" s="53"/>
      <c r="X181" s="55">
        <v>75.32294736842105</v>
      </c>
      <c r="Y181" s="55">
        <v>61.286703843093385</v>
      </c>
      <c r="Z181" s="53">
        <v>0.3257</v>
      </c>
      <c r="AA181" s="56">
        <v>0.454</v>
      </c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97</v>
      </c>
      <c r="D182" s="52"/>
      <c r="E182" s="52"/>
      <c r="F182" s="52"/>
      <c r="G182" s="53"/>
      <c r="H182" s="52"/>
      <c r="I182" s="52"/>
      <c r="J182" s="52"/>
      <c r="K182" s="52"/>
      <c r="L182" s="52"/>
      <c r="M182" s="53"/>
      <c r="N182" s="53"/>
      <c r="O182" s="52"/>
      <c r="P182" s="52"/>
      <c r="Q182" s="52"/>
      <c r="R182" s="53"/>
      <c r="S182" s="54"/>
      <c r="T182" s="54"/>
      <c r="U182" s="54"/>
      <c r="V182" s="53"/>
      <c r="W182" s="53"/>
      <c r="X182" s="55"/>
      <c r="Y182" s="55"/>
      <c r="Z182" s="53"/>
      <c r="AA182" s="56"/>
      <c r="AB182" s="57"/>
      <c r="AD182" s="35" t="s">
        <v>98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99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100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92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93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94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95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96</v>
      </c>
      <c r="D188" s="52">
        <v>20992.12</v>
      </c>
      <c r="E188" s="52">
        <v>14169.68</v>
      </c>
      <c r="F188" s="52">
        <v>6822.439999999999</v>
      </c>
      <c r="G188" s="53">
        <v>0.32500004763692275</v>
      </c>
      <c r="H188" s="52">
        <v>16299.09</v>
      </c>
      <c r="I188" s="52">
        <v>9699.51</v>
      </c>
      <c r="J188" s="52">
        <v>9784.33</v>
      </c>
      <c r="K188" s="52">
        <v>8137.88</v>
      </c>
      <c r="L188" s="52">
        <v>1646.4499999999998</v>
      </c>
      <c r="M188" s="53">
        <v>0.16827416900288522</v>
      </c>
      <c r="N188" s="53"/>
      <c r="O188" s="52">
        <v>6514.76</v>
      </c>
      <c r="P188" s="52">
        <v>1561.63</v>
      </c>
      <c r="Q188" s="52">
        <v>4953.13</v>
      </c>
      <c r="R188" s="53">
        <v>0.7602935488030257</v>
      </c>
      <c r="S188" s="54">
        <v>130.62</v>
      </c>
      <c r="T188" s="54">
        <v>34.75</v>
      </c>
      <c r="U188" s="54">
        <v>95.87</v>
      </c>
      <c r="V188" s="53">
        <v>0.7339611085591793</v>
      </c>
      <c r="W188" s="53"/>
      <c r="X188" s="55">
        <v>128.6379856115108</v>
      </c>
      <c r="Y188" s="55">
        <v>35.92887828502527</v>
      </c>
      <c r="Z188" s="53">
        <v>0.3155</v>
      </c>
      <c r="AA188" s="56">
        <v>0.2236</v>
      </c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97</v>
      </c>
      <c r="D189" s="52"/>
      <c r="E189" s="52"/>
      <c r="F189" s="52"/>
      <c r="G189" s="53"/>
      <c r="H189" s="52"/>
      <c r="I189" s="52"/>
      <c r="J189" s="52"/>
      <c r="K189" s="52"/>
      <c r="L189" s="52"/>
      <c r="M189" s="53"/>
      <c r="N189" s="53"/>
      <c r="O189" s="52"/>
      <c r="P189" s="52"/>
      <c r="Q189" s="52"/>
      <c r="R189" s="53"/>
      <c r="S189" s="54"/>
      <c r="T189" s="54"/>
      <c r="U189" s="54"/>
      <c r="V189" s="53"/>
      <c r="W189" s="53"/>
      <c r="X189" s="55"/>
      <c r="Y189" s="55"/>
      <c r="Z189" s="53"/>
      <c r="AA189" s="56"/>
      <c r="AB189" s="57"/>
      <c r="AD189" s="35" t="s">
        <v>98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99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100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92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93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94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95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96</v>
      </c>
      <c r="D195" s="52">
        <v>23770.95</v>
      </c>
      <c r="E195" s="52">
        <v>10204.54</v>
      </c>
      <c r="F195" s="52">
        <v>13566.41</v>
      </c>
      <c r="G195" s="53">
        <v>0.5707138334816235</v>
      </c>
      <c r="H195" s="52">
        <v>14310.96</v>
      </c>
      <c r="I195" s="52">
        <v>6935.96</v>
      </c>
      <c r="J195" s="52">
        <v>7389.339999999999</v>
      </c>
      <c r="K195" s="52">
        <v>6605.05</v>
      </c>
      <c r="L195" s="52">
        <v>784.289999999999</v>
      </c>
      <c r="M195" s="53">
        <v>0.1061380312720756</v>
      </c>
      <c r="N195" s="53"/>
      <c r="O195" s="52">
        <v>6921.62</v>
      </c>
      <c r="P195" s="52">
        <v>330.91</v>
      </c>
      <c r="Q195" s="52">
        <v>6590.71</v>
      </c>
      <c r="R195" s="53">
        <v>0.9521918279246766</v>
      </c>
      <c r="S195" s="54">
        <v>140.15</v>
      </c>
      <c r="T195" s="54">
        <v>5.75</v>
      </c>
      <c r="U195" s="54">
        <v>134.4</v>
      </c>
      <c r="V195" s="53">
        <v>0.9589725294327506</v>
      </c>
      <c r="W195" s="53"/>
      <c r="X195" s="55">
        <v>568.4486956521739</v>
      </c>
      <c r="Y195" s="55">
        <v>67.49902570438813</v>
      </c>
      <c r="Z195" s="53">
        <v>0.32030000000000003</v>
      </c>
      <c r="AA195" s="56">
        <v>0.398</v>
      </c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97</v>
      </c>
      <c r="D196" s="52"/>
      <c r="E196" s="52"/>
      <c r="F196" s="52"/>
      <c r="G196" s="53"/>
      <c r="H196" s="52"/>
      <c r="I196" s="52"/>
      <c r="J196" s="52"/>
      <c r="K196" s="52"/>
      <c r="L196" s="52"/>
      <c r="M196" s="53"/>
      <c r="N196" s="53"/>
      <c r="O196" s="52"/>
      <c r="P196" s="52"/>
      <c r="Q196" s="52"/>
      <c r="R196" s="53"/>
      <c r="S196" s="54"/>
      <c r="T196" s="54"/>
      <c r="U196" s="54"/>
      <c r="V196" s="53"/>
      <c r="W196" s="53"/>
      <c r="X196" s="55"/>
      <c r="Y196" s="55"/>
      <c r="Z196" s="53"/>
      <c r="AA196" s="56"/>
      <c r="AB196" s="57"/>
      <c r="AD196" s="35" t="s">
        <v>98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99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100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92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93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94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95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96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97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98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99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100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92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93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94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95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96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97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98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99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100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92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93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94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95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96</v>
      </c>
      <c r="D216" s="52">
        <v>137109.56</v>
      </c>
      <c r="E216" s="52">
        <v>30174.75</v>
      </c>
      <c r="F216" s="52">
        <v>106934.81</v>
      </c>
      <c r="G216" s="53">
        <v>0.7799223482301307</v>
      </c>
      <c r="H216" s="52">
        <v>117394.57</v>
      </c>
      <c r="I216" s="52">
        <v>30594.96</v>
      </c>
      <c r="J216" s="52">
        <v>99479.62000000001</v>
      </c>
      <c r="K216" s="52">
        <v>30594.96</v>
      </c>
      <c r="L216" s="52">
        <v>68884.66</v>
      </c>
      <c r="M216" s="53">
        <v>0.692449971159922</v>
      </c>
      <c r="N216" s="53"/>
      <c r="O216" s="52">
        <v>17914.95</v>
      </c>
      <c r="P216" s="52">
        <v>0</v>
      </c>
      <c r="Q216" s="52">
        <v>17914.95</v>
      </c>
      <c r="R216" s="53">
        <v>1</v>
      </c>
      <c r="S216" s="54">
        <v>358.86</v>
      </c>
      <c r="T216" s="54">
        <v>0</v>
      </c>
      <c r="U216" s="54">
        <v>358.86</v>
      </c>
      <c r="V216" s="53">
        <v>1</v>
      </c>
      <c r="W216" s="53"/>
      <c r="X216" s="55">
        <v>0</v>
      </c>
      <c r="Y216" s="55">
        <v>54.93783457863793</v>
      </c>
      <c r="Z216" s="53">
        <v>-0.0139</v>
      </c>
      <c r="AA216" s="56">
        <v>0.1438</v>
      </c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97</v>
      </c>
      <c r="D217" s="52"/>
      <c r="E217" s="52"/>
      <c r="F217" s="52"/>
      <c r="G217" s="53"/>
      <c r="H217" s="52"/>
      <c r="I217" s="52"/>
      <c r="J217" s="52"/>
      <c r="K217" s="52"/>
      <c r="L217" s="52"/>
      <c r="M217" s="53"/>
      <c r="N217" s="53"/>
      <c r="O217" s="52"/>
      <c r="P217" s="52"/>
      <c r="Q217" s="52"/>
      <c r="R217" s="53"/>
      <c r="S217" s="54"/>
      <c r="T217" s="54"/>
      <c r="U217" s="54"/>
      <c r="V217" s="53"/>
      <c r="W217" s="53"/>
      <c r="X217" s="55"/>
      <c r="Y217" s="55"/>
      <c r="Z217" s="53"/>
      <c r="AA217" s="56"/>
      <c r="AB217" s="57"/>
      <c r="AD217" s="35" t="s">
        <v>98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99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100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92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93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94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95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96</v>
      </c>
      <c r="D223" s="52">
        <v>396453.46</v>
      </c>
      <c r="E223" s="52">
        <v>306038.55</v>
      </c>
      <c r="F223" s="52">
        <v>90414.91000000003</v>
      </c>
      <c r="G223" s="53">
        <v>0.2280593288301735</v>
      </c>
      <c r="H223" s="52">
        <v>295569.99</v>
      </c>
      <c r="I223" s="52">
        <v>245307.56</v>
      </c>
      <c r="J223" s="52">
        <v>178700.37</v>
      </c>
      <c r="K223" s="52">
        <v>180550.95</v>
      </c>
      <c r="L223" s="52">
        <v>-1850.5800000000163</v>
      </c>
      <c r="M223" s="53">
        <v>-0.010355770388164369</v>
      </c>
      <c r="N223" s="53"/>
      <c r="O223" s="52">
        <v>116869.62</v>
      </c>
      <c r="P223" s="52">
        <v>64756.61</v>
      </c>
      <c r="Q223" s="52">
        <v>52113.009999999995</v>
      </c>
      <c r="R223" s="53">
        <v>0.4459072426178848</v>
      </c>
      <c r="S223" s="54">
        <v>2344.68</v>
      </c>
      <c r="T223" s="54">
        <v>1377.92</v>
      </c>
      <c r="U223" s="54">
        <v>966.7599999999998</v>
      </c>
      <c r="V223" s="53">
        <v>0.4123206578296398</v>
      </c>
      <c r="W223" s="53"/>
      <c r="X223" s="55">
        <v>44.07439473989781</v>
      </c>
      <c r="Y223" s="55">
        <v>43.0265399367206</v>
      </c>
      <c r="Z223" s="53">
        <v>0.1984</v>
      </c>
      <c r="AA223" s="56">
        <v>0.2545</v>
      </c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97</v>
      </c>
      <c r="D224" s="52"/>
      <c r="E224" s="52"/>
      <c r="F224" s="52"/>
      <c r="G224" s="53"/>
      <c r="H224" s="52"/>
      <c r="I224" s="52"/>
      <c r="J224" s="52"/>
      <c r="K224" s="52"/>
      <c r="L224" s="52"/>
      <c r="M224" s="53"/>
      <c r="N224" s="53"/>
      <c r="O224" s="52"/>
      <c r="P224" s="52"/>
      <c r="Q224" s="52"/>
      <c r="R224" s="53"/>
      <c r="S224" s="54"/>
      <c r="T224" s="54"/>
      <c r="U224" s="54"/>
      <c r="V224" s="53"/>
      <c r="W224" s="53"/>
      <c r="X224" s="55"/>
      <c r="Y224" s="55"/>
      <c r="Z224" s="53"/>
      <c r="AA224" s="56"/>
      <c r="AB224" s="57"/>
      <c r="AD224" s="35" t="s">
        <v>98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99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100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  <row r="227" ht="9" customHeight="1" spans="1:35" x14ac:dyDescent="0.25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D227" s="35"/>
      <c r="AE227" s="35"/>
      <c r="AH227" s="35"/>
      <c r="AI227" s="35"/>
    </row>
    <row r="228" ht="15" customHeight="1" spans="1:35" x14ac:dyDescent="0.25">
      <c r="A228" s="19">
        <v>8530</v>
      </c>
      <c r="B228" s="19" t="s">
        <v>63</v>
      </c>
      <c r="C228" s="51" t="s">
        <v>92</v>
      </c>
      <c r="D228" s="52">
        <v>0</v>
      </c>
      <c r="E228" s="52">
        <v>0</v>
      </c>
      <c r="F228" s="52">
        <v>0</v>
      </c>
      <c r="G228" s="53">
        <v>0</v>
      </c>
      <c r="H228" s="52">
        <v>0</v>
      </c>
      <c r="I228" s="52">
        <v>0</v>
      </c>
      <c r="J228" s="52">
        <v>0</v>
      </c>
      <c r="K228" s="52">
        <v>0</v>
      </c>
      <c r="L228" s="52">
        <v>0</v>
      </c>
      <c r="M228" s="53">
        <v>0</v>
      </c>
      <c r="N228" s="53"/>
      <c r="O228" s="52">
        <v>0</v>
      </c>
      <c r="P228" s="52">
        <v>0</v>
      </c>
      <c r="Q228" s="52">
        <v>0</v>
      </c>
      <c r="R228" s="53">
        <v>0</v>
      </c>
      <c r="S228" s="54">
        <v>0</v>
      </c>
      <c r="T228" s="54">
        <v>0</v>
      </c>
      <c r="U228" s="54">
        <v>0</v>
      </c>
      <c r="V228" s="53">
        <v>0</v>
      </c>
      <c r="W228" s="53"/>
      <c r="X228" s="55">
        <v>0</v>
      </c>
      <c r="Y228" s="55">
        <v>0</v>
      </c>
      <c r="Z228" s="53">
        <v>0</v>
      </c>
      <c r="AA228" s="56">
        <v>0</v>
      </c>
      <c r="AB228" s="57"/>
      <c r="AD228" s="35"/>
      <c r="AE228" s="35"/>
      <c r="AH228" s="19"/>
      <c r="AI228" s="58"/>
    </row>
    <row r="229" ht="15" customHeight="1" spans="1:35" x14ac:dyDescent="0.25">
      <c r="A229" s="19"/>
      <c r="B229" s="20"/>
      <c r="C229" s="51" t="s">
        <v>94</v>
      </c>
      <c r="D229" s="52">
        <v>8795.03</v>
      </c>
      <c r="E229" s="52">
        <v>0</v>
      </c>
      <c r="F229" s="52">
        <v>8795.03</v>
      </c>
      <c r="G229" s="53">
        <v>1</v>
      </c>
      <c r="H229" s="52">
        <v>6369.12</v>
      </c>
      <c r="I229" s="52">
        <v>0</v>
      </c>
      <c r="J229" s="52">
        <v>4527.889999999999</v>
      </c>
      <c r="K229" s="52">
        <v>0</v>
      </c>
      <c r="L229" s="52">
        <v>4527.889999999999</v>
      </c>
      <c r="M229" s="53">
        <v>1</v>
      </c>
      <c r="N229" s="53"/>
      <c r="O229" s="52">
        <v>1841.23</v>
      </c>
      <c r="P229" s="52">
        <v>0</v>
      </c>
      <c r="Q229" s="52">
        <v>1841.23</v>
      </c>
      <c r="R229" s="53">
        <v>1</v>
      </c>
      <c r="S229" s="54">
        <v>36.92</v>
      </c>
      <c r="T229" s="54">
        <v>0</v>
      </c>
      <c r="U229" s="54">
        <v>36.92</v>
      </c>
      <c r="V229" s="53">
        <v>1</v>
      </c>
      <c r="W229" s="53"/>
      <c r="X229" s="55">
        <v>0</v>
      </c>
      <c r="Y229" s="55">
        <v>65.70711175027087</v>
      </c>
      <c r="Z229" s="53">
        <v>0</v>
      </c>
      <c r="AA229" s="56">
        <v>0.2758</v>
      </c>
      <c r="AB229" s="57"/>
      <c r="AD229" s="35"/>
      <c r="AE229" s="36"/>
      <c r="AH229" s="19"/>
      <c r="AI229" s="58"/>
    </row>
    <row r="230" ht="15" customHeight="1" spans="1:35" x14ac:dyDescent="0.25">
      <c r="A230" s="19"/>
      <c r="B230" s="20"/>
      <c r="C230" s="51" t="s">
        <v>96</v>
      </c>
      <c r="D230" s="52">
        <v>8795.03</v>
      </c>
      <c r="E230" s="52">
        <v>0</v>
      </c>
      <c r="F230" s="52">
        <v>8795.03</v>
      </c>
      <c r="G230" s="53">
        <v>1</v>
      </c>
      <c r="H230" s="52">
        <v>6369.12</v>
      </c>
      <c r="I230" s="52">
        <v>0</v>
      </c>
      <c r="J230" s="52">
        <v>4527.889999999999</v>
      </c>
      <c r="K230" s="52">
        <v>0</v>
      </c>
      <c r="L230" s="52">
        <v>4527.889999999999</v>
      </c>
      <c r="M230" s="53">
        <v>1</v>
      </c>
      <c r="N230" s="53"/>
      <c r="O230" s="52">
        <v>1841.23</v>
      </c>
      <c r="P230" s="52">
        <v>0</v>
      </c>
      <c r="Q230" s="52">
        <v>1841.23</v>
      </c>
      <c r="R230" s="53">
        <v>1</v>
      </c>
      <c r="S230" s="54">
        <v>36.92</v>
      </c>
      <c r="T230" s="54">
        <v>0</v>
      </c>
      <c r="U230" s="54">
        <v>36.92</v>
      </c>
      <c r="V230" s="53">
        <v>1</v>
      </c>
      <c r="W230" s="53"/>
      <c r="X230" s="55">
        <v>0</v>
      </c>
      <c r="Y230" s="55">
        <v>65.70711175027087</v>
      </c>
      <c r="Z230" s="53">
        <v>0</v>
      </c>
      <c r="AA230" s="56">
        <v>0.2758</v>
      </c>
      <c r="AB230" s="57"/>
      <c r="AD230" s="35"/>
      <c r="AE230" s="35"/>
      <c r="AH230" s="19"/>
      <c r="AI230" s="58"/>
    </row>
    <row r="231" ht="15" customHeight="1" spans="1:35" x14ac:dyDescent="0.25">
      <c r="A231" s="19"/>
      <c r="B231" s="20"/>
      <c r="C231" s="51" t="s">
        <v>97</v>
      </c>
      <c r="D231" s="52"/>
      <c r="E231" s="52"/>
      <c r="F231" s="52"/>
      <c r="G231" s="53"/>
      <c r="H231" s="52"/>
      <c r="I231" s="52"/>
      <c r="J231" s="52"/>
      <c r="K231" s="52"/>
      <c r="L231" s="52"/>
      <c r="M231" s="53"/>
      <c r="N231" s="53"/>
      <c r="O231" s="52"/>
      <c r="P231" s="52"/>
      <c r="Q231" s="52"/>
      <c r="R231" s="53"/>
      <c r="S231" s="54"/>
      <c r="T231" s="54"/>
      <c r="U231" s="54"/>
      <c r="V231" s="53"/>
      <c r="W231" s="53"/>
      <c r="X231" s="55"/>
      <c r="Y231" s="55"/>
      <c r="Z231" s="53"/>
      <c r="AA231" s="56"/>
      <c r="AB231" s="57"/>
      <c r="AD231" s="35"/>
      <c r="AE231" s="36"/>
      <c r="AH231" s="19"/>
      <c r="AI231" s="58"/>
    </row>
    <row r="232" ht="15" customHeight="1" spans="1:35" x14ac:dyDescent="0.25">
      <c r="A232" s="19"/>
      <c r="B232" s="20"/>
      <c r="C232" s="51" t="s">
        <v>99</v>
      </c>
      <c r="D232" s="52"/>
      <c r="E232" s="52"/>
      <c r="F232" s="52"/>
      <c r="G232" s="53"/>
      <c r="H232" s="52"/>
      <c r="I232" s="52"/>
      <c r="J232" s="52"/>
      <c r="K232" s="52"/>
      <c r="L232" s="52"/>
      <c r="M232" s="53"/>
      <c r="N232" s="53"/>
      <c r="O232" s="52"/>
      <c r="P232" s="52"/>
      <c r="Q232" s="52"/>
      <c r="R232" s="53"/>
      <c r="S232" s="54"/>
      <c r="T232" s="54"/>
      <c r="U232" s="54"/>
      <c r="V232" s="53"/>
      <c r="W232" s="53"/>
      <c r="X232" s="55"/>
      <c r="Y232" s="55"/>
      <c r="Z232" s="53"/>
      <c r="AA232" s="56"/>
      <c r="AB232" s="57"/>
      <c r="AD232" s="35"/>
      <c r="AE232" s="35"/>
      <c r="AH232" s="19"/>
      <c r="AI232" s="58"/>
    </row>
    <row r="233" ht="15.75" customHeight="1" spans="1:35" x14ac:dyDescent="0.25">
      <c r="A233" s="59"/>
      <c r="B233" s="75"/>
      <c r="C233" s="76" t="s">
        <v>100</v>
      </c>
      <c r="D233" s="52"/>
      <c r="E233" s="52"/>
      <c r="F233" s="52"/>
      <c r="G233" s="53"/>
      <c r="H233" s="52"/>
      <c r="I233" s="52"/>
      <c r="J233" s="52"/>
      <c r="K233" s="52"/>
      <c r="L233" s="52"/>
      <c r="M233" s="53"/>
      <c r="N233" s="53"/>
      <c r="O233" s="52"/>
      <c r="P233" s="52"/>
      <c r="Q233" s="52"/>
      <c r="R233" s="53"/>
      <c r="S233" s="54"/>
      <c r="T233" s="54"/>
      <c r="U233" s="54"/>
      <c r="V233" s="53"/>
      <c r="W233" s="53"/>
      <c r="X233" s="55"/>
      <c r="Y233" s="55"/>
      <c r="Z233" s="53"/>
      <c r="AA233" s="56"/>
      <c r="AB233" s="57"/>
      <c r="AD233" s="35"/>
      <c r="AE233" s="35"/>
      <c r="AH233" s="59"/>
      <c r="AI233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1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18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16" x14ac:dyDescent="0.25">
      <c r="A2" s="80" t="s">
        <v>102</v>
      </c>
      <c r="B2" s="81" t="s">
        <v>103</v>
      </c>
      <c r="C2" s="82" t="s">
        <v>104</v>
      </c>
      <c r="D2" s="82" t="s">
        <v>105</v>
      </c>
      <c r="E2" s="82" t="s">
        <v>106</v>
      </c>
      <c r="F2" s="82" t="s">
        <v>107</v>
      </c>
      <c r="G2" s="83" t="s">
        <v>108</v>
      </c>
      <c r="H2" s="83" t="s">
        <v>109</v>
      </c>
      <c r="I2" s="81" t="s">
        <v>110</v>
      </c>
      <c r="J2" s="82" t="s">
        <v>111</v>
      </c>
      <c r="K2" s="82" t="s">
        <v>112</v>
      </c>
      <c r="L2" s="83" t="s">
        <v>113</v>
      </c>
      <c r="M2" s="83" t="s">
        <v>114</v>
      </c>
      <c r="N2" s="81" t="s">
        <v>115</v>
      </c>
      <c r="O2" s="84" t="s">
        <v>116</v>
      </c>
      <c r="P2" s="35"/>
    </row>
    <row r="3" ht="15" customHeight="1" spans="1:16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15" x14ac:dyDescent="0.25">
      <c r="A4" s="85">
        <v>7658</v>
      </c>
      <c r="B4" s="54" t="s">
        <v>25</v>
      </c>
      <c r="C4" s="52">
        <v>0</v>
      </c>
      <c r="D4" s="52">
        <v>403.9200000000128</v>
      </c>
      <c r="E4" s="52">
        <v>-403.9200000000128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-7403.920000000013</v>
      </c>
      <c r="N4" s="54">
        <v>20</v>
      </c>
      <c r="O4" s="58">
        <v>-105.77028571428589</v>
      </c>
    </row>
    <row r="5" ht="7.5" customHeight="1" spans="1:15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17" x14ac:dyDescent="0.25">
      <c r="A6" s="85">
        <v>8142</v>
      </c>
      <c r="B6" s="54" t="s">
        <v>29</v>
      </c>
      <c r="C6" s="52">
        <v>0</v>
      </c>
      <c r="D6" s="52">
        <v>5653.709999999992</v>
      </c>
      <c r="E6" s="52">
        <v>-5653.709999999992</v>
      </c>
      <c r="F6" s="52">
        <v>0</v>
      </c>
      <c r="G6" s="53">
        <v>0</v>
      </c>
      <c r="H6" s="53">
        <v>0.239214585617637</v>
      </c>
      <c r="I6" s="54">
        <v>40</v>
      </c>
      <c r="J6" s="52">
        <v>272.6</v>
      </c>
      <c r="K6" s="52">
        <v>1872.6</v>
      </c>
      <c r="L6" s="53">
        <v>0</v>
      </c>
      <c r="M6" s="52">
        <v>-7526.309999999992</v>
      </c>
      <c r="N6" s="54">
        <v>-52.5</v>
      </c>
      <c r="O6" s="58">
        <v>602.1047999999994</v>
      </c>
      <c r="Q6" s="35" t="s">
        <v>117</v>
      </c>
    </row>
    <row r="7" ht="7.5" customHeight="1" spans="1:15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15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15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15" x14ac:dyDescent="0.25">
      <c r="A10" s="85">
        <v>8127</v>
      </c>
      <c r="B10" s="54" t="s">
        <v>32</v>
      </c>
      <c r="C10" s="52">
        <v>0</v>
      </c>
      <c r="D10" s="52">
        <v>3373.6399999999994</v>
      </c>
      <c r="E10" s="52">
        <v>-3373.6399999999994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-8293.64</v>
      </c>
      <c r="N10" s="54">
        <v>-388.25</v>
      </c>
      <c r="O10" s="58">
        <v>24.375135929463628</v>
      </c>
    </row>
    <row r="11" ht="7.5" customHeight="1" spans="1:15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17" x14ac:dyDescent="0.25">
      <c r="A12" s="85">
        <v>8183</v>
      </c>
      <c r="B12" s="54" t="s">
        <v>118</v>
      </c>
      <c r="C12" s="52">
        <v>0</v>
      </c>
      <c r="D12" s="52">
        <v>7314.940000000002</v>
      </c>
      <c r="E12" s="52">
        <v>-7314.940000000002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-9951.940000000002</v>
      </c>
      <c r="N12" s="54">
        <v>53</v>
      </c>
      <c r="O12" s="58">
        <v>-144.23101449275364</v>
      </c>
      <c r="Q12" s="35" t="s">
        <v>119</v>
      </c>
    </row>
    <row r="13" ht="7.5" customHeight="1" spans="1:15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15" x14ac:dyDescent="0.25">
      <c r="A14" s="85">
        <v>8886</v>
      </c>
      <c r="B14" s="54" t="s">
        <v>35</v>
      </c>
      <c r="C14" s="52">
        <v>0</v>
      </c>
      <c r="D14" s="52">
        <v>6987.919999999998</v>
      </c>
      <c r="E14" s="52">
        <v>-6987.919999999998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-9987.919999999998</v>
      </c>
      <c r="N14" s="54">
        <v>-112</v>
      </c>
      <c r="O14" s="58">
        <v>89.17785714285712</v>
      </c>
    </row>
    <row r="15" ht="7.5" customHeight="1" spans="1:15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15" x14ac:dyDescent="0.25">
      <c r="A16" s="85">
        <v>8887</v>
      </c>
      <c r="B16" s="54" t="s">
        <v>36</v>
      </c>
      <c r="C16" s="52">
        <v>0</v>
      </c>
      <c r="D16" s="52">
        <v>-15.220000000001164</v>
      </c>
      <c r="E16" s="52">
        <v>15.220000000001164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-2984.779999999999</v>
      </c>
      <c r="N16" s="54">
        <v>-86.75</v>
      </c>
      <c r="O16" s="58">
        <v>34.40668587896252</v>
      </c>
    </row>
    <row r="17" ht="7.5" customHeight="1" spans="1:15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17" x14ac:dyDescent="0.25">
      <c r="A18" s="85">
        <v>8670</v>
      </c>
      <c r="B18" s="54" t="s">
        <v>37</v>
      </c>
      <c r="C18" s="52">
        <v>0</v>
      </c>
      <c r="D18" s="52">
        <v>1162.87000000001</v>
      </c>
      <c r="E18" s="52">
        <v>-1162.87000000001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-9362.87000000001</v>
      </c>
      <c r="N18" s="54">
        <v>-269</v>
      </c>
      <c r="O18" s="58">
        <v>49.538994708994764</v>
      </c>
      <c r="Q18" s="35" t="s">
        <v>120</v>
      </c>
    </row>
    <row r="19" ht="7.5" customHeight="1" spans="1:15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15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15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15" x14ac:dyDescent="0.25">
      <c r="A22" s="85">
        <v>9065</v>
      </c>
      <c r="B22" s="54" t="s">
        <v>39</v>
      </c>
      <c r="C22" s="52">
        <v>0</v>
      </c>
      <c r="D22" s="52">
        <v>565.6499999999996</v>
      </c>
      <c r="E22" s="52">
        <v>-565.6499999999996</v>
      </c>
      <c r="F22" s="52">
        <v>3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-562.6499999999996</v>
      </c>
      <c r="N22" s="54"/>
      <c r="O22" s="58">
        <v>0</v>
      </c>
    </row>
    <row r="23" ht="7.5" customHeight="1" spans="1:15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15" x14ac:dyDescent="0.25">
      <c r="A24" s="19">
        <v>9259</v>
      </c>
      <c r="B24" s="54" t="s">
        <v>40</v>
      </c>
      <c r="C24" s="52">
        <v>0</v>
      </c>
      <c r="D24" s="52">
        <v>-2222.279999999999</v>
      </c>
      <c r="E24" s="52">
        <v>2222.279999999999</v>
      </c>
      <c r="F24" s="52">
        <v>3</v>
      </c>
      <c r="G24" s="53">
        <v>0</v>
      </c>
      <c r="H24" s="53"/>
      <c r="I24" s="54"/>
      <c r="J24" s="52"/>
      <c r="K24" s="52">
        <v>0</v>
      </c>
      <c r="L24" s="53">
        <v>0</v>
      </c>
      <c r="M24" s="52">
        <v>2225.279999999999</v>
      </c>
      <c r="N24" s="54"/>
      <c r="O24" s="58">
        <v>0</v>
      </c>
    </row>
    <row r="25" ht="7.5" customHeight="1" spans="1:15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15" x14ac:dyDescent="0.25">
      <c r="A26" s="19">
        <v>8352</v>
      </c>
      <c r="B26" s="54" t="s">
        <v>41</v>
      </c>
      <c r="C26" s="52">
        <v>0</v>
      </c>
      <c r="D26" s="52">
        <v>0</v>
      </c>
      <c r="E26" s="52">
        <v>0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0</v>
      </c>
      <c r="N26" s="54">
        <v>-143.25</v>
      </c>
      <c r="O26" s="58">
        <v>0</v>
      </c>
    </row>
    <row r="27" ht="7.5" customHeight="1" spans="1:15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15" x14ac:dyDescent="0.25">
      <c r="A28" s="19">
        <v>8234</v>
      </c>
      <c r="B28" s="54" t="s">
        <v>43</v>
      </c>
      <c r="C28" s="52">
        <v>0</v>
      </c>
      <c r="D28" s="52">
        <v>-945.4600000000028</v>
      </c>
      <c r="E28" s="52">
        <v>945.4600000000028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945.4600000000028</v>
      </c>
      <c r="N28" s="54">
        <v>-148.5</v>
      </c>
      <c r="O28" s="58">
        <v>-6.366734006734025</v>
      </c>
    </row>
    <row r="29" ht="7.5" customHeight="1" spans="1:15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15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15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15" x14ac:dyDescent="0.25">
      <c r="A32" s="19">
        <v>6792</v>
      </c>
      <c r="B32" s="54" t="s">
        <v>45</v>
      </c>
      <c r="C32" s="52">
        <v>0</v>
      </c>
      <c r="D32" s="52">
        <v>0</v>
      </c>
      <c r="E32" s="52">
        <v>0</v>
      </c>
      <c r="F32" s="52">
        <v>0</v>
      </c>
      <c r="G32" s="53">
        <v>0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0</v>
      </c>
      <c r="M32" s="52">
        <v>-2560</v>
      </c>
      <c r="N32" s="54">
        <v>-317.25</v>
      </c>
      <c r="O32" s="58">
        <v>10.108588351431392</v>
      </c>
    </row>
    <row r="33" ht="7.5" customHeight="1" spans="1:15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15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15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15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15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15" x14ac:dyDescent="0.25">
      <c r="A38" s="19">
        <v>7901</v>
      </c>
      <c r="B38" s="54" t="s">
        <v>49</v>
      </c>
      <c r="C38" s="52">
        <v>52040.560000000005</v>
      </c>
      <c r="D38" s="52">
        <v>576.9800000000032</v>
      </c>
      <c r="E38" s="52">
        <v>51463.58</v>
      </c>
      <c r="F38" s="52">
        <v>0</v>
      </c>
      <c r="G38" s="53">
        <v>0.9889128787238262</v>
      </c>
      <c r="H38" s="53">
        <v>0.1750921737769</v>
      </c>
      <c r="I38" s="54"/>
      <c r="J38" s="52"/>
      <c r="K38" s="52">
        <v>0</v>
      </c>
      <c r="L38" s="53">
        <v>0.9889128787238262</v>
      </c>
      <c r="M38" s="52">
        <v>51463.58</v>
      </c>
      <c r="N38" s="54"/>
      <c r="O38" s="58">
        <v>0</v>
      </c>
    </row>
    <row r="39" ht="7.5" customHeight="1" spans="1:15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15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15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15" x14ac:dyDescent="0.25">
      <c r="A42" s="19">
        <v>7864</v>
      </c>
      <c r="B42" s="54" t="s">
        <v>51</v>
      </c>
      <c r="C42" s="52">
        <v>0</v>
      </c>
      <c r="D42" s="52">
        <v>0</v>
      </c>
      <c r="E42" s="52">
        <v>0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0</v>
      </c>
      <c r="N42" s="54">
        <v>-266.75</v>
      </c>
      <c r="O42" s="58">
        <v>0</v>
      </c>
    </row>
    <row r="43" ht="7.5" customHeight="1" spans="1:15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15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15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15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15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15" x14ac:dyDescent="0.25">
      <c r="A48" s="59">
        <v>8337</v>
      </c>
      <c r="B48" s="98" t="s">
        <v>54</v>
      </c>
      <c r="C48" s="99">
        <v>0</v>
      </c>
      <c r="D48" s="99">
        <v>0</v>
      </c>
      <c r="E48" s="99">
        <v>0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-2530</v>
      </c>
      <c r="N48" s="98">
        <v>-44.75</v>
      </c>
      <c r="O48" s="60">
        <v>56.53631284916201</v>
      </c>
    </row>
    <row r="49" ht="7.5" customHeight="1" spans="1:15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17" x14ac:dyDescent="0.25">
      <c r="A50" s="59">
        <v>9240</v>
      </c>
      <c r="B50" s="98" t="s">
        <v>55</v>
      </c>
      <c r="C50" s="99">
        <v>0</v>
      </c>
      <c r="D50" s="99">
        <v>2116.21</v>
      </c>
      <c r="E50" s="99">
        <v>-2116.21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-2116.21</v>
      </c>
      <c r="N50" s="98"/>
      <c r="O50" s="60">
        <v>0</v>
      </c>
      <c r="Q50" s="35" t="s">
        <v>121</v>
      </c>
    </row>
    <row r="51" ht="7.5" customHeight="1" spans="1:15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15" x14ac:dyDescent="0.25">
      <c r="A52" s="101">
        <v>7428</v>
      </c>
      <c r="B52" s="98" t="s">
        <v>56</v>
      </c>
      <c r="C52" s="99">
        <v>0</v>
      </c>
      <c r="D52" s="99">
        <v>2236.75</v>
      </c>
      <c r="E52" s="99">
        <v>-2236.75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-3516.75</v>
      </c>
      <c r="N52" s="98">
        <v>-304.75</v>
      </c>
      <c r="O52" s="60">
        <v>12.893675527039413</v>
      </c>
    </row>
    <row r="53" ht="7.5" customHeight="1" spans="1:15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15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15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15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15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15" x14ac:dyDescent="0.25">
      <c r="A58" s="59">
        <v>9508</v>
      </c>
      <c r="B58" s="98" t="s">
        <v>59</v>
      </c>
      <c r="C58" s="99">
        <v>0</v>
      </c>
      <c r="D58" s="99">
        <v>0</v>
      </c>
      <c r="E58" s="99">
        <v>0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0</v>
      </c>
      <c r="N58" s="98"/>
      <c r="O58" s="60">
        <v>0</v>
      </c>
    </row>
    <row r="59" ht="7.5" customHeight="1" spans="1:15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15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15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15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15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15" x14ac:dyDescent="0.25">
      <c r="A64" s="59">
        <v>8946</v>
      </c>
      <c r="B64" s="98" t="s">
        <v>61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15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15" x14ac:dyDescent="0.25">
      <c r="A66" s="102">
        <v>8308</v>
      </c>
      <c r="B66" s="98" t="s">
        <v>62</v>
      </c>
      <c r="C66" s="99">
        <v>34650.399999999965</v>
      </c>
      <c r="D66" s="99">
        <v>10984.75</v>
      </c>
      <c r="E66" s="99">
        <v>23665.649999999965</v>
      </c>
      <c r="F66" s="99"/>
      <c r="G66" s="100">
        <v>0.6829834576224225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0.5906324313716432</v>
      </c>
      <c r="M66" s="99">
        <v>20465.649999999965</v>
      </c>
      <c r="N66" s="98">
        <v>-1014.25</v>
      </c>
      <c r="O66" s="60">
        <v>-21.90596735349207</v>
      </c>
    </row>
    <row r="67" ht="15" customHeight="1" spans="1:15" x14ac:dyDescent="0.25">
      <c r="A67" s="102">
        <f>'Main Sheet'!A68</f>
      </c>
      <c r="B67" s="98">
        <f>'Main Sheet'!B68</f>
      </c>
      <c r="C67" s="99"/>
      <c r="D67" s="99"/>
      <c r="E67" s="99">
        <f>C67-D67</f>
      </c>
      <c r="F67" s="99"/>
      <c r="G67" s="100">
        <f>(E67+F67)/C67</f>
      </c>
      <c r="H67" s="100">
        <f>'Deliverables Sheet'!AA228</f>
      </c>
      <c r="I67" s="98"/>
      <c r="J67" s="99"/>
      <c r="K67" s="99">
        <f>(I67*40)+J67</f>
      </c>
      <c r="L67" s="100">
        <f>((E67-K67)+F67)/C67</f>
      </c>
      <c r="M67" s="99">
        <f>SUM(E67:F67)-K67</f>
      </c>
      <c r="N67" s="98"/>
      <c r="O67" s="60">
        <f>SUM(M67/(N67+I67))</f>
      </c>
    </row>
    <row r="68" ht="15" customHeight="1" spans="1:15" x14ac:dyDescent="0.25">
      <c r="A68" s="35"/>
      <c r="B68" s="35"/>
      <c r="C68" s="36"/>
      <c r="D68" s="36"/>
      <c r="E68" s="36"/>
      <c r="F68" s="36"/>
      <c r="G68" s="37"/>
      <c r="H68" s="37"/>
      <c r="I68" s="35"/>
      <c r="J68" s="36"/>
      <c r="K68" s="36"/>
      <c r="L68" s="37"/>
      <c r="M68" s="36"/>
      <c r="N68" s="35"/>
      <c r="O68" s="36"/>
    </row>
    <row r="69" spans="1:15" x14ac:dyDescent="0.25">
      <c r="A69" s="35"/>
      <c r="B69" s="35"/>
      <c r="C69" s="36"/>
      <c r="D69" s="36"/>
      <c r="E69" s="36"/>
      <c r="F69" s="36"/>
      <c r="G69" s="37"/>
      <c r="H69" s="37"/>
      <c r="I69" s="35"/>
      <c r="J69" s="36"/>
      <c r="K69" s="36"/>
      <c r="L69" s="37"/>
      <c r="M69" s="37"/>
      <c r="N69" s="35"/>
      <c r="O69" s="35"/>
    </row>
    <row r="70" ht="15" customHeight="1" spans="1:15" x14ac:dyDescent="0.25">
      <c r="A70" s="49" t="s">
        <v>122</v>
      </c>
      <c r="B70" s="103" t="s">
        <v>123</v>
      </c>
      <c r="C70" s="104">
        <v>88818.76999999996</v>
      </c>
      <c r="D70" s="104">
        <v>43889.220000000016</v>
      </c>
      <c r="E70" s="105">
        <v>44929.54999999996</v>
      </c>
      <c r="F70" s="106" t="s">
        <v>124</v>
      </c>
      <c r="G70" s="107">
        <v>0.5058564760579322</v>
      </c>
      <c r="H70" s="108" t="s">
        <v>125</v>
      </c>
      <c r="I70" s="109">
        <v>-0.07772062144071622</v>
      </c>
      <c r="J70" s="36"/>
      <c r="K70" s="36"/>
      <c r="L70" s="37"/>
      <c r="M70" s="37"/>
      <c r="N70" s="35"/>
      <c r="O70" s="35"/>
    </row>
    <row r="71" ht="15" customHeight="1" spans="1:15" x14ac:dyDescent="0.25">
      <c r="A71" s="59"/>
      <c r="B71" s="98" t="s">
        <v>126</v>
      </c>
      <c r="C71" s="99">
        <v>-22865.6</v>
      </c>
      <c r="D71" s="99">
        <v>32774.04000000001</v>
      </c>
      <c r="E71" s="110">
        <v>-55639.640000000014</v>
      </c>
      <c r="F71" s="111"/>
      <c r="G71" s="112">
        <v>2.433333916450914</v>
      </c>
      <c r="H71" s="113" t="s">
        <v>125</v>
      </c>
      <c r="I71" s="114">
        <v>2.685240710936954</v>
      </c>
      <c r="J71" s="36"/>
      <c r="K71" s="36"/>
      <c r="L71" s="37"/>
      <c r="M71" s="37"/>
      <c r="N71" s="35"/>
      <c r="O71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10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17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28" x14ac:dyDescent="0.25">
      <c r="A2" s="115"/>
      <c r="B2" s="116" t="s">
        <v>127</v>
      </c>
      <c r="C2" s="117" t="s">
        <v>128</v>
      </c>
      <c r="D2" s="117" t="s">
        <v>129</v>
      </c>
      <c r="E2" s="117" t="s">
        <v>130</v>
      </c>
      <c r="F2" s="117" t="s">
        <v>131</v>
      </c>
      <c r="G2" s="117" t="s">
        <v>132</v>
      </c>
      <c r="H2" s="117" t="s">
        <v>133</v>
      </c>
      <c r="I2" s="117" t="s">
        <v>134</v>
      </c>
      <c r="J2" s="117" t="s">
        <v>135</v>
      </c>
      <c r="K2" s="117" t="s">
        <v>136</v>
      </c>
      <c r="L2" s="117" t="s">
        <v>137</v>
      </c>
      <c r="M2" s="117" t="s">
        <v>138</v>
      </c>
      <c r="N2" s="117" t="s">
        <v>139</v>
      </c>
      <c r="O2" s="117" t="s">
        <v>140</v>
      </c>
      <c r="P2" s="117" t="s">
        <v>141</v>
      </c>
      <c r="Q2" s="118" t="s">
        <v>142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28" x14ac:dyDescent="0.25">
      <c r="A3" s="122" t="s">
        <v>143</v>
      </c>
      <c r="B3" s="123" t="s">
        <v>144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19" x14ac:dyDescent="0.25">
      <c r="A4" s="19">
        <v>7658</v>
      </c>
      <c r="B4" s="20" t="s">
        <v>25</v>
      </c>
      <c r="C4" s="54">
        <v>565.45</v>
      </c>
      <c r="D4" s="54">
        <v>600.25</v>
      </c>
      <c r="E4" s="54">
        <v>-34.799999999999955</v>
      </c>
      <c r="F4" s="54">
        <v>0</v>
      </c>
      <c r="G4" s="54">
        <v>0</v>
      </c>
      <c r="H4" s="54">
        <v>0</v>
      </c>
      <c r="I4" s="54"/>
      <c r="J4" s="54"/>
      <c r="K4" s="54"/>
      <c r="L4" s="54"/>
      <c r="M4" s="54">
        <v>80</v>
      </c>
      <c r="N4" s="54"/>
      <c r="O4" s="54"/>
      <c r="P4" s="54"/>
      <c r="Q4" s="131"/>
      <c r="S4" s="35" t="s">
        <v>145</v>
      </c>
    </row>
    <row r="5" ht="6" customHeight="1" spans="1:17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19" x14ac:dyDescent="0.25">
      <c r="A6" s="19">
        <v>8142</v>
      </c>
      <c r="B6" s="20" t="s">
        <v>29</v>
      </c>
      <c r="C6" s="54">
        <v>356.07</v>
      </c>
      <c r="D6" s="54">
        <v>168.25</v>
      </c>
      <c r="E6" s="54">
        <v>187.82</v>
      </c>
      <c r="F6" s="54"/>
      <c r="G6" s="54"/>
      <c r="H6" s="54"/>
      <c r="I6" s="54"/>
      <c r="J6" s="54"/>
      <c r="K6" s="54"/>
      <c r="L6" s="54"/>
      <c r="M6" s="54"/>
      <c r="N6" s="54">
        <v>80</v>
      </c>
      <c r="O6" s="54"/>
      <c r="P6" s="54"/>
      <c r="Q6" s="131"/>
      <c r="S6" s="35" t="s">
        <v>146</v>
      </c>
    </row>
    <row r="7" ht="6" customHeight="1" spans="1:17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19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90</v>
      </c>
      <c r="O8" s="54"/>
      <c r="P8" s="54"/>
      <c r="Q8" s="131"/>
      <c r="S8" s="35" t="s">
        <v>145</v>
      </c>
    </row>
    <row r="9" ht="6" customHeight="1" spans="1:17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19" x14ac:dyDescent="0.25">
      <c r="A10" s="19">
        <v>8127</v>
      </c>
      <c r="B10" s="20" t="s">
        <v>32</v>
      </c>
      <c r="C10" s="54">
        <v>795.22</v>
      </c>
      <c r="D10" s="54">
        <v>615</v>
      </c>
      <c r="E10" s="54">
        <v>180.22000000000003</v>
      </c>
      <c r="F10" s="54"/>
      <c r="G10" s="54"/>
      <c r="H10" s="54"/>
      <c r="I10" s="54"/>
      <c r="J10" s="54"/>
      <c r="K10" s="54"/>
      <c r="L10" s="54"/>
      <c r="M10" s="54">
        <v>200</v>
      </c>
      <c r="N10" s="54">
        <v>80</v>
      </c>
      <c r="O10" s="54">
        <v>0</v>
      </c>
      <c r="P10" s="54"/>
      <c r="Q10" s="131"/>
      <c r="S10" s="35" t="s">
        <v>145</v>
      </c>
    </row>
    <row r="11" ht="6" customHeight="1" spans="1:17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19" x14ac:dyDescent="0.25">
      <c r="A12" s="19">
        <v>8183</v>
      </c>
      <c r="B12" s="20" t="s">
        <v>118</v>
      </c>
      <c r="C12" s="54">
        <v>1120.27</v>
      </c>
      <c r="D12" s="54">
        <v>607.75</v>
      </c>
      <c r="E12" s="54">
        <v>512.52</v>
      </c>
      <c r="F12" s="54"/>
      <c r="G12" s="54"/>
      <c r="H12" s="54"/>
      <c r="I12" s="54"/>
      <c r="J12" s="54"/>
      <c r="K12" s="54"/>
      <c r="L12" s="54"/>
      <c r="M12" s="54">
        <v>160</v>
      </c>
      <c r="N12" s="54">
        <v>320</v>
      </c>
      <c r="O12" s="86">
        <v>80</v>
      </c>
      <c r="P12" s="54"/>
      <c r="Q12" s="131"/>
      <c r="S12" s="35" t="s">
        <v>145</v>
      </c>
    </row>
    <row r="13" ht="6" customHeight="1" spans="1:17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19" x14ac:dyDescent="0.25">
      <c r="A14" s="19">
        <v>8886</v>
      </c>
      <c r="B14" s="20" t="s">
        <v>35</v>
      </c>
      <c r="C14" s="54">
        <v>501.83</v>
      </c>
      <c r="D14" s="54">
        <v>299.5</v>
      </c>
      <c r="E14" s="54">
        <v>202.32999999999998</v>
      </c>
      <c r="F14" s="54"/>
      <c r="G14" s="54"/>
      <c r="H14" s="54"/>
      <c r="I14" s="54"/>
      <c r="J14" s="54"/>
      <c r="K14" s="54"/>
      <c r="L14" s="54">
        <v>0</v>
      </c>
      <c r="M14" s="54">
        <v>80</v>
      </c>
      <c r="N14" s="54">
        <v>300</v>
      </c>
      <c r="O14" s="54"/>
      <c r="P14" s="54"/>
      <c r="Q14" s="131"/>
      <c r="S14" s="35" t="s">
        <v>145</v>
      </c>
    </row>
    <row r="15" ht="6" customHeight="1" spans="1:17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17" x14ac:dyDescent="0.25">
      <c r="A16" s="19">
        <v>8887</v>
      </c>
      <c r="B16" s="20" t="s">
        <v>36</v>
      </c>
      <c r="C16" s="54">
        <v>223.22</v>
      </c>
      <c r="D16" s="54">
        <v>113.25</v>
      </c>
      <c r="E16" s="54">
        <v>109.97</v>
      </c>
      <c r="F16" s="54"/>
      <c r="G16" s="54"/>
      <c r="H16" s="54"/>
      <c r="I16" s="54"/>
      <c r="J16" s="54"/>
      <c r="K16" s="54"/>
      <c r="L16" s="54"/>
      <c r="M16" s="54">
        <v>16</v>
      </c>
      <c r="N16" s="54">
        <v>110</v>
      </c>
      <c r="O16" s="54"/>
      <c r="P16" s="54"/>
      <c r="Q16" s="131"/>
    </row>
    <row r="17" ht="6" customHeight="1" spans="1:17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17" x14ac:dyDescent="0.25">
      <c r="A18" s="19">
        <v>8670</v>
      </c>
      <c r="B18" s="20" t="s">
        <v>37</v>
      </c>
      <c r="C18" s="54">
        <v>685.48</v>
      </c>
      <c r="D18" s="54">
        <v>533.75</v>
      </c>
      <c r="E18" s="54">
        <v>151.73000000000002</v>
      </c>
      <c r="F18" s="54"/>
      <c r="G18" s="54"/>
      <c r="H18" s="54"/>
      <c r="I18" s="54"/>
      <c r="J18" s="54"/>
      <c r="K18" s="54"/>
      <c r="L18" s="54"/>
      <c r="M18" s="54">
        <v>240</v>
      </c>
      <c r="N18" s="54">
        <v>160</v>
      </c>
      <c r="O18" s="54"/>
      <c r="P18" s="54"/>
      <c r="Q18" s="131"/>
    </row>
    <row r="19" ht="6" customHeight="1" spans="1:17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17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36</v>
      </c>
      <c r="N20" s="54"/>
      <c r="O20" s="54"/>
      <c r="P20" s="54"/>
      <c r="Q20" s="131"/>
    </row>
    <row r="21" ht="6" customHeight="1" spans="1:17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17" x14ac:dyDescent="0.25">
      <c r="A22" s="19">
        <v>9065</v>
      </c>
      <c r="B22" s="20" t="s">
        <v>39</v>
      </c>
      <c r="C22" s="54">
        <v>169.32</v>
      </c>
      <c r="D22" s="54">
        <v>2.75</v>
      </c>
      <c r="E22" s="54">
        <v>166.57</v>
      </c>
      <c r="F22" s="54"/>
      <c r="G22" s="54"/>
      <c r="H22" s="54"/>
      <c r="I22" s="54"/>
      <c r="J22" s="54"/>
      <c r="K22" s="54"/>
      <c r="L22" s="54"/>
      <c r="M22" s="54">
        <v>20</v>
      </c>
      <c r="N22" s="54">
        <v>80</v>
      </c>
      <c r="O22" s="54">
        <v>60</v>
      </c>
      <c r="P22" s="54"/>
      <c r="Q22" s="131"/>
    </row>
    <row r="23" ht="6" customHeight="1" spans="1:17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17" x14ac:dyDescent="0.25">
      <c r="A24" s="19">
        <v>9259</v>
      </c>
      <c r="B24" s="20" t="s">
        <v>40</v>
      </c>
      <c r="C24" s="54">
        <v>470.62</v>
      </c>
      <c r="D24" s="54">
        <v>120.25</v>
      </c>
      <c r="E24" s="54">
        <v>350.37</v>
      </c>
      <c r="F24" s="54"/>
      <c r="G24" s="54"/>
      <c r="H24" s="54"/>
      <c r="I24" s="54"/>
      <c r="J24" s="54"/>
      <c r="K24" s="54"/>
      <c r="L24" s="54"/>
      <c r="M24" s="54">
        <v>188</v>
      </c>
      <c r="N24" s="54">
        <v>282</v>
      </c>
      <c r="O24" s="54"/>
      <c r="P24" s="54"/>
      <c r="Q24" s="131"/>
    </row>
    <row r="25" ht="6" customHeight="1" spans="1:17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17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48</v>
      </c>
      <c r="N26" s="54"/>
      <c r="O26" s="54"/>
      <c r="P26" s="54"/>
      <c r="Q26" s="131"/>
    </row>
    <row r="27" ht="6" customHeight="1" spans="1:17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19" x14ac:dyDescent="0.25">
      <c r="A28" s="19">
        <v>8234</v>
      </c>
      <c r="B28" s="20" t="s">
        <v>43</v>
      </c>
      <c r="C28" s="54">
        <v>231.75</v>
      </c>
      <c r="D28" s="54">
        <v>225.5</v>
      </c>
      <c r="E28" s="54">
        <v>6.25</v>
      </c>
      <c r="F28" s="54"/>
      <c r="G28" s="54"/>
      <c r="H28" s="54"/>
      <c r="I28" s="54"/>
      <c r="J28" s="54"/>
      <c r="K28" s="54"/>
      <c r="L28" s="54"/>
      <c r="M28" s="54">
        <v>32</v>
      </c>
      <c r="N28" s="54"/>
      <c r="O28" s="54"/>
      <c r="P28" s="54"/>
      <c r="Q28" s="131"/>
      <c r="S28" s="138"/>
    </row>
    <row r="29" ht="6" customHeight="1" spans="1:17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19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48</v>
      </c>
      <c r="O30" s="54">
        <v>16</v>
      </c>
      <c r="P30" s="54">
        <v>64</v>
      </c>
      <c r="Q30" s="131"/>
      <c r="S30" s="139"/>
    </row>
    <row r="31" ht="6" customHeight="1" spans="1:17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17" x14ac:dyDescent="0.25">
      <c r="A32" s="19">
        <v>6792</v>
      </c>
      <c r="B32" s="20" t="s">
        <v>45</v>
      </c>
      <c r="C32" s="54">
        <v>208.2</v>
      </c>
      <c r="D32" s="54">
        <v>317.25</v>
      </c>
      <c r="E32" s="54">
        <v>-109.05000000000001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17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17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130</v>
      </c>
      <c r="N34" s="54"/>
      <c r="O34" s="54"/>
      <c r="P34" s="54"/>
      <c r="Q34" s="131"/>
    </row>
    <row r="35" ht="6" customHeight="1" spans="1:17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17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30</v>
      </c>
      <c r="N36" s="54">
        <v>50</v>
      </c>
      <c r="O36" s="54"/>
      <c r="P36" s="54"/>
      <c r="Q36" s="131"/>
    </row>
    <row r="37" ht="6" customHeight="1" spans="1:17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19" x14ac:dyDescent="0.25">
      <c r="A38" s="19">
        <v>7901</v>
      </c>
      <c r="B38" s="20" t="s">
        <v>49</v>
      </c>
      <c r="C38" s="54">
        <v>290.15</v>
      </c>
      <c r="D38" s="54">
        <v>106</v>
      </c>
      <c r="E38" s="54">
        <v>184.14999999999998</v>
      </c>
      <c r="F38" s="54"/>
      <c r="G38" s="54"/>
      <c r="H38" s="54"/>
      <c r="I38" s="54"/>
      <c r="J38" s="54"/>
      <c r="K38" s="54"/>
      <c r="L38" s="54"/>
      <c r="M38" s="54">
        <v>80</v>
      </c>
      <c r="N38" s="54">
        <v>40</v>
      </c>
      <c r="O38" s="54">
        <v>160</v>
      </c>
      <c r="P38" s="54"/>
      <c r="Q38" s="131"/>
      <c r="S38" s="139"/>
    </row>
    <row r="39" ht="6" customHeight="1" spans="1:17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17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17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19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17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19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40</v>
      </c>
      <c r="O44" s="54">
        <v>300</v>
      </c>
      <c r="P44" s="54">
        <v>150</v>
      </c>
      <c r="Q44" s="131">
        <v>150</v>
      </c>
      <c r="S44" s="139"/>
    </row>
    <row r="45" ht="6" customHeight="1" spans="1:17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17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17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17" x14ac:dyDescent="0.25">
      <c r="A48" s="19">
        <v>8337</v>
      </c>
      <c r="B48" s="20" t="s">
        <v>54</v>
      </c>
      <c r="C48" s="54">
        <v>110.44</v>
      </c>
      <c r="D48" s="54">
        <v>60.75</v>
      </c>
      <c r="E48" s="54">
        <v>49.69</v>
      </c>
      <c r="F48" s="54"/>
      <c r="G48" s="54"/>
      <c r="H48" s="54"/>
      <c r="I48" s="54"/>
      <c r="J48" s="54"/>
      <c r="K48" s="54"/>
      <c r="L48" s="54"/>
      <c r="M48" s="54">
        <v>16</v>
      </c>
      <c r="N48" s="54">
        <v>32</v>
      </c>
      <c r="O48" s="54"/>
      <c r="P48" s="54"/>
      <c r="Q48" s="131"/>
    </row>
    <row r="49" ht="6" customHeight="1" spans="1:17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17" x14ac:dyDescent="0.25">
      <c r="A50" s="19">
        <v>9240</v>
      </c>
      <c r="B50" s="20" t="s">
        <v>55</v>
      </c>
      <c r="C50" s="54">
        <v>65.13</v>
      </c>
      <c r="D50" s="54">
        <v>24.33</v>
      </c>
      <c r="E50" s="54">
        <v>40.8</v>
      </c>
      <c r="F50" s="54"/>
      <c r="G50" s="54"/>
      <c r="H50" s="54"/>
      <c r="I50" s="54"/>
      <c r="J50" s="54"/>
      <c r="K50" s="54"/>
      <c r="L50" s="54"/>
      <c r="M50" s="54">
        <v>16</v>
      </c>
      <c r="N50" s="54">
        <v>40</v>
      </c>
      <c r="O50" s="54"/>
      <c r="P50" s="54"/>
      <c r="Q50" s="131"/>
    </row>
    <row r="51" ht="6" customHeight="1" spans="1:17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19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80</v>
      </c>
      <c r="N52" s="54">
        <v>80</v>
      </c>
      <c r="O52" s="141">
        <v>180</v>
      </c>
      <c r="P52" s="54"/>
      <c r="Q52" s="131"/>
      <c r="S52" s="139"/>
    </row>
    <row r="53" ht="6" customHeight="1" spans="1:17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19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16</v>
      </c>
      <c r="M54" s="54">
        <v>32</v>
      </c>
      <c r="N54" s="54">
        <v>65</v>
      </c>
      <c r="O54" s="54"/>
      <c r="P54" s="54"/>
      <c r="Q54" s="131"/>
      <c r="S54" s="138"/>
    </row>
    <row r="55" ht="6" customHeight="1" spans="1:17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19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16</v>
      </c>
      <c r="N56" s="54">
        <v>70</v>
      </c>
      <c r="O56" s="54"/>
      <c r="P56" s="54"/>
      <c r="Q56" s="131"/>
      <c r="S56" s="139"/>
    </row>
    <row r="57" ht="6" customHeight="1" spans="1:17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17" x14ac:dyDescent="0.25">
      <c r="A58" s="19">
        <v>9508</v>
      </c>
      <c r="B58" s="20" t="s">
        <v>59</v>
      </c>
      <c r="C58" s="54">
        <v>140.15</v>
      </c>
      <c r="D58" s="54">
        <v>5.75</v>
      </c>
      <c r="E58" s="54">
        <v>134.4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17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17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17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17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17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17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143</v>
      </c>
      <c r="O64" s="54"/>
      <c r="P64" s="54">
        <v>215</v>
      </c>
      <c r="Q64" s="131"/>
    </row>
    <row r="65" ht="6" customHeight="1" spans="1:17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17" x14ac:dyDescent="0.25">
      <c r="A66" s="19">
        <v>8308</v>
      </c>
      <c r="B66" s="20" t="s">
        <v>62</v>
      </c>
      <c r="C66" s="54">
        <v>2344.68</v>
      </c>
      <c r="D66" s="54">
        <v>1377.92</v>
      </c>
      <c r="E66" s="54">
        <v>966.7599999999998</v>
      </c>
      <c r="F66" s="54"/>
      <c r="G66" s="54"/>
      <c r="H66" s="54"/>
      <c r="I66" s="54"/>
      <c r="J66" s="54"/>
      <c r="K66" s="54"/>
      <c r="L66" s="54"/>
      <c r="M66" s="54">
        <v>320</v>
      </c>
      <c r="N66" s="54">
        <v>250</v>
      </c>
      <c r="O66" s="54">
        <v>250</v>
      </c>
      <c r="P66" s="54">
        <v>240</v>
      </c>
      <c r="Q66" s="54">
        <v>80</v>
      </c>
    </row>
    <row r="67" ht="15" customHeight="1" spans="1:17" x14ac:dyDescent="0.25">
      <c r="A67" s="19">
        <f>'Main Sheet'!A68</f>
      </c>
      <c r="B67" s="20">
        <f>'Main Sheet'!B68</f>
      </c>
      <c r="C67" s="54">
        <f>LOOKUP(2,1/('Deliverables Sheet'!S229:S233&lt;&gt;0),'Deliverables Sheet'!S229:S233)</f>
      </c>
      <c r="D67" s="54">
        <f>LOOKUP(2,1/('Deliverables Sheet'!T229:T233&lt;&gt;0),'Deliverables Sheet'!T229:T233)</f>
      </c>
      <c r="E67" s="54">
        <f>LOOKUP(2,1/('Deliverables Sheet'!U229:U233&lt;&gt;0),'Deliverables Sheet'!U229:U233)</f>
      </c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</row>
    <row r="68" ht="15" customHeight="1" spans="1:17" x14ac:dyDescent="0.25">
      <c r="A68" s="142"/>
      <c r="B68" s="143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144"/>
    </row>
    <row r="69" ht="15" customHeight="1" spans="1:17" x14ac:dyDescent="0.25">
      <c r="A69" s="142"/>
      <c r="B69" s="143"/>
      <c r="C69" s="35"/>
      <c r="D69" s="35"/>
      <c r="E69" s="35"/>
      <c r="F69" s="35"/>
      <c r="G69" s="35"/>
      <c r="H69" s="35"/>
      <c r="I69" s="35"/>
      <c r="J69" s="35"/>
      <c r="K69" s="35"/>
      <c r="L69" s="35"/>
      <c r="M69" s="35"/>
      <c r="N69" s="35"/>
      <c r="O69" s="35"/>
      <c r="P69" s="35"/>
      <c r="Q69" s="144"/>
    </row>
    <row r="70" ht="15.75" customHeight="1" spans="1:17" x14ac:dyDescent="0.25">
      <c r="A70" s="145"/>
      <c r="B70" s="145"/>
      <c r="C70" s="145"/>
      <c r="D70" s="145"/>
      <c r="E70" s="145"/>
      <c r="F70" s="145"/>
      <c r="G70" s="145"/>
      <c r="H70" s="145"/>
      <c r="I70" s="145"/>
      <c r="J70" s="145"/>
      <c r="K70" s="145"/>
      <c r="L70" s="145"/>
      <c r="M70" s="145"/>
      <c r="N70" s="145"/>
      <c r="O70" s="145"/>
      <c r="P70" s="145"/>
      <c r="Q70" s="145"/>
    </row>
    <row r="71" ht="15" customHeight="1" spans="1:17" x14ac:dyDescent="0.25">
      <c r="A71" s="142"/>
      <c r="B71" s="146" t="s">
        <v>147</v>
      </c>
      <c r="C71" s="147"/>
      <c r="D71" s="147"/>
      <c r="E71" s="147"/>
      <c r="F71" s="147">
        <v>640</v>
      </c>
      <c r="G71" s="147">
        <v>715</v>
      </c>
      <c r="H71" s="147">
        <v>790</v>
      </c>
      <c r="I71" s="147">
        <v>700</v>
      </c>
      <c r="J71" s="147">
        <v>700</v>
      </c>
      <c r="K71" s="147">
        <v>700</v>
      </c>
      <c r="L71" s="147">
        <v>716</v>
      </c>
      <c r="M71" s="147">
        <v>2520</v>
      </c>
      <c r="N71" s="147">
        <v>3060</v>
      </c>
      <c r="O71" s="147">
        <v>1316</v>
      </c>
      <c r="P71" s="147">
        <v>914</v>
      </c>
      <c r="Q71" s="147">
        <v>650</v>
      </c>
    </row>
    <row r="72" ht="15" customHeight="1" spans="1:17" x14ac:dyDescent="0.25">
      <c r="A72" s="142"/>
      <c r="B72" s="77" t="s">
        <v>148</v>
      </c>
      <c r="C72" s="20"/>
      <c r="D72" s="20"/>
      <c r="E72" s="20"/>
      <c r="F72" s="20">
        <v>140</v>
      </c>
      <c r="G72" s="20">
        <v>15</v>
      </c>
      <c r="H72" s="20">
        <v>90</v>
      </c>
      <c r="I72" s="20"/>
      <c r="J72" s="20"/>
      <c r="K72" s="20"/>
      <c r="L72" s="20">
        <v>16</v>
      </c>
      <c r="M72" s="20">
        <v>800</v>
      </c>
      <c r="N72" s="20">
        <v>858</v>
      </c>
      <c r="O72" s="20">
        <v>476</v>
      </c>
      <c r="P72" s="20">
        <v>214</v>
      </c>
      <c r="Q72" s="20">
        <v>150</v>
      </c>
    </row>
    <row r="73" ht="15" customHeight="1" spans="1:17" x14ac:dyDescent="0.25">
      <c r="A73" s="142"/>
      <c r="B73" s="77" t="s">
        <v>149</v>
      </c>
      <c r="C73" s="20">
        <v>4490.26</v>
      </c>
      <c r="D73" s="20"/>
      <c r="E73" s="20"/>
      <c r="F73" s="20"/>
      <c r="G73" s="20"/>
      <c r="H73" s="20"/>
      <c r="I73" s="20"/>
      <c r="J73" s="20"/>
      <c r="K73" s="20"/>
      <c r="L73" s="20"/>
      <c r="M73" s="20">
        <v>1020</v>
      </c>
      <c r="N73" s="20">
        <v>1502</v>
      </c>
      <c r="O73" s="20">
        <v>140</v>
      </c>
      <c r="P73" s="20"/>
      <c r="Q73" s="20"/>
    </row>
    <row r="74" ht="15" customHeight="1" spans="1:17" x14ac:dyDescent="0.25">
      <c r="A74" s="142"/>
      <c r="B74" s="148" t="s">
        <v>150</v>
      </c>
      <c r="C74" s="149"/>
      <c r="D74" s="149"/>
      <c r="E74" s="149"/>
      <c r="F74" s="149">
        <v>1488</v>
      </c>
      <c r="G74" s="149">
        <v>2112</v>
      </c>
      <c r="H74" s="149">
        <v>1984</v>
      </c>
      <c r="I74" s="149">
        <v>1884.8</v>
      </c>
      <c r="J74" s="149">
        <v>1948.8</v>
      </c>
      <c r="K74" s="149">
        <v>2083.2</v>
      </c>
      <c r="L74" s="149">
        <v>2604.8</v>
      </c>
      <c r="M74" s="149">
        <v>2486.4</v>
      </c>
      <c r="N74" s="149">
        <v>2604.8</v>
      </c>
      <c r="O74" s="149">
        <v>2217.6</v>
      </c>
      <c r="P74" s="149">
        <v>2112</v>
      </c>
      <c r="Q74" s="150">
        <v>1478.4</v>
      </c>
    </row>
    <row r="75" ht="15" customHeight="1" spans="1:17" x14ac:dyDescent="0.25">
      <c r="A75" s="142"/>
      <c r="B75" s="151" t="s">
        <v>151</v>
      </c>
      <c r="C75" s="152"/>
      <c r="D75" s="152"/>
      <c r="E75" s="152"/>
      <c r="F75" s="153">
        <v>-848</v>
      </c>
      <c r="G75" s="153">
        <v>-1397</v>
      </c>
      <c r="H75" s="154">
        <v>-1194</v>
      </c>
      <c r="I75" s="153">
        <v>-1184.8</v>
      </c>
      <c r="J75" s="153">
        <v>-1248.8</v>
      </c>
      <c r="K75" s="153">
        <v>-1383.2</v>
      </c>
      <c r="L75" s="153">
        <v>-1888.8</v>
      </c>
      <c r="M75" s="153">
        <v>33.5999999999999</v>
      </c>
      <c r="N75" s="153">
        <v>455.2</v>
      </c>
      <c r="O75" s="153">
        <v>-901.6</v>
      </c>
      <c r="P75" s="153">
        <v>-1198</v>
      </c>
      <c r="Q75" s="155">
        <v>-828.4</v>
      </c>
    </row>
    <row r="76" ht="15" customHeight="1" spans="1:17" x14ac:dyDescent="0.25">
      <c r="A76" s="142"/>
      <c r="B76" s="35"/>
      <c r="C76" s="35"/>
      <c r="D76" s="35"/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144"/>
    </row>
    <row r="77" ht="15" customHeight="1" spans="1:17" x14ac:dyDescent="0.25">
      <c r="A77" s="142"/>
      <c r="B77" s="156" t="s">
        <v>152</v>
      </c>
      <c r="C77" s="157" t="s">
        <v>153</v>
      </c>
      <c r="D77" s="157"/>
      <c r="E77" s="157"/>
      <c r="F77" s="158">
        <v>15</v>
      </c>
      <c r="G77" s="159">
        <v>20</v>
      </c>
      <c r="H77" s="159">
        <v>20</v>
      </c>
      <c r="I77" s="159">
        <v>19</v>
      </c>
      <c r="J77" s="159">
        <v>21</v>
      </c>
      <c r="K77" s="159">
        <v>21</v>
      </c>
      <c r="L77" s="159">
        <v>22</v>
      </c>
      <c r="M77" s="159">
        <v>21</v>
      </c>
      <c r="N77" s="159">
        <v>22</v>
      </c>
      <c r="O77" s="159">
        <v>21</v>
      </c>
      <c r="P77" s="159">
        <v>20</v>
      </c>
      <c r="Q77" s="160">
        <v>14</v>
      </c>
    </row>
    <row r="78" ht="15" customHeight="1" spans="1:17" x14ac:dyDescent="0.25">
      <c r="A78" s="161"/>
      <c r="B78" s="162" t="s">
        <v>154</v>
      </c>
      <c r="C78" s="157"/>
      <c r="D78" s="157"/>
      <c r="E78" s="157"/>
      <c r="F78" s="163">
        <v>15.5</v>
      </c>
      <c r="G78" s="163">
        <v>16.5</v>
      </c>
      <c r="H78" s="163">
        <v>15.5</v>
      </c>
      <c r="I78" s="163">
        <v>15.5</v>
      </c>
      <c r="J78" s="163">
        <v>14.5</v>
      </c>
      <c r="K78" s="163">
        <v>15.5</v>
      </c>
      <c r="L78" s="163">
        <v>18.5</v>
      </c>
      <c r="M78" s="163">
        <v>18.5</v>
      </c>
      <c r="N78" s="163">
        <v>18.5</v>
      </c>
      <c r="O78" s="163">
        <v>16.5</v>
      </c>
      <c r="P78" s="163">
        <v>16.5</v>
      </c>
      <c r="Q78" s="163">
        <v>16.5</v>
      </c>
    </row>
    <row r="79" spans="1:17" x14ac:dyDescent="0.25">
      <c r="A79" s="35"/>
      <c r="B79" s="35"/>
      <c r="C79" s="35"/>
      <c r="D79" s="35"/>
      <c r="E79" s="35"/>
      <c r="F79" s="35"/>
      <c r="G79" s="35"/>
      <c r="H79" s="35"/>
      <c r="I79" s="35"/>
      <c r="J79" s="35"/>
      <c r="K79" s="35"/>
      <c r="L79" s="35"/>
      <c r="M79" s="35"/>
      <c r="N79" s="35"/>
      <c r="O79" s="35"/>
      <c r="P79" s="35"/>
      <c r="Q79" s="35"/>
    </row>
    <row r="80" ht="15" customHeight="1" spans="1:17" x14ac:dyDescent="0.25">
      <c r="A80" s="35"/>
      <c r="B80" s="164" t="s">
        <v>155</v>
      </c>
      <c r="C80" s="165"/>
      <c r="D80" s="35"/>
      <c r="E80" s="35"/>
      <c r="F80" s="35"/>
      <c r="G80" s="35"/>
      <c r="H80" s="35"/>
      <c r="I80" s="35"/>
      <c r="J80" s="35"/>
      <c r="K80" s="35"/>
      <c r="L80" s="166" t="s">
        <v>156</v>
      </c>
      <c r="M80" s="166"/>
      <c r="N80" s="35"/>
      <c r="O80" s="35"/>
      <c r="P80" s="35"/>
      <c r="Q80" s="35"/>
    </row>
    <row r="81" ht="15" customHeight="1" spans="1:17" x14ac:dyDescent="0.25">
      <c r="A81" s="35"/>
      <c r="B81" s="167" t="s">
        <v>157</v>
      </c>
      <c r="C81" s="168">
        <v>1</v>
      </c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</row>
    <row r="82" ht="15" customHeight="1" spans="1:17" x14ac:dyDescent="0.25">
      <c r="A82" s="35"/>
      <c r="B82" s="19" t="s">
        <v>158</v>
      </c>
      <c r="C82" s="131">
        <v>1</v>
      </c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</row>
    <row r="83" ht="15" customHeight="1" spans="1:17" x14ac:dyDescent="0.25">
      <c r="A83" s="35"/>
      <c r="B83" s="19" t="s">
        <v>159</v>
      </c>
      <c r="C83" s="131">
        <v>1</v>
      </c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17" x14ac:dyDescent="0.25">
      <c r="A84" s="35"/>
      <c r="B84" s="19" t="s">
        <v>160</v>
      </c>
      <c r="C84" s="131">
        <v>1</v>
      </c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</row>
    <row r="85" ht="15" customHeight="1" spans="1:17" x14ac:dyDescent="0.25">
      <c r="A85" s="35"/>
      <c r="B85" s="19" t="s">
        <v>161</v>
      </c>
      <c r="C85" s="131">
        <v>1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17" x14ac:dyDescent="0.25">
      <c r="A86" s="35"/>
      <c r="B86" s="19" t="s">
        <v>162</v>
      </c>
      <c r="C86" s="131">
        <v>0.5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17" x14ac:dyDescent="0.25">
      <c r="A87" s="35"/>
      <c r="B87" s="19" t="s">
        <v>163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17" x14ac:dyDescent="0.25">
      <c r="A88" s="35"/>
      <c r="B88" s="19" t="s">
        <v>164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17" x14ac:dyDescent="0.25">
      <c r="A89" s="35"/>
      <c r="B89" s="19" t="s">
        <v>165</v>
      </c>
      <c r="C89" s="131">
        <v>1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17" x14ac:dyDescent="0.25">
      <c r="A90" s="35"/>
      <c r="B90" s="19" t="s">
        <v>166</v>
      </c>
      <c r="C90" s="131">
        <v>0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17" x14ac:dyDescent="0.25">
      <c r="A91" s="35"/>
      <c r="B91" s="19" t="s">
        <v>167</v>
      </c>
      <c r="C91" s="131">
        <v>1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17" x14ac:dyDescent="0.25">
      <c r="A92" s="35"/>
      <c r="B92" s="19"/>
      <c r="C92" s="131">
        <v>0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17" x14ac:dyDescent="0.25">
      <c r="A93" s="35"/>
      <c r="B93" s="19"/>
      <c r="C93" s="131">
        <v>0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17" x14ac:dyDescent="0.25">
      <c r="A94" s="35"/>
      <c r="B94" s="19"/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17" x14ac:dyDescent="0.25">
      <c r="A95" s="35"/>
      <c r="B95" s="19"/>
      <c r="C95" s="131">
        <v>0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17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17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17" x14ac:dyDescent="0.25">
      <c r="A98" s="35"/>
      <c r="B98" s="19"/>
      <c r="C98" s="131">
        <v>0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17" x14ac:dyDescent="0.25">
      <c r="A99" s="35"/>
      <c r="B99" s="19" t="s">
        <v>168</v>
      </c>
      <c r="C99" s="131">
        <v>1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17" x14ac:dyDescent="0.25">
      <c r="A100" s="35"/>
      <c r="B100" s="19" t="s">
        <v>169</v>
      </c>
      <c r="C100" s="131">
        <v>1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17" x14ac:dyDescent="0.25">
      <c r="A101" s="35"/>
      <c r="B101" s="19" t="s">
        <v>170</v>
      </c>
      <c r="C101" s="131">
        <v>1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17" x14ac:dyDescent="0.25">
      <c r="A102" s="35"/>
      <c r="B102" s="19" t="s">
        <v>171</v>
      </c>
      <c r="C102" s="131">
        <v>1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17" x14ac:dyDescent="0.25">
      <c r="A103" s="35"/>
      <c r="B103" s="19" t="s">
        <v>172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17" x14ac:dyDescent="0.25">
      <c r="A104" s="35"/>
      <c r="B104" s="19" t="s">
        <v>173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17" x14ac:dyDescent="0.25">
      <c r="A105" s="35"/>
      <c r="B105" s="19" t="s">
        <v>174</v>
      </c>
      <c r="C105" s="131">
        <v>1</v>
      </c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17" x14ac:dyDescent="0.25">
      <c r="A106" s="35"/>
      <c r="B106" s="19"/>
      <c r="C106" s="131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17" x14ac:dyDescent="0.25">
      <c r="A107" s="35"/>
      <c r="B107" s="19"/>
      <c r="C107" s="131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17" x14ac:dyDescent="0.25">
      <c r="A108" s="35"/>
      <c r="B108" s="19"/>
      <c r="C108" s="131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17" x14ac:dyDescent="0.25">
      <c r="A109" s="35"/>
      <c r="B109" s="169"/>
      <c r="C109" s="150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  <row r="110" ht="15" customHeight="1" spans="1:17" x14ac:dyDescent="0.25">
      <c r="A110" s="35"/>
      <c r="B110" s="164" t="s">
        <v>175</v>
      </c>
      <c r="C110" s="170">
        <v>16.5</v>
      </c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70:Q70"/>
    <mergeCell ref="C77:E78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176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 t="s">
        <v>177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 t="s">
        <v>178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175" t="s">
        <v>179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29" x14ac:dyDescent="0.25">
      <c r="A6" s="176" t="s">
        <v>180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177" t="s">
        <v>181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29" x14ac:dyDescent="0.25">
      <c r="A8" s="176" t="s">
        <v>182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178" t="s">
        <v>183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29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29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29" x14ac:dyDescent="0.25">
      <c r="A12" s="181" t="s">
        <v>184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29" x14ac:dyDescent="0.25">
      <c r="A13" s="182" t="s">
        <v>185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29" x14ac:dyDescent="0.25">
      <c r="A14" s="183" t="s">
        <v>186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29" x14ac:dyDescent="0.25">
      <c r="A15" s="172" t="s">
        <v>187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29" x14ac:dyDescent="0.25">
      <c r="A16" s="184" t="s">
        <v>188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29" x14ac:dyDescent="0.25">
      <c r="A17" s="185" t="s">
        <v>189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29" x14ac:dyDescent="0.25">
      <c r="A18" s="186" t="s">
        <v>190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29" x14ac:dyDescent="0.25">
      <c r="A19" s="178" t="s">
        <v>191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29" x14ac:dyDescent="0.25">
      <c r="A20" s="187" t="s">
        <v>192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29" x14ac:dyDescent="0.25">
      <c r="A21" s="188" t="s">
        <v>193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29" x14ac:dyDescent="0.25">
      <c r="A22" s="188" t="s">
        <v>194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29" x14ac:dyDescent="0.25">
      <c r="A23" s="188" t="s">
        <v>195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29" x14ac:dyDescent="0.25">
      <c r="A24" s="188" t="s">
        <v>196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29" x14ac:dyDescent="0.25">
      <c r="A25" s="189" t="s">
        <v>197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29" x14ac:dyDescent="0.25">
      <c r="A26" s="181" t="s">
        <v>198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29" x14ac:dyDescent="0.25">
      <c r="A27" s="190" t="s">
        <v>199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28" x14ac:dyDescent="0.25">
      <c r="A28" s="172" t="s">
        <v>200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190" t="s">
        <v>201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28" x14ac:dyDescent="0.25">
      <c r="A30" s="191" t="s">
        <v>202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28" x14ac:dyDescent="0.25">
      <c r="A31" s="191" t="s">
        <v>203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28" x14ac:dyDescent="0.25">
      <c r="A32" s="191" t="s">
        <v>204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28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28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28" x14ac:dyDescent="0.25">
      <c r="A35" s="192" t="s">
        <v>205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28" x14ac:dyDescent="0.25">
      <c r="A36" s="193" t="s">
        <v>206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28" x14ac:dyDescent="0.25">
      <c r="A37" s="194" t="s">
        <v>207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28" x14ac:dyDescent="0.25">
      <c r="A38" s="179" t="s">
        <v>208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28" x14ac:dyDescent="0.25">
      <c r="A39" s="181" t="s">
        <v>209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28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28" x14ac:dyDescent="0.25">
      <c r="A41" s="172" t="s">
        <v>210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28" x14ac:dyDescent="0.25">
      <c r="A42" s="196" t="s">
        <v>211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28" x14ac:dyDescent="0.25">
      <c r="A43" s="172" t="s">
        <v>212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28" x14ac:dyDescent="0.25">
      <c r="A44" s="197" t="s">
        <v>213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28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28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28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28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28" x14ac:dyDescent="0.25">
      <c r="A49" s="172" t="s">
        <v>214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28" x14ac:dyDescent="0.25">
      <c r="A50" s="200" t="s">
        <v>215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28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28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28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28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28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28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216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29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29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29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29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29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29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29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29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29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29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29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29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29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29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28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28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28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28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28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28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28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28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28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28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28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28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28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28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28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28" x14ac:dyDescent="0.25">
      <c r="A38" s="172" t="s">
        <v>214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28" x14ac:dyDescent="0.25">
      <c r="A39" s="200" t="s">
        <v>215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28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28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28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28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28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28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65</v>
      </c>
      <c r="D2" s="43" t="s">
        <v>66</v>
      </c>
      <c r="E2" s="43" t="s">
        <v>67</v>
      </c>
      <c r="F2" s="39" t="s">
        <v>68</v>
      </c>
      <c r="G2" s="40" t="s">
        <v>69</v>
      </c>
      <c r="H2" s="43" t="s">
        <v>70</v>
      </c>
      <c r="I2" s="43" t="s">
        <v>71</v>
      </c>
      <c r="J2" s="41" t="s">
        <v>72</v>
      </c>
      <c r="K2" s="41" t="s">
        <v>73</v>
      </c>
      <c r="L2" s="39" t="s">
        <v>74</v>
      </c>
      <c r="M2" s="40" t="s">
        <v>75</v>
      </c>
      <c r="N2" s="42" t="s">
        <v>76</v>
      </c>
      <c r="O2" s="42" t="s">
        <v>217</v>
      </c>
      <c r="P2" s="42" t="s">
        <v>218</v>
      </c>
      <c r="Q2" s="42" t="s">
        <v>219</v>
      </c>
      <c r="R2" s="43" t="s">
        <v>77</v>
      </c>
      <c r="S2" s="43" t="s">
        <v>78</v>
      </c>
      <c r="T2" s="39" t="s">
        <v>79</v>
      </c>
      <c r="U2" s="40" t="s">
        <v>80</v>
      </c>
      <c r="V2" s="214" t="s">
        <v>81</v>
      </c>
      <c r="W2" s="214" t="s">
        <v>82</v>
      </c>
      <c r="X2" s="45" t="s">
        <v>83</v>
      </c>
      <c r="Y2" s="40" t="s">
        <v>84</v>
      </c>
      <c r="Z2" s="42" t="s">
        <v>85</v>
      </c>
      <c r="AA2" s="46" t="s">
        <v>86</v>
      </c>
      <c r="AB2" s="47" t="s">
        <v>87</v>
      </c>
      <c r="AC2" s="46" t="s">
        <v>88</v>
      </c>
      <c r="AD2" s="48" t="s">
        <v>89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90</v>
      </c>
      <c r="AL3" s="50" t="s">
        <v>91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92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93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94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95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96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97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98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99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100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92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93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94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95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96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97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98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99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100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92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93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94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95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96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97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98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99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100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92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93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94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95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96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97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98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99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100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92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93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94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95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96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97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98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99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100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92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93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94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95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96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97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98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99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100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92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93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94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95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96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97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98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99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100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92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93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94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95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96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97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98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99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100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92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93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94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95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96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97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98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99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100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92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93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94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95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96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97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98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99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100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92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93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94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95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96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97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98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99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100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92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93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94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95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96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97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98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99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100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92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93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94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95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96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97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98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99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100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92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93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94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95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96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97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98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99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100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92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93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94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95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96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97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98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99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100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92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93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94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95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96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97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98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99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100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92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93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94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95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96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97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98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99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100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92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93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94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95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96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97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98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99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100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92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93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94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95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96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97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98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99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100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92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93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94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95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96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97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98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99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100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92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93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94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95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96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97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98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99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100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92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93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94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95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96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97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98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99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100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92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93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94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95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96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97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98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99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100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92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93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94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95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96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97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98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99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100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92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93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94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95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96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97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98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99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100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92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93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94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95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96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97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98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99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100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92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93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94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95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96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97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98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99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100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92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93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94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95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96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97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98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99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100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92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93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94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95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96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97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98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99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100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92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93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94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95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96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97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98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99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100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92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93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94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95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96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97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98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99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100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92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93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94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95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96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97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98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99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100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1" x14ac:dyDescent="0.25">
      <c r="A1" s="35"/>
    </row>
    <row r="2" spans="1:1" x14ac:dyDescent="0.25">
      <c r="A2" s="35"/>
    </row>
    <row r="3" ht="15" customHeight="1" spans="1:4" x14ac:dyDescent="0.25">
      <c r="A3" s="35">
        <v>340</v>
      </c>
      <c r="B3" s="35" t="s">
        <v>220</v>
      </c>
      <c r="C3" s="35" t="s">
        <v>221</v>
      </c>
      <c r="D3" s="35" t="s">
        <v>222</v>
      </c>
    </row>
    <row r="4" ht="15" customHeight="1" spans="1:4" x14ac:dyDescent="0.25">
      <c r="A4" s="35" t="s">
        <v>223</v>
      </c>
      <c r="B4" s="35">
        <v>30</v>
      </c>
      <c r="D4" s="37">
        <f>SUM(B4/A3)</f>
        <v>0.0882352941176471</v>
      </c>
    </row>
    <row r="5" ht="15" customHeight="1" spans="1:16" x14ac:dyDescent="0.25">
      <c r="A5" s="35" t="s">
        <v>224</v>
      </c>
      <c r="B5" s="35">
        <v>60</v>
      </c>
      <c r="P5" s="35">
        <v>95.35</v>
      </c>
    </row>
    <row r="6" ht="15" customHeight="1" spans="1:16" x14ac:dyDescent="0.25">
      <c r="A6" s="35" t="s">
        <v>225</v>
      </c>
      <c r="B6" s="35">
        <v>100</v>
      </c>
      <c r="P6" s="35">
        <v>102.69</v>
      </c>
    </row>
    <row r="7" ht="15" customHeight="1" spans="1:16" x14ac:dyDescent="0.25">
      <c r="A7" s="35" t="s">
        <v>226</v>
      </c>
      <c r="B7" s="35">
        <v>150</v>
      </c>
      <c r="P7" s="35">
        <v>134.82</v>
      </c>
    </row>
    <row r="8" ht="15" customHeight="1" spans="1:16" x14ac:dyDescent="0.25">
      <c r="A8" s="35"/>
      <c r="P8" s="35">
        <v>324.19</v>
      </c>
    </row>
    <row r="9" ht="15" customHeight="1" spans="1:16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