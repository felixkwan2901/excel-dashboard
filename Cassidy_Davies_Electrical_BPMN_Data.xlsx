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<sst xmlns="http://schemas.openxmlformats.org/spreadsheetml/2006/main" count="1191" uniqueCount="231">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</sst>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216530.08</v>
      </c>
      <c r="F8" s="52">
        <v>51356.768838560005</v>
      </c>
      <c r="G8" s="53">
        <v>0.19171067583653492</v>
      </c>
      <c r="H8" s="52">
        <v>225410.5455298</v>
      </c>
      <c r="I8" s="52">
        <v>168279</v>
      </c>
      <c r="J8" s="52">
        <v>193787.2413298</v>
      </c>
      <c r="K8" s="52">
        <v>138094.41999999998</v>
      </c>
      <c r="L8" s="52">
        <v>55692.821329800005</v>
      </c>
      <c r="M8" s="53">
        <v>0.2873915792785257</v>
      </c>
      <c r="N8" s="53"/>
      <c r="O8" s="52">
        <v>31623.3042</v>
      </c>
      <c r="P8" s="52">
        <v>30184.58</v>
      </c>
      <c r="Q8" s="52">
        <v>1438.724199999997</v>
      </c>
      <c r="R8" s="53">
        <v>0.045495694912234916</v>
      </c>
      <c r="S8" s="54">
        <v>638.02</v>
      </c>
      <c r="T8" s="54">
        <v>605.75</v>
      </c>
      <c r="U8" s="54">
        <v>32.26999999999998</v>
      </c>
      <c r="V8" s="53">
        <v>0.05057835177580637</v>
      </c>
      <c r="W8" s="53"/>
      <c r="X8" s="55">
        <v>79.65510524143625</v>
      </c>
      <c r="Y8" s="55">
        <v>66.57519091683645</v>
      </c>
      <c r="Z8" s="53">
        <v>0.2228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129996.91589078</v>
      </c>
      <c r="E15" s="62">
        <v>85864.08</v>
      </c>
      <c r="F15" s="52">
        <v>44132.83589078</v>
      </c>
      <c r="G15" s="53">
        <v>0.3394914070719897</v>
      </c>
      <c r="H15" s="52">
        <v>101885.523895</v>
      </c>
      <c r="I15" s="52">
        <v>90641.75</v>
      </c>
      <c r="J15" s="52">
        <v>83735.424895</v>
      </c>
      <c r="K15" s="52">
        <v>80523.92</v>
      </c>
      <c r="L15" s="52">
        <v>3211.5048950000055</v>
      </c>
      <c r="M15" s="53">
        <v>0.03835300171972699</v>
      </c>
      <c r="N15" s="53"/>
      <c r="O15" s="52">
        <v>18150.099</v>
      </c>
      <c r="P15" s="52">
        <v>10117.83</v>
      </c>
      <c r="Q15" s="52">
        <v>8032.268999999998</v>
      </c>
      <c r="R15" s="53">
        <v>0.44254684230647995</v>
      </c>
      <c r="S15" s="54">
        <v>363.57</v>
      </c>
      <c r="T15" s="54">
        <v>217</v>
      </c>
      <c r="U15" s="54">
        <v>146.57</v>
      </c>
      <c r="V15" s="53">
        <v>0.40314107324586734</v>
      </c>
      <c r="W15" s="53"/>
      <c r="X15" s="55">
        <v>-22.016912442396315</v>
      </c>
      <c r="Y15" s="55">
        <v>77.32043896850674</v>
      </c>
      <c r="Z15" s="53">
        <v>-0.0556</v>
      </c>
      <c r="AA15" s="56">
        <v>0.2162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259347.71</v>
      </c>
      <c r="F36" s="52">
        <v>137890.90073204003</v>
      </c>
      <c r="G36" s="53">
        <v>0.3471236103608651</v>
      </c>
      <c r="H36" s="52">
        <v>328046.93216</v>
      </c>
      <c r="I36" s="52">
        <v>276899.86</v>
      </c>
      <c r="J36" s="52">
        <v>271925.57216000004</v>
      </c>
      <c r="K36" s="52">
        <v>244422.38999999998</v>
      </c>
      <c r="L36" s="52">
        <v>27503.182160000055</v>
      </c>
      <c r="M36" s="53">
        <v>0.10114231604454355</v>
      </c>
      <c r="N36" s="53"/>
      <c r="O36" s="52">
        <v>56121.36</v>
      </c>
      <c r="P36" s="52">
        <v>32477.47</v>
      </c>
      <c r="Q36" s="52">
        <v>23643.89</v>
      </c>
      <c r="R36" s="53">
        <v>0.4212993056476179</v>
      </c>
      <c r="S36" s="54">
        <v>1124.47</v>
      </c>
      <c r="T36" s="54">
        <v>750.5</v>
      </c>
      <c r="U36" s="54">
        <v>373.97</v>
      </c>
      <c r="V36" s="53">
        <v>0.3325744572998835</v>
      </c>
      <c r="W36" s="53"/>
      <c r="X36" s="55">
        <v>-23.38727514990007</v>
      </c>
      <c r="Y36" s="55">
        <v>61.532703026350184</v>
      </c>
      <c r="Z36" s="53">
        <v>-0.0677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53944.83</v>
      </c>
      <c r="F43" s="52">
        <v>74313.66930985</v>
      </c>
      <c r="G43" s="53">
        <v>0.5794054172606622</v>
      </c>
      <c r="H43" s="52">
        <v>94098.31685</v>
      </c>
      <c r="I43" s="52">
        <v>56107.33</v>
      </c>
      <c r="J43" s="52">
        <v>69042.08885</v>
      </c>
      <c r="K43" s="52">
        <v>40219.090000000004</v>
      </c>
      <c r="L43" s="52">
        <v>28822.998849999996</v>
      </c>
      <c r="M43" s="53">
        <v>0.41746997128983876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-6.02787456445993</v>
      </c>
      <c r="Y43" s="55">
        <v>68.07122423898531</v>
      </c>
      <c r="Z43" s="53">
        <v>-0.0401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33326.49</v>
      </c>
      <c r="F50" s="52">
        <v>32366.868503190002</v>
      </c>
      <c r="G50" s="53">
        <v>0.49269620614111703</v>
      </c>
      <c r="H50" s="52">
        <v>50582.36785</v>
      </c>
      <c r="I50" s="52">
        <v>29574.96</v>
      </c>
      <c r="J50" s="52">
        <v>39438.99025</v>
      </c>
      <c r="K50" s="52">
        <v>20218.23</v>
      </c>
      <c r="L50" s="52">
        <v>19220.760250000003</v>
      </c>
      <c r="M50" s="53">
        <v>0.48735426866056747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17.3280831408776</v>
      </c>
      <c r="Y50" s="55">
        <v>67.69550512136009</v>
      </c>
      <c r="Z50" s="53">
        <v>0.11259999999999999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127814.48</v>
      </c>
      <c r="F57" s="52">
        <v>27482.31012754001</v>
      </c>
      <c r="G57" s="53">
        <v>0.17696637583410268</v>
      </c>
      <c r="H57" s="52">
        <v>109364.9721</v>
      </c>
      <c r="I57" s="52">
        <v>109618.36</v>
      </c>
      <c r="J57" s="52">
        <v>75135.0159</v>
      </c>
      <c r="K57" s="52">
        <v>78027.66</v>
      </c>
      <c r="L57" s="52">
        <v>-2892.644100000005</v>
      </c>
      <c r="M57" s="53">
        <v>-0.03849928113211466</v>
      </c>
      <c r="N57" s="53"/>
      <c r="O57" s="52">
        <v>34229.9562</v>
      </c>
      <c r="P57" s="52">
        <v>31590.7</v>
      </c>
      <c r="Q57" s="52">
        <v>2639.2562</v>
      </c>
      <c r="R57" s="53">
        <v>0.07710369784230106</v>
      </c>
      <c r="S57" s="54">
        <v>685.48</v>
      </c>
      <c r="T57" s="54">
        <v>660.25</v>
      </c>
      <c r="U57" s="54">
        <v>25.230000000000018</v>
      </c>
      <c r="V57" s="53">
        <v>0.036806325494544</v>
      </c>
      <c r="W57" s="53"/>
      <c r="X57" s="55">
        <v>27.559439606209768</v>
      </c>
      <c r="Y57" s="55">
        <v>67.00679527854935</v>
      </c>
      <c r="Z57" s="53">
        <v>0.1424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20931.54</v>
      </c>
      <c r="J71" s="52">
        <v>29537.289750000004</v>
      </c>
      <c r="K71" s="52">
        <v>19627.920000000002</v>
      </c>
      <c r="L71" s="52">
        <v>9909.369750000002</v>
      </c>
      <c r="M71" s="53">
        <v>0.3354867638118355</v>
      </c>
      <c r="N71" s="53"/>
      <c r="O71" s="52">
        <v>9518.4885</v>
      </c>
      <c r="P71" s="52">
        <v>1303.62</v>
      </c>
      <c r="Q71" s="52">
        <v>8214.8685</v>
      </c>
      <c r="R71" s="53">
        <v>0.8630433813099634</v>
      </c>
      <c r="S71" s="54">
        <v>193.32</v>
      </c>
      <c r="T71" s="54">
        <v>27.25</v>
      </c>
      <c r="U71" s="54">
        <v>166.07</v>
      </c>
      <c r="V71" s="53">
        <v>0.8590420028967515</v>
      </c>
      <c r="W71" s="53"/>
      <c r="X71" s="55">
        <v>-377.2884403669725</v>
      </c>
      <c r="Y71" s="55">
        <v>72.28396616733912</v>
      </c>
      <c r="Z71" s="53">
        <v>-0.9653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41397.62</v>
      </c>
      <c r="J78" s="52">
        <v>32594.7534</v>
      </c>
      <c r="K78" s="52">
        <v>32996.44</v>
      </c>
      <c r="L78" s="52">
        <v>-401.6866000000009</v>
      </c>
      <c r="M78" s="53">
        <v>-0.01232365819954327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20.133751868460386</v>
      </c>
      <c r="Y78" s="55">
        <v>49.060202993773025</v>
      </c>
      <c r="Z78" s="53">
        <v>0.07519999999999999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21404.8192765</v>
      </c>
      <c r="E120" s="52">
        <v>0</v>
      </c>
      <c r="F120" s="52">
        <v>21404.8192765</v>
      </c>
      <c r="G120" s="53">
        <v>1</v>
      </c>
      <c r="H120" s="52">
        <v>17514.092529</v>
      </c>
      <c r="I120" s="52">
        <v>0</v>
      </c>
      <c r="J120" s="52">
        <v>13318.886529000001</v>
      </c>
      <c r="K120" s="52">
        <v>0</v>
      </c>
      <c r="L120" s="52">
        <v>13318.886529000001</v>
      </c>
      <c r="M120" s="53">
        <v>1</v>
      </c>
      <c r="N120" s="53"/>
      <c r="O120" s="52">
        <v>4195.206</v>
      </c>
      <c r="P120" s="52">
        <v>0</v>
      </c>
      <c r="Q120" s="52">
        <v>4195.206</v>
      </c>
      <c r="R120" s="53">
        <v>1</v>
      </c>
      <c r="S120" s="54">
        <v>84.05</v>
      </c>
      <c r="T120" s="54">
        <v>0</v>
      </c>
      <c r="U120" s="54">
        <v>84.05</v>
      </c>
      <c r="V120" s="53">
        <v>1</v>
      </c>
      <c r="W120" s="53"/>
      <c r="X120" s="55">
        <v>0</v>
      </c>
      <c r="Y120" s="55">
        <v>46.29062162403328</v>
      </c>
      <c r="Z120" s="53">
        <v>0</v>
      </c>
      <c r="AA120" s="56">
        <v>0.1818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67407.3</v>
      </c>
      <c r="F127" s="52">
        <v>38489.656771199996</v>
      </c>
      <c r="G127" s="53">
        <v>0.3634632943641657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8.172358490566037</v>
      </c>
      <c r="Y127" s="55">
        <v>62.79176131227983</v>
      </c>
      <c r="Z127" s="53">
        <v>0.0129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4727.04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1884.76</v>
      </c>
      <c r="Q183" s="52">
        <v>4364.3996</v>
      </c>
      <c r="R183" s="53">
        <v>0.6983978453678795</v>
      </c>
      <c r="S183" s="54">
        <v>125.17</v>
      </c>
      <c r="T183" s="54">
        <v>32.75</v>
      </c>
      <c r="U183" s="54">
        <v>92.42</v>
      </c>
      <c r="V183" s="53">
        <v>0.7383558360629544</v>
      </c>
      <c r="W183" s="53"/>
      <c r="X183" s="55">
        <v>23.348396946564886</v>
      </c>
      <c r="Y183" s="55">
        <v>61.286703843093385</v>
      </c>
      <c r="Z183" s="53">
        <v>0.1392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306038.55</v>
      </c>
      <c r="F225" s="52">
        <v>106262.18261826999</v>
      </c>
      <c r="G225" s="53">
        <v>0.257729793356087</v>
      </c>
      <c r="H225" s="52">
        <v>306356.278672</v>
      </c>
      <c r="I225" s="52">
        <v>255995.88</v>
      </c>
      <c r="J225" s="52">
        <v>186357.488872</v>
      </c>
      <c r="K225" s="52">
        <v>184261.79</v>
      </c>
      <c r="L225" s="52">
        <v>2095.698871999979</v>
      </c>
      <c r="M225" s="53">
        <v>0.011245584412437613</v>
      </c>
      <c r="N225" s="53"/>
      <c r="O225" s="52">
        <v>119998.7898</v>
      </c>
      <c r="P225" s="52">
        <v>71734.09</v>
      </c>
      <c r="Q225" s="52">
        <v>48264.6998</v>
      </c>
      <c r="R225" s="53">
        <v>0.4022098879533867</v>
      </c>
      <c r="S225" s="54">
        <v>2412.45</v>
      </c>
      <c r="T225" s="54">
        <v>1531.67</v>
      </c>
      <c r="U225" s="54">
        <v>880.7799999999997</v>
      </c>
      <c r="V225" s="53">
        <v>0.3650977222325851</v>
      </c>
      <c r="W225" s="53"/>
      <c r="X225" s="55">
        <v>32.67196589343657</v>
      </c>
      <c r="Y225" s="55">
        <v>43.91570973337064</v>
      </c>
      <c r="Z225" s="53">
        <v>0.1635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321.320000000007</v>
      </c>
      <c r="E4" s="52">
        <v>-321.320000000007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-7321.320000000007</v>
      </c>
      <c r="N4" s="54">
        <v>20</v>
      </c>
      <c r="O4" s="58">
        <v>-104.59028571428581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16504.429999999993</v>
      </c>
      <c r="E6" s="52">
        <v>-16504.429999999993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-36770.02999999999</v>
      </c>
      <c r="N6" s="54">
        <v>-52.5</v>
      </c>
      <c r="O6" s="58">
        <v>-82.16766480446925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0</v>
      </c>
      <c r="D12" s="52">
        <v>60555.25999999998</v>
      </c>
      <c r="E12" s="52">
        <v>-60555.25999999998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-63192.25999999998</v>
      </c>
      <c r="N12" s="54">
        <v>53</v>
      </c>
      <c r="O12" s="58">
        <v>-915.8298550724635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13833.64</v>
      </c>
      <c r="E14" s="52">
        <v>-13833.64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-16833.64</v>
      </c>
      <c r="N14" s="54">
        <v>-112</v>
      </c>
      <c r="O14" s="58">
        <v>150.30035714285714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4363.379999999997</v>
      </c>
      <c r="E16" s="52">
        <v>-4363.379999999997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-7363.379999999997</v>
      </c>
      <c r="N16" s="54">
        <v>-86.75</v>
      </c>
      <c r="O16" s="58">
        <v>84.88046109510084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14297.850000000006</v>
      </c>
      <c r="E18" s="52">
        <v>-14297.850000000006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-22497.850000000006</v>
      </c>
      <c r="N18" s="54">
        <v>-269</v>
      </c>
      <c r="O18" s="58">
        <v>119.03624338624341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10950.11</v>
      </c>
      <c r="E22" s="52">
        <v>-10950.11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-10947.11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9478.690000000002</v>
      </c>
      <c r="E24" s="52">
        <v>-9478.690000000002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-9475.690000000002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1159.83</v>
      </c>
      <c r="E26" s="52">
        <v>-1159.83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-1159.83</v>
      </c>
      <c r="N26" s="54">
        <v>-143.25</v>
      </c>
      <c r="O26" s="58">
        <v>8.096544502617801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10303.779999999999</v>
      </c>
      <c r="E38" s="52">
        <v>41736.780000000006</v>
      </c>
      <c r="F38" s="52">
        <v>0</v>
      </c>
      <c r="G38" s="53">
        <v>0.8020048208551177</v>
      </c>
      <c r="H38" s="53">
        <v>0.1750921737769</v>
      </c>
      <c r="I38" s="54"/>
      <c r="J38" s="52"/>
      <c r="K38" s="52">
        <v>0</v>
      </c>
      <c r="L38" s="53">
        <v>0.8020048208551177</v>
      </c>
      <c r="M38" s="52">
        <v>41736.780000000006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2218.25</v>
      </c>
      <c r="E48" s="99">
        <v>-2218.25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-4748.25</v>
      </c>
      <c r="N48" s="98">
        <v>-44.75</v>
      </c>
      <c r="O48" s="60">
        <v>106.10614525139665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2942.1800000000076</v>
      </c>
      <c r="E52" s="99">
        <v>-2942.1800000000076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-4222.180000000008</v>
      </c>
      <c r="N52" s="98">
        <v>-304.75</v>
      </c>
      <c r="O52" s="60">
        <v>15.480036663611394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1024.2599999999998</v>
      </c>
      <c r="E54" s="99">
        <v>-1024.2599999999998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-1664.2599999999998</v>
      </c>
      <c r="N54" s="98">
        <v>-11.25</v>
      </c>
      <c r="O54" s="60">
        <v>-350.37052631578945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11037.14</v>
      </c>
      <c r="E64" s="99">
        <v>-11037.14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-12787.14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21673.070000000007</v>
      </c>
      <c r="E66" s="99">
        <v>12977.329999999958</v>
      </c>
      <c r="F66" s="99"/>
      <c r="G66" s="100">
        <v>0.37452179484219433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0.28217076859141504</v>
      </c>
      <c r="M66" s="99">
        <v>9777.329999999958</v>
      </c>
      <c r="N66" s="98">
        <v>-1014.25</v>
      </c>
      <c r="O66" s="60">
        <v>-10.465432164838061</v>
      </c>
    </row>
    <row r="67" ht="15" customHeight="1" spans="1:30" x14ac:dyDescent="0.25">
      <c r="A67" s="102">
        <v>9437</v>
      </c>
      <c r="B67" s="98" t="s">
        <v>68</v>
      </c>
      <c r="C67" s="99">
        <v>10598.48</v>
      </c>
      <c r="D67" s="99">
        <v>18235.02</v>
      </c>
      <c r="E67" s="99">
        <v>-7636.540000000001</v>
      </c>
      <c r="F67" s="99"/>
      <c r="G67" s="100">
        <v>-0.7205316234026012</v>
      </c>
      <c r="H67" s="100">
        <f>'Deliverables Sheet'!AA256</f>
      </c>
      <c r="I67" s="98"/>
      <c r="J67" s="99"/>
      <c r="K67" s="99">
        <v>0</v>
      </c>
      <c r="L67" s="100">
        <v>-0.7205316234026012</v>
      </c>
      <c r="M67" s="99">
        <v>-7636.540000000001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397</v>
      </c>
      <c r="E71" s="99">
        <v>-397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-397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98702.24999999996</v>
      </c>
      <c r="D74" s="104">
        <v>206941.06999999998</v>
      </c>
      <c r="E74" s="105">
        <v>-108238.82000000004</v>
      </c>
      <c r="F74" s="106" t="s">
        <v>128</v>
      </c>
      <c r="G74" s="107">
        <v>-1.0966195806073324</v>
      </c>
      <c r="H74" s="108" t="s">
        <v>129</v>
      </c>
      <c r="I74" s="109">
        <v>-1.8081798540560132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605.75</v>
      </c>
      <c r="E4" s="54">
        <v>32.26999999999998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217</v>
      </c>
      <c r="E6" s="54">
        <v>146.57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750.5</v>
      </c>
      <c r="E12" s="54">
        <v>373.97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358.75</v>
      </c>
      <c r="E14" s="54">
        <v>143.07999999999998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660.25</v>
      </c>
      <c r="E18" s="54">
        <v>25.230000000000018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27.25</v>
      </c>
      <c r="E22" s="54">
        <v>166.07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95.5</v>
      </c>
      <c r="E48" s="54">
        <v>14.939999999999998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32.75</v>
      </c>
      <c r="E54" s="54">
        <v>92.42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1531.67</v>
      </c>
      <c r="E66" s="54">
        <v>880.7799999999997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