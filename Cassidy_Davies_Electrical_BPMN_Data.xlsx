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<sst xmlns="http://schemas.openxmlformats.org/spreadsheetml/2006/main" count="1187" uniqueCount="231">
  <si>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</si>
  <si>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</si>
  <si>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</si>
  <si>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</si>
  <si>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</si>
  <si>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</si>
  <si>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</si>
  <si>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</si>
  <si>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</si>
  <si>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</si>
  <si>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</si>
  <si>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</si>
  <si>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</si>
  <si>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</si>
  <si>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</si>
  <si>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</si>
  <si>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</si>
  <si>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</si>
  <si>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</si>
  <si>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</si>
  <si>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</si>
  <si>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</si>
  <si>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</si>
  <si>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</si>
  <si>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</si>
  <si>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</si>
  <si>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</si>
  <si>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</si>
  <si>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</si>
  <si>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</si>
  <si>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</si>
  <si>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</si>
  <si>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</si>
  <si>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</si>
  <si>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</si>
  <si>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</si>
  <si>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</si>
  <si>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</si>
  <si>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</si>
  <si>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</si>
  <si>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</si>
  <si>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</si>
  <si>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</si>
  <si>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</si>
  <si>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</si>
  <si>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</si>
  <si>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</si>
  <si>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</si>
  <si>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</si>
  <si>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</si>
  <si>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</si>
  <si>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</si>
  <si>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</si>
  <si>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</si>
  <si>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</si>
  <si>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</si>
  <si>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</si>
  <si>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Cameron Skilton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</si>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</sst>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57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 t="s">
        <v>27</v>
      </c>
      <c r="N52" s="14"/>
      <c r="O52" s="13" t="s">
        <v>33</v>
      </c>
      <c r="P52" s="18"/>
      <c r="Q52" s="15" t="s">
        <v>30</v>
      </c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58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59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60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61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62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63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64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65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66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67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68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69</v>
      </c>
      <c r="D2" s="38" t="s">
        <v>70</v>
      </c>
      <c r="E2" s="38" t="s">
        <v>71</v>
      </c>
      <c r="F2" s="39" t="s">
        <v>72</v>
      </c>
      <c r="G2" s="40" t="s">
        <v>73</v>
      </c>
      <c r="H2" s="38" t="s">
        <v>74</v>
      </c>
      <c r="I2" s="38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3" t="s">
        <v>81</v>
      </c>
      <c r="P2" s="43" t="s">
        <v>82</v>
      </c>
      <c r="Q2" s="39" t="s">
        <v>83</v>
      </c>
      <c r="R2" s="40" t="s">
        <v>84</v>
      </c>
      <c r="S2" s="44" t="s">
        <v>85</v>
      </c>
      <c r="T2" s="44" t="s">
        <v>86</v>
      </c>
      <c r="U2" s="45" t="s">
        <v>87</v>
      </c>
      <c r="V2" s="40" t="s">
        <v>88</v>
      </c>
      <c r="W2" s="42" t="s">
        <v>89</v>
      </c>
      <c r="X2" s="46" t="s">
        <v>90</v>
      </c>
      <c r="Y2" s="47" t="s">
        <v>91</v>
      </c>
      <c r="Z2" s="46" t="s">
        <v>92</v>
      </c>
      <c r="AA2" s="48" t="s">
        <v>93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94</v>
      </c>
      <c r="AI3" s="50" t="s">
        <v>95</v>
      </c>
    </row>
    <row r="4" ht="15" customHeight="1" spans="1:35" x14ac:dyDescent="0.25">
      <c r="A4" s="19">
        <v>7658</v>
      </c>
      <c r="B4" s="20" t="s">
        <v>25</v>
      </c>
      <c r="C4" s="51" t="s">
        <v>96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97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98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99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100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101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102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103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104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96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97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98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99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100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101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102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103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104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96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97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98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99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100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101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102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103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104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96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97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98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99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100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101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102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103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104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96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97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98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99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100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101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102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103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104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96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97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98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99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100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101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102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103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104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96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97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98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99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100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101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102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103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104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96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97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98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99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100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101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102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103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104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96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97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98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99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100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101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102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103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104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96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97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98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99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100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101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102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103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104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96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97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98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99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100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101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102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103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104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96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97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98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99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100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101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102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103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104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96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97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98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99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100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101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102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103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104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96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97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98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99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100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101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102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103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104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96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97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98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99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100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101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102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103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104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96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97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98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99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100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101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102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103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104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96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97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98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99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100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101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102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103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104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96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97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98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99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100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101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102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103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104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96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97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98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99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100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2:35" x14ac:dyDescent="0.25">
      <c r="B133" s="20"/>
      <c r="C133" s="51" t="s">
        <v>101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102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103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104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96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97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98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99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100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101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102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103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104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96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97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98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99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100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101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102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103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104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96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97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98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99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100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101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102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103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104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96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97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98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99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100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101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102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103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104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96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105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97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98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99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100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101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102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103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104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96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97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98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99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100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101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102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103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104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58</v>
      </c>
      <c r="C179" s="51" t="s">
        <v>96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97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98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99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100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101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102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103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104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59</v>
      </c>
      <c r="C186" s="51" t="s">
        <v>96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97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98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99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100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101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102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103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104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60</v>
      </c>
      <c r="C193" s="51" t="s">
        <v>96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97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98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99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100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101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102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103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104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96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97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98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99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100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101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102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103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104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61</v>
      </c>
      <c r="C207" s="51" t="s">
        <v>96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97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98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99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100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101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102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103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104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62</v>
      </c>
      <c r="C214" s="51" t="s">
        <v>96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97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98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99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100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101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102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103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104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63</v>
      </c>
      <c r="C221" s="51" t="s">
        <v>96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97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98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99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100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101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102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103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104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64</v>
      </c>
      <c r="C228" s="51" t="s">
        <v>96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98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100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101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103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104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65</v>
      </c>
      <c r="C235" s="51" t="s">
        <v>96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98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100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101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103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104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66</v>
      </c>
      <c r="C242" s="51" t="s">
        <v>96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98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100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101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103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104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67</v>
      </c>
      <c r="C249" s="51" t="s">
        <v>96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98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100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101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103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104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68</v>
      </c>
      <c r="C256" s="51" t="s">
        <v>96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98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100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101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103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104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18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16" x14ac:dyDescent="0.25">
      <c r="A2" s="80" t="s">
        <v>106</v>
      </c>
      <c r="B2" s="81" t="s">
        <v>107</v>
      </c>
      <c r="C2" s="82" t="s">
        <v>108</v>
      </c>
      <c r="D2" s="82" t="s">
        <v>109</v>
      </c>
      <c r="E2" s="82" t="s">
        <v>110</v>
      </c>
      <c r="F2" s="82" t="s">
        <v>111</v>
      </c>
      <c r="G2" s="83" t="s">
        <v>112</v>
      </c>
      <c r="H2" s="83" t="s">
        <v>113</v>
      </c>
      <c r="I2" s="81" t="s">
        <v>114</v>
      </c>
      <c r="J2" s="82" t="s">
        <v>115</v>
      </c>
      <c r="K2" s="82" t="s">
        <v>116</v>
      </c>
      <c r="L2" s="83" t="s">
        <v>117</v>
      </c>
      <c r="M2" s="83" t="s">
        <v>118</v>
      </c>
      <c r="N2" s="81" t="s">
        <v>119</v>
      </c>
      <c r="O2" s="84" t="s">
        <v>120</v>
      </c>
      <c r="P2" s="35"/>
    </row>
    <row r="3" ht="15" customHeight="1" spans="1:16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15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15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17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121</v>
      </c>
    </row>
    <row r="7" ht="7.5" customHeight="1" spans="1:15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15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15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15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15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17" x14ac:dyDescent="0.25">
      <c r="A12" s="85">
        <v>8183</v>
      </c>
      <c r="B12" s="54" t="s">
        <v>122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123</v>
      </c>
    </row>
    <row r="13" ht="7.5" customHeight="1" spans="1:15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15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15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15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15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17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124</v>
      </c>
    </row>
    <row r="19" ht="7.5" customHeight="1" spans="1:15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15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15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15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15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15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15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15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15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15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15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15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15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15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15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15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15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15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15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15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15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15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15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15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15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15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15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15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15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15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15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17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125</v>
      </c>
    </row>
    <row r="51" ht="7.5" customHeight="1" spans="1:15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15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15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15" x14ac:dyDescent="0.25">
      <c r="A54" s="59">
        <v>9351</v>
      </c>
      <c r="B54" s="98" t="s">
        <v>58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15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15" x14ac:dyDescent="0.25">
      <c r="A56" s="59">
        <v>7429</v>
      </c>
      <c r="B56" s="98" t="s">
        <v>59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15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15" x14ac:dyDescent="0.25">
      <c r="A58" s="59">
        <v>9508</v>
      </c>
      <c r="B58" s="98" t="s">
        <v>60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15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15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15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15" x14ac:dyDescent="0.25">
      <c r="A62" s="59"/>
      <c r="B62" s="98" t="s">
        <v>61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15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15" x14ac:dyDescent="0.25">
      <c r="A64" s="59">
        <v>8946</v>
      </c>
      <c r="B64" s="98" t="s">
        <v>62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15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15" x14ac:dyDescent="0.25">
      <c r="A66" s="102">
        <v>8308</v>
      </c>
      <c r="B66" s="98" t="s">
        <v>63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15" x14ac:dyDescent="0.25">
      <c r="A67" s="102">
        <v>9437</v>
      </c>
      <c r="B67" s="98" t="s">
        <v>68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15" x14ac:dyDescent="0.25">
      <c r="A68" s="102">
        <v>7480</v>
      </c>
      <c r="B68" s="98" t="s">
        <v>67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15" x14ac:dyDescent="0.25">
      <c r="A69" s="102">
        <v>8829</v>
      </c>
      <c r="B69" s="98" t="s">
        <v>66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15" x14ac:dyDescent="0.25">
      <c r="A70" s="102">
        <v>8386</v>
      </c>
      <c r="B70" s="98" t="s">
        <v>65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15" x14ac:dyDescent="0.25">
      <c r="A71" s="102">
        <v>8530</v>
      </c>
      <c r="B71" s="98" t="s">
        <v>64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15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15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15" x14ac:dyDescent="0.25">
      <c r="A74" s="49" t="s">
        <v>126</v>
      </c>
      <c r="B74" s="103" t="s">
        <v>127</v>
      </c>
      <c r="C74" s="104">
        <v>98702.24999999996</v>
      </c>
      <c r="D74" s="104">
        <v>90534.78999999996</v>
      </c>
      <c r="E74" s="105">
        <v>8167.459999999994</v>
      </c>
      <c r="F74" s="106" t="s">
        <v>128</v>
      </c>
      <c r="G74" s="107">
        <v>0.08274846824667115</v>
      </c>
      <c r="H74" s="108" t="s">
        <v>129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15" x14ac:dyDescent="0.25">
      <c r="A75" s="59"/>
      <c r="B75" s="98" t="s">
        <v>130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129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17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28" x14ac:dyDescent="0.25">
      <c r="A2" s="115"/>
      <c r="B2" s="116" t="s">
        <v>131</v>
      </c>
      <c r="C2" s="117" t="s">
        <v>132</v>
      </c>
      <c r="D2" s="117" t="s">
        <v>133</v>
      </c>
      <c r="E2" s="117" t="s">
        <v>134</v>
      </c>
      <c r="F2" s="117" t="s">
        <v>135</v>
      </c>
      <c r="G2" s="117" t="s">
        <v>136</v>
      </c>
      <c r="H2" s="117" t="s">
        <v>137</v>
      </c>
      <c r="I2" s="117" t="s">
        <v>138</v>
      </c>
      <c r="J2" s="117" t="s">
        <v>139</v>
      </c>
      <c r="K2" s="117" t="s">
        <v>140</v>
      </c>
      <c r="L2" s="117" t="s">
        <v>141</v>
      </c>
      <c r="M2" s="117" t="s">
        <v>142</v>
      </c>
      <c r="N2" s="117" t="s">
        <v>143</v>
      </c>
      <c r="O2" s="117" t="s">
        <v>144</v>
      </c>
      <c r="P2" s="117" t="s">
        <v>145</v>
      </c>
      <c r="Q2" s="118" t="s">
        <v>146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28" x14ac:dyDescent="0.25">
      <c r="A3" s="122" t="s">
        <v>147</v>
      </c>
      <c r="B3" s="123" t="s">
        <v>148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19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149</v>
      </c>
    </row>
    <row r="5" ht="6" customHeight="1" spans="1:17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19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150</v>
      </c>
    </row>
    <row r="7" ht="6" customHeight="1" spans="1:17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19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58</v>
      </c>
      <c r="P8" s="54"/>
      <c r="Q8" s="131"/>
      <c r="S8" s="35" t="s">
        <v>149</v>
      </c>
    </row>
    <row r="9" ht="6" customHeight="1" spans="1:17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19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149</v>
      </c>
    </row>
    <row r="11" ht="6" customHeight="1" spans="1:17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19" x14ac:dyDescent="0.25">
      <c r="A12" s="19">
        <v>8183</v>
      </c>
      <c r="B12" s="20" t="s">
        <v>122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80</v>
      </c>
      <c r="P12" s="54">
        <v>0</v>
      </c>
      <c r="Q12" s="131"/>
      <c r="S12" s="35" t="s">
        <v>30</v>
      </c>
    </row>
    <row r="13" ht="6" customHeight="1" spans="1:17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19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>
        <v>30</v>
      </c>
      <c r="P14" s="54"/>
      <c r="Q14" s="131"/>
      <c r="S14" s="35" t="s">
        <v>149</v>
      </c>
    </row>
    <row r="15" ht="6" customHeight="1" spans="1:17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17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17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17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17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17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17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17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17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17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80</v>
      </c>
      <c r="P24" s="54"/>
      <c r="Q24" s="131"/>
    </row>
    <row r="25" ht="6" customHeight="1" spans="1:17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17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17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19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17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19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0</v>
      </c>
      <c r="P30" s="54">
        <v>48</v>
      </c>
      <c r="Q30" s="131">
        <v>16</v>
      </c>
      <c r="S30" s="139"/>
    </row>
    <row r="31" ht="6" customHeight="1" spans="1:17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17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17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17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17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17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17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19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17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17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>
        <v>58</v>
      </c>
      <c r="P40" s="54">
        <v>16</v>
      </c>
      <c r="Q40" s="131">
        <v>72</v>
      </c>
    </row>
    <row r="41" ht="6" customHeight="1" spans="1:17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19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17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19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17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17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17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17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17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17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17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19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17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19" x14ac:dyDescent="0.25">
      <c r="A54" s="19">
        <v>9351</v>
      </c>
      <c r="B54" s="20" t="s">
        <v>58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17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19" x14ac:dyDescent="0.25">
      <c r="A56" s="19">
        <v>7429</v>
      </c>
      <c r="B56" s="20" t="s">
        <v>59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17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17" x14ac:dyDescent="0.25">
      <c r="A58" s="19">
        <v>9508</v>
      </c>
      <c r="B58" s="20" t="s">
        <v>60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17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17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17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17" x14ac:dyDescent="0.25">
      <c r="A62" s="19"/>
      <c r="B62" s="20" t="s">
        <v>61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17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17" x14ac:dyDescent="0.25">
      <c r="A64" s="19">
        <v>8946</v>
      </c>
      <c r="B64" s="20" t="s">
        <v>62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17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17" x14ac:dyDescent="0.25">
      <c r="A66" s="19">
        <v>8308</v>
      </c>
      <c r="B66" s="20" t="s">
        <v>63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17" x14ac:dyDescent="0.25">
      <c r="A67" s="19">
        <v>9437</v>
      </c>
      <c r="B67" s="20" t="s">
        <v>68</v>
      </c>
      <c r="C67" s="54">
        <v>547.57</v>
      </c>
      <c r="D67" s="54">
        <v>27.84</v>
      </c>
      <c r="E67" s="54">
        <v>519.73</v>
      </c>
      <c r="F67" s="54">
        <v>240</v>
      </c>
      <c r="G67" s="54"/>
      <c r="H67" s="54"/>
      <c r="I67" s="54"/>
      <c r="J67" s="54"/>
      <c r="K67" s="54"/>
      <c r="L67" s="54"/>
      <c r="M67" s="54"/>
      <c r="N67" s="54"/>
      <c r="O67" s="54">
        <v>0</v>
      </c>
      <c r="P67" s="54">
        <v>0</v>
      </c>
      <c r="Q67" s="54">
        <v>240</v>
      </c>
    </row>
    <row r="68" ht="15" customHeight="1" spans="1:17" x14ac:dyDescent="0.25">
      <c r="A68" s="19">
        <v>7480</v>
      </c>
      <c r="B68" s="20" t="s">
        <v>67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>
        <v>56</v>
      </c>
      <c r="P68" s="54">
        <v>16</v>
      </c>
      <c r="Q68" s="54">
        <v>68</v>
      </c>
    </row>
    <row r="69" ht="15" customHeight="1" spans="1:17" x14ac:dyDescent="0.25">
      <c r="A69" s="19">
        <v>8829</v>
      </c>
      <c r="B69" s="20" t="s">
        <v>66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17" x14ac:dyDescent="0.25">
      <c r="A70" s="19">
        <v>8386</v>
      </c>
      <c r="B70" s="20" t="s">
        <v>65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72</v>
      </c>
      <c r="P70" s="54">
        <v>18</v>
      </c>
      <c r="Q70" s="54">
        <v>90</v>
      </c>
    </row>
    <row r="71" ht="15" customHeight="1" spans="1:17" x14ac:dyDescent="0.25">
      <c r="A71" s="19">
        <v>8530</v>
      </c>
      <c r="B71" s="20" t="s">
        <v>64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>
        <v>20</v>
      </c>
      <c r="P71" s="54">
        <v>16</v>
      </c>
      <c r="Q71" s="54"/>
    </row>
    <row r="72" ht="15" customHeight="1" spans="1:17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17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17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17" x14ac:dyDescent="0.25">
      <c r="A75" s="142"/>
      <c r="B75" s="146" t="s">
        <v>151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17" x14ac:dyDescent="0.25">
      <c r="A76" s="142"/>
      <c r="B76" s="77" t="s">
        <v>152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17" x14ac:dyDescent="0.25">
      <c r="A77" s="142"/>
      <c r="B77" s="77" t="s">
        <v>153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17" x14ac:dyDescent="0.25">
      <c r="A78" s="142"/>
      <c r="B78" s="148" t="s">
        <v>154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17" x14ac:dyDescent="0.25">
      <c r="A79" s="142"/>
      <c r="B79" s="151" t="s">
        <v>155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17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17" x14ac:dyDescent="0.25">
      <c r="A81" s="142"/>
      <c r="B81" s="156" t="s">
        <v>156</v>
      </c>
      <c r="C81" s="157" t="s">
        <v>157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17" x14ac:dyDescent="0.25">
      <c r="A82" s="161"/>
      <c r="B82" s="162" t="s">
        <v>158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17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17" x14ac:dyDescent="0.25">
      <c r="A84" s="35"/>
      <c r="B84" s="164" t="s">
        <v>159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160</v>
      </c>
      <c r="M84" s="166"/>
      <c r="N84" s="35"/>
      <c r="O84" s="35"/>
      <c r="P84" s="35"/>
      <c r="Q84" s="35"/>
    </row>
    <row r="85" ht="15" customHeight="1" spans="1:17" x14ac:dyDescent="0.25">
      <c r="A85" s="35"/>
      <c r="B85" s="167" t="s">
        <v>161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17" x14ac:dyDescent="0.25">
      <c r="A86" s="35"/>
      <c r="B86" s="19" t="s">
        <v>162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17" x14ac:dyDescent="0.25">
      <c r="A87" s="35"/>
      <c r="B87" s="19" t="s">
        <v>163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17" x14ac:dyDescent="0.25">
      <c r="A88" s="35"/>
      <c r="B88" s="19" t="s">
        <v>164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17" x14ac:dyDescent="0.25">
      <c r="A89" s="35"/>
      <c r="B89" s="19" t="s">
        <v>165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17" x14ac:dyDescent="0.25">
      <c r="A90" s="35"/>
      <c r="B90" s="19" t="s">
        <v>166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17" x14ac:dyDescent="0.25">
      <c r="A91" s="35"/>
      <c r="B91" s="19" t="s">
        <v>167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17" x14ac:dyDescent="0.25">
      <c r="A92" s="35"/>
      <c r="B92" s="19" t="s">
        <v>168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17" x14ac:dyDescent="0.25">
      <c r="A93" s="35"/>
      <c r="B93" s="19" t="s">
        <v>169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17" x14ac:dyDescent="0.25">
      <c r="A94" s="35"/>
      <c r="B94" s="19" t="s">
        <v>170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17" x14ac:dyDescent="0.25">
      <c r="A95" s="35"/>
      <c r="B95" s="19" t="s">
        <v>171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17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17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17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17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17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17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17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17" x14ac:dyDescent="0.25">
      <c r="A103" s="35"/>
      <c r="B103" s="19" t="s">
        <v>172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17" x14ac:dyDescent="0.25">
      <c r="A104" s="35"/>
      <c r="B104" s="19" t="s">
        <v>173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17" x14ac:dyDescent="0.25">
      <c r="A105" s="35"/>
      <c r="B105" s="19" t="s">
        <v>174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17" x14ac:dyDescent="0.25">
      <c r="A106" s="35"/>
      <c r="B106" s="19" t="s">
        <v>175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17" x14ac:dyDescent="0.25">
      <c r="A107" s="35"/>
      <c r="B107" s="19" t="s">
        <v>176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17" x14ac:dyDescent="0.25">
      <c r="A108" s="35"/>
      <c r="B108" s="19" t="s">
        <v>177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17" x14ac:dyDescent="0.25">
      <c r="A109" s="35"/>
      <c r="B109" s="19" t="s">
        <v>178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17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17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17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17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17" x14ac:dyDescent="0.25">
      <c r="A114" s="35"/>
      <c r="B114" s="164" t="s">
        <v>179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180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 t="s">
        <v>181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 t="s">
        <v>182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175" t="s">
        <v>183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29" x14ac:dyDescent="0.25">
      <c r="A6" s="176" t="s">
        <v>184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177" t="s">
        <v>185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29" x14ac:dyDescent="0.25">
      <c r="A8" s="176" t="s">
        <v>186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178" t="s">
        <v>187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29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29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29" x14ac:dyDescent="0.25">
      <c r="A12" s="181" t="s">
        <v>188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29" x14ac:dyDescent="0.25">
      <c r="A13" s="182" t="s">
        <v>189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29" x14ac:dyDescent="0.25">
      <c r="A14" s="183" t="s">
        <v>190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29" x14ac:dyDescent="0.25">
      <c r="A15" s="172" t="s">
        <v>191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29" x14ac:dyDescent="0.25">
      <c r="A16" s="184" t="s">
        <v>192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29" x14ac:dyDescent="0.25">
      <c r="A17" s="185" t="s">
        <v>193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29" x14ac:dyDescent="0.25">
      <c r="A18" s="186" t="s">
        <v>194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29" x14ac:dyDescent="0.25">
      <c r="A19" s="178" t="s">
        <v>195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29" x14ac:dyDescent="0.25">
      <c r="A20" s="187" t="s">
        <v>196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29" x14ac:dyDescent="0.25">
      <c r="A21" s="188" t="s">
        <v>197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29" x14ac:dyDescent="0.25">
      <c r="A22" s="188" t="s">
        <v>198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29" x14ac:dyDescent="0.25">
      <c r="A23" s="188" t="s">
        <v>199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29" x14ac:dyDescent="0.25">
      <c r="A24" s="188" t="s">
        <v>200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29" x14ac:dyDescent="0.25">
      <c r="A25" s="189" t="s">
        <v>201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29" x14ac:dyDescent="0.25">
      <c r="A26" s="181" t="s">
        <v>202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29" x14ac:dyDescent="0.25">
      <c r="A27" s="190" t="s">
        <v>203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28" x14ac:dyDescent="0.25">
      <c r="A28" s="172" t="s">
        <v>204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190" t="s">
        <v>205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28" x14ac:dyDescent="0.25">
      <c r="A30" s="191" t="s">
        <v>206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28" x14ac:dyDescent="0.25">
      <c r="A31" s="191" t="s">
        <v>207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28" x14ac:dyDescent="0.25">
      <c r="A32" s="191" t="s">
        <v>208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28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28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28" x14ac:dyDescent="0.25">
      <c r="A35" s="192" t="s">
        <v>209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28" x14ac:dyDescent="0.25">
      <c r="A36" s="193" t="s">
        <v>210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28" x14ac:dyDescent="0.25">
      <c r="A37" s="194" t="s">
        <v>211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28" x14ac:dyDescent="0.25">
      <c r="A38" s="179" t="s">
        <v>212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28" x14ac:dyDescent="0.25">
      <c r="A39" s="181" t="s">
        <v>213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28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28" x14ac:dyDescent="0.25">
      <c r="A41" s="172" t="s">
        <v>214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28" x14ac:dyDescent="0.25">
      <c r="A42" s="196" t="s">
        <v>215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28" x14ac:dyDescent="0.25">
      <c r="A43" s="172" t="s">
        <v>216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28" x14ac:dyDescent="0.25">
      <c r="A44" s="197" t="s">
        <v>217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28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28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28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28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28" x14ac:dyDescent="0.25">
      <c r="A49" s="172" t="s">
        <v>218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28" x14ac:dyDescent="0.25">
      <c r="A50" s="200" t="s">
        <v>219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28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28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28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28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28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28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C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2" ht="15" customHeight="1" spans="1:28" x14ac:dyDescent="0.25">
      <c r="A2" s="171" t="s">
        <v>220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29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29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29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29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29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29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29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29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29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29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29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29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29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29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29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29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29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29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29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28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28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28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28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28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28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28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28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28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28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28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28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28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28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28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28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28" x14ac:dyDescent="0.25">
      <c r="A38" s="172" t="s">
        <v>218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28" x14ac:dyDescent="0.25">
      <c r="A39" s="200" t="s">
        <v>219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28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28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28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28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28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28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69</v>
      </c>
      <c r="D2" s="43" t="s">
        <v>70</v>
      </c>
      <c r="E2" s="43" t="s">
        <v>71</v>
      </c>
      <c r="F2" s="39" t="s">
        <v>72</v>
      </c>
      <c r="G2" s="40" t="s">
        <v>73</v>
      </c>
      <c r="H2" s="43" t="s">
        <v>74</v>
      </c>
      <c r="I2" s="43" t="s">
        <v>75</v>
      </c>
      <c r="J2" s="41" t="s">
        <v>76</v>
      </c>
      <c r="K2" s="41" t="s">
        <v>77</v>
      </c>
      <c r="L2" s="39" t="s">
        <v>78</v>
      </c>
      <c r="M2" s="40" t="s">
        <v>79</v>
      </c>
      <c r="N2" s="42" t="s">
        <v>80</v>
      </c>
      <c r="O2" s="42" t="s">
        <v>221</v>
      </c>
      <c r="P2" s="42" t="s">
        <v>222</v>
      </c>
      <c r="Q2" s="42" t="s">
        <v>223</v>
      </c>
      <c r="R2" s="43" t="s">
        <v>81</v>
      </c>
      <c r="S2" s="43" t="s">
        <v>82</v>
      </c>
      <c r="T2" s="39" t="s">
        <v>83</v>
      </c>
      <c r="U2" s="40" t="s">
        <v>84</v>
      </c>
      <c r="V2" s="214" t="s">
        <v>85</v>
      </c>
      <c r="W2" s="214" t="s">
        <v>86</v>
      </c>
      <c r="X2" s="45" t="s">
        <v>87</v>
      </c>
      <c r="Y2" s="40" t="s">
        <v>88</v>
      </c>
      <c r="Z2" s="42" t="s">
        <v>89</v>
      </c>
      <c r="AA2" s="46" t="s">
        <v>90</v>
      </c>
      <c r="AB2" s="47" t="s">
        <v>91</v>
      </c>
      <c r="AC2" s="46" t="s">
        <v>92</v>
      </c>
      <c r="AD2" s="48" t="s">
        <v>93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94</v>
      </c>
      <c r="AL3" s="50" t="s">
        <v>95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96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97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98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99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100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101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102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103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104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96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97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98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99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100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101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102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103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104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96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97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98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99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100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101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102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103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104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96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97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98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99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100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101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102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103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104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96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97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98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99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100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101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102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103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104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96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97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98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99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100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101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102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103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104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96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97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98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99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100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101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102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103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104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96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97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98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99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100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101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102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103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104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96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97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98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99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100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101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102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103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104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96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97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98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99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100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101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102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103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104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96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97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98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99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100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101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102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103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104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96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97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98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99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100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101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102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103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104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96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97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98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99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100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101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102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103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104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96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97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98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99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100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101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102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103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104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96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97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98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99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100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101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102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103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104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96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97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98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99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100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101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102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103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104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96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97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98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99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100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101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102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103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104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96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97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98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99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100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101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102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103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104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96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97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98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99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100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101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102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103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104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96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97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98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99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100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101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102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103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104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96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97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98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99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100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101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102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103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104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96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97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98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99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100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101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102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103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104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96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97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98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99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100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101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102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103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104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96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97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98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99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100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101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102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103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104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96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97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98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99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100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101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102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103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104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96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97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98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99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100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101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102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103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104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96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97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98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99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100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101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102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103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104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96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97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98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99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100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101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102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103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104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96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97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98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99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100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101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102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103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104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96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97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98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99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100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101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102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103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104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96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97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98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99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100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101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102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103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104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96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97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98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99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100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101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102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103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104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1" x14ac:dyDescent="0.25">
      <c r="A1" s="35"/>
    </row>
    <row r="2" spans="1:1" x14ac:dyDescent="0.25">
      <c r="A2" s="35"/>
    </row>
    <row r="3" ht="15" customHeight="1" spans="1:4" x14ac:dyDescent="0.25">
      <c r="A3" s="35">
        <v>340</v>
      </c>
      <c r="B3" s="35" t="s">
        <v>224</v>
      </c>
      <c r="C3" s="35" t="s">
        <v>225</v>
      </c>
      <c r="D3" s="35" t="s">
        <v>226</v>
      </c>
    </row>
    <row r="4" ht="15" customHeight="1" spans="1:4" x14ac:dyDescent="0.25">
      <c r="A4" s="35" t="s">
        <v>227</v>
      </c>
      <c r="B4" s="35">
        <v>30</v>
      </c>
      <c r="D4" s="37">
        <f>SUM(B4/A3)</f>
        <v>0.0882352941176471</v>
      </c>
    </row>
    <row r="5" ht="15" customHeight="1" spans="1:16" x14ac:dyDescent="0.25">
      <c r="A5" s="35" t="s">
        <v>228</v>
      </c>
      <c r="B5" s="35">
        <v>60</v>
      </c>
      <c r="P5" s="35">
        <v>95.35</v>
      </c>
    </row>
    <row r="6" ht="15" customHeight="1" spans="1:16" x14ac:dyDescent="0.25">
      <c r="A6" s="35" t="s">
        <v>229</v>
      </c>
      <c r="B6" s="35">
        <v>100</v>
      </c>
      <c r="P6" s="35">
        <v>102.69</v>
      </c>
    </row>
    <row r="7" ht="15" customHeight="1" spans="1:16" x14ac:dyDescent="0.25">
      <c r="A7" s="35" t="s">
        <v>230</v>
      </c>
      <c r="B7" s="35">
        <v>150</v>
      </c>
      <c r="P7" s="35">
        <v>134.82</v>
      </c>
    </row>
    <row r="8" ht="15" customHeight="1" spans="1:16" x14ac:dyDescent="0.25">
      <c r="A8" s="35"/>
      <c r="P8" s="35">
        <v>324.19</v>
      </c>
    </row>
    <row r="9" ht="15" customHeight="1" spans="1:16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