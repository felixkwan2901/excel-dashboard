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mc:AlternateContent xmlns:mc="http://schemas.openxmlformats.org/markup-compatibility/2006">
    <mc:Choice Requires="x15">
      <x15ac:absPath xmlns:x15ac="http://schemas.microsoft.com/office/spreadsheetml/2010/11/ac" url="C:\Users\RanjithRangarajan\Downloads\"/>
    </mc:Choice>
  </mc:AlternateContent>
  <xr:revisionPtr revIDLastSave="12387" documentId="13_ncr:1_{EADB9654-FB40-453B-BFA1-91BB1145E07C}" xr6:coauthVersionLast="47" xr6:coauthVersionMax="47" xr10:uidLastSave="{6EFE6922-7765-480D-9415-0BC3B17682E6}"/>
  <bookViews>
    <workbookView xWindow="28680" yWindow="-120" windowWidth="29040" windowHeight="15720" firstSheet="3" activeTab="3" xr2:uid="{00000000-000D-0000-FFFF-FFFF00000000}"/>
  </bookViews>
  <sheets>
    <sheet name="Main Sheet" sheetId="1" r:id="rId1"/>
    <sheet name="Deliverables Sheet" sheetId="2" r:id="rId2"/>
    <sheet name="Claim Calculator By Month" sheetId="4" r:id="rId3"/>
    <sheet name="Upcoming Work Calculator" sheetId="3" r:id="rId4"/>
    <sheet name="Note Cam (To Do)" sheetId="5" r:id="rId5"/>
    <sheet name="Note Tom (To Do) " sheetId="7" r:id="rId6"/>
    <sheet name="Deliverables_RR_Test_Sheet (2)" sheetId="8" r:id="rId7"/>
    <sheet name="Sheet1" sheetId="6"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1" i="2" l="1"/>
  <c r="J14" i="2"/>
  <c r="K109" i="2"/>
  <c r="U33" i="2"/>
  <c r="U34" i="2"/>
  <c r="U35" i="2"/>
  <c r="U36" i="2"/>
  <c r="U37" i="2"/>
  <c r="U19" i="2"/>
  <c r="U20" i="2"/>
  <c r="U21" i="2"/>
  <c r="U22" i="2"/>
  <c r="U23" i="2"/>
  <c r="E20" i="4"/>
  <c r="E4" i="4"/>
  <c r="E6" i="4"/>
  <c r="E8" i="4"/>
  <c r="E12" i="4"/>
  <c r="A16" i="4"/>
  <c r="K8" i="4"/>
  <c r="K12" i="4"/>
  <c r="K16" i="4"/>
  <c r="K18" i="4"/>
  <c r="K20" i="4"/>
  <c r="K22" i="4"/>
  <c r="K24" i="4"/>
  <c r="K4" i="4"/>
  <c r="K6" i="4"/>
  <c r="U93" i="2"/>
  <c r="J5" i="2"/>
  <c r="U39" i="2"/>
  <c r="F39" i="2"/>
  <c r="F40" i="2"/>
  <c r="U11" i="2"/>
  <c r="B46" i="2"/>
  <c r="B39" i="2"/>
  <c r="A39" i="2"/>
  <c r="A46" i="2"/>
  <c r="A32" i="2"/>
  <c r="E14" i="4"/>
  <c r="E16" i="4"/>
  <c r="E18" i="4"/>
  <c r="E22" i="4"/>
  <c r="E24" i="4"/>
  <c r="E10" i="4"/>
  <c r="B32" i="2"/>
  <c r="B25" i="2"/>
  <c r="AA16" i="2"/>
  <c r="K179" i="2"/>
  <c r="K180" i="2"/>
  <c r="N71" i="3"/>
  <c r="C50" i="3" a="1"/>
  <c r="C50" i="3"/>
  <c r="D50" i="3" a="1"/>
  <c r="D50" i="3"/>
  <c r="C48" i="3" a="1"/>
  <c r="C48" i="3"/>
  <c r="D48" i="3" a="1"/>
  <c r="D48" i="3"/>
  <c r="B48" i="3"/>
  <c r="B50" i="3"/>
  <c r="M71" i="3"/>
  <c r="L71" i="3"/>
  <c r="K71" i="3"/>
  <c r="J71" i="3"/>
  <c r="I71" i="3"/>
  <c r="G6" i="4"/>
  <c r="L6" i="4"/>
  <c r="M6" i="4"/>
  <c r="Q61" i="2"/>
  <c r="A6" i="3"/>
  <c r="A25" i="2"/>
  <c r="AA19" i="2"/>
  <c r="AA20" i="2"/>
  <c r="AA21" i="2"/>
  <c r="AA22" i="2"/>
  <c r="AA23" i="2"/>
  <c r="J19" i="2"/>
  <c r="J20" i="2"/>
  <c r="J21" i="2"/>
  <c r="J22" i="2"/>
  <c r="J23" i="2"/>
  <c r="F103" i="2"/>
  <c r="D28" i="3" a="1"/>
  <c r="D28" i="3"/>
  <c r="C28" i="3" a="1"/>
  <c r="C28" i="3"/>
  <c r="U75" i="2"/>
  <c r="V75" i="2" s="1"/>
  <c r="K42" i="2"/>
  <c r="K43" i="2"/>
  <c r="K44" i="2"/>
  <c r="J42" i="2"/>
  <c r="J43" i="2"/>
  <c r="J44" i="2"/>
  <c r="F41" i="2"/>
  <c r="G41" i="2"/>
  <c r="J41" i="2"/>
  <c r="K41" i="2"/>
  <c r="L41" i="2"/>
  <c r="M41" i="2"/>
  <c r="Q41" i="2"/>
  <c r="R41" i="2"/>
  <c r="U41" i="2"/>
  <c r="V41" i="2"/>
  <c r="X41" i="2"/>
  <c r="Y41" i="2"/>
  <c r="Z41" i="2"/>
  <c r="AA41" i="2"/>
  <c r="K214" i="2"/>
  <c r="K215" i="2"/>
  <c r="J214" i="2"/>
  <c r="J215" i="2"/>
  <c r="F215" i="2"/>
  <c r="F216" i="2"/>
  <c r="F208" i="2"/>
  <c r="F209" i="2"/>
  <c r="J179" i="2"/>
  <c r="J180" i="2"/>
  <c r="F180" i="2"/>
  <c r="F181" i="2"/>
  <c r="F159" i="2"/>
  <c r="F160" i="2"/>
  <c r="J193" i="2"/>
  <c r="J194" i="2"/>
  <c r="F194" i="2"/>
  <c r="F195" i="2"/>
  <c r="J186" i="2"/>
  <c r="J187" i="2"/>
  <c r="F187" i="2"/>
  <c r="J172" i="2"/>
  <c r="J173" i="2"/>
  <c r="D30" i="3" a="1"/>
  <c r="D30" i="3"/>
  <c r="J84" i="2"/>
  <c r="J85" i="2"/>
  <c r="J86" i="2"/>
  <c r="J4" i="8"/>
  <c r="K4" i="8"/>
  <c r="Q4" i="8"/>
  <c r="L4" i="8"/>
  <c r="AD226" i="8"/>
  <c r="X226" i="8"/>
  <c r="Y226" i="8" s="1"/>
  <c r="T226" i="8"/>
  <c r="U226" i="8" s="1"/>
  <c r="K226" i="8"/>
  <c r="J226" i="8"/>
  <c r="F226" i="8"/>
  <c r="G226" i="8" s="1"/>
  <c r="AK225" i="8"/>
  <c r="AD225" i="8"/>
  <c r="X225" i="8"/>
  <c r="Y225" i="8" s="1"/>
  <c r="T225" i="8"/>
  <c r="U225" i="8" s="1"/>
  <c r="K225" i="8"/>
  <c r="J225" i="8"/>
  <c r="F225" i="8"/>
  <c r="G225" i="8" s="1"/>
  <c r="AK224" i="8"/>
  <c r="AD224" i="8"/>
  <c r="X224" i="8"/>
  <c r="Y224" i="8" s="1"/>
  <c r="T224" i="8"/>
  <c r="U224" i="8" s="1"/>
  <c r="K224" i="8"/>
  <c r="J224" i="8"/>
  <c r="F224" i="8"/>
  <c r="G224" i="8" s="1"/>
  <c r="AK223" i="8"/>
  <c r="AD223" i="8"/>
  <c r="X223" i="8"/>
  <c r="Y223" i="8" s="1"/>
  <c r="T223" i="8"/>
  <c r="U223" i="8" s="1"/>
  <c r="K223" i="8"/>
  <c r="J223" i="8"/>
  <c r="F223" i="8"/>
  <c r="G223" i="8" s="1"/>
  <c r="AL222" i="8"/>
  <c r="AK222" i="8"/>
  <c r="AD222" i="8"/>
  <c r="AC222" i="8"/>
  <c r="AB222" i="8"/>
  <c r="AA222" i="8"/>
  <c r="X222" i="8"/>
  <c r="Y222" i="8" s="1"/>
  <c r="T222" i="8"/>
  <c r="U222" i="8" s="1"/>
  <c r="L222" i="8"/>
  <c r="M222" i="8" s="1"/>
  <c r="G222" i="8"/>
  <c r="AL221" i="8"/>
  <c r="AK221" i="8"/>
  <c r="AK226" i="8" s="1"/>
  <c r="AH221" i="8"/>
  <c r="AD221" i="8"/>
  <c r="AC221" i="8"/>
  <c r="AB221" i="8"/>
  <c r="AA221" i="8"/>
  <c r="X221" i="8"/>
  <c r="Y221" i="8" s="1"/>
  <c r="T221" i="8"/>
  <c r="U221" i="8" s="1"/>
  <c r="L221" i="8"/>
  <c r="M221" i="8" s="1"/>
  <c r="F221" i="8"/>
  <c r="G221" i="8" s="1"/>
  <c r="B221" i="8"/>
  <c r="A221" i="8"/>
  <c r="AD219" i="8"/>
  <c r="X219" i="8"/>
  <c r="Y219" i="8" s="1"/>
  <c r="T219" i="8"/>
  <c r="U219" i="8" s="1"/>
  <c r="K219" i="8"/>
  <c r="J219" i="8"/>
  <c r="F219" i="8"/>
  <c r="G219" i="8" s="1"/>
  <c r="AK218" i="8"/>
  <c r="AD218" i="8"/>
  <c r="X218" i="8"/>
  <c r="Y218" i="8" s="1"/>
  <c r="T218" i="8"/>
  <c r="U218" i="8" s="1"/>
  <c r="K218" i="8"/>
  <c r="J218" i="8"/>
  <c r="F218" i="8"/>
  <c r="G218" i="8" s="1"/>
  <c r="AK217" i="8"/>
  <c r="AD217" i="8"/>
  <c r="X217" i="8"/>
  <c r="Y217" i="8" s="1"/>
  <c r="T217" i="8"/>
  <c r="U217" i="8" s="1"/>
  <c r="K217" i="8"/>
  <c r="J217" i="8"/>
  <c r="F217" i="8"/>
  <c r="G217" i="8" s="1"/>
  <c r="AK216" i="8"/>
  <c r="AD216" i="8"/>
  <c r="X216" i="8"/>
  <c r="Y216" i="8" s="1"/>
  <c r="T216" i="8"/>
  <c r="U216" i="8" s="1"/>
  <c r="K216" i="8"/>
  <c r="J216" i="8"/>
  <c r="F216" i="8"/>
  <c r="G216" i="8" s="1"/>
  <c r="AL215" i="8"/>
  <c r="AK215" i="8"/>
  <c r="AD215" i="8"/>
  <c r="AC215" i="8"/>
  <c r="AB215" i="8"/>
  <c r="AA215" i="8"/>
  <c r="X215" i="8"/>
  <c r="Y215" i="8" s="1"/>
  <c r="T215" i="8"/>
  <c r="U215" i="8" s="1"/>
  <c r="L215" i="8"/>
  <c r="M215" i="8" s="1"/>
  <c r="G215" i="8"/>
  <c r="AL214" i="8"/>
  <c r="AK214" i="8"/>
  <c r="AK219" i="8" s="1"/>
  <c r="AH214" i="8"/>
  <c r="AD214" i="8"/>
  <c r="AC214" i="8"/>
  <c r="AB214" i="8"/>
  <c r="AA214" i="8"/>
  <c r="X214" i="8"/>
  <c r="Y214" i="8" s="1"/>
  <c r="T214" i="8"/>
  <c r="U214" i="8" s="1"/>
  <c r="L214" i="8"/>
  <c r="M214" i="8" s="1"/>
  <c r="F214" i="8"/>
  <c r="G214" i="8" s="1"/>
  <c r="B214" i="8"/>
  <c r="A214" i="8"/>
  <c r="AD212" i="8"/>
  <c r="X212" i="8"/>
  <c r="Y212" i="8" s="1"/>
  <c r="T212" i="8"/>
  <c r="U212" i="8" s="1"/>
  <c r="K212" i="8"/>
  <c r="J212" i="8"/>
  <c r="F212" i="8"/>
  <c r="G212" i="8" s="1"/>
  <c r="AK211" i="8"/>
  <c r="AD211" i="8"/>
  <c r="X211" i="8"/>
  <c r="Y211" i="8" s="1"/>
  <c r="T211" i="8"/>
  <c r="U211" i="8" s="1"/>
  <c r="K211" i="8"/>
  <c r="J211" i="8"/>
  <c r="F211" i="8"/>
  <c r="G211" i="8" s="1"/>
  <c r="AK210" i="8"/>
  <c r="AD210" i="8"/>
  <c r="X210" i="8"/>
  <c r="Y210" i="8" s="1"/>
  <c r="T210" i="8"/>
  <c r="U210" i="8" s="1"/>
  <c r="K210" i="8"/>
  <c r="J210" i="8"/>
  <c r="F210" i="8"/>
  <c r="G210" i="8" s="1"/>
  <c r="AK209" i="8"/>
  <c r="AD209" i="8"/>
  <c r="X209" i="8"/>
  <c r="Y209" i="8" s="1"/>
  <c r="T209" i="8"/>
  <c r="U209" i="8" s="1"/>
  <c r="K209" i="8"/>
  <c r="J209" i="8"/>
  <c r="F209" i="8"/>
  <c r="G209" i="8" s="1"/>
  <c r="AL208" i="8"/>
  <c r="AK208" i="8"/>
  <c r="AD208" i="8"/>
  <c r="AC208" i="8"/>
  <c r="AB208" i="8"/>
  <c r="AA208" i="8"/>
  <c r="X208" i="8"/>
  <c r="Y208" i="8" s="1"/>
  <c r="T208" i="8"/>
  <c r="U208" i="8" s="1"/>
  <c r="L208" i="8"/>
  <c r="M208" i="8" s="1"/>
  <c r="G208" i="8"/>
  <c r="AL207" i="8"/>
  <c r="AK207" i="8"/>
  <c r="AK212" i="8" s="1"/>
  <c r="AH207" i="8"/>
  <c r="AD207" i="8"/>
  <c r="AC207" i="8"/>
  <c r="AB207" i="8"/>
  <c r="AA207" i="8"/>
  <c r="X207" i="8"/>
  <c r="Y207" i="8" s="1"/>
  <c r="T207" i="8"/>
  <c r="U207" i="8" s="1"/>
  <c r="L207" i="8"/>
  <c r="M207" i="8" s="1"/>
  <c r="F207" i="8"/>
  <c r="G207" i="8" s="1"/>
  <c r="B207" i="8"/>
  <c r="A207" i="8"/>
  <c r="AD205" i="8"/>
  <c r="X205" i="8"/>
  <c r="Y205" i="8" s="1"/>
  <c r="T205" i="8"/>
  <c r="U205" i="8" s="1"/>
  <c r="K205" i="8"/>
  <c r="J205" i="8"/>
  <c r="F205" i="8"/>
  <c r="G205" i="8" s="1"/>
  <c r="AK204" i="8"/>
  <c r="AD204" i="8"/>
  <c r="X204" i="8"/>
  <c r="Y204" i="8" s="1"/>
  <c r="T204" i="8"/>
  <c r="U204" i="8" s="1"/>
  <c r="K204" i="8"/>
  <c r="J204" i="8"/>
  <c r="F204" i="8"/>
  <c r="G204" i="8" s="1"/>
  <c r="AK203" i="8"/>
  <c r="AD203" i="8"/>
  <c r="X203" i="8"/>
  <c r="Y203" i="8" s="1"/>
  <c r="T203" i="8"/>
  <c r="U203" i="8" s="1"/>
  <c r="K203" i="8"/>
  <c r="J203" i="8"/>
  <c r="F203" i="8"/>
  <c r="G203" i="8" s="1"/>
  <c r="AK202" i="8"/>
  <c r="AD202" i="8"/>
  <c r="X202" i="8"/>
  <c r="Y202" i="8" s="1"/>
  <c r="T202" i="8"/>
  <c r="U202" i="8" s="1"/>
  <c r="K202" i="8"/>
  <c r="J202" i="8"/>
  <c r="F202" i="8"/>
  <c r="G202" i="8" s="1"/>
  <c r="AL201" i="8"/>
  <c r="AK201" i="8"/>
  <c r="AD201" i="8"/>
  <c r="AC201" i="8"/>
  <c r="AB201" i="8"/>
  <c r="AA201" i="8"/>
  <c r="X201" i="8"/>
  <c r="Y201" i="8" s="1"/>
  <c r="T201" i="8"/>
  <c r="U201" i="8" s="1"/>
  <c r="L201" i="8"/>
  <c r="M201" i="8" s="1"/>
  <c r="G201" i="8"/>
  <c r="AL200" i="8"/>
  <c r="AK200" i="8"/>
  <c r="AK205" i="8" s="1"/>
  <c r="AH200" i="8"/>
  <c r="AD200" i="8"/>
  <c r="AC200" i="8"/>
  <c r="AB200" i="8"/>
  <c r="AA200" i="8"/>
  <c r="X200" i="8"/>
  <c r="Y200" i="8" s="1"/>
  <c r="T200" i="8"/>
  <c r="U200" i="8" s="1"/>
  <c r="L200" i="8"/>
  <c r="M200" i="8" s="1"/>
  <c r="F200" i="8"/>
  <c r="G200" i="8" s="1"/>
  <c r="B200" i="8"/>
  <c r="A200" i="8"/>
  <c r="AD198" i="8"/>
  <c r="X198" i="8"/>
  <c r="Y198" i="8" s="1"/>
  <c r="T198" i="8"/>
  <c r="U198" i="8" s="1"/>
  <c r="K198" i="8"/>
  <c r="J198" i="8"/>
  <c r="F198" i="8"/>
  <c r="G198" i="8" s="1"/>
  <c r="AK197" i="8"/>
  <c r="AD197" i="8"/>
  <c r="X197" i="8"/>
  <c r="Y197" i="8" s="1"/>
  <c r="T197" i="8"/>
  <c r="U197" i="8" s="1"/>
  <c r="K197" i="8"/>
  <c r="J197" i="8"/>
  <c r="F197" i="8"/>
  <c r="G197" i="8" s="1"/>
  <c r="AK196" i="8"/>
  <c r="AD196" i="8"/>
  <c r="X196" i="8"/>
  <c r="Y196" i="8" s="1"/>
  <c r="T196" i="8"/>
  <c r="U196" i="8" s="1"/>
  <c r="K196" i="8"/>
  <c r="J196" i="8"/>
  <c r="F196" i="8"/>
  <c r="G196" i="8" s="1"/>
  <c r="AK195" i="8"/>
  <c r="AD195" i="8"/>
  <c r="X195" i="8"/>
  <c r="Y195" i="8" s="1"/>
  <c r="T195" i="8"/>
  <c r="U195" i="8" s="1"/>
  <c r="K195" i="8"/>
  <c r="J195" i="8"/>
  <c r="F195" i="8"/>
  <c r="G195" i="8" s="1"/>
  <c r="AL194" i="8"/>
  <c r="AK194" i="8"/>
  <c r="AD194" i="8"/>
  <c r="AC194" i="8"/>
  <c r="AB194" i="8"/>
  <c r="AA194" i="8"/>
  <c r="X194" i="8"/>
  <c r="Y194" i="8" s="1"/>
  <c r="T194" i="8"/>
  <c r="U194" i="8" s="1"/>
  <c r="L194" i="8"/>
  <c r="M194" i="8" s="1"/>
  <c r="G194" i="8"/>
  <c r="AL193" i="8"/>
  <c r="AK193" i="8"/>
  <c r="AK198" i="8" s="1"/>
  <c r="AH193" i="8"/>
  <c r="AD193" i="8"/>
  <c r="AC193" i="8"/>
  <c r="AB193" i="8"/>
  <c r="AA193" i="8"/>
  <c r="X193" i="8"/>
  <c r="Y193" i="8" s="1"/>
  <c r="T193" i="8"/>
  <c r="U193" i="8" s="1"/>
  <c r="L193" i="8"/>
  <c r="M193" i="8" s="1"/>
  <c r="F193" i="8"/>
  <c r="G193" i="8" s="1"/>
  <c r="B193" i="8"/>
  <c r="A193" i="8"/>
  <c r="AD191" i="8"/>
  <c r="X191" i="8"/>
  <c r="Y191" i="8" s="1"/>
  <c r="T191" i="8"/>
  <c r="U191" i="8" s="1"/>
  <c r="K191" i="8"/>
  <c r="J191" i="8"/>
  <c r="F191" i="8"/>
  <c r="G191" i="8" s="1"/>
  <c r="AK190" i="8"/>
  <c r="AD190" i="8"/>
  <c r="X190" i="8"/>
  <c r="Y190" i="8" s="1"/>
  <c r="T190" i="8"/>
  <c r="U190" i="8" s="1"/>
  <c r="K190" i="8"/>
  <c r="J190" i="8"/>
  <c r="F190" i="8"/>
  <c r="G190" i="8" s="1"/>
  <c r="AK189" i="8"/>
  <c r="AD189" i="8"/>
  <c r="X189" i="8"/>
  <c r="Y189" i="8" s="1"/>
  <c r="T189" i="8"/>
  <c r="U189" i="8" s="1"/>
  <c r="K189" i="8"/>
  <c r="J189" i="8"/>
  <c r="F189" i="8"/>
  <c r="G189" i="8" s="1"/>
  <c r="AK188" i="8"/>
  <c r="AD188" i="8"/>
  <c r="X188" i="8"/>
  <c r="Y188" i="8" s="1"/>
  <c r="T188" i="8"/>
  <c r="U188" i="8" s="1"/>
  <c r="K188" i="8"/>
  <c r="J188" i="8"/>
  <c r="F188" i="8"/>
  <c r="G188" i="8" s="1"/>
  <c r="AL187" i="8"/>
  <c r="AK187" i="8"/>
  <c r="AD187" i="8"/>
  <c r="AC187" i="8"/>
  <c r="AB187" i="8"/>
  <c r="AA187" i="8"/>
  <c r="X187" i="8"/>
  <c r="Y187" i="8" s="1"/>
  <c r="T187" i="8"/>
  <c r="U187" i="8" s="1"/>
  <c r="L187" i="8"/>
  <c r="M187" i="8" s="1"/>
  <c r="G187" i="8"/>
  <c r="AL186" i="8"/>
  <c r="AK186" i="8"/>
  <c r="AK191" i="8" s="1"/>
  <c r="AH186" i="8"/>
  <c r="AD186" i="8"/>
  <c r="AC186" i="8"/>
  <c r="AB186" i="8"/>
  <c r="AA186" i="8"/>
  <c r="X186" i="8"/>
  <c r="Y186" i="8" s="1"/>
  <c r="T186" i="8"/>
  <c r="U186" i="8" s="1"/>
  <c r="L186" i="8"/>
  <c r="M186" i="8" s="1"/>
  <c r="F186" i="8"/>
  <c r="G186" i="8" s="1"/>
  <c r="B186" i="8"/>
  <c r="A186" i="8"/>
  <c r="AD184" i="8"/>
  <c r="X184" i="8"/>
  <c r="Y184" i="8" s="1"/>
  <c r="T184" i="8"/>
  <c r="U184" i="8" s="1"/>
  <c r="K184" i="8"/>
  <c r="J184" i="8"/>
  <c r="F184" i="8"/>
  <c r="G184" i="8" s="1"/>
  <c r="AK183" i="8"/>
  <c r="AD183" i="8"/>
  <c r="X183" i="8"/>
  <c r="Y183" i="8" s="1"/>
  <c r="T183" i="8"/>
  <c r="U183" i="8" s="1"/>
  <c r="K183" i="8"/>
  <c r="J183" i="8"/>
  <c r="F183" i="8"/>
  <c r="G183" i="8" s="1"/>
  <c r="AK182" i="8"/>
  <c r="AD182" i="8"/>
  <c r="X182" i="8"/>
  <c r="Y182" i="8" s="1"/>
  <c r="T182" i="8"/>
  <c r="U182" i="8" s="1"/>
  <c r="K182" i="8"/>
  <c r="J182" i="8"/>
  <c r="F182" i="8"/>
  <c r="G182" i="8" s="1"/>
  <c r="AK181" i="8"/>
  <c r="AD181" i="8"/>
  <c r="X181" i="8"/>
  <c r="Y181" i="8" s="1"/>
  <c r="T181" i="8"/>
  <c r="U181" i="8" s="1"/>
  <c r="K181" i="8"/>
  <c r="J181" i="8"/>
  <c r="F181" i="8"/>
  <c r="G181" i="8" s="1"/>
  <c r="AL180" i="8"/>
  <c r="AK180" i="8"/>
  <c r="AD180" i="8"/>
  <c r="AC180" i="8"/>
  <c r="AB180" i="8"/>
  <c r="AA180" i="8"/>
  <c r="X180" i="8"/>
  <c r="Y180" i="8" s="1"/>
  <c r="T180" i="8"/>
  <c r="U180" i="8" s="1"/>
  <c r="L180" i="8"/>
  <c r="M180" i="8" s="1"/>
  <c r="G180" i="8"/>
  <c r="AL179" i="8"/>
  <c r="AK179" i="8"/>
  <c r="AK184" i="8" s="1"/>
  <c r="AH179" i="8"/>
  <c r="AD179" i="8"/>
  <c r="AC179" i="8"/>
  <c r="AB179" i="8"/>
  <c r="AA179" i="8"/>
  <c r="X179" i="8"/>
  <c r="Y179" i="8" s="1"/>
  <c r="T179" i="8"/>
  <c r="U179" i="8" s="1"/>
  <c r="L179" i="8"/>
  <c r="M179" i="8" s="1"/>
  <c r="F179" i="8"/>
  <c r="G179" i="8" s="1"/>
  <c r="B179" i="8"/>
  <c r="A179" i="8"/>
  <c r="AD177" i="8"/>
  <c r="X177" i="8"/>
  <c r="Y177" i="8" s="1"/>
  <c r="T177" i="8"/>
  <c r="U177" i="8" s="1"/>
  <c r="K177" i="8"/>
  <c r="J177" i="8"/>
  <c r="F177" i="8"/>
  <c r="G177" i="8" s="1"/>
  <c r="AK176" i="8"/>
  <c r="AD176" i="8"/>
  <c r="X176" i="8"/>
  <c r="Y176" i="8" s="1"/>
  <c r="T176" i="8"/>
  <c r="U176" i="8" s="1"/>
  <c r="K176" i="8"/>
  <c r="J176" i="8"/>
  <c r="F176" i="8"/>
  <c r="G176" i="8" s="1"/>
  <c r="AK175" i="8"/>
  <c r="AD175" i="8"/>
  <c r="X175" i="8"/>
  <c r="Y175" i="8" s="1"/>
  <c r="T175" i="8"/>
  <c r="U175" i="8" s="1"/>
  <c r="K175" i="8"/>
  <c r="J175" i="8"/>
  <c r="F175" i="8"/>
  <c r="G175" i="8" s="1"/>
  <c r="AK174" i="8"/>
  <c r="AD174" i="8"/>
  <c r="X174" i="8"/>
  <c r="Y174" i="8" s="1"/>
  <c r="T174" i="8"/>
  <c r="U174" i="8" s="1"/>
  <c r="K174" i="8"/>
  <c r="J174" i="8"/>
  <c r="F174" i="8"/>
  <c r="G174" i="8" s="1"/>
  <c r="AL173" i="8"/>
  <c r="AK173" i="8"/>
  <c r="AD173" i="8"/>
  <c r="AC173" i="8"/>
  <c r="AB173" i="8"/>
  <c r="AA173" i="8"/>
  <c r="X173" i="8"/>
  <c r="Y173" i="8" s="1"/>
  <c r="T173" i="8"/>
  <c r="U173" i="8" s="1"/>
  <c r="L173" i="8"/>
  <c r="M173" i="8" s="1"/>
  <c r="G173" i="8"/>
  <c r="AL172" i="8"/>
  <c r="AK172" i="8"/>
  <c r="AK177" i="8" s="1"/>
  <c r="AH172" i="8"/>
  <c r="AD172" i="8"/>
  <c r="AC172" i="8"/>
  <c r="AB172" i="8"/>
  <c r="AA172" i="8"/>
  <c r="X172" i="8"/>
  <c r="Y172" i="8" s="1"/>
  <c r="T172" i="8"/>
  <c r="U172" i="8" s="1"/>
  <c r="L172" i="8"/>
  <c r="M172" i="8" s="1"/>
  <c r="F172" i="8"/>
  <c r="G172" i="8" s="1"/>
  <c r="B172" i="8"/>
  <c r="A172" i="8"/>
  <c r="AD170" i="8"/>
  <c r="X170" i="8"/>
  <c r="Y170" i="8" s="1"/>
  <c r="T170" i="8"/>
  <c r="U170" i="8" s="1"/>
  <c r="K170" i="8"/>
  <c r="J170" i="8"/>
  <c r="F170" i="8"/>
  <c r="G170" i="8" s="1"/>
  <c r="AK169" i="8"/>
  <c r="AD169" i="8"/>
  <c r="X169" i="8"/>
  <c r="Y169" i="8" s="1"/>
  <c r="T169" i="8"/>
  <c r="U169" i="8" s="1"/>
  <c r="K169" i="8"/>
  <c r="J169" i="8"/>
  <c r="F169" i="8"/>
  <c r="G169" i="8" s="1"/>
  <c r="AK168" i="8"/>
  <c r="AD168" i="8"/>
  <c r="X168" i="8"/>
  <c r="Y168" i="8" s="1"/>
  <c r="T168" i="8"/>
  <c r="U168" i="8" s="1"/>
  <c r="K168" i="8"/>
  <c r="J168" i="8"/>
  <c r="F168" i="8"/>
  <c r="G168" i="8" s="1"/>
  <c r="AK167" i="8"/>
  <c r="AD167" i="8"/>
  <c r="X167" i="8"/>
  <c r="Y167" i="8" s="1"/>
  <c r="T167" i="8"/>
  <c r="U167" i="8" s="1"/>
  <c r="K167" i="8"/>
  <c r="J167" i="8"/>
  <c r="F167" i="8"/>
  <c r="G167" i="8" s="1"/>
  <c r="AK166" i="8"/>
  <c r="AD166" i="8"/>
  <c r="X166" i="8"/>
  <c r="Y166" i="8" s="1"/>
  <c r="T166" i="8"/>
  <c r="U166" i="8" s="1"/>
  <c r="K166" i="8"/>
  <c r="J166" i="8"/>
  <c r="F166" i="8"/>
  <c r="G166" i="8" s="1"/>
  <c r="AK165" i="8"/>
  <c r="AK170" i="8" s="1"/>
  <c r="AH165" i="8"/>
  <c r="AD165" i="8"/>
  <c r="X165" i="8"/>
  <c r="Y165" i="8" s="1"/>
  <c r="T165" i="8"/>
  <c r="U165" i="8" s="1"/>
  <c r="K165" i="8"/>
  <c r="J165" i="8"/>
  <c r="F165" i="8"/>
  <c r="G165" i="8" s="1"/>
  <c r="B165" i="8"/>
  <c r="A165" i="8"/>
  <c r="AD163" i="8"/>
  <c r="X163" i="8"/>
  <c r="Y163" i="8" s="1"/>
  <c r="T163" i="8"/>
  <c r="U163" i="8" s="1"/>
  <c r="K163" i="8"/>
  <c r="J163" i="8"/>
  <c r="F163" i="8"/>
  <c r="G163" i="8" s="1"/>
  <c r="AK162" i="8"/>
  <c r="AD162" i="8"/>
  <c r="X162" i="8"/>
  <c r="Y162" i="8" s="1"/>
  <c r="T162" i="8"/>
  <c r="U162" i="8" s="1"/>
  <c r="K162" i="8"/>
  <c r="J162" i="8"/>
  <c r="F162" i="8"/>
  <c r="G162" i="8" s="1"/>
  <c r="AK161" i="8"/>
  <c r="AD161" i="8"/>
  <c r="X161" i="8"/>
  <c r="Y161" i="8" s="1"/>
  <c r="T161" i="8"/>
  <c r="U161" i="8" s="1"/>
  <c r="K161" i="8"/>
  <c r="J161" i="8"/>
  <c r="F161" i="8"/>
  <c r="G161" i="8" s="1"/>
  <c r="AK160" i="8"/>
  <c r="AD160" i="8"/>
  <c r="X160" i="8"/>
  <c r="Y160" i="8" s="1"/>
  <c r="T160" i="8"/>
  <c r="U160" i="8" s="1"/>
  <c r="K160" i="8"/>
  <c r="J160" i="8"/>
  <c r="F160" i="8"/>
  <c r="G160" i="8" s="1"/>
  <c r="AL159" i="8"/>
  <c r="AK159" i="8"/>
  <c r="AD159" i="8"/>
  <c r="AC159" i="8"/>
  <c r="AB159" i="8"/>
  <c r="AA159" i="8"/>
  <c r="X159" i="8"/>
  <c r="Y159" i="8" s="1"/>
  <c r="T159" i="8"/>
  <c r="U159" i="8" s="1"/>
  <c r="L159" i="8"/>
  <c r="M159" i="8" s="1"/>
  <c r="G159" i="8"/>
  <c r="AL158" i="8"/>
  <c r="AK158" i="8"/>
  <c r="AK163" i="8" s="1"/>
  <c r="AH158" i="8"/>
  <c r="AD158" i="8"/>
  <c r="AC158" i="8"/>
  <c r="AB158" i="8"/>
  <c r="AA158" i="8"/>
  <c r="X158" i="8"/>
  <c r="Y158" i="8" s="1"/>
  <c r="T158" i="8"/>
  <c r="U158" i="8" s="1"/>
  <c r="L158" i="8"/>
  <c r="M158" i="8" s="1"/>
  <c r="F158" i="8"/>
  <c r="G158" i="8" s="1"/>
  <c r="B158" i="8"/>
  <c r="A158" i="8"/>
  <c r="AD156" i="8"/>
  <c r="X156" i="8"/>
  <c r="Y156" i="8" s="1"/>
  <c r="T156" i="8"/>
  <c r="U156" i="8" s="1"/>
  <c r="K156" i="8"/>
  <c r="J156" i="8"/>
  <c r="F156" i="8"/>
  <c r="G156" i="8" s="1"/>
  <c r="AK155" i="8"/>
  <c r="AD155" i="8"/>
  <c r="X155" i="8"/>
  <c r="Y155" i="8" s="1"/>
  <c r="T155" i="8"/>
  <c r="U155" i="8" s="1"/>
  <c r="K155" i="8"/>
  <c r="J155" i="8"/>
  <c r="F155" i="8"/>
  <c r="G155" i="8" s="1"/>
  <c r="AK154" i="8"/>
  <c r="AD154" i="8"/>
  <c r="X154" i="8"/>
  <c r="Y154" i="8" s="1"/>
  <c r="T154" i="8"/>
  <c r="U154" i="8" s="1"/>
  <c r="K154" i="8"/>
  <c r="J154" i="8"/>
  <c r="F154" i="8"/>
  <c r="G154" i="8" s="1"/>
  <c r="AK153" i="8"/>
  <c r="AD153" i="8"/>
  <c r="X153" i="8"/>
  <c r="Y153" i="8" s="1"/>
  <c r="T153" i="8"/>
  <c r="U153" i="8" s="1"/>
  <c r="K153" i="8"/>
  <c r="J153" i="8"/>
  <c r="F153" i="8"/>
  <c r="G153" i="8" s="1"/>
  <c r="AK152" i="8"/>
  <c r="AD152" i="8"/>
  <c r="X152" i="8"/>
  <c r="Y152" i="8" s="1"/>
  <c r="T152" i="8"/>
  <c r="U152" i="8" s="1"/>
  <c r="K152" i="8"/>
  <c r="J152" i="8"/>
  <c r="F152" i="8"/>
  <c r="G152" i="8" s="1"/>
  <c r="AK151" i="8"/>
  <c r="AK156" i="8" s="1"/>
  <c r="AH151" i="8"/>
  <c r="AD151" i="8"/>
  <c r="X151" i="8"/>
  <c r="Y151" i="8" s="1"/>
  <c r="T151" i="8"/>
  <c r="U151" i="8" s="1"/>
  <c r="K151" i="8"/>
  <c r="J151" i="8"/>
  <c r="F151" i="8"/>
  <c r="G151" i="8" s="1"/>
  <c r="B151" i="8"/>
  <c r="A151" i="8"/>
  <c r="AD149" i="8"/>
  <c r="X149" i="8"/>
  <c r="Y149" i="8" s="1"/>
  <c r="T149" i="8"/>
  <c r="U149" i="8" s="1"/>
  <c r="K149" i="8"/>
  <c r="J149" i="8"/>
  <c r="F149" i="8"/>
  <c r="G149" i="8" s="1"/>
  <c r="AK148" i="8"/>
  <c r="AD148" i="8"/>
  <c r="X148" i="8"/>
  <c r="Y148" i="8" s="1"/>
  <c r="T148" i="8"/>
  <c r="U148" i="8" s="1"/>
  <c r="K148" i="8"/>
  <c r="J148" i="8"/>
  <c r="F148" i="8"/>
  <c r="G148" i="8" s="1"/>
  <c r="AK147" i="8"/>
  <c r="AD147" i="8"/>
  <c r="X147" i="8"/>
  <c r="Y147" i="8" s="1"/>
  <c r="T147" i="8"/>
  <c r="U147" i="8" s="1"/>
  <c r="K147" i="8"/>
  <c r="J147" i="8"/>
  <c r="F147" i="8"/>
  <c r="G147" i="8" s="1"/>
  <c r="AK146" i="8"/>
  <c r="AD146" i="8"/>
  <c r="X146" i="8"/>
  <c r="Y146" i="8" s="1"/>
  <c r="T146" i="8"/>
  <c r="U146" i="8" s="1"/>
  <c r="K146" i="8"/>
  <c r="J146" i="8"/>
  <c r="F146" i="8"/>
  <c r="G146" i="8" s="1"/>
  <c r="AK145" i="8"/>
  <c r="AD145" i="8"/>
  <c r="X145" i="8"/>
  <c r="Y145" i="8" s="1"/>
  <c r="T145" i="8"/>
  <c r="U145" i="8" s="1"/>
  <c r="K145" i="8"/>
  <c r="J145" i="8"/>
  <c r="F145" i="8"/>
  <c r="G145" i="8" s="1"/>
  <c r="AK144" i="8"/>
  <c r="AK149" i="8" s="1"/>
  <c r="AH144" i="8"/>
  <c r="AD144" i="8"/>
  <c r="X144" i="8"/>
  <c r="Y144" i="8" s="1"/>
  <c r="T144" i="8"/>
  <c r="U144" i="8" s="1"/>
  <c r="K144" i="8"/>
  <c r="J144" i="8"/>
  <c r="F144" i="8"/>
  <c r="G144" i="8" s="1"/>
  <c r="B144" i="8"/>
  <c r="A144" i="8"/>
  <c r="AD142" i="8"/>
  <c r="X142" i="8"/>
  <c r="Y142" i="8" s="1"/>
  <c r="T142" i="8"/>
  <c r="U142" i="8" s="1"/>
  <c r="K142" i="8"/>
  <c r="J142" i="8"/>
  <c r="F142" i="8"/>
  <c r="G142" i="8" s="1"/>
  <c r="AK141" i="8"/>
  <c r="AD141" i="8"/>
  <c r="X141" i="8"/>
  <c r="Y141" i="8" s="1"/>
  <c r="T141" i="8"/>
  <c r="U141" i="8" s="1"/>
  <c r="K141" i="8"/>
  <c r="J141" i="8"/>
  <c r="F141" i="8"/>
  <c r="G141" i="8" s="1"/>
  <c r="AK140" i="8"/>
  <c r="AD140" i="8"/>
  <c r="X140" i="8"/>
  <c r="Y140" i="8" s="1"/>
  <c r="T140" i="8"/>
  <c r="U140" i="8" s="1"/>
  <c r="K140" i="8"/>
  <c r="J140" i="8"/>
  <c r="F140" i="8"/>
  <c r="G140" i="8" s="1"/>
  <c r="AK139" i="8"/>
  <c r="AD139" i="8"/>
  <c r="X139" i="8"/>
  <c r="Y139" i="8" s="1"/>
  <c r="T139" i="8"/>
  <c r="U139" i="8" s="1"/>
  <c r="K139" i="8"/>
  <c r="J139" i="8"/>
  <c r="F139" i="8"/>
  <c r="G139" i="8" s="1"/>
  <c r="AK138" i="8"/>
  <c r="AD138" i="8"/>
  <c r="X138" i="8"/>
  <c r="Y138" i="8" s="1"/>
  <c r="T138" i="8"/>
  <c r="U138" i="8" s="1"/>
  <c r="K138" i="8"/>
  <c r="J138" i="8"/>
  <c r="F138" i="8"/>
  <c r="G138" i="8" s="1"/>
  <c r="AK137" i="8"/>
  <c r="AK142" i="8" s="1"/>
  <c r="AH137" i="8"/>
  <c r="AD137" i="8"/>
  <c r="X137" i="8"/>
  <c r="Y137" i="8" s="1"/>
  <c r="T137" i="8"/>
  <c r="U137" i="8" s="1"/>
  <c r="K137" i="8"/>
  <c r="J137" i="8"/>
  <c r="F137" i="8"/>
  <c r="G137" i="8" s="1"/>
  <c r="B137" i="8"/>
  <c r="A137" i="8"/>
  <c r="AD135" i="8"/>
  <c r="X135" i="8"/>
  <c r="Y135" i="8" s="1"/>
  <c r="T135" i="8"/>
  <c r="U135" i="8" s="1"/>
  <c r="K135" i="8"/>
  <c r="J135" i="8"/>
  <c r="F135" i="8"/>
  <c r="G135" i="8" s="1"/>
  <c r="AK134" i="8"/>
  <c r="AD134" i="8"/>
  <c r="X134" i="8"/>
  <c r="Y134" i="8" s="1"/>
  <c r="T134" i="8"/>
  <c r="U134" i="8" s="1"/>
  <c r="K134" i="8"/>
  <c r="J134" i="8"/>
  <c r="F134" i="8"/>
  <c r="G134" i="8" s="1"/>
  <c r="AK133" i="8"/>
  <c r="AD133" i="8"/>
  <c r="X133" i="8"/>
  <c r="Y133" i="8" s="1"/>
  <c r="T133" i="8"/>
  <c r="U133" i="8" s="1"/>
  <c r="K133" i="8"/>
  <c r="J133" i="8"/>
  <c r="F133" i="8"/>
  <c r="G133" i="8" s="1"/>
  <c r="AK132" i="8"/>
  <c r="AD132" i="8"/>
  <c r="X132" i="8"/>
  <c r="Y132" i="8" s="1"/>
  <c r="T132" i="8"/>
  <c r="U132" i="8" s="1"/>
  <c r="K132" i="8"/>
  <c r="J132" i="8"/>
  <c r="F132" i="8"/>
  <c r="G132" i="8" s="1"/>
  <c r="AK131" i="8"/>
  <c r="AD131" i="8"/>
  <c r="X131" i="8"/>
  <c r="Y131" i="8" s="1"/>
  <c r="T131" i="8"/>
  <c r="U131" i="8" s="1"/>
  <c r="K131" i="8"/>
  <c r="J131" i="8"/>
  <c r="F131" i="8"/>
  <c r="G131" i="8" s="1"/>
  <c r="AK130" i="8"/>
  <c r="AK135" i="8" s="1"/>
  <c r="AH130" i="8"/>
  <c r="AD130" i="8"/>
  <c r="X130" i="8"/>
  <c r="Y130" i="8" s="1"/>
  <c r="T130" i="8"/>
  <c r="U130" i="8" s="1"/>
  <c r="K130" i="8"/>
  <c r="J130" i="8"/>
  <c r="F130" i="8"/>
  <c r="G130" i="8" s="1"/>
  <c r="B130" i="8"/>
  <c r="A130" i="8"/>
  <c r="AD128" i="8"/>
  <c r="X128" i="8"/>
  <c r="Y128" i="8" s="1"/>
  <c r="T128" i="8"/>
  <c r="U128" i="8" s="1"/>
  <c r="K128" i="8"/>
  <c r="J128" i="8"/>
  <c r="F128" i="8"/>
  <c r="G128" i="8" s="1"/>
  <c r="AK127" i="8"/>
  <c r="AD127" i="8"/>
  <c r="X127" i="8"/>
  <c r="Y127" i="8" s="1"/>
  <c r="T127" i="8"/>
  <c r="U127" i="8" s="1"/>
  <c r="K127" i="8"/>
  <c r="J127" i="8"/>
  <c r="F127" i="8"/>
  <c r="G127" i="8" s="1"/>
  <c r="AK126" i="8"/>
  <c r="AD126" i="8"/>
  <c r="X126" i="8"/>
  <c r="Y126" i="8" s="1"/>
  <c r="T126" i="8"/>
  <c r="U126" i="8" s="1"/>
  <c r="K126" i="8"/>
  <c r="J126" i="8"/>
  <c r="F126" i="8"/>
  <c r="G126" i="8" s="1"/>
  <c r="AK125" i="8"/>
  <c r="AD125" i="8"/>
  <c r="X125" i="8"/>
  <c r="Y125" i="8" s="1"/>
  <c r="T125" i="8"/>
  <c r="U125" i="8" s="1"/>
  <c r="K125" i="8"/>
  <c r="J125" i="8"/>
  <c r="F125" i="8"/>
  <c r="G125" i="8" s="1"/>
  <c r="AK124" i="8"/>
  <c r="AD124" i="8"/>
  <c r="X124" i="8"/>
  <c r="Y124" i="8" s="1"/>
  <c r="T124" i="8"/>
  <c r="U124" i="8" s="1"/>
  <c r="K124" i="8"/>
  <c r="J124" i="8"/>
  <c r="F124" i="8"/>
  <c r="G124" i="8" s="1"/>
  <c r="AK123" i="8"/>
  <c r="AK128" i="8" s="1"/>
  <c r="AH123" i="8"/>
  <c r="AD123" i="8"/>
  <c r="X123" i="8"/>
  <c r="Y123" i="8" s="1"/>
  <c r="T123" i="8"/>
  <c r="U123" i="8" s="1"/>
  <c r="K123" i="8"/>
  <c r="J123" i="8"/>
  <c r="G123" i="8"/>
  <c r="B123" i="8"/>
  <c r="A123" i="8"/>
  <c r="AD121" i="8"/>
  <c r="X121" i="8"/>
  <c r="Y121" i="8" s="1"/>
  <c r="T121" i="8"/>
  <c r="U121" i="8" s="1"/>
  <c r="K121" i="8"/>
  <c r="J121" i="8"/>
  <c r="F121" i="8"/>
  <c r="G121" i="8" s="1"/>
  <c r="AK120" i="8"/>
  <c r="AD120" i="8"/>
  <c r="X120" i="8"/>
  <c r="Y120" i="8" s="1"/>
  <c r="T120" i="8"/>
  <c r="U120" i="8" s="1"/>
  <c r="K120" i="8"/>
  <c r="J120" i="8"/>
  <c r="F120" i="8"/>
  <c r="G120" i="8" s="1"/>
  <c r="AK119" i="8"/>
  <c r="AD119" i="8"/>
  <c r="X119" i="8"/>
  <c r="Y119" i="8" s="1"/>
  <c r="T119" i="8"/>
  <c r="U119" i="8" s="1"/>
  <c r="K119" i="8"/>
  <c r="J119" i="8"/>
  <c r="F119" i="8"/>
  <c r="G119" i="8" s="1"/>
  <c r="AK118" i="8"/>
  <c r="AD118" i="8"/>
  <c r="X118" i="8"/>
  <c r="Y118" i="8" s="1"/>
  <c r="T118" i="8"/>
  <c r="U118" i="8" s="1"/>
  <c r="K118" i="8"/>
  <c r="J118" i="8"/>
  <c r="F118" i="8"/>
  <c r="G118" i="8" s="1"/>
  <c r="AK117" i="8"/>
  <c r="AD117" i="8"/>
  <c r="X117" i="8"/>
  <c r="Y117" i="8" s="1"/>
  <c r="T117" i="8"/>
  <c r="U117" i="8" s="1"/>
  <c r="K117" i="8"/>
  <c r="J117" i="8"/>
  <c r="F117" i="8"/>
  <c r="G117" i="8" s="1"/>
  <c r="AK116" i="8"/>
  <c r="AK121" i="8" s="1"/>
  <c r="AH116" i="8"/>
  <c r="AD116" i="8"/>
  <c r="X116" i="8"/>
  <c r="Y116" i="8" s="1"/>
  <c r="T116" i="8"/>
  <c r="U116" i="8" s="1"/>
  <c r="K116" i="8"/>
  <c r="J116" i="8"/>
  <c r="F116" i="8"/>
  <c r="G116" i="8" s="1"/>
  <c r="B116" i="8"/>
  <c r="A116" i="8"/>
  <c r="AD114" i="8"/>
  <c r="X114" i="8"/>
  <c r="Y114" i="8" s="1"/>
  <c r="T114" i="8"/>
  <c r="U114" i="8" s="1"/>
  <c r="K114" i="8"/>
  <c r="J114" i="8"/>
  <c r="F114" i="8"/>
  <c r="G114" i="8" s="1"/>
  <c r="AK113" i="8"/>
  <c r="AD113" i="8"/>
  <c r="X113" i="8"/>
  <c r="Y113" i="8" s="1"/>
  <c r="T113" i="8"/>
  <c r="U113" i="8" s="1"/>
  <c r="K113" i="8"/>
  <c r="J113" i="8"/>
  <c r="F113" i="8"/>
  <c r="G113" i="8" s="1"/>
  <c r="AK112" i="8"/>
  <c r="AD112" i="8"/>
  <c r="X112" i="8"/>
  <c r="Y112" i="8" s="1"/>
  <c r="T112" i="8"/>
  <c r="U112" i="8" s="1"/>
  <c r="K112" i="8"/>
  <c r="J112" i="8"/>
  <c r="F112" i="8"/>
  <c r="G112" i="8" s="1"/>
  <c r="AK111" i="8"/>
  <c r="AD111" i="8"/>
  <c r="X111" i="8"/>
  <c r="Y111" i="8" s="1"/>
  <c r="T111" i="8"/>
  <c r="U111" i="8" s="1"/>
  <c r="K111" i="8"/>
  <c r="J111" i="8"/>
  <c r="F111" i="8"/>
  <c r="G111" i="8" s="1"/>
  <c r="AK110" i="8"/>
  <c r="AD110" i="8"/>
  <c r="X110" i="8"/>
  <c r="Y110" i="8" s="1"/>
  <c r="T110" i="8"/>
  <c r="U110" i="8" s="1"/>
  <c r="K110" i="8"/>
  <c r="J110" i="8"/>
  <c r="F110" i="8"/>
  <c r="G110" i="8" s="1"/>
  <c r="AL109" i="8"/>
  <c r="AK109" i="8"/>
  <c r="AK114" i="8" s="1"/>
  <c r="AH109" i="8"/>
  <c r="AD109" i="8"/>
  <c r="AC109" i="8"/>
  <c r="AA109" i="8"/>
  <c r="X109" i="8"/>
  <c r="Y109" i="8" s="1"/>
  <c r="T109" i="8"/>
  <c r="U109" i="8" s="1"/>
  <c r="J109" i="8"/>
  <c r="F109" i="8"/>
  <c r="G109" i="8" s="1"/>
  <c r="B109" i="8"/>
  <c r="A109" i="8"/>
  <c r="AD107" i="8"/>
  <c r="X107" i="8"/>
  <c r="Y107" i="8" s="1"/>
  <c r="T107" i="8"/>
  <c r="U107" i="8" s="1"/>
  <c r="K107" i="8"/>
  <c r="J107" i="8"/>
  <c r="F107" i="8"/>
  <c r="G107" i="8" s="1"/>
  <c r="AK106" i="8"/>
  <c r="AD106" i="8"/>
  <c r="X106" i="8"/>
  <c r="Y106" i="8" s="1"/>
  <c r="T106" i="8"/>
  <c r="U106" i="8" s="1"/>
  <c r="K106" i="8"/>
  <c r="J106" i="8"/>
  <c r="F106" i="8"/>
  <c r="G106" i="8" s="1"/>
  <c r="AK105" i="8"/>
  <c r="AD105" i="8"/>
  <c r="X105" i="8"/>
  <c r="Y105" i="8" s="1"/>
  <c r="T105" i="8"/>
  <c r="U105" i="8" s="1"/>
  <c r="K105" i="8"/>
  <c r="J105" i="8"/>
  <c r="F105" i="8"/>
  <c r="G105" i="8" s="1"/>
  <c r="AK104" i="8"/>
  <c r="AD104" i="8"/>
  <c r="X104" i="8"/>
  <c r="Y104" i="8" s="1"/>
  <c r="T104" i="8"/>
  <c r="U104" i="8" s="1"/>
  <c r="K104" i="8"/>
  <c r="J104" i="8"/>
  <c r="F104" i="8"/>
  <c r="G104" i="8" s="1"/>
  <c r="AK103" i="8"/>
  <c r="AD103" i="8"/>
  <c r="X103" i="8"/>
  <c r="Y103" i="8" s="1"/>
  <c r="T103" i="8"/>
  <c r="U103" i="8" s="1"/>
  <c r="K103" i="8"/>
  <c r="J103" i="8"/>
  <c r="F103" i="8"/>
  <c r="G103" i="8" s="1"/>
  <c r="AK102" i="8"/>
  <c r="AK107" i="8" s="1"/>
  <c r="AH102" i="8"/>
  <c r="AD102" i="8"/>
  <c r="X102" i="8"/>
  <c r="Y102" i="8" s="1"/>
  <c r="T102" i="8"/>
  <c r="U102" i="8" s="1"/>
  <c r="K102" i="8"/>
  <c r="J102" i="8"/>
  <c r="F102" i="8"/>
  <c r="G102" i="8" s="1"/>
  <c r="B102" i="8"/>
  <c r="A102" i="8"/>
  <c r="AD100" i="8"/>
  <c r="X100" i="8"/>
  <c r="Y100" i="8" s="1"/>
  <c r="T100" i="8"/>
  <c r="U100" i="8" s="1"/>
  <c r="K100" i="8"/>
  <c r="J100" i="8"/>
  <c r="F100" i="8"/>
  <c r="G100" i="8" s="1"/>
  <c r="AK99" i="8"/>
  <c r="AD99" i="8"/>
  <c r="X99" i="8"/>
  <c r="Y99" i="8" s="1"/>
  <c r="T99" i="8"/>
  <c r="U99" i="8" s="1"/>
  <c r="K99" i="8"/>
  <c r="J99" i="8"/>
  <c r="F99" i="8"/>
  <c r="G99" i="8" s="1"/>
  <c r="AK98" i="8"/>
  <c r="AD98" i="8"/>
  <c r="X98" i="8"/>
  <c r="Y98" i="8" s="1"/>
  <c r="T98" i="8"/>
  <c r="U98" i="8" s="1"/>
  <c r="K98" i="8"/>
  <c r="J98" i="8"/>
  <c r="F98" i="8"/>
  <c r="G98" i="8" s="1"/>
  <c r="AK97" i="8"/>
  <c r="AD97" i="8"/>
  <c r="X97" i="8"/>
  <c r="Y97" i="8" s="1"/>
  <c r="T97" i="8"/>
  <c r="U97" i="8" s="1"/>
  <c r="K97" i="8"/>
  <c r="J97" i="8"/>
  <c r="F97" i="8"/>
  <c r="G97" i="8" s="1"/>
  <c r="AK96" i="8"/>
  <c r="AD96" i="8"/>
  <c r="X96" i="8"/>
  <c r="Y96" i="8" s="1"/>
  <c r="T96" i="8"/>
  <c r="U96" i="8" s="1"/>
  <c r="K96" i="8"/>
  <c r="J96" i="8"/>
  <c r="F96" i="8"/>
  <c r="G96" i="8" s="1"/>
  <c r="AK95" i="8"/>
  <c r="AK100" i="8" s="1"/>
  <c r="AH95" i="8"/>
  <c r="AD95" i="8"/>
  <c r="X95" i="8"/>
  <c r="Y95" i="8" s="1"/>
  <c r="T95" i="8"/>
  <c r="U95" i="8" s="1"/>
  <c r="K95" i="8"/>
  <c r="J95" i="8"/>
  <c r="F95" i="8"/>
  <c r="G95" i="8" s="1"/>
  <c r="B95" i="8"/>
  <c r="A95" i="8"/>
  <c r="AD93" i="8"/>
  <c r="X93" i="8"/>
  <c r="Y93" i="8" s="1"/>
  <c r="T93" i="8"/>
  <c r="U93" i="8" s="1"/>
  <c r="K93" i="8"/>
  <c r="J93" i="8"/>
  <c r="F93" i="8"/>
  <c r="G93" i="8" s="1"/>
  <c r="AK92" i="8"/>
  <c r="AD92" i="8"/>
  <c r="X92" i="8"/>
  <c r="Y92" i="8" s="1"/>
  <c r="T92" i="8"/>
  <c r="U92" i="8" s="1"/>
  <c r="K92" i="8"/>
  <c r="J92" i="8"/>
  <c r="F92" i="8"/>
  <c r="G92" i="8" s="1"/>
  <c r="AK91" i="8"/>
  <c r="AD91" i="8"/>
  <c r="X91" i="8"/>
  <c r="Y91" i="8" s="1"/>
  <c r="T91" i="8"/>
  <c r="U91" i="8" s="1"/>
  <c r="K91" i="8"/>
  <c r="J91" i="8"/>
  <c r="F91" i="8"/>
  <c r="G91" i="8" s="1"/>
  <c r="AK90" i="8"/>
  <c r="AD90" i="8"/>
  <c r="X90" i="8"/>
  <c r="Y90" i="8" s="1"/>
  <c r="T90" i="8"/>
  <c r="U90" i="8" s="1"/>
  <c r="K90" i="8"/>
  <c r="J90" i="8"/>
  <c r="F90" i="8"/>
  <c r="G90" i="8" s="1"/>
  <c r="AK89" i="8"/>
  <c r="AD89" i="8"/>
  <c r="X89" i="8"/>
  <c r="Y89" i="8" s="1"/>
  <c r="T89" i="8"/>
  <c r="U89" i="8" s="1"/>
  <c r="K89" i="8"/>
  <c r="J89" i="8"/>
  <c r="F89" i="8"/>
  <c r="G89" i="8" s="1"/>
  <c r="AK88" i="8"/>
  <c r="AK93" i="8" s="1"/>
  <c r="AH88" i="8"/>
  <c r="AD88" i="8"/>
  <c r="X88" i="8"/>
  <c r="Y88" i="8" s="1"/>
  <c r="T88" i="8"/>
  <c r="U88" i="8" s="1"/>
  <c r="K88" i="8"/>
  <c r="J88" i="8"/>
  <c r="F88" i="8"/>
  <c r="G88" i="8" s="1"/>
  <c r="B88" i="8"/>
  <c r="A88" i="8"/>
  <c r="AD86" i="8"/>
  <c r="X86" i="8"/>
  <c r="Y86" i="8" s="1"/>
  <c r="T86" i="8"/>
  <c r="U86" i="8" s="1"/>
  <c r="K86" i="8"/>
  <c r="J86" i="8"/>
  <c r="F86" i="8"/>
  <c r="G86" i="8" s="1"/>
  <c r="AK85" i="8"/>
  <c r="AD85" i="8"/>
  <c r="X85" i="8"/>
  <c r="Y85" i="8" s="1"/>
  <c r="T85" i="8"/>
  <c r="U85" i="8" s="1"/>
  <c r="K85" i="8"/>
  <c r="J85" i="8"/>
  <c r="F85" i="8"/>
  <c r="G85" i="8" s="1"/>
  <c r="AK84" i="8"/>
  <c r="AD84" i="8"/>
  <c r="X84" i="8"/>
  <c r="Y84" i="8" s="1"/>
  <c r="T84" i="8"/>
  <c r="U84" i="8" s="1"/>
  <c r="K84" i="8"/>
  <c r="J84" i="8"/>
  <c r="F84" i="8"/>
  <c r="G84" i="8" s="1"/>
  <c r="AK83" i="8"/>
  <c r="AD83" i="8"/>
  <c r="X83" i="8"/>
  <c r="Y83" i="8" s="1"/>
  <c r="T83" i="8"/>
  <c r="U83" i="8" s="1"/>
  <c r="K83" i="8"/>
  <c r="J83" i="8"/>
  <c r="F83" i="8"/>
  <c r="G83" i="8" s="1"/>
  <c r="AK82" i="8"/>
  <c r="AD82" i="8"/>
  <c r="X82" i="8"/>
  <c r="Y82" i="8" s="1"/>
  <c r="T82" i="8"/>
  <c r="U82" i="8" s="1"/>
  <c r="K82" i="8"/>
  <c r="J82" i="8"/>
  <c r="F82" i="8"/>
  <c r="G82" i="8" s="1"/>
  <c r="AK81" i="8"/>
  <c r="AK86" i="8" s="1"/>
  <c r="AH81" i="8"/>
  <c r="AD81" i="8"/>
  <c r="X81" i="8"/>
  <c r="Y81" i="8" s="1"/>
  <c r="T81" i="8"/>
  <c r="U81" i="8" s="1"/>
  <c r="K81" i="8"/>
  <c r="J81" i="8"/>
  <c r="F81" i="8"/>
  <c r="G81" i="8" s="1"/>
  <c r="B81" i="8"/>
  <c r="A81" i="8"/>
  <c r="AD79" i="8"/>
  <c r="X79" i="8"/>
  <c r="Y79" i="8" s="1"/>
  <c r="T79" i="8"/>
  <c r="U79" i="8" s="1"/>
  <c r="K79" i="8"/>
  <c r="J79" i="8"/>
  <c r="F79" i="8"/>
  <c r="G79" i="8" s="1"/>
  <c r="AK78" i="8"/>
  <c r="AD78" i="8"/>
  <c r="X78" i="8"/>
  <c r="Y78" i="8" s="1"/>
  <c r="T78" i="8"/>
  <c r="U78" i="8" s="1"/>
  <c r="K78" i="8"/>
  <c r="J78" i="8"/>
  <c r="F78" i="8"/>
  <c r="G78" i="8" s="1"/>
  <c r="AK77" i="8"/>
  <c r="AD77" i="8"/>
  <c r="X77" i="8"/>
  <c r="Y77" i="8" s="1"/>
  <c r="T77" i="8"/>
  <c r="U77" i="8" s="1"/>
  <c r="K77" i="8"/>
  <c r="J77" i="8"/>
  <c r="F77" i="8"/>
  <c r="G77" i="8" s="1"/>
  <c r="AK76" i="8"/>
  <c r="AD76" i="8"/>
  <c r="X76" i="8"/>
  <c r="Y76" i="8" s="1"/>
  <c r="T76" i="8"/>
  <c r="U76" i="8" s="1"/>
  <c r="K76" i="8"/>
  <c r="J76" i="8"/>
  <c r="F76" i="8"/>
  <c r="G76" i="8" s="1"/>
  <c r="AK75" i="8"/>
  <c r="AD75" i="8"/>
  <c r="X75" i="8"/>
  <c r="Y75" i="8" s="1"/>
  <c r="T75" i="8"/>
  <c r="U75" i="8" s="1"/>
  <c r="K75" i="8"/>
  <c r="J75" i="8"/>
  <c r="F75" i="8"/>
  <c r="G75" i="8" s="1"/>
  <c r="AK74" i="8"/>
  <c r="AK79" i="8" s="1"/>
  <c r="AH74" i="8"/>
  <c r="AD74" i="8"/>
  <c r="X74" i="8"/>
  <c r="Y74" i="8" s="1"/>
  <c r="T74" i="8"/>
  <c r="U74" i="8" s="1"/>
  <c r="K74" i="8"/>
  <c r="J74" i="8"/>
  <c r="F74" i="8"/>
  <c r="G74" i="8" s="1"/>
  <c r="B74" i="8"/>
  <c r="A74" i="8"/>
  <c r="AD72" i="8"/>
  <c r="X72" i="8"/>
  <c r="Y72" i="8" s="1"/>
  <c r="T72" i="8"/>
  <c r="U72" i="8" s="1"/>
  <c r="K72" i="8"/>
  <c r="J72" i="8"/>
  <c r="F72" i="8"/>
  <c r="G72" i="8" s="1"/>
  <c r="AK71" i="8"/>
  <c r="AD71" i="8"/>
  <c r="X71" i="8"/>
  <c r="Y71" i="8" s="1"/>
  <c r="T71" i="8"/>
  <c r="U71" i="8" s="1"/>
  <c r="K71" i="8"/>
  <c r="J71" i="8"/>
  <c r="F71" i="8"/>
  <c r="G71" i="8" s="1"/>
  <c r="AK70" i="8"/>
  <c r="AD70" i="8"/>
  <c r="X70" i="8"/>
  <c r="Y70" i="8" s="1"/>
  <c r="T70" i="8"/>
  <c r="U70" i="8" s="1"/>
  <c r="K70" i="8"/>
  <c r="J70" i="8"/>
  <c r="F70" i="8"/>
  <c r="G70" i="8" s="1"/>
  <c r="AK69" i="8"/>
  <c r="AD69" i="8"/>
  <c r="X69" i="8"/>
  <c r="Y69" i="8" s="1"/>
  <c r="T69" i="8"/>
  <c r="U69" i="8" s="1"/>
  <c r="K69" i="8"/>
  <c r="J69" i="8"/>
  <c r="F69" i="8"/>
  <c r="G69" i="8" s="1"/>
  <c r="AK68" i="8"/>
  <c r="AD68" i="8"/>
  <c r="X68" i="8"/>
  <c r="Y68" i="8" s="1"/>
  <c r="T68" i="8"/>
  <c r="U68" i="8" s="1"/>
  <c r="K68" i="8"/>
  <c r="J68" i="8"/>
  <c r="F68" i="8"/>
  <c r="G68" i="8" s="1"/>
  <c r="AK67" i="8"/>
  <c r="AK72" i="8" s="1"/>
  <c r="AH67" i="8"/>
  <c r="AD67" i="8"/>
  <c r="X67" i="8"/>
  <c r="Y67" i="8" s="1"/>
  <c r="T67" i="8"/>
  <c r="U67" i="8" s="1"/>
  <c r="K67" i="8"/>
  <c r="J67" i="8"/>
  <c r="F67" i="8"/>
  <c r="G67" i="8" s="1"/>
  <c r="B67" i="8"/>
  <c r="A67" i="8"/>
  <c r="AD65" i="8"/>
  <c r="X65" i="8"/>
  <c r="Y65" i="8" s="1"/>
  <c r="T65" i="8"/>
  <c r="U65" i="8" s="1"/>
  <c r="K65" i="8"/>
  <c r="J65" i="8"/>
  <c r="F65" i="8"/>
  <c r="G65" i="8" s="1"/>
  <c r="AK64" i="8"/>
  <c r="AD64" i="8"/>
  <c r="X64" i="8"/>
  <c r="Y64" i="8" s="1"/>
  <c r="T64" i="8"/>
  <c r="U64" i="8" s="1"/>
  <c r="K64" i="8"/>
  <c r="J64" i="8"/>
  <c r="F64" i="8"/>
  <c r="G64" i="8" s="1"/>
  <c r="AK63" i="8"/>
  <c r="AD63" i="8"/>
  <c r="X63" i="8"/>
  <c r="Y63" i="8" s="1"/>
  <c r="T63" i="8"/>
  <c r="U63" i="8" s="1"/>
  <c r="K63" i="8"/>
  <c r="J63" i="8"/>
  <c r="F63" i="8"/>
  <c r="G63" i="8" s="1"/>
  <c r="AK62" i="8"/>
  <c r="AD62" i="8"/>
  <c r="X62" i="8"/>
  <c r="Y62" i="8" s="1"/>
  <c r="T62" i="8"/>
  <c r="U62" i="8" s="1"/>
  <c r="K62" i="8"/>
  <c r="J62" i="8"/>
  <c r="F62" i="8"/>
  <c r="G62" i="8" s="1"/>
  <c r="AK61" i="8"/>
  <c r="AD61" i="8"/>
  <c r="X61" i="8"/>
  <c r="Y61" i="8" s="1"/>
  <c r="T61" i="8"/>
  <c r="U61" i="8" s="1"/>
  <c r="K61" i="8"/>
  <c r="J61" i="8"/>
  <c r="F61" i="8"/>
  <c r="G61" i="8" s="1"/>
  <c r="AK60" i="8"/>
  <c r="AK65" i="8" s="1"/>
  <c r="AH60" i="8"/>
  <c r="AD60" i="8"/>
  <c r="X60" i="8"/>
  <c r="Y60" i="8" s="1"/>
  <c r="T60" i="8"/>
  <c r="U60" i="8" s="1"/>
  <c r="K60" i="8"/>
  <c r="J60" i="8"/>
  <c r="F60" i="8"/>
  <c r="G60" i="8" s="1"/>
  <c r="B60" i="8"/>
  <c r="A60" i="8"/>
  <c r="AD58" i="8"/>
  <c r="X58" i="8"/>
  <c r="Y58" i="8" s="1"/>
  <c r="T58" i="8"/>
  <c r="U58" i="8" s="1"/>
  <c r="K58" i="8"/>
  <c r="J58" i="8"/>
  <c r="F58" i="8"/>
  <c r="G58" i="8" s="1"/>
  <c r="AK57" i="8"/>
  <c r="AD57" i="8"/>
  <c r="X57" i="8"/>
  <c r="Y57" i="8" s="1"/>
  <c r="T57" i="8"/>
  <c r="U57" i="8" s="1"/>
  <c r="K57" i="8"/>
  <c r="J57" i="8"/>
  <c r="F57" i="8"/>
  <c r="G57" i="8" s="1"/>
  <c r="AK56" i="8"/>
  <c r="AD56" i="8"/>
  <c r="X56" i="8"/>
  <c r="Y56" i="8" s="1"/>
  <c r="T56" i="8"/>
  <c r="U56" i="8" s="1"/>
  <c r="K56" i="8"/>
  <c r="J56" i="8"/>
  <c r="F56" i="8"/>
  <c r="G56" i="8" s="1"/>
  <c r="AK55" i="8"/>
  <c r="AD55" i="8"/>
  <c r="X55" i="8"/>
  <c r="Y55" i="8" s="1"/>
  <c r="T55" i="8"/>
  <c r="U55" i="8" s="1"/>
  <c r="K55" i="8"/>
  <c r="J55" i="8"/>
  <c r="F55" i="8"/>
  <c r="G55" i="8" s="1"/>
  <c r="AK54" i="8"/>
  <c r="AD54" i="8"/>
  <c r="X54" i="8"/>
  <c r="Y54" i="8" s="1"/>
  <c r="T54" i="8"/>
  <c r="U54" i="8" s="1"/>
  <c r="K54" i="8"/>
  <c r="J54" i="8"/>
  <c r="F54" i="8"/>
  <c r="G54" i="8" s="1"/>
  <c r="AK53" i="8"/>
  <c r="AK58" i="8" s="1"/>
  <c r="AH53" i="8"/>
  <c r="AD53" i="8"/>
  <c r="X53" i="8"/>
  <c r="Y53" i="8" s="1"/>
  <c r="T53" i="8"/>
  <c r="U53" i="8" s="1"/>
  <c r="K53" i="8"/>
  <c r="J53" i="8"/>
  <c r="F53" i="8"/>
  <c r="G53" i="8" s="1"/>
  <c r="B53" i="8"/>
  <c r="A53" i="8"/>
  <c r="AD51" i="8"/>
  <c r="X51" i="8"/>
  <c r="Y51" i="8" s="1"/>
  <c r="T51" i="8"/>
  <c r="U51" i="8" s="1"/>
  <c r="K51" i="8"/>
  <c r="J51" i="8"/>
  <c r="F51" i="8"/>
  <c r="G51" i="8" s="1"/>
  <c r="AK50" i="8"/>
  <c r="AD50" i="8"/>
  <c r="X50" i="8"/>
  <c r="Y50" i="8" s="1"/>
  <c r="T50" i="8"/>
  <c r="U50" i="8" s="1"/>
  <c r="K50" i="8"/>
  <c r="J50" i="8"/>
  <c r="F50" i="8"/>
  <c r="G50" i="8" s="1"/>
  <c r="AK49" i="8"/>
  <c r="AD49" i="8"/>
  <c r="X49" i="8"/>
  <c r="Y49" i="8" s="1"/>
  <c r="T49" i="8"/>
  <c r="U49" i="8" s="1"/>
  <c r="K49" i="8"/>
  <c r="J49" i="8"/>
  <c r="F49" i="8"/>
  <c r="G49" i="8" s="1"/>
  <c r="AK48" i="8"/>
  <c r="AD48" i="8"/>
  <c r="X48" i="8"/>
  <c r="Y48" i="8" s="1"/>
  <c r="T48" i="8"/>
  <c r="U48" i="8" s="1"/>
  <c r="K48" i="8"/>
  <c r="J48" i="8"/>
  <c r="F48" i="8"/>
  <c r="G48" i="8" s="1"/>
  <c r="AK47" i="8"/>
  <c r="AD47" i="8"/>
  <c r="X47" i="8"/>
  <c r="Y47" i="8" s="1"/>
  <c r="T47" i="8"/>
  <c r="U47" i="8" s="1"/>
  <c r="K47" i="8"/>
  <c r="J47" i="8"/>
  <c r="F47" i="8"/>
  <c r="G47" i="8" s="1"/>
  <c r="AK46" i="8"/>
  <c r="AK51" i="8" s="1"/>
  <c r="AH46" i="8"/>
  <c r="AD46" i="8"/>
  <c r="X46" i="8"/>
  <c r="Y46" i="8" s="1"/>
  <c r="T46" i="8"/>
  <c r="U46" i="8" s="1"/>
  <c r="K46" i="8"/>
  <c r="J46" i="8"/>
  <c r="F46" i="8"/>
  <c r="G46" i="8" s="1"/>
  <c r="B46" i="8"/>
  <c r="A46" i="8"/>
  <c r="AD44" i="8"/>
  <c r="X44" i="8"/>
  <c r="Y44" i="8" s="1"/>
  <c r="T44" i="8"/>
  <c r="U44" i="8" s="1"/>
  <c r="K44" i="8"/>
  <c r="J44" i="8"/>
  <c r="F44" i="8"/>
  <c r="G44" i="8" s="1"/>
  <c r="AK43" i="8"/>
  <c r="AD43" i="8"/>
  <c r="X43" i="8"/>
  <c r="Y43" i="8" s="1"/>
  <c r="T43" i="8"/>
  <c r="U43" i="8" s="1"/>
  <c r="K43" i="8"/>
  <c r="J43" i="8"/>
  <c r="F43" i="8"/>
  <c r="G43" i="8" s="1"/>
  <c r="AK42" i="8"/>
  <c r="AD42" i="8"/>
  <c r="X42" i="8"/>
  <c r="Y42" i="8" s="1"/>
  <c r="T42" i="8"/>
  <c r="U42" i="8" s="1"/>
  <c r="K42" i="8"/>
  <c r="J42" i="8"/>
  <c r="F42" i="8"/>
  <c r="G42" i="8" s="1"/>
  <c r="AK41" i="8"/>
  <c r="AD41" i="8"/>
  <c r="X41" i="8"/>
  <c r="Y41" i="8" s="1"/>
  <c r="T41" i="8"/>
  <c r="U41" i="8" s="1"/>
  <c r="K41" i="8"/>
  <c r="J41" i="8"/>
  <c r="F41" i="8"/>
  <c r="G41" i="8" s="1"/>
  <c r="AK40" i="8"/>
  <c r="AD40" i="8"/>
  <c r="X40" i="8"/>
  <c r="Y40" i="8" s="1"/>
  <c r="T40" i="8"/>
  <c r="U40" i="8" s="1"/>
  <c r="K40" i="8"/>
  <c r="J40" i="8"/>
  <c r="F40" i="8"/>
  <c r="G40" i="8" s="1"/>
  <c r="AK39" i="8"/>
  <c r="AK44" i="8" s="1"/>
  <c r="AH39" i="8"/>
  <c r="AD39" i="8"/>
  <c r="X39" i="8"/>
  <c r="Y39" i="8" s="1"/>
  <c r="T39" i="8"/>
  <c r="U39" i="8" s="1"/>
  <c r="K39" i="8"/>
  <c r="J39" i="8"/>
  <c r="F39" i="8"/>
  <c r="G39" i="8" s="1"/>
  <c r="B39" i="8"/>
  <c r="A39" i="8"/>
  <c r="AD37" i="8"/>
  <c r="X37" i="8"/>
  <c r="Y37" i="8" s="1"/>
  <c r="T37" i="8"/>
  <c r="U37" i="8" s="1"/>
  <c r="K37" i="8"/>
  <c r="J37" i="8"/>
  <c r="F37" i="8"/>
  <c r="G37" i="8" s="1"/>
  <c r="AK36" i="8"/>
  <c r="AD36" i="8"/>
  <c r="X36" i="8"/>
  <c r="Y36" i="8" s="1"/>
  <c r="T36" i="8"/>
  <c r="U36" i="8" s="1"/>
  <c r="K36" i="8"/>
  <c r="J36" i="8"/>
  <c r="F36" i="8"/>
  <c r="G36" i="8" s="1"/>
  <c r="AK35" i="8"/>
  <c r="AD35" i="8"/>
  <c r="X35" i="8"/>
  <c r="Y35" i="8" s="1"/>
  <c r="T35" i="8"/>
  <c r="U35" i="8" s="1"/>
  <c r="K35" i="8"/>
  <c r="J35" i="8"/>
  <c r="F35" i="8"/>
  <c r="G35" i="8" s="1"/>
  <c r="AK34" i="8"/>
  <c r="AD34" i="8"/>
  <c r="X34" i="8"/>
  <c r="Y34" i="8" s="1"/>
  <c r="T34" i="8"/>
  <c r="U34" i="8" s="1"/>
  <c r="K34" i="8"/>
  <c r="J34" i="8"/>
  <c r="F34" i="8"/>
  <c r="G34" i="8" s="1"/>
  <c r="AK33" i="8"/>
  <c r="AD33" i="8"/>
  <c r="X33" i="8"/>
  <c r="Y33" i="8" s="1"/>
  <c r="T33" i="8"/>
  <c r="U33" i="8" s="1"/>
  <c r="K33" i="8"/>
  <c r="J33" i="8"/>
  <c r="F33" i="8"/>
  <c r="G33" i="8" s="1"/>
  <c r="AK32" i="8"/>
  <c r="AK37" i="8" s="1"/>
  <c r="AH32" i="8"/>
  <c r="AD32" i="8"/>
  <c r="X32" i="8"/>
  <c r="Y32" i="8" s="1"/>
  <c r="T32" i="8"/>
  <c r="U32" i="8" s="1"/>
  <c r="K32" i="8"/>
  <c r="J32" i="8"/>
  <c r="F32" i="8"/>
  <c r="G32" i="8" s="1"/>
  <c r="B32" i="8"/>
  <c r="A32" i="8"/>
  <c r="AD30" i="8"/>
  <c r="X30" i="8"/>
  <c r="Y30" i="8" s="1"/>
  <c r="T30" i="8"/>
  <c r="U30" i="8" s="1"/>
  <c r="K30" i="8"/>
  <c r="J30" i="8"/>
  <c r="F30" i="8"/>
  <c r="G30" i="8" s="1"/>
  <c r="AK29" i="8"/>
  <c r="AD29" i="8"/>
  <c r="X29" i="8"/>
  <c r="Y29" i="8" s="1"/>
  <c r="T29" i="8"/>
  <c r="U29" i="8" s="1"/>
  <c r="K29" i="8"/>
  <c r="J29" i="8"/>
  <c r="F29" i="8"/>
  <c r="G29" i="8" s="1"/>
  <c r="AK28" i="8"/>
  <c r="AD28" i="8"/>
  <c r="X28" i="8"/>
  <c r="Y28" i="8" s="1"/>
  <c r="T28" i="8"/>
  <c r="U28" i="8" s="1"/>
  <c r="K28" i="8"/>
  <c r="J28" i="8"/>
  <c r="F28" i="8"/>
  <c r="G28" i="8" s="1"/>
  <c r="AK27" i="8"/>
  <c r="AD27" i="8"/>
  <c r="X27" i="8"/>
  <c r="Y27" i="8" s="1"/>
  <c r="T27" i="8"/>
  <c r="U27" i="8" s="1"/>
  <c r="K27" i="8"/>
  <c r="J27" i="8"/>
  <c r="F27" i="8"/>
  <c r="G27" i="8" s="1"/>
  <c r="AK26" i="8"/>
  <c r="AD26" i="8"/>
  <c r="X26" i="8"/>
  <c r="Y26" i="8" s="1"/>
  <c r="T26" i="8"/>
  <c r="U26" i="8" s="1"/>
  <c r="K26" i="8"/>
  <c r="J26" i="8"/>
  <c r="F26" i="8"/>
  <c r="G26" i="8" s="1"/>
  <c r="AK25" i="8"/>
  <c r="AK30" i="8" s="1"/>
  <c r="AH25" i="8"/>
  <c r="AD25" i="8"/>
  <c r="X25" i="8"/>
  <c r="Y25" i="8" s="1"/>
  <c r="T25" i="8"/>
  <c r="U25" i="8" s="1"/>
  <c r="K25" i="8"/>
  <c r="J25" i="8"/>
  <c r="F25" i="8"/>
  <c r="G25" i="8" s="1"/>
  <c r="B25" i="8"/>
  <c r="A25" i="8"/>
  <c r="AD23" i="8"/>
  <c r="X23" i="8"/>
  <c r="Y23" i="8" s="1"/>
  <c r="T23" i="8"/>
  <c r="U23" i="8" s="1"/>
  <c r="K23" i="8"/>
  <c r="J23" i="8"/>
  <c r="F23" i="8"/>
  <c r="G23" i="8" s="1"/>
  <c r="AK22" i="8"/>
  <c r="AD22" i="8"/>
  <c r="X22" i="8"/>
  <c r="Y22" i="8" s="1"/>
  <c r="T22" i="8"/>
  <c r="U22" i="8" s="1"/>
  <c r="K22" i="8"/>
  <c r="J22" i="8"/>
  <c r="F22" i="8"/>
  <c r="G22" i="8" s="1"/>
  <c r="AK21" i="8"/>
  <c r="AD21" i="8"/>
  <c r="X21" i="8"/>
  <c r="Y21" i="8" s="1"/>
  <c r="T21" i="8"/>
  <c r="U21" i="8" s="1"/>
  <c r="K21" i="8"/>
  <c r="J21" i="8"/>
  <c r="F21" i="8"/>
  <c r="G21" i="8" s="1"/>
  <c r="AK20" i="8"/>
  <c r="AD20" i="8"/>
  <c r="X20" i="8"/>
  <c r="Y20" i="8" s="1"/>
  <c r="T20" i="8"/>
  <c r="U20" i="8" s="1"/>
  <c r="K20" i="8"/>
  <c r="J20" i="8"/>
  <c r="F20" i="8"/>
  <c r="G20" i="8" s="1"/>
  <c r="AK19" i="8"/>
  <c r="AD19" i="8"/>
  <c r="X19" i="8"/>
  <c r="Y19" i="8" s="1"/>
  <c r="T19" i="8"/>
  <c r="U19" i="8" s="1"/>
  <c r="K19" i="8"/>
  <c r="J19" i="8"/>
  <c r="F19" i="8"/>
  <c r="G19" i="8" s="1"/>
  <c r="AK18" i="8"/>
  <c r="AK23" i="8" s="1"/>
  <c r="AH18" i="8"/>
  <c r="AD18" i="8"/>
  <c r="X18" i="8"/>
  <c r="Y18" i="8" s="1"/>
  <c r="T18" i="8"/>
  <c r="U18" i="8" s="1"/>
  <c r="K18" i="8"/>
  <c r="J18" i="8"/>
  <c r="F18" i="8"/>
  <c r="G18" i="8" s="1"/>
  <c r="B18" i="8"/>
  <c r="AD16" i="8"/>
  <c r="X16" i="8"/>
  <c r="Y16" i="8" s="1"/>
  <c r="T16" i="8"/>
  <c r="U16" i="8" s="1"/>
  <c r="K16" i="8"/>
  <c r="J16" i="8"/>
  <c r="F16" i="8"/>
  <c r="G16" i="8" s="1"/>
  <c r="AK15" i="8"/>
  <c r="AD15" i="8"/>
  <c r="X15" i="8"/>
  <c r="Y15" i="8" s="1"/>
  <c r="T15" i="8"/>
  <c r="U15" i="8" s="1"/>
  <c r="K15" i="8"/>
  <c r="J15" i="8"/>
  <c r="F15" i="8"/>
  <c r="G15" i="8" s="1"/>
  <c r="AK14" i="8"/>
  <c r="AD14" i="8"/>
  <c r="X14" i="8"/>
  <c r="Y14" i="8" s="1"/>
  <c r="T14" i="8"/>
  <c r="U14" i="8" s="1"/>
  <c r="F14" i="8"/>
  <c r="G14" i="8" s="1"/>
  <c r="AK13" i="8"/>
  <c r="AD13" i="8"/>
  <c r="X13" i="8"/>
  <c r="Y13" i="8" s="1"/>
  <c r="T13" i="8"/>
  <c r="U13" i="8" s="1"/>
  <c r="K13" i="8"/>
  <c r="J13" i="8"/>
  <c r="F13" i="8"/>
  <c r="G13" i="8" s="1"/>
  <c r="AK12" i="8"/>
  <c r="AD12" i="8"/>
  <c r="X12" i="8"/>
  <c r="Y12" i="8" s="1"/>
  <c r="T12" i="8"/>
  <c r="U12" i="8" s="1"/>
  <c r="K12" i="8"/>
  <c r="J12" i="8"/>
  <c r="F12" i="8"/>
  <c r="G12" i="8" s="1"/>
  <c r="AK11" i="8"/>
  <c r="AK16" i="8" s="1"/>
  <c r="AH11" i="8"/>
  <c r="AD11" i="8"/>
  <c r="X11" i="8"/>
  <c r="Y11" i="8" s="1"/>
  <c r="T11" i="8"/>
  <c r="U11" i="8" s="1"/>
  <c r="K11" i="8"/>
  <c r="J11" i="8"/>
  <c r="F11" i="8"/>
  <c r="G11" i="8" s="1"/>
  <c r="B11" i="8"/>
  <c r="A11" i="8"/>
  <c r="AD9" i="8"/>
  <c r="X9" i="8"/>
  <c r="Y9" i="8" s="1"/>
  <c r="T9" i="8"/>
  <c r="U9" i="8" s="1"/>
  <c r="K9" i="8"/>
  <c r="J9" i="8"/>
  <c r="F9" i="8"/>
  <c r="G9" i="8" s="1"/>
  <c r="AK8" i="8"/>
  <c r="AD8" i="8"/>
  <c r="X8" i="8"/>
  <c r="Y8" i="8" s="1"/>
  <c r="T8" i="8"/>
  <c r="U8" i="8" s="1"/>
  <c r="K8" i="8"/>
  <c r="J8" i="8"/>
  <c r="F8" i="8"/>
  <c r="G8" i="8" s="1"/>
  <c r="AK7" i="8"/>
  <c r="AD7" i="8"/>
  <c r="X7" i="8"/>
  <c r="Y7" i="8" s="1"/>
  <c r="T7" i="8"/>
  <c r="U7" i="8" s="1"/>
  <c r="K7" i="8"/>
  <c r="J7" i="8"/>
  <c r="F7" i="8"/>
  <c r="G7" i="8" s="1"/>
  <c r="AK6" i="8"/>
  <c r="AD6" i="8"/>
  <c r="X6" i="8"/>
  <c r="Y6" i="8" s="1"/>
  <c r="T6" i="8"/>
  <c r="U6" i="8" s="1"/>
  <c r="K6" i="8"/>
  <c r="J6" i="8"/>
  <c r="F6" i="8"/>
  <c r="G6" i="8" s="1"/>
  <c r="AK5" i="8"/>
  <c r="AD5" i="8"/>
  <c r="X5" i="8"/>
  <c r="Y5" i="8" s="1"/>
  <c r="T5" i="8"/>
  <c r="U5" i="8" s="1"/>
  <c r="K5" i="8"/>
  <c r="J5" i="8"/>
  <c r="F5" i="8"/>
  <c r="G5" i="8" s="1"/>
  <c r="AK4" i="8"/>
  <c r="AK9" i="8" s="1"/>
  <c r="AH4" i="8"/>
  <c r="AD4" i="8"/>
  <c r="X4" i="8"/>
  <c r="Y4" i="8" s="1"/>
  <c r="T4" i="8"/>
  <c r="U4" i="8" s="1"/>
  <c r="F4" i="8"/>
  <c r="G4" i="8" s="1"/>
  <c r="B4" i="8"/>
  <c r="A4" i="8"/>
  <c r="F166" i="2"/>
  <c r="K26" i="4"/>
  <c r="U29" i="2"/>
  <c r="U30" i="2"/>
  <c r="K165" i="2"/>
  <c r="K166" i="2"/>
  <c r="J165" i="2"/>
  <c r="J166" i="2"/>
  <c r="K170" i="2"/>
  <c r="U40" i="2"/>
  <c r="U42" i="2"/>
  <c r="U43" i="2"/>
  <c r="U44" i="2"/>
  <c r="F27" i="2"/>
  <c r="J81" i="2"/>
  <c r="F54" i="2"/>
  <c r="F55" i="2"/>
  <c r="F56" i="2"/>
  <c r="F57" i="2"/>
  <c r="F58" i="2"/>
  <c r="G54" i="2"/>
  <c r="G55" i="2"/>
  <c r="G56" i="2"/>
  <c r="G57" i="2"/>
  <c r="G58" i="2"/>
  <c r="U12" i="2"/>
  <c r="U13" i="2"/>
  <c r="U14" i="2"/>
  <c r="U15" i="2"/>
  <c r="U16" i="2"/>
  <c r="F72" i="2"/>
  <c r="U25" i="2"/>
  <c r="V25" i="2"/>
  <c r="U26" i="2"/>
  <c r="V26" i="2"/>
  <c r="U27" i="2"/>
  <c r="V27" i="2"/>
  <c r="U28" i="2"/>
  <c r="V28" i="2"/>
  <c r="V29" i="2"/>
  <c r="E30" i="4"/>
  <c r="E32" i="4"/>
  <c r="AH76" i="2"/>
  <c r="AA76" i="2"/>
  <c r="U76" i="2"/>
  <c r="V76" i="2" s="1"/>
  <c r="Q76" i="2"/>
  <c r="R76" i="2" s="1"/>
  <c r="K76" i="2"/>
  <c r="J76" i="2"/>
  <c r="F76" i="2"/>
  <c r="G76" i="2" s="1"/>
  <c r="AH69" i="2"/>
  <c r="AA69" i="2"/>
  <c r="U69" i="2"/>
  <c r="V69" i="2" s="1"/>
  <c r="Q69" i="2"/>
  <c r="R69" i="2" s="1"/>
  <c r="K69" i="2"/>
  <c r="J69" i="2"/>
  <c r="F69" i="2"/>
  <c r="G69" i="2" s="1"/>
  <c r="AH62" i="2"/>
  <c r="AA62" i="2"/>
  <c r="U62" i="2"/>
  <c r="V62" i="2" s="1"/>
  <c r="Q62" i="2"/>
  <c r="R62" i="2" s="1"/>
  <c r="K62" i="2"/>
  <c r="J62" i="2"/>
  <c r="F62" i="2"/>
  <c r="G62" i="2" s="1"/>
  <c r="AH55" i="2"/>
  <c r="AA55" i="2"/>
  <c r="U55" i="2"/>
  <c r="V55" i="2" s="1"/>
  <c r="Q55" i="2"/>
  <c r="R55" i="2" s="1"/>
  <c r="K55" i="2"/>
  <c r="J55" i="2"/>
  <c r="AH48" i="2"/>
  <c r="AA48" i="2"/>
  <c r="U48" i="2"/>
  <c r="V48" i="2" s="1"/>
  <c r="Q48" i="2"/>
  <c r="R48" i="2" s="1"/>
  <c r="K48" i="2"/>
  <c r="J48" i="2"/>
  <c r="F48" i="2"/>
  <c r="G48" i="2" s="1"/>
  <c r="AH27" i="2"/>
  <c r="AA27" i="2"/>
  <c r="Q27" i="2"/>
  <c r="R27" i="2" s="1"/>
  <c r="K27" i="2"/>
  <c r="J27" i="2"/>
  <c r="G27" i="2"/>
  <c r="AH20" i="2"/>
  <c r="V20" i="2"/>
  <c r="Q20" i="2"/>
  <c r="R20" i="2" s="1"/>
  <c r="K20" i="2"/>
  <c r="F20" i="2"/>
  <c r="G20" i="2" s="1"/>
  <c r="AH13" i="2"/>
  <c r="AA13" i="2"/>
  <c r="V13" i="2"/>
  <c r="Q13" i="2"/>
  <c r="R13" i="2" s="1"/>
  <c r="K13" i="2"/>
  <c r="J13" i="2"/>
  <c r="F13" i="2"/>
  <c r="G13" i="2" s="1"/>
  <c r="AH6" i="2"/>
  <c r="AA6" i="2"/>
  <c r="U6" i="2"/>
  <c r="V6" i="2" s="1"/>
  <c r="Q6" i="2"/>
  <c r="R6" i="2" s="1"/>
  <c r="K6" i="2"/>
  <c r="J6" i="2"/>
  <c r="F6" i="2"/>
  <c r="G6" i="2" s="1"/>
  <c r="AH153" i="2"/>
  <c r="AA153" i="2"/>
  <c r="U153" i="2"/>
  <c r="V153" i="2" s="1"/>
  <c r="Q153" i="2"/>
  <c r="R153" i="2" s="1"/>
  <c r="K153" i="2"/>
  <c r="J153" i="2"/>
  <c r="F153" i="2"/>
  <c r="G153" i="2" s="1"/>
  <c r="AH146" i="2"/>
  <c r="AA146" i="2"/>
  <c r="U146" i="2"/>
  <c r="V146" i="2" s="1"/>
  <c r="Q146" i="2"/>
  <c r="R146" i="2" s="1"/>
  <c r="K146" i="2"/>
  <c r="J146" i="2"/>
  <c r="F146" i="2"/>
  <c r="G146" i="2" s="1"/>
  <c r="AH132" i="2"/>
  <c r="AA132" i="2"/>
  <c r="U132" i="2"/>
  <c r="V132" i="2" s="1"/>
  <c r="Q132" i="2"/>
  <c r="R132" i="2" s="1"/>
  <c r="K132" i="2"/>
  <c r="J132" i="2"/>
  <c r="F132" i="2"/>
  <c r="G132" i="2" s="1"/>
  <c r="AH125" i="2"/>
  <c r="AA125" i="2"/>
  <c r="U125" i="2"/>
  <c r="V125" i="2" s="1"/>
  <c r="Q125" i="2"/>
  <c r="R125" i="2" s="1"/>
  <c r="K125" i="2"/>
  <c r="J125" i="2"/>
  <c r="F125" i="2"/>
  <c r="G125" i="2" s="1"/>
  <c r="AH111" i="2"/>
  <c r="AA111" i="2"/>
  <c r="U111" i="2"/>
  <c r="V111" i="2" s="1"/>
  <c r="Q111" i="2"/>
  <c r="R111" i="2" s="1"/>
  <c r="K111" i="2"/>
  <c r="J111" i="2"/>
  <c r="F111" i="2"/>
  <c r="G111" i="2" s="1"/>
  <c r="AH104" i="2"/>
  <c r="AA104" i="2"/>
  <c r="U104" i="2"/>
  <c r="V104" i="2" s="1"/>
  <c r="Q104" i="2"/>
  <c r="R104" i="2" s="1"/>
  <c r="K104" i="2"/>
  <c r="J104" i="2"/>
  <c r="F104" i="2"/>
  <c r="G104" i="2" s="1"/>
  <c r="AH97" i="2"/>
  <c r="AA97" i="2"/>
  <c r="U97" i="2"/>
  <c r="V97" i="2" s="1"/>
  <c r="Q97" i="2"/>
  <c r="R97" i="2" s="1"/>
  <c r="K97" i="2"/>
  <c r="J97" i="2"/>
  <c r="F97" i="2"/>
  <c r="G97" i="2" s="1"/>
  <c r="AH83" i="2"/>
  <c r="AA83" i="2"/>
  <c r="U83" i="2"/>
  <c r="V83" i="2" s="1"/>
  <c r="Q83" i="2"/>
  <c r="R83" i="2" s="1"/>
  <c r="K83" i="2"/>
  <c r="J83" i="2"/>
  <c r="F83" i="2"/>
  <c r="G83" i="2" s="1"/>
  <c r="AH90" i="2"/>
  <c r="AA90" i="2"/>
  <c r="U90" i="2"/>
  <c r="V90" i="2" s="1"/>
  <c r="Q90" i="2"/>
  <c r="R90" i="2" s="1"/>
  <c r="K90" i="2"/>
  <c r="J90" i="2"/>
  <c r="F90" i="2"/>
  <c r="G90" i="2" s="1"/>
  <c r="C4" i="3" a="1"/>
  <c r="C4" i="3"/>
  <c r="D4" i="3" a="1"/>
  <c r="D4" i="3"/>
  <c r="C6" i="3" a="1"/>
  <c r="C6" i="3"/>
  <c r="D6" i="3" a="1"/>
  <c r="D6" i="3"/>
  <c r="C8" i="3" a="1"/>
  <c r="C8" i="3"/>
  <c r="D8" i="3" a="1"/>
  <c r="D8" i="3"/>
  <c r="C10" i="3" a="1"/>
  <c r="C10" i="3"/>
  <c r="D10" i="3" a="1"/>
  <c r="D10" i="3"/>
  <c r="C16" i="3" a="1"/>
  <c r="C16" i="3"/>
  <c r="D16" i="3" a="1"/>
  <c r="D16" i="3"/>
  <c r="C18" i="3" a="1"/>
  <c r="C18" i="3"/>
  <c r="D18" i="3" a="1"/>
  <c r="D18" i="3"/>
  <c r="C20" i="3" a="1"/>
  <c r="C20" i="3"/>
  <c r="D20" i="3" a="1"/>
  <c r="D20" i="3"/>
  <c r="C22" i="3" a="1"/>
  <c r="C22" i="3"/>
  <c r="D22" i="3" a="1"/>
  <c r="D22" i="3"/>
  <c r="C26" i="3" a="1"/>
  <c r="C26" i="3"/>
  <c r="D26" i="3" a="1"/>
  <c r="D26" i="3"/>
  <c r="C30" i="3" a="1"/>
  <c r="C30" i="3"/>
  <c r="C32" i="3" a="1"/>
  <c r="C32" i="3"/>
  <c r="D32" i="3" a="1"/>
  <c r="D32" i="3"/>
  <c r="C34" i="3" a="1"/>
  <c r="C34" i="3"/>
  <c r="D34" i="3" a="1"/>
  <c r="D34" i="3"/>
  <c r="C36" i="3" a="1"/>
  <c r="C36" i="3"/>
  <c r="D36" i="3" a="1"/>
  <c r="D36" i="3"/>
  <c r="C38" i="3" a="1"/>
  <c r="C38" i="3"/>
  <c r="D38" i="3" a="1"/>
  <c r="D38" i="3"/>
  <c r="C40" i="3" a="1"/>
  <c r="C40" i="3"/>
  <c r="D40" i="3" a="1"/>
  <c r="D40" i="3"/>
  <c r="C42" i="3" a="1"/>
  <c r="C42" i="3"/>
  <c r="D42" i="3" a="1"/>
  <c r="D42" i="3"/>
  <c r="C44" i="3" a="1"/>
  <c r="C44" i="3"/>
  <c r="D44" i="3" a="1"/>
  <c r="D44" i="3"/>
  <c r="C46" i="3" a="1"/>
  <c r="C46" i="3"/>
  <c r="D46" i="3" a="1"/>
  <c r="D46" i="3"/>
  <c r="C66" i="3" a="1"/>
  <c r="C66" i="3"/>
  <c r="D66" i="3" a="1"/>
  <c r="D66" i="3"/>
  <c r="C64" i="3" a="1"/>
  <c r="C64" i="3"/>
  <c r="D64" i="3" a="1"/>
  <c r="D64" i="3"/>
  <c r="C62" i="3" a="1"/>
  <c r="C62" i="3"/>
  <c r="D62" i="3" a="1"/>
  <c r="D62" i="3"/>
  <c r="C60" i="3" a="1"/>
  <c r="C60" i="3"/>
  <c r="D60" i="3" a="1"/>
  <c r="D60" i="3"/>
  <c r="C58" i="3" a="1"/>
  <c r="C58" i="3"/>
  <c r="D58" i="3" a="1"/>
  <c r="D58" i="3"/>
  <c r="C56" i="3" a="1"/>
  <c r="C56" i="3"/>
  <c r="D56" i="3" a="1"/>
  <c r="D56" i="3"/>
  <c r="C54" i="3" a="1"/>
  <c r="C54" i="3"/>
  <c r="D54" i="3" a="1"/>
  <c r="D54" i="3"/>
  <c r="C52" i="3" a="1"/>
  <c r="C52" i="3"/>
  <c r="D52" i="3" a="1"/>
  <c r="D52" i="3"/>
  <c r="A58" i="4"/>
  <c r="B58" i="4"/>
  <c r="E58" i="4"/>
  <c r="G58" i="4"/>
  <c r="K58" i="4"/>
  <c r="L58" i="4" s="1"/>
  <c r="M58" i="4"/>
  <c r="A60" i="4"/>
  <c r="B60" i="4"/>
  <c r="E60" i="4"/>
  <c r="G60" i="4"/>
  <c r="K60" i="4"/>
  <c r="L60" i="4" s="1"/>
  <c r="A62" i="4"/>
  <c r="B62" i="4"/>
  <c r="E62" i="4"/>
  <c r="G62" i="4" s="1"/>
  <c r="K62" i="4"/>
  <c r="A64" i="4"/>
  <c r="B64" i="4"/>
  <c r="E64" i="4"/>
  <c r="G64" i="4" s="1"/>
  <c r="K64" i="4"/>
  <c r="M64" i="4" s="1"/>
  <c r="B66" i="4"/>
  <c r="E66" i="4"/>
  <c r="G66" i="4" s="1"/>
  <c r="K66" i="4"/>
  <c r="M66" i="4" s="1"/>
  <c r="L66" i="4"/>
  <c r="A50" i="4"/>
  <c r="B50" i="4"/>
  <c r="E50" i="4"/>
  <c r="G50" i="4" s="1"/>
  <c r="K50" i="4"/>
  <c r="A52" i="4"/>
  <c r="B52" i="4"/>
  <c r="E52" i="4"/>
  <c r="G52" i="4" s="1"/>
  <c r="K52" i="4"/>
  <c r="A54" i="4"/>
  <c r="B54" i="4"/>
  <c r="E54" i="4"/>
  <c r="G54" i="4" s="1"/>
  <c r="K54" i="4"/>
  <c r="A56" i="4"/>
  <c r="B56" i="4"/>
  <c r="E56" i="4"/>
  <c r="K56" i="4"/>
  <c r="B221" i="2"/>
  <c r="A221" i="2"/>
  <c r="B214" i="2"/>
  <c r="A214" i="2"/>
  <c r="B207" i="2"/>
  <c r="A207" i="2"/>
  <c r="B200" i="2"/>
  <c r="A200" i="2"/>
  <c r="AA226" i="2"/>
  <c r="U226" i="2"/>
  <c r="V226" i="2" s="1"/>
  <c r="Q226" i="2"/>
  <c r="R226" i="2" s="1"/>
  <c r="K226" i="2"/>
  <c r="Z226" i="2" s="1"/>
  <c r="J226" i="2"/>
  <c r="F226" i="2"/>
  <c r="G226" i="2" s="1"/>
  <c r="AH225" i="2"/>
  <c r="AA225" i="2"/>
  <c r="U225" i="2"/>
  <c r="V225" i="2" s="1"/>
  <c r="Q225" i="2"/>
  <c r="R225" i="2" s="1"/>
  <c r="K225" i="2"/>
  <c r="J225" i="2"/>
  <c r="F225" i="2"/>
  <c r="G225" i="2" s="1"/>
  <c r="AH224" i="2"/>
  <c r="AA224" i="2"/>
  <c r="U224" i="2"/>
  <c r="V224" i="2" s="1"/>
  <c r="Q224" i="2"/>
  <c r="R224" i="2" s="1"/>
  <c r="K224" i="2"/>
  <c r="J224" i="2"/>
  <c r="Y224" i="2" s="1"/>
  <c r="F224" i="2"/>
  <c r="G224" i="2" s="1"/>
  <c r="AH223" i="2"/>
  <c r="AA223" i="2"/>
  <c r="U223" i="2"/>
  <c r="V223" i="2" s="1"/>
  <c r="Q223" i="2"/>
  <c r="R223" i="2" s="1"/>
  <c r="K223" i="2"/>
  <c r="Z223" i="2" s="1"/>
  <c r="J223" i="2"/>
  <c r="F223" i="2"/>
  <c r="G223" i="2" s="1"/>
  <c r="AI222" i="2"/>
  <c r="AH222" i="2"/>
  <c r="AA222" i="2"/>
  <c r="Z222" i="2"/>
  <c r="Y222" i="2"/>
  <c r="X222" i="2"/>
  <c r="U222" i="2"/>
  <c r="V222" i="2" s="1"/>
  <c r="Q222" i="2"/>
  <c r="R222" i="2" s="1"/>
  <c r="L222" i="2"/>
  <c r="M222" i="2" s="1"/>
  <c r="G222" i="2"/>
  <c r="AI221" i="2"/>
  <c r="AH221" i="2"/>
  <c r="AH226" i="2" s="1"/>
  <c r="AE221" i="2" s="1"/>
  <c r="N66" i="4" s="1"/>
  <c r="AA221" i="2"/>
  <c r="H66" i="4" s="1"/>
  <c r="Z221" i="2"/>
  <c r="Y221" i="2"/>
  <c r="X221" i="2"/>
  <c r="U221" i="2"/>
  <c r="Q221" i="2"/>
  <c r="R221" i="2" s="1"/>
  <c r="L221" i="2"/>
  <c r="M221" i="2" s="1"/>
  <c r="F221" i="2"/>
  <c r="G221" i="2" s="1"/>
  <c r="AA219" i="2"/>
  <c r="U219" i="2"/>
  <c r="V219" i="2" s="1"/>
  <c r="Q219" i="2"/>
  <c r="R219" i="2" s="1"/>
  <c r="K219" i="2"/>
  <c r="Z219" i="2" s="1"/>
  <c r="J219" i="2"/>
  <c r="F219" i="2"/>
  <c r="G219" i="2" s="1"/>
  <c r="AH218" i="2"/>
  <c r="AA218" i="2"/>
  <c r="U218" i="2"/>
  <c r="V218" i="2" s="1"/>
  <c r="Q218" i="2"/>
  <c r="R218" i="2" s="1"/>
  <c r="K218" i="2"/>
  <c r="AI218" i="2" s="1"/>
  <c r="J218" i="2"/>
  <c r="F218" i="2"/>
  <c r="G218" i="2" s="1"/>
  <c r="AH217" i="2"/>
  <c r="AA217" i="2"/>
  <c r="U217" i="2"/>
  <c r="V217" i="2" s="1"/>
  <c r="Q217" i="2"/>
  <c r="R217" i="2" s="1"/>
  <c r="K217" i="2"/>
  <c r="J217" i="2"/>
  <c r="Y217" i="2" s="1"/>
  <c r="F217" i="2"/>
  <c r="G217" i="2" s="1"/>
  <c r="AH216" i="2"/>
  <c r="AA216" i="2"/>
  <c r="U216" i="2"/>
  <c r="V216" i="2" s="1"/>
  <c r="Q216" i="2"/>
  <c r="R216" i="2" s="1"/>
  <c r="K216" i="2"/>
  <c r="Z216" i="2" s="1"/>
  <c r="J216" i="2"/>
  <c r="G216" i="2"/>
  <c r="AI215" i="2"/>
  <c r="AH215" i="2"/>
  <c r="AA215" i="2"/>
  <c r="Z215" i="2"/>
  <c r="Y215" i="2"/>
  <c r="X215" i="2"/>
  <c r="U215" i="2"/>
  <c r="V215" i="2" s="1"/>
  <c r="Q215" i="2"/>
  <c r="R215" i="2" s="1"/>
  <c r="L215" i="2"/>
  <c r="M215" i="2" s="1"/>
  <c r="G215" i="2"/>
  <c r="AI214" i="2"/>
  <c r="AH214" i="2"/>
  <c r="AH219" i="2" s="1"/>
  <c r="AE214" i="2" s="1"/>
  <c r="N64" i="4" s="1"/>
  <c r="AA214" i="2"/>
  <c r="H64" i="4" s="1"/>
  <c r="Z214" i="2"/>
  <c r="Y214" i="2"/>
  <c r="X214" i="2"/>
  <c r="U214" i="2"/>
  <c r="Q214" i="2"/>
  <c r="R214" i="2" s="1"/>
  <c r="L214" i="2"/>
  <c r="M214" i="2" s="1"/>
  <c r="F214" i="2"/>
  <c r="G214" i="2" s="1"/>
  <c r="AA212" i="2"/>
  <c r="U212" i="2"/>
  <c r="V212" i="2" s="1"/>
  <c r="Q212" i="2"/>
  <c r="R212" i="2" s="1"/>
  <c r="K212" i="2"/>
  <c r="J212" i="2"/>
  <c r="F212" i="2"/>
  <c r="G212" i="2" s="1"/>
  <c r="AH211" i="2"/>
  <c r="AA211" i="2"/>
  <c r="U211" i="2"/>
  <c r="V211" i="2" s="1"/>
  <c r="Q211" i="2"/>
  <c r="R211" i="2" s="1"/>
  <c r="K211" i="2"/>
  <c r="J211" i="2"/>
  <c r="F211" i="2"/>
  <c r="G211" i="2" s="1"/>
  <c r="AH210" i="2"/>
  <c r="AA210" i="2"/>
  <c r="U210" i="2"/>
  <c r="V210" i="2" s="1"/>
  <c r="Q210" i="2"/>
  <c r="R210" i="2" s="1"/>
  <c r="K210" i="2"/>
  <c r="J210" i="2"/>
  <c r="Y210" i="2" s="1"/>
  <c r="F210" i="2"/>
  <c r="G210" i="2" s="1"/>
  <c r="AH209" i="2"/>
  <c r="AA209" i="2"/>
  <c r="U209" i="2"/>
  <c r="V209" i="2" s="1"/>
  <c r="Q209" i="2"/>
  <c r="R209" i="2" s="1"/>
  <c r="K209" i="2"/>
  <c r="J209" i="2"/>
  <c r="G209" i="2"/>
  <c r="AI208" i="2"/>
  <c r="AH208" i="2"/>
  <c r="AA208" i="2"/>
  <c r="Z208" i="2"/>
  <c r="Y208" i="2"/>
  <c r="X208" i="2"/>
  <c r="U208" i="2"/>
  <c r="V208" i="2" s="1"/>
  <c r="Q208" i="2"/>
  <c r="R208" i="2" s="1"/>
  <c r="L208" i="2"/>
  <c r="M208" i="2" s="1"/>
  <c r="G208" i="2"/>
  <c r="AI207" i="2"/>
  <c r="AH207" i="2"/>
  <c r="AH212" i="2" s="1"/>
  <c r="AE207" i="2" s="1"/>
  <c r="N62" i="4" s="1"/>
  <c r="AA207" i="2"/>
  <c r="H62" i="4" s="1"/>
  <c r="Z207" i="2"/>
  <c r="Y207" i="2"/>
  <c r="X207" i="2"/>
  <c r="U207" i="2"/>
  <c r="Q207" i="2"/>
  <c r="R207" i="2" s="1"/>
  <c r="L207" i="2"/>
  <c r="M207" i="2" s="1"/>
  <c r="F207" i="2"/>
  <c r="G207" i="2" s="1"/>
  <c r="AA205" i="2"/>
  <c r="U205" i="2"/>
  <c r="V205" i="2" s="1"/>
  <c r="Q205" i="2"/>
  <c r="R205" i="2" s="1"/>
  <c r="K205" i="2"/>
  <c r="J205" i="2"/>
  <c r="F205" i="2"/>
  <c r="G205" i="2" s="1"/>
  <c r="AH204" i="2"/>
  <c r="AA204" i="2"/>
  <c r="U204" i="2"/>
  <c r="V204" i="2" s="1"/>
  <c r="Q204" i="2"/>
  <c r="R204" i="2" s="1"/>
  <c r="K204" i="2"/>
  <c r="J204" i="2"/>
  <c r="F204" i="2"/>
  <c r="G204" i="2" s="1"/>
  <c r="AH203" i="2"/>
  <c r="AA203" i="2"/>
  <c r="U203" i="2"/>
  <c r="V203" i="2" s="1"/>
  <c r="Q203" i="2"/>
  <c r="R203" i="2" s="1"/>
  <c r="K203" i="2"/>
  <c r="J203" i="2"/>
  <c r="Y203" i="2" s="1"/>
  <c r="F203" i="2"/>
  <c r="G203" i="2" s="1"/>
  <c r="AH202" i="2"/>
  <c r="AA202" i="2"/>
  <c r="U202" i="2"/>
  <c r="V202" i="2" s="1"/>
  <c r="Q202" i="2"/>
  <c r="R202" i="2" s="1"/>
  <c r="K202" i="2"/>
  <c r="J202" i="2"/>
  <c r="F202" i="2"/>
  <c r="G202" i="2" s="1"/>
  <c r="AI201" i="2"/>
  <c r="AH201" i="2"/>
  <c r="AA201" i="2"/>
  <c r="Z201" i="2"/>
  <c r="Y201" i="2"/>
  <c r="X201" i="2"/>
  <c r="U201" i="2"/>
  <c r="V201" i="2" s="1"/>
  <c r="Q201" i="2"/>
  <c r="R201" i="2" s="1"/>
  <c r="L201" i="2"/>
  <c r="M201" i="2" s="1"/>
  <c r="G201" i="2"/>
  <c r="AI200" i="2"/>
  <c r="AH200" i="2"/>
  <c r="AH205" i="2" s="1"/>
  <c r="AE200" i="2" s="1"/>
  <c r="N60" i="4" s="1"/>
  <c r="AA200" i="2"/>
  <c r="H60" i="4" s="1"/>
  <c r="Z200" i="2"/>
  <c r="Y200" i="2"/>
  <c r="X200" i="2"/>
  <c r="U200" i="2"/>
  <c r="Q200" i="2"/>
  <c r="R200" i="2" s="1"/>
  <c r="L200" i="2"/>
  <c r="M200" i="2" s="1"/>
  <c r="F200" i="2"/>
  <c r="G200" i="2" s="1"/>
  <c r="B193" i="2"/>
  <c r="A193" i="2"/>
  <c r="F179" i="2"/>
  <c r="G179" i="2" s="1"/>
  <c r="L179" i="2"/>
  <c r="M179" i="2"/>
  <c r="Q179" i="2"/>
  <c r="R179" i="2" s="1"/>
  <c r="Y179" i="2"/>
  <c r="AI179" i="2"/>
  <c r="B186" i="2"/>
  <c r="B179" i="2"/>
  <c r="B172" i="2"/>
  <c r="A186" i="2"/>
  <c r="A179" i="2"/>
  <c r="A172" i="2"/>
  <c r="AA198" i="2"/>
  <c r="U198" i="2"/>
  <c r="V198" i="2" s="1"/>
  <c r="Q198" i="2"/>
  <c r="R198" i="2" s="1"/>
  <c r="K198" i="2"/>
  <c r="J198" i="2"/>
  <c r="F198" i="2"/>
  <c r="G198" i="2" s="1"/>
  <c r="AH197" i="2"/>
  <c r="AA197" i="2"/>
  <c r="U197" i="2"/>
  <c r="V197" i="2" s="1"/>
  <c r="Q197" i="2"/>
  <c r="R197" i="2" s="1"/>
  <c r="K197" i="2"/>
  <c r="J197" i="2"/>
  <c r="F197" i="2"/>
  <c r="G197" i="2" s="1"/>
  <c r="AH196" i="2"/>
  <c r="AA196" i="2"/>
  <c r="U196" i="2"/>
  <c r="V196" i="2" s="1"/>
  <c r="Q196" i="2"/>
  <c r="R196" i="2" s="1"/>
  <c r="K196" i="2"/>
  <c r="J196" i="2"/>
  <c r="Y196" i="2" s="1"/>
  <c r="F196" i="2"/>
  <c r="G196" i="2" s="1"/>
  <c r="AH195" i="2"/>
  <c r="AA195" i="2"/>
  <c r="U195" i="2"/>
  <c r="V195" i="2" s="1"/>
  <c r="Q195" i="2"/>
  <c r="R195" i="2" s="1"/>
  <c r="K195" i="2"/>
  <c r="J195" i="2"/>
  <c r="G195" i="2"/>
  <c r="AI194" i="2"/>
  <c r="AH194" i="2"/>
  <c r="AA194" i="2"/>
  <c r="Z194" i="2"/>
  <c r="Y194" i="2"/>
  <c r="X194" i="2"/>
  <c r="U194" i="2"/>
  <c r="V194" i="2" s="1"/>
  <c r="Q194" i="2"/>
  <c r="R194" i="2" s="1"/>
  <c r="L194" i="2"/>
  <c r="M194" i="2" s="1"/>
  <c r="G194" i="2"/>
  <c r="AI193" i="2"/>
  <c r="AH193" i="2"/>
  <c r="AH198" i="2" s="1"/>
  <c r="AE193" i="2" s="1"/>
  <c r="N58" i="4" s="1"/>
  <c r="O58" i="4" s="1"/>
  <c r="AA193" i="2"/>
  <c r="H58" i="4" s="1"/>
  <c r="Z193" i="2"/>
  <c r="Y193" i="2"/>
  <c r="X193" i="2"/>
  <c r="U193" i="2"/>
  <c r="Q193" i="2"/>
  <c r="R193" i="2" s="1"/>
  <c r="L193" i="2"/>
  <c r="M193" i="2" s="1"/>
  <c r="F193" i="2"/>
  <c r="G193" i="2" s="1"/>
  <c r="AA191" i="2"/>
  <c r="U191" i="2"/>
  <c r="V191" i="2" s="1"/>
  <c r="Q191" i="2"/>
  <c r="R191" i="2" s="1"/>
  <c r="K191" i="2"/>
  <c r="Z191" i="2" s="1"/>
  <c r="J191" i="2"/>
  <c r="F191" i="2"/>
  <c r="G191" i="2" s="1"/>
  <c r="AH190" i="2"/>
  <c r="AA190" i="2"/>
  <c r="U190" i="2"/>
  <c r="V190" i="2" s="1"/>
  <c r="Q190" i="2"/>
  <c r="R190" i="2" s="1"/>
  <c r="K190" i="2"/>
  <c r="J190" i="2"/>
  <c r="F190" i="2"/>
  <c r="G190" i="2" s="1"/>
  <c r="AH189" i="2"/>
  <c r="AA189" i="2"/>
  <c r="U189" i="2"/>
  <c r="V189" i="2" s="1"/>
  <c r="Q189" i="2"/>
  <c r="R189" i="2" s="1"/>
  <c r="K189" i="2"/>
  <c r="J189" i="2"/>
  <c r="F189" i="2"/>
  <c r="G189" i="2" s="1"/>
  <c r="AH188" i="2"/>
  <c r="AA188" i="2"/>
  <c r="U188" i="2"/>
  <c r="V188" i="2" s="1"/>
  <c r="Q188" i="2"/>
  <c r="R188" i="2" s="1"/>
  <c r="K188" i="2"/>
  <c r="Z188" i="2" s="1"/>
  <c r="J188" i="2"/>
  <c r="F188" i="2"/>
  <c r="G188" i="2" s="1"/>
  <c r="AI187" i="2"/>
  <c r="AH187" i="2"/>
  <c r="AA187" i="2"/>
  <c r="Z187" i="2"/>
  <c r="Y187" i="2"/>
  <c r="X187" i="2"/>
  <c r="U187" i="2"/>
  <c r="V187" i="2" s="1"/>
  <c r="Q187" i="2"/>
  <c r="R187" i="2" s="1"/>
  <c r="L187" i="2"/>
  <c r="M187" i="2" s="1"/>
  <c r="G187" i="2"/>
  <c r="AI186" i="2"/>
  <c r="AH186" i="2"/>
  <c r="AH191" i="2" s="1"/>
  <c r="AE186" i="2" s="1"/>
  <c r="N56" i="4" s="1"/>
  <c r="AA186" i="2"/>
  <c r="H56" i="4" s="1"/>
  <c r="Z186" i="2"/>
  <c r="Y186" i="2"/>
  <c r="X186" i="2"/>
  <c r="U186" i="2"/>
  <c r="Q186" i="2"/>
  <c r="R186" i="2" s="1"/>
  <c r="L186" i="2"/>
  <c r="M186" i="2" s="1"/>
  <c r="F186" i="2"/>
  <c r="G186" i="2" s="1"/>
  <c r="AA184" i="2"/>
  <c r="U184" i="2"/>
  <c r="V184" i="2" s="1"/>
  <c r="Q184" i="2"/>
  <c r="R184" i="2" s="1"/>
  <c r="K184" i="2"/>
  <c r="J184" i="2"/>
  <c r="F184" i="2"/>
  <c r="G184" i="2" s="1"/>
  <c r="AH183" i="2"/>
  <c r="AA183" i="2"/>
  <c r="U183" i="2"/>
  <c r="V183" i="2" s="1"/>
  <c r="Q183" i="2"/>
  <c r="R183" i="2" s="1"/>
  <c r="K183" i="2"/>
  <c r="J183" i="2"/>
  <c r="F183" i="2"/>
  <c r="G183" i="2" s="1"/>
  <c r="AH182" i="2"/>
  <c r="AA182" i="2"/>
  <c r="U182" i="2"/>
  <c r="Q182" i="2"/>
  <c r="R182" i="2" s="1"/>
  <c r="K182" i="2"/>
  <c r="J182" i="2"/>
  <c r="Y182" i="2" s="1"/>
  <c r="F182" i="2"/>
  <c r="G182" i="2" s="1"/>
  <c r="AH181" i="2"/>
  <c r="AA181" i="2"/>
  <c r="U181" i="2"/>
  <c r="V181" i="2" s="1"/>
  <c r="Q181" i="2"/>
  <c r="R181" i="2" s="1"/>
  <c r="K181" i="2"/>
  <c r="J181" i="2"/>
  <c r="G181" i="2"/>
  <c r="AI180" i="2"/>
  <c r="AH180" i="2"/>
  <c r="AA180" i="2"/>
  <c r="Z180" i="2"/>
  <c r="Y180" i="2"/>
  <c r="X180" i="2"/>
  <c r="U180" i="2"/>
  <c r="V180" i="2" s="1"/>
  <c r="Q180" i="2"/>
  <c r="R180" i="2" s="1"/>
  <c r="L180" i="2"/>
  <c r="M180" i="2" s="1"/>
  <c r="G180" i="2"/>
  <c r="AH179" i="2"/>
  <c r="AH184" i="2" s="1"/>
  <c r="AE179" i="2" s="1"/>
  <c r="N54" i="4" s="1"/>
  <c r="AA179" i="2"/>
  <c r="H54" i="4" s="1"/>
  <c r="Z179" i="2"/>
  <c r="X179" i="2"/>
  <c r="U179" i="2"/>
  <c r="V179" i="2" s="1"/>
  <c r="AA177" i="2"/>
  <c r="U177" i="2"/>
  <c r="V177" i="2" s="1"/>
  <c r="Q177" i="2"/>
  <c r="R177" i="2" s="1"/>
  <c r="K177" i="2"/>
  <c r="J177" i="2"/>
  <c r="F177" i="2"/>
  <c r="G177" i="2" s="1"/>
  <c r="AH176" i="2"/>
  <c r="AA176" i="2"/>
  <c r="U176" i="2"/>
  <c r="V176" i="2" s="1"/>
  <c r="Q176" i="2"/>
  <c r="R176" i="2" s="1"/>
  <c r="K176" i="2"/>
  <c r="J176" i="2"/>
  <c r="Y176" i="2" s="1"/>
  <c r="F176" i="2"/>
  <c r="G176" i="2" s="1"/>
  <c r="AH175" i="2"/>
  <c r="AA175" i="2"/>
  <c r="U175" i="2"/>
  <c r="V175" i="2" s="1"/>
  <c r="Q175" i="2"/>
  <c r="R175" i="2" s="1"/>
  <c r="K175" i="2"/>
  <c r="J175" i="2"/>
  <c r="Y175" i="2" s="1"/>
  <c r="F175" i="2"/>
  <c r="G175" i="2" s="1"/>
  <c r="AH174" i="2"/>
  <c r="AA174" i="2"/>
  <c r="U174" i="2"/>
  <c r="V174" i="2" s="1"/>
  <c r="Q174" i="2"/>
  <c r="R174" i="2" s="1"/>
  <c r="K174" i="2"/>
  <c r="Z174" i="2" s="1"/>
  <c r="J174" i="2"/>
  <c r="F174" i="2"/>
  <c r="G174" i="2" s="1"/>
  <c r="AI173" i="2"/>
  <c r="AH173" i="2"/>
  <c r="AA173" i="2"/>
  <c r="Z173" i="2"/>
  <c r="Y173" i="2"/>
  <c r="X173" i="2"/>
  <c r="U173" i="2"/>
  <c r="Q173" i="2"/>
  <c r="R173" i="2" s="1"/>
  <c r="L173" i="2"/>
  <c r="M173" i="2" s="1"/>
  <c r="G173" i="2"/>
  <c r="AI172" i="2"/>
  <c r="AH172" i="2"/>
  <c r="AH177" i="2" s="1"/>
  <c r="AE172" i="2" s="1"/>
  <c r="N52" i="4" s="1"/>
  <c r="AA172" i="2"/>
  <c r="H52" i="4" s="1"/>
  <c r="Z172" i="2"/>
  <c r="Y172" i="2"/>
  <c r="X172" i="2"/>
  <c r="U172" i="2"/>
  <c r="V172" i="2" s="1"/>
  <c r="Q172" i="2"/>
  <c r="R172" i="2" s="1"/>
  <c r="L172" i="2"/>
  <c r="M172" i="2" s="1"/>
  <c r="F172" i="2"/>
  <c r="G172" i="2" s="1"/>
  <c r="A64" i="3"/>
  <c r="B64" i="3"/>
  <c r="A66" i="3"/>
  <c r="B66" i="3"/>
  <c r="A62" i="3"/>
  <c r="B62" i="3"/>
  <c r="A58" i="3"/>
  <c r="B58" i="3"/>
  <c r="A60" i="3"/>
  <c r="B60" i="3"/>
  <c r="A54" i="3"/>
  <c r="B54" i="3"/>
  <c r="A56" i="3"/>
  <c r="B56" i="3"/>
  <c r="A52" i="3"/>
  <c r="B52" i="3"/>
  <c r="A50" i="3"/>
  <c r="B165" i="2"/>
  <c r="A165" i="2"/>
  <c r="AA170" i="2"/>
  <c r="U170" i="2"/>
  <c r="V170" i="2" s="1"/>
  <c r="Q170" i="2"/>
  <c r="R170" i="2" s="1"/>
  <c r="J170" i="2"/>
  <c r="Y170" i="2" s="1"/>
  <c r="F170" i="2"/>
  <c r="G170" i="2" s="1"/>
  <c r="AH169" i="2"/>
  <c r="AA169" i="2"/>
  <c r="U169" i="2"/>
  <c r="Q169" i="2"/>
  <c r="R169" i="2" s="1"/>
  <c r="K169" i="2"/>
  <c r="J169" i="2"/>
  <c r="F169" i="2"/>
  <c r="G169" i="2" s="1"/>
  <c r="AH168" i="2"/>
  <c r="AA168" i="2"/>
  <c r="U168" i="2"/>
  <c r="V168" i="2" s="1"/>
  <c r="Q168" i="2"/>
  <c r="R168" i="2" s="1"/>
  <c r="K168" i="2"/>
  <c r="J168" i="2"/>
  <c r="Y168" i="2" s="1"/>
  <c r="F168" i="2"/>
  <c r="G168" i="2" s="1"/>
  <c r="AH167" i="2"/>
  <c r="AA167" i="2"/>
  <c r="U167" i="2"/>
  <c r="V167" i="2" s="1"/>
  <c r="Q167" i="2"/>
  <c r="R167" i="2" s="1"/>
  <c r="K167" i="2"/>
  <c r="AI166" i="2" s="1"/>
  <c r="J167" i="2"/>
  <c r="Y167" i="2" s="1"/>
  <c r="F167" i="2"/>
  <c r="G167" i="2" s="1"/>
  <c r="AH166" i="2"/>
  <c r="AA166" i="2"/>
  <c r="Z166" i="2"/>
  <c r="Y166" i="2"/>
  <c r="X166" i="2"/>
  <c r="U166" i="2"/>
  <c r="Q166" i="2"/>
  <c r="R166" i="2" s="1"/>
  <c r="L166" i="2"/>
  <c r="M166" i="2" s="1"/>
  <c r="G166" i="2"/>
  <c r="AI165" i="2"/>
  <c r="AH165" i="2"/>
  <c r="AH170" i="2" s="1"/>
  <c r="AE165" i="2" s="1"/>
  <c r="N50" i="4" s="1"/>
  <c r="AA165" i="2"/>
  <c r="H50" i="4" s="1"/>
  <c r="Z165" i="2"/>
  <c r="Y165" i="2"/>
  <c r="X165" i="2"/>
  <c r="U165" i="2"/>
  <c r="Q165" i="2"/>
  <c r="R165" i="2" s="1"/>
  <c r="L165" i="2"/>
  <c r="M165" i="2" s="1"/>
  <c r="F165" i="2"/>
  <c r="G165" i="2" s="1"/>
  <c r="K48" i="4"/>
  <c r="E48" i="4"/>
  <c r="B48" i="4"/>
  <c r="A48" i="4"/>
  <c r="A48" i="3"/>
  <c r="B158" i="2"/>
  <c r="A158" i="2"/>
  <c r="AA163" i="2"/>
  <c r="U163" i="2"/>
  <c r="V163" i="2" s="1"/>
  <c r="Q163" i="2"/>
  <c r="R163" i="2" s="1"/>
  <c r="K163" i="2"/>
  <c r="J163" i="2"/>
  <c r="Y163" i="2" s="1"/>
  <c r="F163" i="2"/>
  <c r="G163" i="2" s="1"/>
  <c r="AH162" i="2"/>
  <c r="AA162" i="2"/>
  <c r="U162" i="2"/>
  <c r="V162" i="2" s="1"/>
  <c r="Q162" i="2"/>
  <c r="R162" i="2" s="1"/>
  <c r="K162" i="2"/>
  <c r="J162" i="2"/>
  <c r="L162" i="2" s="1"/>
  <c r="M162" i="2" s="1"/>
  <c r="F162" i="2"/>
  <c r="G162" i="2" s="1"/>
  <c r="AH161" i="2"/>
  <c r="AA161" i="2"/>
  <c r="U161" i="2"/>
  <c r="V161" i="2" s="1"/>
  <c r="Q161" i="2"/>
  <c r="R161" i="2" s="1"/>
  <c r="K161" i="2"/>
  <c r="J161" i="2"/>
  <c r="F161" i="2"/>
  <c r="G161" i="2" s="1"/>
  <c r="AH160" i="2"/>
  <c r="AA160" i="2"/>
  <c r="U160" i="2"/>
  <c r="V160" i="2" s="1"/>
  <c r="Q160" i="2"/>
  <c r="R160" i="2" s="1"/>
  <c r="K160" i="2"/>
  <c r="J160" i="2"/>
  <c r="Y160" i="2" s="1"/>
  <c r="G160" i="2"/>
  <c r="AH159" i="2"/>
  <c r="AA159" i="2"/>
  <c r="U159" i="2"/>
  <c r="Q159" i="2"/>
  <c r="R159" i="2" s="1"/>
  <c r="Z159" i="2"/>
  <c r="L159" i="2"/>
  <c r="M159" i="2" s="1"/>
  <c r="G159" i="2"/>
  <c r="AH158" i="2"/>
  <c r="AA158" i="2"/>
  <c r="H48" i="4" s="1"/>
  <c r="U158" i="2"/>
  <c r="Q158" i="2"/>
  <c r="R158" i="2" s="1"/>
  <c r="Z158" i="2"/>
  <c r="Y158" i="2"/>
  <c r="F158" i="2"/>
  <c r="G158" i="2" s="1"/>
  <c r="B4" i="2"/>
  <c r="U79" i="2"/>
  <c r="F16" i="2"/>
  <c r="G16" i="2" s="1"/>
  <c r="F14" i="2"/>
  <c r="G14" i="2" s="1"/>
  <c r="F15" i="2"/>
  <c r="G15" i="2" s="1"/>
  <c r="U84" i="2"/>
  <c r="V84" i="2"/>
  <c r="AA84" i="2"/>
  <c r="C109" i="3"/>
  <c r="J12" i="2"/>
  <c r="J15" i="2"/>
  <c r="J16" i="2"/>
  <c r="Y16" i="2" s="1"/>
  <c r="M73" i="3"/>
  <c r="U72" i="2"/>
  <c r="V72" i="2" s="1"/>
  <c r="U51" i="2"/>
  <c r="U82" i="2"/>
  <c r="V82" i="2" s="1"/>
  <c r="U85" i="2"/>
  <c r="V85" i="2" s="1"/>
  <c r="U86" i="2"/>
  <c r="V86" i="2" s="1"/>
  <c r="Q82" i="2"/>
  <c r="R82" i="2" s="1"/>
  <c r="Q84" i="2"/>
  <c r="R84" i="2" s="1"/>
  <c r="Q85" i="2"/>
  <c r="R85" i="2" s="1"/>
  <c r="Q86" i="2"/>
  <c r="R86" i="2" s="1"/>
  <c r="U124" i="2"/>
  <c r="V124" i="2" s="1"/>
  <c r="U126" i="2"/>
  <c r="V126" i="2" s="1"/>
  <c r="U127" i="2"/>
  <c r="V127" i="2" s="1"/>
  <c r="U128" i="2"/>
  <c r="V128" i="2" s="1"/>
  <c r="Q124" i="2"/>
  <c r="Q126" i="2"/>
  <c r="Q127" i="2"/>
  <c r="Q128" i="2"/>
  <c r="R124" i="2"/>
  <c r="R126" i="2"/>
  <c r="R127" i="2"/>
  <c r="R128" i="2"/>
  <c r="U138" i="2"/>
  <c r="V138" i="2" s="1"/>
  <c r="U139" i="2"/>
  <c r="V139" i="2" s="1"/>
  <c r="U140" i="2"/>
  <c r="V140" i="2" s="1"/>
  <c r="U141" i="2"/>
  <c r="V141" i="2" s="1"/>
  <c r="U142" i="2"/>
  <c r="V142" i="2" s="1"/>
  <c r="Q138" i="2"/>
  <c r="R138" i="2" s="1"/>
  <c r="Q139" i="2"/>
  <c r="R139" i="2" s="1"/>
  <c r="Q140" i="2"/>
  <c r="R140" i="2" s="1"/>
  <c r="Q141" i="2"/>
  <c r="R141" i="2" s="1"/>
  <c r="Q142" i="2"/>
  <c r="R142" i="2" s="1"/>
  <c r="U131" i="2"/>
  <c r="V131" i="2" s="1"/>
  <c r="U133" i="2"/>
  <c r="V133" i="2" s="1"/>
  <c r="U134" i="2"/>
  <c r="V134" i="2" s="1"/>
  <c r="U135" i="2"/>
  <c r="V135" i="2" s="1"/>
  <c r="Q131" i="2"/>
  <c r="R131" i="2" s="1"/>
  <c r="Q133" i="2"/>
  <c r="R133" i="2" s="1"/>
  <c r="Q134" i="2"/>
  <c r="R134" i="2" s="1"/>
  <c r="Q135" i="2"/>
  <c r="R135" i="2" s="1"/>
  <c r="Q117" i="2"/>
  <c r="Q118" i="2"/>
  <c r="Q119" i="2"/>
  <c r="Q120" i="2"/>
  <c r="Q121" i="2"/>
  <c r="R117" i="2"/>
  <c r="R118" i="2"/>
  <c r="R119" i="2"/>
  <c r="R120" i="2"/>
  <c r="R121" i="2"/>
  <c r="U117" i="2"/>
  <c r="V117" i="2" s="1"/>
  <c r="U118" i="2"/>
  <c r="U119" i="2"/>
  <c r="V119" i="2" s="1"/>
  <c r="U120" i="2"/>
  <c r="V120" i="2" s="1"/>
  <c r="U121" i="2"/>
  <c r="V121" i="2" s="1"/>
  <c r="U98" i="2"/>
  <c r="U99" i="2"/>
  <c r="U100" i="2"/>
  <c r="Q96" i="2"/>
  <c r="R96" i="2" s="1"/>
  <c r="Q98" i="2"/>
  <c r="R98" i="2" s="1"/>
  <c r="Q99" i="2"/>
  <c r="R99" i="2" s="1"/>
  <c r="Q100" i="2"/>
  <c r="R100" i="2" s="1"/>
  <c r="U145" i="2"/>
  <c r="F147" i="2"/>
  <c r="G147" i="2"/>
  <c r="J147" i="2"/>
  <c r="K147" i="2"/>
  <c r="L147" i="2"/>
  <c r="M147" i="2"/>
  <c r="Q147" i="2"/>
  <c r="R147" i="2"/>
  <c r="U147" i="2"/>
  <c r="V147" i="2"/>
  <c r="X147" i="2"/>
  <c r="Y147" i="2"/>
  <c r="Z147" i="2"/>
  <c r="AA147" i="2"/>
  <c r="F148" i="2"/>
  <c r="G148" i="2"/>
  <c r="J148" i="2"/>
  <c r="K148" i="2"/>
  <c r="L148" i="2"/>
  <c r="M148" i="2"/>
  <c r="Q148" i="2"/>
  <c r="R148" i="2"/>
  <c r="U148" i="2"/>
  <c r="V148" i="2"/>
  <c r="X148" i="2"/>
  <c r="Y148" i="2"/>
  <c r="Z148" i="2"/>
  <c r="AA148" i="2"/>
  <c r="F149" i="2"/>
  <c r="G149" i="2"/>
  <c r="J149" i="2"/>
  <c r="K149" i="2"/>
  <c r="L149" i="2"/>
  <c r="M149" i="2"/>
  <c r="Q149" i="2"/>
  <c r="R149" i="2"/>
  <c r="U149" i="2"/>
  <c r="V149" i="2"/>
  <c r="X149" i="2"/>
  <c r="Y149" i="2"/>
  <c r="Z149" i="2"/>
  <c r="AA149" i="2"/>
  <c r="Q68" i="2"/>
  <c r="R68" i="2" s="1"/>
  <c r="J68" i="2"/>
  <c r="Y68" i="2" s="1"/>
  <c r="Q19" i="2"/>
  <c r="Q21" i="2"/>
  <c r="Q22" i="2"/>
  <c r="Q23" i="2"/>
  <c r="F8" i="2"/>
  <c r="F9" i="2"/>
  <c r="K81" i="2"/>
  <c r="L81" i="2"/>
  <c r="M81" i="2"/>
  <c r="Q81" i="2"/>
  <c r="R81" i="2"/>
  <c r="U81" i="2"/>
  <c r="E26" i="3" s="1" a="1"/>
  <c r="E26" i="3" s="1"/>
  <c r="V81" i="2"/>
  <c r="X81" i="2"/>
  <c r="Y81" i="2"/>
  <c r="Z81" i="2"/>
  <c r="AA81" i="2"/>
  <c r="U137" i="2"/>
  <c r="V137" i="2"/>
  <c r="AA137" i="2"/>
  <c r="U96" i="2"/>
  <c r="V96" i="2" s="1"/>
  <c r="V98" i="2"/>
  <c r="V99" i="2"/>
  <c r="V100" i="2"/>
  <c r="J8" i="2"/>
  <c r="J9" i="2"/>
  <c r="J109" i="2"/>
  <c r="K14" i="2"/>
  <c r="K15" i="2"/>
  <c r="J63" i="2"/>
  <c r="J64" i="2"/>
  <c r="J65" i="2"/>
  <c r="U110" i="2"/>
  <c r="V110" i="2" s="1"/>
  <c r="U112" i="2"/>
  <c r="V112" i="2" s="1"/>
  <c r="U113" i="2"/>
  <c r="V113" i="2" s="1"/>
  <c r="U114" i="2"/>
  <c r="V114" i="2" s="1"/>
  <c r="Q110" i="2"/>
  <c r="R110" i="2" s="1"/>
  <c r="Q112" i="2"/>
  <c r="R112" i="2" s="1"/>
  <c r="Q113" i="2"/>
  <c r="R113" i="2" s="1"/>
  <c r="Q114" i="2"/>
  <c r="R114" i="2" s="1"/>
  <c r="K93" i="2"/>
  <c r="J75" i="2"/>
  <c r="Y75" i="2" s="1"/>
  <c r="K79" i="2"/>
  <c r="K78" i="2"/>
  <c r="K77" i="2"/>
  <c r="K75" i="2"/>
  <c r="K74" i="2"/>
  <c r="J79" i="2"/>
  <c r="J78" i="2"/>
  <c r="J77" i="2"/>
  <c r="J74" i="2"/>
  <c r="K68" i="2"/>
  <c r="K70" i="2"/>
  <c r="K71" i="2"/>
  <c r="K72" i="2"/>
  <c r="U152" i="2"/>
  <c r="V152" i="2" s="1"/>
  <c r="U154" i="2"/>
  <c r="V154" i="2" s="1"/>
  <c r="U155" i="2"/>
  <c r="V155" i="2" s="1"/>
  <c r="U156" i="2"/>
  <c r="V156" i="2" s="1"/>
  <c r="Q152" i="2"/>
  <c r="R152" i="2" s="1"/>
  <c r="Q154" i="2"/>
  <c r="R154" i="2" s="1"/>
  <c r="Q155" i="2"/>
  <c r="R155" i="2" s="1"/>
  <c r="Q156" i="2"/>
  <c r="R156" i="2" s="1"/>
  <c r="Q47" i="2"/>
  <c r="Q49" i="2"/>
  <c r="Q50" i="2"/>
  <c r="Q51" i="2"/>
  <c r="R47" i="2"/>
  <c r="R49" i="2"/>
  <c r="R50" i="2"/>
  <c r="R51" i="2"/>
  <c r="U47" i="2"/>
  <c r="U49" i="2"/>
  <c r="U50" i="2"/>
  <c r="V47" i="2"/>
  <c r="V49" i="2"/>
  <c r="V50" i="2"/>
  <c r="V51" i="2"/>
  <c r="Z75" i="2"/>
  <c r="Z77" i="2"/>
  <c r="Z78" i="2"/>
  <c r="Z79" i="2"/>
  <c r="Y77" i="2"/>
  <c r="Y78" i="2"/>
  <c r="Y79" i="2"/>
  <c r="X75" i="2"/>
  <c r="X77" i="2"/>
  <c r="X78" i="2"/>
  <c r="X79" i="2"/>
  <c r="U77" i="2"/>
  <c r="V77" i="2" s="1"/>
  <c r="U78" i="2"/>
  <c r="V78" i="2" s="1"/>
  <c r="V79" i="2"/>
  <c r="Q75" i="2"/>
  <c r="R75" i="2" s="1"/>
  <c r="Q77" i="2"/>
  <c r="R77" i="2" s="1"/>
  <c r="Q78" i="2"/>
  <c r="R78" i="2" s="1"/>
  <c r="Q79" i="2"/>
  <c r="R79" i="2" s="1"/>
  <c r="L75" i="2"/>
  <c r="M75" i="2" s="1"/>
  <c r="L77" i="2"/>
  <c r="M77" i="2" s="1"/>
  <c r="L78" i="2"/>
  <c r="M78" i="2" s="1"/>
  <c r="L79" i="2"/>
  <c r="M79" i="2" s="1"/>
  <c r="V145" i="2"/>
  <c r="Q145" i="2"/>
  <c r="R145" i="2" s="1"/>
  <c r="Z93" i="2"/>
  <c r="X93" i="2"/>
  <c r="U89" i="2"/>
  <c r="V89" i="2" s="1"/>
  <c r="U91" i="2"/>
  <c r="V91" i="2" s="1"/>
  <c r="U92" i="2"/>
  <c r="V92" i="2" s="1"/>
  <c r="V93" i="2"/>
  <c r="Q89" i="2"/>
  <c r="R89" i="2" s="1"/>
  <c r="Q91" i="2"/>
  <c r="R91" i="2" s="1"/>
  <c r="Q92" i="2"/>
  <c r="R92" i="2" s="1"/>
  <c r="Q93" i="2"/>
  <c r="R93" i="2" s="1"/>
  <c r="U103" i="2"/>
  <c r="U105" i="2"/>
  <c r="V105" i="2" s="1"/>
  <c r="U106" i="2"/>
  <c r="V106" i="2" s="1"/>
  <c r="U107" i="2"/>
  <c r="V107" i="2" s="1"/>
  <c r="Q103" i="2"/>
  <c r="R103" i="2" s="1"/>
  <c r="Q105" i="2"/>
  <c r="R105" i="2" s="1"/>
  <c r="Q106" i="2"/>
  <c r="R106" i="2" s="1"/>
  <c r="Q107" i="2"/>
  <c r="R107" i="2" s="1"/>
  <c r="K89" i="2"/>
  <c r="J89" i="2"/>
  <c r="J88" i="2"/>
  <c r="D4" i="6"/>
  <c r="J40" i="2"/>
  <c r="Q33" i="2"/>
  <c r="Q34" i="2"/>
  <c r="Q35" i="2"/>
  <c r="Q36" i="2"/>
  <c r="Q37" i="2"/>
  <c r="R33" i="2"/>
  <c r="R34" i="2"/>
  <c r="R35" i="2"/>
  <c r="R36" i="2"/>
  <c r="R37" i="2"/>
  <c r="V33" i="2"/>
  <c r="V34" i="2"/>
  <c r="V35" i="2"/>
  <c r="V36" i="2"/>
  <c r="V37" i="2"/>
  <c r="R19" i="2"/>
  <c r="R21" i="2"/>
  <c r="R22" i="2"/>
  <c r="R23" i="2"/>
  <c r="Q26" i="2"/>
  <c r="R26" i="2" s="1"/>
  <c r="Q28" i="2"/>
  <c r="R28" i="2" s="1"/>
  <c r="Q29" i="2"/>
  <c r="R29" i="2" s="1"/>
  <c r="Q30" i="2"/>
  <c r="R30" i="2" s="1"/>
  <c r="V30" i="2"/>
  <c r="V19" i="2"/>
  <c r="V21" i="2"/>
  <c r="V22" i="2"/>
  <c r="V23" i="2"/>
  <c r="Y14" i="2"/>
  <c r="Y15" i="2"/>
  <c r="L68" i="2"/>
  <c r="M68" i="2" s="1"/>
  <c r="U54" i="2"/>
  <c r="U56" i="2"/>
  <c r="V56" i="2" s="1"/>
  <c r="U57" i="2"/>
  <c r="V57" i="2" s="1"/>
  <c r="U58" i="2"/>
  <c r="V58" i="2" s="1"/>
  <c r="AA53" i="2"/>
  <c r="Q54" i="2"/>
  <c r="R54" i="2" s="1"/>
  <c r="Q56" i="2"/>
  <c r="R56" i="2" s="1"/>
  <c r="Q57" i="2"/>
  <c r="R57" i="2" s="1"/>
  <c r="Q58" i="2"/>
  <c r="R58" i="2" s="1"/>
  <c r="Q70" i="2"/>
  <c r="R70" i="2" s="1"/>
  <c r="Q71" i="2"/>
  <c r="R71" i="2" s="1"/>
  <c r="Q72" i="2"/>
  <c r="R72" i="2" s="1"/>
  <c r="Z68" i="2"/>
  <c r="Z70" i="2"/>
  <c r="Z71" i="2"/>
  <c r="Z72" i="2"/>
  <c r="X68" i="2"/>
  <c r="X70" i="2"/>
  <c r="X71" i="2"/>
  <c r="X72" i="2"/>
  <c r="U68" i="2"/>
  <c r="U70" i="2"/>
  <c r="V70" i="2" s="1"/>
  <c r="U71" i="2"/>
  <c r="J70" i="2"/>
  <c r="J71" i="2"/>
  <c r="J72" i="2"/>
  <c r="Y63" i="2"/>
  <c r="Y64" i="2"/>
  <c r="Y65" i="2"/>
  <c r="U61" i="2"/>
  <c r="U63" i="2"/>
  <c r="V63" i="2" s="1"/>
  <c r="U64" i="2"/>
  <c r="V64" i="2" s="1"/>
  <c r="U65" i="2"/>
  <c r="V65" i="2" s="1"/>
  <c r="R61" i="2"/>
  <c r="Q63" i="2"/>
  <c r="R63" i="2" s="1"/>
  <c r="Q64" i="2"/>
  <c r="R64" i="2" s="1"/>
  <c r="Q65" i="2"/>
  <c r="R65" i="2" s="1"/>
  <c r="Y40" i="2"/>
  <c r="Y42" i="2"/>
  <c r="Y43" i="2"/>
  <c r="Y44" i="2"/>
  <c r="V40" i="2"/>
  <c r="V42" i="2"/>
  <c r="V44" i="2"/>
  <c r="Q40" i="2"/>
  <c r="R40" i="2" s="1"/>
  <c r="Q42" i="2"/>
  <c r="R42" i="2" s="1"/>
  <c r="Q43" i="2"/>
  <c r="R43" i="2" s="1"/>
  <c r="Q44" i="2"/>
  <c r="R44" i="2" s="1"/>
  <c r="Q12" i="2"/>
  <c r="R12" i="2" s="1"/>
  <c r="Q14" i="2"/>
  <c r="R14" i="2" s="1"/>
  <c r="Q15" i="2"/>
  <c r="R15" i="2" s="1"/>
  <c r="Q16" i="2"/>
  <c r="R16" i="2" s="1"/>
  <c r="V12" i="2"/>
  <c r="V14" i="2"/>
  <c r="V16" i="2"/>
  <c r="L14" i="2"/>
  <c r="M14" i="2" s="1"/>
  <c r="L15" i="2"/>
  <c r="M15" i="2" s="1"/>
  <c r="K16" i="2"/>
  <c r="L16" i="2" s="1"/>
  <c r="M16" i="2" s="1"/>
  <c r="J7" i="2"/>
  <c r="J61" i="2"/>
  <c r="Y61" i="2" s="1"/>
  <c r="Y12" i="2"/>
  <c r="AA156" i="2"/>
  <c r="K156" i="2"/>
  <c r="J156" i="2"/>
  <c r="F156" i="2"/>
  <c r="G156" i="2" s="1"/>
  <c r="AA155" i="2"/>
  <c r="K155" i="2"/>
  <c r="J155" i="2"/>
  <c r="F155" i="2"/>
  <c r="G155" i="2" s="1"/>
  <c r="AA154" i="2"/>
  <c r="K154" i="2"/>
  <c r="J154" i="2"/>
  <c r="F154" i="2"/>
  <c r="G154" i="2" s="1"/>
  <c r="AA152" i="2"/>
  <c r="K152" i="2"/>
  <c r="J152" i="2"/>
  <c r="F152" i="2"/>
  <c r="G152" i="2" s="1"/>
  <c r="AA151" i="2"/>
  <c r="U151" i="2"/>
  <c r="Q151" i="2"/>
  <c r="R151" i="2" s="1"/>
  <c r="K151" i="2"/>
  <c r="J151" i="2"/>
  <c r="F151" i="2"/>
  <c r="G151" i="2" s="1"/>
  <c r="AA145" i="2"/>
  <c r="K145" i="2"/>
  <c r="J145" i="2"/>
  <c r="F145" i="2"/>
  <c r="G145" i="2" s="1"/>
  <c r="AA144" i="2"/>
  <c r="U144" i="2"/>
  <c r="Q144" i="2"/>
  <c r="R144" i="2" s="1"/>
  <c r="K144" i="2"/>
  <c r="J144" i="2"/>
  <c r="F144" i="2"/>
  <c r="G144" i="2" s="1"/>
  <c r="AA142" i="2"/>
  <c r="K142" i="2"/>
  <c r="J142" i="2"/>
  <c r="Y142" i="2" s="1"/>
  <c r="F142" i="2"/>
  <c r="G142" i="2" s="1"/>
  <c r="AA141" i="2"/>
  <c r="K141" i="2"/>
  <c r="J141" i="2"/>
  <c r="Y141" i="2" s="1"/>
  <c r="F141" i="2"/>
  <c r="G141" i="2" s="1"/>
  <c r="AA140" i="2"/>
  <c r="K140" i="2"/>
  <c r="J140" i="2"/>
  <c r="F140" i="2"/>
  <c r="G140" i="2" s="1"/>
  <c r="AA139" i="2"/>
  <c r="K139" i="2"/>
  <c r="J139" i="2"/>
  <c r="F139" i="2"/>
  <c r="G139" i="2" s="1"/>
  <c r="AA138" i="2"/>
  <c r="K138" i="2"/>
  <c r="J138" i="2"/>
  <c r="Y138" i="2" s="1"/>
  <c r="F138" i="2"/>
  <c r="G138" i="2" s="1"/>
  <c r="Q137" i="2"/>
  <c r="R137" i="2" s="1"/>
  <c r="K137" i="2"/>
  <c r="J137" i="2"/>
  <c r="Y137" i="2" s="1"/>
  <c r="F137" i="2"/>
  <c r="G137" i="2" s="1"/>
  <c r="AA135" i="2"/>
  <c r="K135" i="2"/>
  <c r="J135" i="2"/>
  <c r="F135" i="2"/>
  <c r="G135" i="2" s="1"/>
  <c r="AA134" i="2"/>
  <c r="K134" i="2"/>
  <c r="J134" i="2"/>
  <c r="F134" i="2"/>
  <c r="G134" i="2" s="1"/>
  <c r="AA133" i="2"/>
  <c r="K133" i="2"/>
  <c r="J133" i="2"/>
  <c r="F133" i="2"/>
  <c r="G133" i="2" s="1"/>
  <c r="AA131" i="2"/>
  <c r="K131" i="2"/>
  <c r="J131" i="2"/>
  <c r="F131" i="2"/>
  <c r="G131" i="2" s="1"/>
  <c r="AA130" i="2"/>
  <c r="U130" i="2"/>
  <c r="V130" i="2" s="1"/>
  <c r="Q130" i="2"/>
  <c r="R130" i="2" s="1"/>
  <c r="K130" i="2"/>
  <c r="J130" i="2"/>
  <c r="F130" i="2"/>
  <c r="G130" i="2" s="1"/>
  <c r="AA128" i="2"/>
  <c r="K128" i="2"/>
  <c r="J128" i="2"/>
  <c r="F128" i="2"/>
  <c r="G128" i="2" s="1"/>
  <c r="AA127" i="2"/>
  <c r="K127" i="2"/>
  <c r="J127" i="2"/>
  <c r="F127" i="2"/>
  <c r="G127" i="2" s="1"/>
  <c r="AA126" i="2"/>
  <c r="K126" i="2"/>
  <c r="J126" i="2"/>
  <c r="F126" i="2"/>
  <c r="G126" i="2" s="1"/>
  <c r="AA124" i="2"/>
  <c r="K124" i="2"/>
  <c r="J124" i="2"/>
  <c r="F124" i="2"/>
  <c r="G124" i="2" s="1"/>
  <c r="AA123" i="2"/>
  <c r="U123" i="2"/>
  <c r="Q123" i="2"/>
  <c r="R123" i="2" s="1"/>
  <c r="K123" i="2"/>
  <c r="J123" i="2"/>
  <c r="G123" i="2"/>
  <c r="AA121" i="2"/>
  <c r="K121" i="2"/>
  <c r="J121" i="2"/>
  <c r="F121" i="2"/>
  <c r="G121" i="2" s="1"/>
  <c r="AA120" i="2"/>
  <c r="K120" i="2"/>
  <c r="X120" i="2" s="1"/>
  <c r="J120" i="2"/>
  <c r="Y120" i="2" s="1"/>
  <c r="F120" i="2"/>
  <c r="G120" i="2" s="1"/>
  <c r="AA119" i="2"/>
  <c r="K119" i="2"/>
  <c r="J119" i="2"/>
  <c r="F119" i="2"/>
  <c r="G119" i="2" s="1"/>
  <c r="AA118" i="2"/>
  <c r="K118" i="2"/>
  <c r="J118" i="2"/>
  <c r="F118" i="2"/>
  <c r="G118" i="2" s="1"/>
  <c r="AA117" i="2"/>
  <c r="K117" i="2"/>
  <c r="J117" i="2"/>
  <c r="F117" i="2"/>
  <c r="G117" i="2" s="1"/>
  <c r="AA116" i="2"/>
  <c r="U116" i="2"/>
  <c r="V116" i="2" s="1"/>
  <c r="Q116" i="2"/>
  <c r="R116" i="2" s="1"/>
  <c r="K116" i="2"/>
  <c r="J116" i="2"/>
  <c r="G116" i="2"/>
  <c r="AA114" i="2"/>
  <c r="K114" i="2"/>
  <c r="J114" i="2"/>
  <c r="F114" i="2"/>
  <c r="G114" i="2" s="1"/>
  <c r="AA113" i="2"/>
  <c r="K113" i="2"/>
  <c r="J113" i="2"/>
  <c r="F113" i="2"/>
  <c r="G113" i="2" s="1"/>
  <c r="AA112" i="2"/>
  <c r="K112" i="2"/>
  <c r="J112" i="2"/>
  <c r="F112" i="2"/>
  <c r="G112" i="2" s="1"/>
  <c r="AA110" i="2"/>
  <c r="K110" i="2"/>
  <c r="J110" i="2"/>
  <c r="F110" i="2"/>
  <c r="G110" i="2" s="1"/>
  <c r="AA109" i="2"/>
  <c r="U109" i="2"/>
  <c r="V109" i="2" s="1"/>
  <c r="Q109" i="2"/>
  <c r="R109" i="2" s="1"/>
  <c r="F109" i="2"/>
  <c r="G109" i="2" s="1"/>
  <c r="AA107" i="2"/>
  <c r="K107" i="2"/>
  <c r="J107" i="2"/>
  <c r="F107" i="2"/>
  <c r="G107" i="2" s="1"/>
  <c r="AA106" i="2"/>
  <c r="K106" i="2"/>
  <c r="J106" i="2"/>
  <c r="F106" i="2"/>
  <c r="G106" i="2" s="1"/>
  <c r="AA105" i="2"/>
  <c r="K105" i="2"/>
  <c r="J105" i="2"/>
  <c r="F105" i="2"/>
  <c r="G105" i="2" s="1"/>
  <c r="AA103" i="2"/>
  <c r="K103" i="2"/>
  <c r="J103" i="2"/>
  <c r="G103" i="2"/>
  <c r="AA102" i="2"/>
  <c r="U102" i="2"/>
  <c r="V102" i="2" s="1"/>
  <c r="Q102" i="2"/>
  <c r="R102" i="2" s="1"/>
  <c r="K102" i="2"/>
  <c r="J102" i="2"/>
  <c r="F102" i="2"/>
  <c r="G102" i="2" s="1"/>
  <c r="AA100" i="2"/>
  <c r="K100" i="2"/>
  <c r="J100" i="2"/>
  <c r="F100" i="2"/>
  <c r="G100" i="2" s="1"/>
  <c r="AA99" i="2"/>
  <c r="K99" i="2"/>
  <c r="J99" i="2"/>
  <c r="F99" i="2"/>
  <c r="G99" i="2" s="1"/>
  <c r="AA98" i="2"/>
  <c r="K98" i="2"/>
  <c r="J98" i="2"/>
  <c r="F98" i="2"/>
  <c r="G98" i="2" s="1"/>
  <c r="AA96" i="2"/>
  <c r="K96" i="2"/>
  <c r="J96" i="2"/>
  <c r="F96" i="2"/>
  <c r="G96" i="2" s="1"/>
  <c r="AA95" i="2"/>
  <c r="U95" i="2"/>
  <c r="V95" i="2" s="1"/>
  <c r="Q95" i="2"/>
  <c r="R95" i="2" s="1"/>
  <c r="K95" i="2"/>
  <c r="J95" i="2"/>
  <c r="F95" i="2"/>
  <c r="G95" i="2" s="1"/>
  <c r="AA93" i="2"/>
  <c r="J93" i="2"/>
  <c r="F93" i="2"/>
  <c r="G93" i="2" s="1"/>
  <c r="AA92" i="2"/>
  <c r="K92" i="2"/>
  <c r="J92" i="2"/>
  <c r="F92" i="2"/>
  <c r="G92" i="2" s="1"/>
  <c r="AA91" i="2"/>
  <c r="K91" i="2"/>
  <c r="J91" i="2"/>
  <c r="F91" i="2"/>
  <c r="G91" i="2" s="1"/>
  <c r="AA89" i="2"/>
  <c r="F89" i="2"/>
  <c r="G89" i="2" s="1"/>
  <c r="AA88" i="2"/>
  <c r="U88" i="2"/>
  <c r="Q88" i="2"/>
  <c r="R88" i="2" s="1"/>
  <c r="K88" i="2"/>
  <c r="F88" i="2"/>
  <c r="G88" i="2" s="1"/>
  <c r="AA86" i="2"/>
  <c r="K86" i="2"/>
  <c r="F86" i="2"/>
  <c r="G86" i="2" s="1"/>
  <c r="AA85" i="2"/>
  <c r="K85" i="2"/>
  <c r="F85" i="2"/>
  <c r="G85" i="2" s="1"/>
  <c r="K84" i="2"/>
  <c r="Y84" i="2"/>
  <c r="F84" i="2"/>
  <c r="G84" i="2" s="1"/>
  <c r="AA82" i="2"/>
  <c r="K82" i="2"/>
  <c r="J82" i="2"/>
  <c r="F82" i="2"/>
  <c r="G82" i="2" s="1"/>
  <c r="F81" i="2"/>
  <c r="G81" i="2" s="1"/>
  <c r="AA79" i="2"/>
  <c r="F79" i="2"/>
  <c r="G79" i="2" s="1"/>
  <c r="AA78" i="2"/>
  <c r="F78" i="2"/>
  <c r="G78" i="2" s="1"/>
  <c r="AA77" i="2"/>
  <c r="F77" i="2"/>
  <c r="G77" i="2" s="1"/>
  <c r="AA75" i="2"/>
  <c r="F75" i="2"/>
  <c r="G75" i="2" s="1"/>
  <c r="AA74" i="2"/>
  <c r="U74" i="2"/>
  <c r="V74" i="2" s="1"/>
  <c r="Q74" i="2"/>
  <c r="R74" i="2" s="1"/>
  <c r="F74" i="2"/>
  <c r="G74" i="2" s="1"/>
  <c r="AA58" i="2"/>
  <c r="K58" i="2"/>
  <c r="J58" i="2"/>
  <c r="AA57" i="2"/>
  <c r="K57" i="2"/>
  <c r="J57" i="2"/>
  <c r="AA56" i="2"/>
  <c r="K56" i="2"/>
  <c r="J56" i="2"/>
  <c r="AA54" i="2"/>
  <c r="K54" i="2"/>
  <c r="J54" i="2"/>
  <c r="U53" i="2"/>
  <c r="V53" i="2" s="1"/>
  <c r="Q53" i="2"/>
  <c r="R53" i="2" s="1"/>
  <c r="K53" i="2"/>
  <c r="J53" i="2"/>
  <c r="Y53" i="2" s="1"/>
  <c r="F53" i="2"/>
  <c r="G53" i="2" s="1"/>
  <c r="AA51" i="2"/>
  <c r="J51" i="2"/>
  <c r="F51" i="2"/>
  <c r="G51" i="2" s="1"/>
  <c r="AA50" i="2"/>
  <c r="K50" i="2"/>
  <c r="J50" i="2"/>
  <c r="F50" i="2"/>
  <c r="G50" i="2" s="1"/>
  <c r="AA49" i="2"/>
  <c r="K49" i="2"/>
  <c r="J49" i="2"/>
  <c r="F49" i="2"/>
  <c r="G49" i="2" s="1"/>
  <c r="AA47" i="2"/>
  <c r="K47" i="2"/>
  <c r="J47" i="2"/>
  <c r="F47" i="2"/>
  <c r="G47" i="2" s="1"/>
  <c r="AA46" i="2"/>
  <c r="U46" i="2"/>
  <c r="V46" i="2" s="1"/>
  <c r="Q46" i="2"/>
  <c r="R46" i="2" s="1"/>
  <c r="K46" i="2"/>
  <c r="J46" i="2"/>
  <c r="F46" i="2"/>
  <c r="G46" i="2" s="1"/>
  <c r="AA37" i="2"/>
  <c r="K37" i="2"/>
  <c r="J37" i="2"/>
  <c r="F37" i="2"/>
  <c r="G37" i="2" s="1"/>
  <c r="AA36" i="2"/>
  <c r="K36" i="2"/>
  <c r="J36" i="2"/>
  <c r="F36" i="2"/>
  <c r="G36" i="2" s="1"/>
  <c r="AA35" i="2"/>
  <c r="K35" i="2"/>
  <c r="J35" i="2"/>
  <c r="F35" i="2"/>
  <c r="G35" i="2" s="1"/>
  <c r="AA34" i="2"/>
  <c r="K34" i="2"/>
  <c r="J34" i="2"/>
  <c r="F34" i="2"/>
  <c r="G34" i="2" s="1"/>
  <c r="AA33" i="2"/>
  <c r="K33" i="2"/>
  <c r="J33" i="2"/>
  <c r="F33" i="2"/>
  <c r="G33" i="2" s="1"/>
  <c r="AA32" i="2"/>
  <c r="U32" i="2"/>
  <c r="Q32" i="2"/>
  <c r="R32" i="2" s="1"/>
  <c r="K32" i="2"/>
  <c r="J32" i="2"/>
  <c r="F32" i="2"/>
  <c r="G32" i="2" s="1"/>
  <c r="AA30" i="2"/>
  <c r="K30" i="2"/>
  <c r="J30" i="2"/>
  <c r="F30" i="2"/>
  <c r="G30" i="2" s="1"/>
  <c r="AA29" i="2"/>
  <c r="K29" i="2"/>
  <c r="J29" i="2"/>
  <c r="F29" i="2"/>
  <c r="G29" i="2" s="1"/>
  <c r="AA28" i="2"/>
  <c r="K28" i="2"/>
  <c r="J28" i="2"/>
  <c r="F28" i="2"/>
  <c r="G28" i="2" s="1"/>
  <c r="AA26" i="2"/>
  <c r="K26" i="2"/>
  <c r="J26" i="2"/>
  <c r="F26" i="2"/>
  <c r="G26" i="2" s="1"/>
  <c r="AA25" i="2"/>
  <c r="Q25" i="2"/>
  <c r="R25" i="2" s="1"/>
  <c r="K25" i="2"/>
  <c r="J25" i="2"/>
  <c r="F25" i="2"/>
  <c r="G25" i="2" s="1"/>
  <c r="AA18" i="2"/>
  <c r="K19" i="2"/>
  <c r="K21" i="2"/>
  <c r="K22" i="2"/>
  <c r="K23" i="2"/>
  <c r="AA12" i="2"/>
  <c r="AA14" i="2"/>
  <c r="AA15" i="2"/>
  <c r="AA11" i="2"/>
  <c r="H6" i="4" s="1"/>
  <c r="AA68" i="2"/>
  <c r="AA70" i="2"/>
  <c r="AA71" i="2"/>
  <c r="AA72" i="2"/>
  <c r="AA67" i="2"/>
  <c r="AA61" i="2"/>
  <c r="AA63" i="2"/>
  <c r="AA64" i="2"/>
  <c r="AA65" i="2"/>
  <c r="AA60" i="2"/>
  <c r="H20" i="4" s="1"/>
  <c r="AA40" i="2"/>
  <c r="AA42" i="2"/>
  <c r="AA43" i="2"/>
  <c r="AA44" i="2"/>
  <c r="AA39" i="2"/>
  <c r="A11" i="2"/>
  <c r="B11" i="2"/>
  <c r="F11" i="2"/>
  <c r="G11" i="2"/>
  <c r="J11" i="2"/>
  <c r="K11" i="2"/>
  <c r="L11" i="2"/>
  <c r="M11" i="2"/>
  <c r="Q11" i="2"/>
  <c r="R11" i="2"/>
  <c r="V11" i="2"/>
  <c r="X11" i="2"/>
  <c r="Y11" i="2"/>
  <c r="Z11" i="2"/>
  <c r="AH11" i="2"/>
  <c r="F12" i="2"/>
  <c r="G12" i="2"/>
  <c r="K12" i="2"/>
  <c r="AH12" i="2"/>
  <c r="AI12" i="2"/>
  <c r="AH14" i="2"/>
  <c r="AI14" i="2"/>
  <c r="AH15" i="2"/>
  <c r="AI15" i="2"/>
  <c r="AH16" i="2"/>
  <c r="AE11" i="2" s="1"/>
  <c r="F18" i="2"/>
  <c r="G18" i="2"/>
  <c r="J18" i="2"/>
  <c r="K18" i="2"/>
  <c r="L18" i="2"/>
  <c r="M18" i="2"/>
  <c r="Q18" i="2"/>
  <c r="R18" i="2"/>
  <c r="U18" i="2"/>
  <c r="V18" i="2"/>
  <c r="X18" i="2"/>
  <c r="Y18" i="2"/>
  <c r="Z18" i="2"/>
  <c r="AH18" i="2"/>
  <c r="F19" i="2"/>
  <c r="G19" i="2"/>
  <c r="AI18" i="2"/>
  <c r="AH19" i="2"/>
  <c r="AI19" i="2"/>
  <c r="F21" i="2"/>
  <c r="G21" i="2" s="1"/>
  <c r="AH21" i="2"/>
  <c r="F22" i="2"/>
  <c r="G22" i="2"/>
  <c r="AI21" i="2"/>
  <c r="AH22" i="2"/>
  <c r="F23" i="2"/>
  <c r="G23" i="2"/>
  <c r="AI22" i="2"/>
  <c r="AH23" i="2"/>
  <c r="AE18" i="2" s="1"/>
  <c r="AH25" i="2"/>
  <c r="AI25" i="2"/>
  <c r="AH26" i="2"/>
  <c r="AI26" i="2"/>
  <c r="AH28" i="2"/>
  <c r="AI28" i="2"/>
  <c r="AH29" i="2"/>
  <c r="AI29" i="2"/>
  <c r="AH30" i="2"/>
  <c r="AE25" i="2" s="1"/>
  <c r="AA5" i="2"/>
  <c r="AA7" i="2"/>
  <c r="AA8" i="2"/>
  <c r="AA9" i="2"/>
  <c r="AA4" i="2"/>
  <c r="Y5" i="2"/>
  <c r="Y7" i="2"/>
  <c r="Y8" i="2"/>
  <c r="Y9" i="2"/>
  <c r="U5" i="2"/>
  <c r="V5" i="2" s="1"/>
  <c r="U7" i="2"/>
  <c r="V7" i="2" s="1"/>
  <c r="U8" i="2"/>
  <c r="V8" i="2" s="1"/>
  <c r="U9" i="2"/>
  <c r="V9" i="2" s="1"/>
  <c r="Q5" i="2"/>
  <c r="R5" i="2" s="1"/>
  <c r="Q7" i="2"/>
  <c r="R7" i="2" s="1"/>
  <c r="Q8" i="2"/>
  <c r="R8" i="2" s="1"/>
  <c r="Q9" i="2"/>
  <c r="R9" i="2" s="1"/>
  <c r="N10" i="4"/>
  <c r="N8" i="4"/>
  <c r="B151" i="2"/>
  <c r="A151" i="2"/>
  <c r="B144" i="2"/>
  <c r="A144" i="2"/>
  <c r="B137" i="2"/>
  <c r="A137" i="2"/>
  <c r="B130" i="2"/>
  <c r="A130" i="2"/>
  <c r="B123" i="2"/>
  <c r="A123" i="2"/>
  <c r="B116" i="2"/>
  <c r="A116" i="2"/>
  <c r="B109" i="2"/>
  <c r="A109" i="2"/>
  <c r="B102" i="2"/>
  <c r="A102" i="2"/>
  <c r="B95" i="2"/>
  <c r="A95" i="2"/>
  <c r="B88" i="2"/>
  <c r="A88" i="2"/>
  <c r="B81" i="2"/>
  <c r="A81" i="2"/>
  <c r="B74" i="2"/>
  <c r="A74" i="2"/>
  <c r="B67" i="2"/>
  <c r="A67" i="2"/>
  <c r="B60" i="2"/>
  <c r="A60" i="2"/>
  <c r="B53" i="2"/>
  <c r="A53" i="2"/>
  <c r="AH155" i="2"/>
  <c r="AI155" i="2"/>
  <c r="AH154" i="2"/>
  <c r="AI154" i="2"/>
  <c r="AH152" i="2"/>
  <c r="AI152" i="2"/>
  <c r="AH151" i="2"/>
  <c r="AH156" i="2" s="1"/>
  <c r="AE151" i="2"/>
  <c r="N46" i="4" s="1"/>
  <c r="AH148" i="2"/>
  <c r="AI148" i="2"/>
  <c r="AH147" i="2"/>
  <c r="AI147" i="2"/>
  <c r="AH145" i="2"/>
  <c r="AI145" i="2"/>
  <c r="AH144" i="2"/>
  <c r="AH149" i="2" s="1"/>
  <c r="AE144" i="2"/>
  <c r="N44" i="4" s="1"/>
  <c r="AH141" i="2"/>
  <c r="AI141" i="2"/>
  <c r="AH140" i="2"/>
  <c r="AI140" i="2"/>
  <c r="AH139" i="2"/>
  <c r="AI139" i="2"/>
  <c r="AH138" i="2"/>
  <c r="AI138" i="2"/>
  <c r="AH137" i="2"/>
  <c r="AH142" i="2" s="1"/>
  <c r="AE137" i="2"/>
  <c r="N42" i="4" s="1"/>
  <c r="AH134" i="2"/>
  <c r="AI134" i="2"/>
  <c r="AH133" i="2"/>
  <c r="AI133" i="2"/>
  <c r="AH131" i="2"/>
  <c r="AI131" i="2"/>
  <c r="AH130" i="2"/>
  <c r="AH135" i="2" s="1"/>
  <c r="AE130" i="2"/>
  <c r="N40" i="4" s="1"/>
  <c r="AH127" i="2"/>
  <c r="AI127" i="2"/>
  <c r="AH126" i="2"/>
  <c r="AI126" i="2"/>
  <c r="AH124" i="2"/>
  <c r="AI124" i="2"/>
  <c r="AH123" i="2"/>
  <c r="AH128" i="2" s="1"/>
  <c r="AE123" i="2"/>
  <c r="N38" i="4" s="1"/>
  <c r="AH120" i="2"/>
  <c r="AI120" i="2"/>
  <c r="AH119" i="2"/>
  <c r="AI119" i="2"/>
  <c r="AH118" i="2"/>
  <c r="AI118" i="2"/>
  <c r="AH117" i="2"/>
  <c r="AI117" i="2"/>
  <c r="AH116" i="2"/>
  <c r="AH121" i="2" s="1"/>
  <c r="AE116" i="2"/>
  <c r="N36" i="4" s="1"/>
  <c r="AH113" i="2"/>
  <c r="AI113" i="2"/>
  <c r="AH112" i="2"/>
  <c r="AI112" i="2"/>
  <c r="AH110" i="2"/>
  <c r="AI110" i="2"/>
  <c r="AH109" i="2"/>
  <c r="AH114" i="2" s="1"/>
  <c r="AE109" i="2"/>
  <c r="N34" i="4" s="1"/>
  <c r="AH106" i="2"/>
  <c r="AI106" i="2"/>
  <c r="AH105" i="2"/>
  <c r="AI105" i="2"/>
  <c r="AH103" i="2"/>
  <c r="AI103" i="2"/>
  <c r="AH102" i="2"/>
  <c r="AH107" i="2" s="1"/>
  <c r="AE102" i="2"/>
  <c r="N32" i="4" s="1"/>
  <c r="AH99" i="2"/>
  <c r="AI99" i="2"/>
  <c r="AH98" i="2"/>
  <c r="AI98" i="2"/>
  <c r="AH96" i="2"/>
  <c r="AI96" i="2"/>
  <c r="AH95" i="2"/>
  <c r="AH100" i="2" s="1"/>
  <c r="AE95" i="2"/>
  <c r="N30" i="4" s="1"/>
  <c r="AH92" i="2"/>
  <c r="AI92" i="2"/>
  <c r="AH91" i="2"/>
  <c r="AI91" i="2"/>
  <c r="AH89" i="2"/>
  <c r="AI89" i="2"/>
  <c r="AH88" i="2"/>
  <c r="AH93" i="2" s="1"/>
  <c r="AE88" i="2"/>
  <c r="N28" i="4" s="1"/>
  <c r="AH85" i="2"/>
  <c r="AI85" i="2"/>
  <c r="AH84" i="2"/>
  <c r="AI84" i="2"/>
  <c r="AH82" i="2"/>
  <c r="AI82" i="2"/>
  <c r="AH81" i="2"/>
  <c r="AH86" i="2" s="1"/>
  <c r="AE81" i="2"/>
  <c r="N26" i="4" s="1"/>
  <c r="AH78" i="2"/>
  <c r="AI78" i="2"/>
  <c r="AH77" i="2"/>
  <c r="AI77" i="2"/>
  <c r="AH75" i="2"/>
  <c r="AI75" i="2"/>
  <c r="AH74" i="2"/>
  <c r="AH79" i="2" s="1"/>
  <c r="AE74" i="2"/>
  <c r="N24" i="4" s="1"/>
  <c r="G72" i="2"/>
  <c r="AH71" i="2"/>
  <c r="AI71" i="2"/>
  <c r="F71" i="2"/>
  <c r="G71" i="2" s="1"/>
  <c r="AH70" i="2"/>
  <c r="AI70" i="2"/>
  <c r="F70" i="2"/>
  <c r="G70" i="2" s="1"/>
  <c r="AH68" i="2"/>
  <c r="AI68" i="2"/>
  <c r="F68" i="2"/>
  <c r="G68" i="2" s="1"/>
  <c r="AH67" i="2"/>
  <c r="AH72" i="2" s="1"/>
  <c r="AE67" i="2"/>
  <c r="N22" i="4" s="1"/>
  <c r="U67" i="2"/>
  <c r="Q67" i="2"/>
  <c r="R67" i="2" s="1"/>
  <c r="K67" i="2"/>
  <c r="J67" i="2"/>
  <c r="F67" i="2"/>
  <c r="G67" i="2" s="1"/>
  <c r="K65" i="2"/>
  <c r="F65" i="2"/>
  <c r="G65" i="2" s="1"/>
  <c r="AH64" i="2"/>
  <c r="K64" i="2"/>
  <c r="F64" i="2"/>
  <c r="G64" i="2" s="1"/>
  <c r="AH63" i="2"/>
  <c r="K63" i="2"/>
  <c r="F63" i="2"/>
  <c r="G63" i="2" s="1"/>
  <c r="AH61" i="2"/>
  <c r="K61" i="2"/>
  <c r="F61" i="2"/>
  <c r="G61" i="2" s="1"/>
  <c r="AH60" i="2"/>
  <c r="AH65" i="2" s="1"/>
  <c r="AE60" i="2"/>
  <c r="U60" i="2"/>
  <c r="V60" i="2" s="1"/>
  <c r="Q60" i="2"/>
  <c r="R60" i="2" s="1"/>
  <c r="K60" i="2"/>
  <c r="J60" i="2"/>
  <c r="F60" i="2"/>
  <c r="G60" i="2" s="1"/>
  <c r="AH57" i="2"/>
  <c r="AI57" i="2"/>
  <c r="AH56" i="2"/>
  <c r="AI56" i="2"/>
  <c r="AH54" i="2"/>
  <c r="AI54" i="2"/>
  <c r="AH53" i="2"/>
  <c r="AH58" i="2" s="1"/>
  <c r="AE53" i="2"/>
  <c r="N18" i="4" s="1"/>
  <c r="AH50" i="2"/>
  <c r="AI50" i="2"/>
  <c r="AH49" i="2"/>
  <c r="AI49" i="2"/>
  <c r="AH47" i="2"/>
  <c r="AI47" i="2"/>
  <c r="AH46" i="2"/>
  <c r="AH51" i="2" s="1"/>
  <c r="AE46" i="2"/>
  <c r="N16" i="4" s="1"/>
  <c r="F44" i="2"/>
  <c r="G44" i="2" s="1"/>
  <c r="AH43" i="2"/>
  <c r="F43" i="2"/>
  <c r="G43" i="2" s="1"/>
  <c r="AH42" i="2"/>
  <c r="F42" i="2"/>
  <c r="G42" i="2" s="1"/>
  <c r="AH41" i="2"/>
  <c r="AH40" i="2"/>
  <c r="K40" i="2"/>
  <c r="G40" i="2"/>
  <c r="AH39" i="2"/>
  <c r="AH44" i="2" s="1"/>
  <c r="AE39" i="2"/>
  <c r="N14" i="4" s="1"/>
  <c r="V39" i="2"/>
  <c r="Q39" i="2"/>
  <c r="R39" i="2" s="1"/>
  <c r="K39" i="2"/>
  <c r="J39" i="2"/>
  <c r="G39" i="2"/>
  <c r="AH36" i="2"/>
  <c r="AI36" i="2"/>
  <c r="AH35" i="2"/>
  <c r="AI35" i="2"/>
  <c r="AH34" i="2"/>
  <c r="AI34" i="2"/>
  <c r="AH33" i="2"/>
  <c r="AI33" i="2"/>
  <c r="AH32" i="2"/>
  <c r="AH37" i="2" s="1"/>
  <c r="AE32" i="2"/>
  <c r="K5" i="2"/>
  <c r="K7" i="2"/>
  <c r="K8" i="2"/>
  <c r="K9" i="2"/>
  <c r="AI5" i="2"/>
  <c r="AI7" i="2"/>
  <c r="AI8" i="2"/>
  <c r="AH8" i="2"/>
  <c r="AH7" i="2"/>
  <c r="AH5" i="2"/>
  <c r="AH4" i="2"/>
  <c r="AH9" i="2" s="1"/>
  <c r="AE4" i="2" s="1"/>
  <c r="G9" i="2"/>
  <c r="A4" i="4"/>
  <c r="K4" i="2"/>
  <c r="J4" i="2"/>
  <c r="F5" i="2"/>
  <c r="G5" i="2" s="1"/>
  <c r="F7" i="2"/>
  <c r="G7" i="2" s="1"/>
  <c r="G8" i="2"/>
  <c r="A4" i="2"/>
  <c r="D70" i="4"/>
  <c r="C70" i="4"/>
  <c r="D69" i="4"/>
  <c r="C69" i="4"/>
  <c r="Z4" i="2"/>
  <c r="Y4" i="2"/>
  <c r="X4" i="2"/>
  <c r="K46" i="4"/>
  <c r="K44" i="4"/>
  <c r="K42" i="4"/>
  <c r="K40" i="4"/>
  <c r="K38" i="4"/>
  <c r="K36" i="4"/>
  <c r="K34" i="4"/>
  <c r="K32" i="4"/>
  <c r="K30" i="4"/>
  <c r="K28" i="4"/>
  <c r="E46" i="4"/>
  <c r="E44" i="4"/>
  <c r="E42" i="4"/>
  <c r="G42" i="4" s="1"/>
  <c r="E40" i="4"/>
  <c r="E38" i="4"/>
  <c r="E36" i="4"/>
  <c r="E34" i="4"/>
  <c r="E28" i="4"/>
  <c r="E26" i="4"/>
  <c r="G18" i="4"/>
  <c r="G14" i="4"/>
  <c r="H46" i="4"/>
  <c r="H44" i="4"/>
  <c r="H42" i="4"/>
  <c r="H40" i="4"/>
  <c r="H38" i="4"/>
  <c r="H36" i="4"/>
  <c r="H34" i="4"/>
  <c r="H32" i="4"/>
  <c r="H30" i="4"/>
  <c r="H28" i="4"/>
  <c r="H26" i="4"/>
  <c r="H24" i="4"/>
  <c r="H22" i="4"/>
  <c r="H18" i="4"/>
  <c r="H16" i="4"/>
  <c r="H14" i="4"/>
  <c r="H12" i="4"/>
  <c r="H10" i="4"/>
  <c r="H8" i="4"/>
  <c r="B4" i="4"/>
  <c r="B6" i="4"/>
  <c r="B8" i="4"/>
  <c r="B10" i="4"/>
  <c r="B14" i="4"/>
  <c r="B16" i="4"/>
  <c r="B18" i="4"/>
  <c r="B20" i="4"/>
  <c r="B22" i="4"/>
  <c r="B24" i="4"/>
  <c r="B26" i="4"/>
  <c r="B28" i="4"/>
  <c r="B30" i="4"/>
  <c r="B32" i="4"/>
  <c r="B34" i="4"/>
  <c r="B36" i="4"/>
  <c r="B38" i="4"/>
  <c r="B40" i="4"/>
  <c r="B42" i="4"/>
  <c r="B44" i="4"/>
  <c r="B46" i="4"/>
  <c r="A44" i="4"/>
  <c r="A46" i="4"/>
  <c r="A6" i="4"/>
  <c r="A8" i="4"/>
  <c r="A10" i="4"/>
  <c r="A14" i="4"/>
  <c r="A18" i="4"/>
  <c r="A20" i="4"/>
  <c r="A22" i="4"/>
  <c r="A24" i="4"/>
  <c r="A26" i="4"/>
  <c r="A28" i="4"/>
  <c r="A30" i="4"/>
  <c r="A32" i="4"/>
  <c r="A34" i="4"/>
  <c r="A36" i="4"/>
  <c r="A38" i="4"/>
  <c r="A40" i="4"/>
  <c r="A42" i="4"/>
  <c r="A4" i="3"/>
  <c r="D14" i="3"/>
  <c r="C14" i="3"/>
  <c r="D12" i="3"/>
  <c r="C12" i="3"/>
  <c r="U4" i="2"/>
  <c r="Q4" i="2"/>
  <c r="R4" i="2" s="1"/>
  <c r="F4" i="2"/>
  <c r="G4" i="2" s="1"/>
  <c r="F72" i="3"/>
  <c r="G72" i="3"/>
  <c r="H72" i="3"/>
  <c r="I72" i="3"/>
  <c r="J72" i="3"/>
  <c r="K72" i="3"/>
  <c r="L72" i="3"/>
  <c r="M72" i="3"/>
  <c r="N72" i="3"/>
  <c r="O72" i="3"/>
  <c r="P72" i="3"/>
  <c r="Q72" i="3"/>
  <c r="F71" i="3"/>
  <c r="G71" i="3"/>
  <c r="H71" i="3"/>
  <c r="H70" i="3" s="1"/>
  <c r="O71" i="3"/>
  <c r="P71" i="3"/>
  <c r="Q71" i="3"/>
  <c r="G73" i="3"/>
  <c r="H73" i="3"/>
  <c r="I73" i="3"/>
  <c r="J73" i="3"/>
  <c r="K73" i="3"/>
  <c r="L73" i="3"/>
  <c r="N73" i="3"/>
  <c r="O73" i="3"/>
  <c r="P73" i="3"/>
  <c r="Q73" i="3"/>
  <c r="F73" i="3"/>
  <c r="B10" i="3"/>
  <c r="A10" i="3"/>
  <c r="B6" i="3"/>
  <c r="B8" i="3"/>
  <c r="B14" i="3"/>
  <c r="B16" i="3"/>
  <c r="B18" i="3"/>
  <c r="B20" i="3"/>
  <c r="B22" i="3"/>
  <c r="B24" i="3"/>
  <c r="B26" i="3"/>
  <c r="B28" i="3"/>
  <c r="B30" i="3"/>
  <c r="B32" i="3"/>
  <c r="B34" i="3"/>
  <c r="B36" i="3"/>
  <c r="B38" i="3"/>
  <c r="B40" i="3"/>
  <c r="B42" i="3"/>
  <c r="B44" i="3"/>
  <c r="B46" i="3"/>
  <c r="B4" i="3"/>
  <c r="A46" i="3"/>
  <c r="A38" i="3"/>
  <c r="A40" i="3"/>
  <c r="A42" i="3"/>
  <c r="A44" i="3"/>
  <c r="A28" i="3"/>
  <c r="A30" i="3"/>
  <c r="A32" i="3"/>
  <c r="A34" i="3"/>
  <c r="A36" i="3"/>
  <c r="A8" i="3"/>
  <c r="A14" i="3"/>
  <c r="A16" i="3"/>
  <c r="A18" i="3"/>
  <c r="A20" i="3"/>
  <c r="A22" i="3"/>
  <c r="A24" i="3"/>
  <c r="A26" i="3"/>
  <c r="V71" i="2" l="1"/>
  <c r="E24" i="3" a="1"/>
  <c r="E24" i="3" s="1"/>
  <c r="V67" i="2"/>
  <c r="E22" i="3" a="1"/>
  <c r="E22" i="3" s="1"/>
  <c r="N6" i="4"/>
  <c r="O6" i="4" s="1"/>
  <c r="V158" i="2"/>
  <c r="E48" i="3" a="1"/>
  <c r="E48" i="3" s="1"/>
  <c r="V165" i="2"/>
  <c r="E50" i="3" a="1"/>
  <c r="E50" i="3" s="1"/>
  <c r="V88" i="2"/>
  <c r="E28" i="3" a="1"/>
  <c r="E28" i="3" s="1"/>
  <c r="L64" i="4"/>
  <c r="L62" i="4"/>
  <c r="V169" i="2"/>
  <c r="AB4" i="8"/>
  <c r="M4" i="8"/>
  <c r="AL4" i="8"/>
  <c r="AC4" i="8"/>
  <c r="AA4" i="8"/>
  <c r="AB5" i="8"/>
  <c r="L5" i="8"/>
  <c r="M5" i="8" s="1"/>
  <c r="AL5" i="8"/>
  <c r="AC5" i="8"/>
  <c r="AA5" i="8"/>
  <c r="AB6" i="8"/>
  <c r="L6" i="8"/>
  <c r="M6" i="8" s="1"/>
  <c r="AL6" i="8"/>
  <c r="AC6" i="8"/>
  <c r="AA6" i="8"/>
  <c r="AB7" i="8"/>
  <c r="L7" i="8"/>
  <c r="M7" i="8" s="1"/>
  <c r="AL7" i="8"/>
  <c r="AC7" i="8"/>
  <c r="AA7" i="8"/>
  <c r="AB8" i="8"/>
  <c r="L8" i="8"/>
  <c r="M8" i="8" s="1"/>
  <c r="AL8" i="8"/>
  <c r="AC8" i="8"/>
  <c r="AA8" i="8"/>
  <c r="AB9" i="8"/>
  <c r="L9" i="8"/>
  <c r="M9" i="8" s="1"/>
  <c r="AC9" i="8"/>
  <c r="AA9" i="8"/>
  <c r="AB11" i="8"/>
  <c r="L11" i="8"/>
  <c r="M11" i="8" s="1"/>
  <c r="AL11" i="8"/>
  <c r="AC11" i="8"/>
  <c r="AA11" i="8"/>
  <c r="AB12" i="8"/>
  <c r="L12" i="8"/>
  <c r="M12" i="8" s="1"/>
  <c r="AL12" i="8"/>
  <c r="AC12" i="8"/>
  <c r="AA12" i="8"/>
  <c r="AB13" i="8"/>
  <c r="L13" i="8"/>
  <c r="M13" i="8" s="1"/>
  <c r="AL13" i="8"/>
  <c r="AC13" i="8"/>
  <c r="AA13" i="8"/>
  <c r="AB14" i="8"/>
  <c r="L14" i="8"/>
  <c r="M14" i="8" s="1"/>
  <c r="AL14" i="8"/>
  <c r="AC14" i="8"/>
  <c r="AA14" i="8"/>
  <c r="AB15" i="8"/>
  <c r="L15" i="8"/>
  <c r="M15" i="8" s="1"/>
  <c r="AL15" i="8"/>
  <c r="AC15" i="8"/>
  <c r="AA15" i="8"/>
  <c r="AB16" i="8"/>
  <c r="L16" i="8"/>
  <c r="M16" i="8" s="1"/>
  <c r="AC16" i="8"/>
  <c r="AA16" i="8"/>
  <c r="AB18" i="8"/>
  <c r="L18" i="8"/>
  <c r="M18" i="8" s="1"/>
  <c r="AL18" i="8"/>
  <c r="AC18" i="8"/>
  <c r="AA18" i="8"/>
  <c r="AB19" i="8"/>
  <c r="L19" i="8"/>
  <c r="M19" i="8" s="1"/>
  <c r="AL19" i="8"/>
  <c r="AC19" i="8"/>
  <c r="AA19" i="8"/>
  <c r="AB20" i="8"/>
  <c r="L20" i="8"/>
  <c r="M20" i="8" s="1"/>
  <c r="AL20" i="8"/>
  <c r="AC20" i="8"/>
  <c r="AA20" i="8"/>
  <c r="AB21" i="8"/>
  <c r="L21" i="8"/>
  <c r="M21" i="8" s="1"/>
  <c r="AL21" i="8"/>
  <c r="AC21" i="8"/>
  <c r="AA21" i="8"/>
  <c r="AB22" i="8"/>
  <c r="L22" i="8"/>
  <c r="M22" i="8" s="1"/>
  <c r="AL22" i="8"/>
  <c r="AC22" i="8"/>
  <c r="AA22" i="8"/>
  <c r="AB23" i="8"/>
  <c r="L23" i="8"/>
  <c r="M23" i="8" s="1"/>
  <c r="AC23" i="8"/>
  <c r="AA23" i="8"/>
  <c r="AB25" i="8"/>
  <c r="L25" i="8"/>
  <c r="M25" i="8" s="1"/>
  <c r="AL25" i="8"/>
  <c r="AC25" i="8"/>
  <c r="AA25" i="8"/>
  <c r="AB26" i="8"/>
  <c r="L26" i="8"/>
  <c r="M26" i="8" s="1"/>
  <c r="AL26" i="8"/>
  <c r="AC26" i="8"/>
  <c r="AA26" i="8"/>
  <c r="AB27" i="8"/>
  <c r="L27" i="8"/>
  <c r="M27" i="8" s="1"/>
  <c r="AL27" i="8"/>
  <c r="AC27" i="8"/>
  <c r="AA27" i="8"/>
  <c r="AB28" i="8"/>
  <c r="L28" i="8"/>
  <c r="M28" i="8" s="1"/>
  <c r="AL28" i="8"/>
  <c r="AC28" i="8"/>
  <c r="AA28" i="8"/>
  <c r="AB29" i="8"/>
  <c r="L29" i="8"/>
  <c r="M29" i="8" s="1"/>
  <c r="AL29" i="8"/>
  <c r="AC29" i="8"/>
  <c r="AA29" i="8"/>
  <c r="AB30" i="8"/>
  <c r="L30" i="8"/>
  <c r="M30" i="8" s="1"/>
  <c r="AC30" i="8"/>
  <c r="AA30" i="8"/>
  <c r="AB32" i="8"/>
  <c r="L32" i="8"/>
  <c r="M32" i="8" s="1"/>
  <c r="AL32" i="8"/>
  <c r="AC32" i="8"/>
  <c r="AA32" i="8"/>
  <c r="AB33" i="8"/>
  <c r="L33" i="8"/>
  <c r="M33" i="8" s="1"/>
  <c r="AL33" i="8"/>
  <c r="AC33" i="8"/>
  <c r="AA33" i="8"/>
  <c r="AB34" i="8"/>
  <c r="L34" i="8"/>
  <c r="M34" i="8" s="1"/>
  <c r="AL34" i="8"/>
  <c r="AC34" i="8"/>
  <c r="AA34" i="8"/>
  <c r="AB35" i="8"/>
  <c r="L35" i="8"/>
  <c r="M35" i="8" s="1"/>
  <c r="AL35" i="8"/>
  <c r="AC35" i="8"/>
  <c r="AA35" i="8"/>
  <c r="AB36" i="8"/>
  <c r="L36" i="8"/>
  <c r="M36" i="8" s="1"/>
  <c r="AL36" i="8"/>
  <c r="AC36" i="8"/>
  <c r="AA36" i="8"/>
  <c r="AB37" i="8"/>
  <c r="L37" i="8"/>
  <c r="M37" i="8" s="1"/>
  <c r="AC37" i="8"/>
  <c r="AA37" i="8"/>
  <c r="AB39" i="8"/>
  <c r="L39" i="8"/>
  <c r="M39" i="8" s="1"/>
  <c r="AL39" i="8"/>
  <c r="AC39" i="8"/>
  <c r="AA39" i="8"/>
  <c r="AB40" i="8"/>
  <c r="L40" i="8"/>
  <c r="M40" i="8" s="1"/>
  <c r="AL40" i="8"/>
  <c r="AC40" i="8"/>
  <c r="AA40" i="8"/>
  <c r="AB41" i="8"/>
  <c r="L41" i="8"/>
  <c r="M41" i="8" s="1"/>
  <c r="AL41" i="8"/>
  <c r="AC41" i="8"/>
  <c r="AA41" i="8"/>
  <c r="AB42" i="8"/>
  <c r="L42" i="8"/>
  <c r="M42" i="8" s="1"/>
  <c r="AL42" i="8"/>
  <c r="AC42" i="8"/>
  <c r="AA42" i="8"/>
  <c r="AB43" i="8"/>
  <c r="L43" i="8"/>
  <c r="M43" i="8" s="1"/>
  <c r="AL43" i="8"/>
  <c r="AC43" i="8"/>
  <c r="AA43" i="8"/>
  <c r="AB44" i="8"/>
  <c r="L44" i="8"/>
  <c r="M44" i="8" s="1"/>
  <c r="AC44" i="8"/>
  <c r="AA44" i="8"/>
  <c r="AB46" i="8"/>
  <c r="L46" i="8"/>
  <c r="M46" i="8" s="1"/>
  <c r="AL46" i="8"/>
  <c r="AC46" i="8"/>
  <c r="AA46" i="8"/>
  <c r="AB47" i="8"/>
  <c r="L47" i="8"/>
  <c r="M47" i="8" s="1"/>
  <c r="AL47" i="8"/>
  <c r="AC47" i="8"/>
  <c r="AA47" i="8"/>
  <c r="AB48" i="8"/>
  <c r="L48" i="8"/>
  <c r="M48" i="8" s="1"/>
  <c r="AL48" i="8"/>
  <c r="AC48" i="8"/>
  <c r="AA48" i="8"/>
  <c r="AB49" i="8"/>
  <c r="L49" i="8"/>
  <c r="M49" i="8" s="1"/>
  <c r="AL49" i="8"/>
  <c r="AC49" i="8"/>
  <c r="AA49" i="8"/>
  <c r="AB50" i="8"/>
  <c r="L50" i="8"/>
  <c r="M50" i="8" s="1"/>
  <c r="AL50" i="8"/>
  <c r="AC50" i="8"/>
  <c r="AA50" i="8"/>
  <c r="AB51" i="8"/>
  <c r="L51" i="8"/>
  <c r="M51" i="8" s="1"/>
  <c r="AC51" i="8"/>
  <c r="AA51" i="8"/>
  <c r="AB53" i="8"/>
  <c r="L53" i="8"/>
  <c r="M53" i="8" s="1"/>
  <c r="AL53" i="8"/>
  <c r="AC53" i="8"/>
  <c r="AA53" i="8"/>
  <c r="AB54" i="8"/>
  <c r="L54" i="8"/>
  <c r="M54" i="8" s="1"/>
  <c r="AL54" i="8"/>
  <c r="AC54" i="8"/>
  <c r="AA54" i="8"/>
  <c r="AB55" i="8"/>
  <c r="L55" i="8"/>
  <c r="M55" i="8" s="1"/>
  <c r="AL55" i="8"/>
  <c r="AC55" i="8"/>
  <c r="AA55" i="8"/>
  <c r="AB56" i="8"/>
  <c r="L56" i="8"/>
  <c r="M56" i="8" s="1"/>
  <c r="AL56" i="8"/>
  <c r="AC56" i="8"/>
  <c r="AA56" i="8"/>
  <c r="AB57" i="8"/>
  <c r="L57" i="8"/>
  <c r="M57" i="8" s="1"/>
  <c r="AL57" i="8"/>
  <c r="AC57" i="8"/>
  <c r="AA57" i="8"/>
  <c r="AB58" i="8"/>
  <c r="L58" i="8"/>
  <c r="M58" i="8" s="1"/>
  <c r="AC58" i="8"/>
  <c r="AA58" i="8"/>
  <c r="AB60" i="8"/>
  <c r="L60" i="8"/>
  <c r="M60" i="8" s="1"/>
  <c r="AL60" i="8"/>
  <c r="AC60" i="8"/>
  <c r="AA60" i="8"/>
  <c r="AB61" i="8"/>
  <c r="L61" i="8"/>
  <c r="M61" i="8" s="1"/>
  <c r="AL61" i="8"/>
  <c r="AC61" i="8"/>
  <c r="AA61" i="8"/>
  <c r="AB62" i="8"/>
  <c r="L62" i="8"/>
  <c r="M62" i="8" s="1"/>
  <c r="AL62" i="8"/>
  <c r="AC62" i="8"/>
  <c r="AA62" i="8"/>
  <c r="AB63" i="8"/>
  <c r="L63" i="8"/>
  <c r="M63" i="8" s="1"/>
  <c r="AL63" i="8"/>
  <c r="AC63" i="8"/>
  <c r="AA63" i="8"/>
  <c r="AB64" i="8"/>
  <c r="L64" i="8"/>
  <c r="M64" i="8" s="1"/>
  <c r="AL64" i="8"/>
  <c r="AC64" i="8"/>
  <c r="AA64" i="8"/>
  <c r="AB65" i="8"/>
  <c r="L65" i="8"/>
  <c r="M65" i="8" s="1"/>
  <c r="AC65" i="8"/>
  <c r="AA65" i="8"/>
  <c r="AB67" i="8"/>
  <c r="L67" i="8"/>
  <c r="M67" i="8" s="1"/>
  <c r="AL67" i="8"/>
  <c r="AC67" i="8"/>
  <c r="AA67" i="8"/>
  <c r="AB68" i="8"/>
  <c r="L68" i="8"/>
  <c r="M68" i="8" s="1"/>
  <c r="AL68" i="8"/>
  <c r="AC68" i="8"/>
  <c r="AA68" i="8"/>
  <c r="AB69" i="8"/>
  <c r="L69" i="8"/>
  <c r="M69" i="8" s="1"/>
  <c r="AL69" i="8"/>
  <c r="AC69" i="8"/>
  <c r="AA69" i="8"/>
  <c r="AB70" i="8"/>
  <c r="L70" i="8"/>
  <c r="M70" i="8" s="1"/>
  <c r="AL70" i="8"/>
  <c r="AC70" i="8"/>
  <c r="AA70" i="8"/>
  <c r="AB71" i="8"/>
  <c r="L71" i="8"/>
  <c r="M71" i="8" s="1"/>
  <c r="AL71" i="8"/>
  <c r="AC71" i="8"/>
  <c r="AA71" i="8"/>
  <c r="AB72" i="8"/>
  <c r="L72" i="8"/>
  <c r="M72" i="8" s="1"/>
  <c r="AC72" i="8"/>
  <c r="AA72" i="8"/>
  <c r="AB74" i="8"/>
  <c r="L74" i="8"/>
  <c r="M74" i="8" s="1"/>
  <c r="AL74" i="8"/>
  <c r="AC74" i="8"/>
  <c r="AA74" i="8"/>
  <c r="AB75" i="8"/>
  <c r="L75" i="8"/>
  <c r="M75" i="8" s="1"/>
  <c r="AL75" i="8"/>
  <c r="AC75" i="8"/>
  <c r="AA75" i="8"/>
  <c r="AB76" i="8"/>
  <c r="L76" i="8"/>
  <c r="M76" i="8" s="1"/>
  <c r="AL76" i="8"/>
  <c r="AC76" i="8"/>
  <c r="AA76" i="8"/>
  <c r="AB77" i="8"/>
  <c r="L77" i="8"/>
  <c r="M77" i="8" s="1"/>
  <c r="AL77" i="8"/>
  <c r="AC77" i="8"/>
  <c r="AA77" i="8"/>
  <c r="AB78" i="8"/>
  <c r="L78" i="8"/>
  <c r="M78" i="8" s="1"/>
  <c r="AL78" i="8"/>
  <c r="AC78" i="8"/>
  <c r="AA78" i="8"/>
  <c r="AB79" i="8"/>
  <c r="L79" i="8"/>
  <c r="M79" i="8" s="1"/>
  <c r="AC79" i="8"/>
  <c r="AA79" i="8"/>
  <c r="AB81" i="8"/>
  <c r="L81" i="8"/>
  <c r="M81" i="8" s="1"/>
  <c r="AL81" i="8"/>
  <c r="AC81" i="8"/>
  <c r="AA81" i="8"/>
  <c r="AB82" i="8"/>
  <c r="L82" i="8"/>
  <c r="M82" i="8" s="1"/>
  <c r="AL82" i="8"/>
  <c r="AC82" i="8"/>
  <c r="AA82" i="8"/>
  <c r="AB83" i="8"/>
  <c r="L83" i="8"/>
  <c r="M83" i="8" s="1"/>
  <c r="AL83" i="8"/>
  <c r="AC83" i="8"/>
  <c r="AA83" i="8"/>
  <c r="AB84" i="8"/>
  <c r="L84" i="8"/>
  <c r="M84" i="8" s="1"/>
  <c r="AL84" i="8"/>
  <c r="AC84" i="8"/>
  <c r="AA84" i="8"/>
  <c r="AB85" i="8"/>
  <c r="L85" i="8"/>
  <c r="M85" i="8" s="1"/>
  <c r="AL85" i="8"/>
  <c r="AC85" i="8"/>
  <c r="AA85" i="8"/>
  <c r="AB86" i="8"/>
  <c r="L86" i="8"/>
  <c r="M86" i="8" s="1"/>
  <c r="AC86" i="8"/>
  <c r="AA86" i="8"/>
  <c r="AB88" i="8"/>
  <c r="L88" i="8"/>
  <c r="M88" i="8" s="1"/>
  <c r="AL88" i="8"/>
  <c r="AC88" i="8"/>
  <c r="AA88" i="8"/>
  <c r="AB89" i="8"/>
  <c r="L89" i="8"/>
  <c r="M89" i="8" s="1"/>
  <c r="AL89" i="8"/>
  <c r="AC89" i="8"/>
  <c r="AA89" i="8"/>
  <c r="AB90" i="8"/>
  <c r="L90" i="8"/>
  <c r="M90" i="8" s="1"/>
  <c r="AL90" i="8"/>
  <c r="AC90" i="8"/>
  <c r="AA90" i="8"/>
  <c r="AB91" i="8"/>
  <c r="L91" i="8"/>
  <c r="M91" i="8" s="1"/>
  <c r="AL91" i="8"/>
  <c r="AC91" i="8"/>
  <c r="AA91" i="8"/>
  <c r="AB92" i="8"/>
  <c r="L92" i="8"/>
  <c r="M92" i="8" s="1"/>
  <c r="AL92" i="8"/>
  <c r="AC92" i="8"/>
  <c r="AA92" i="8"/>
  <c r="AB93" i="8"/>
  <c r="L93" i="8"/>
  <c r="M93" i="8" s="1"/>
  <c r="AC93" i="8"/>
  <c r="AA93" i="8"/>
  <c r="AB95" i="8"/>
  <c r="L95" i="8"/>
  <c r="M95" i="8" s="1"/>
  <c r="AL95" i="8"/>
  <c r="AC95" i="8"/>
  <c r="AA95" i="8"/>
  <c r="AB96" i="8"/>
  <c r="L96" i="8"/>
  <c r="M96" i="8" s="1"/>
  <c r="AL96" i="8"/>
  <c r="AC96" i="8"/>
  <c r="AA96" i="8"/>
  <c r="AB97" i="8"/>
  <c r="L97" i="8"/>
  <c r="M97" i="8" s="1"/>
  <c r="AL97" i="8"/>
  <c r="AC97" i="8"/>
  <c r="AA97" i="8"/>
  <c r="AB98" i="8"/>
  <c r="L98" i="8"/>
  <c r="M98" i="8" s="1"/>
  <c r="AL98" i="8"/>
  <c r="AC98" i="8"/>
  <c r="AA98" i="8"/>
  <c r="AB99" i="8"/>
  <c r="L99" i="8"/>
  <c r="M99" i="8" s="1"/>
  <c r="AL99" i="8"/>
  <c r="AC99" i="8"/>
  <c r="AA99" i="8"/>
  <c r="AB100" i="8"/>
  <c r="L100" i="8"/>
  <c r="M100" i="8" s="1"/>
  <c r="AC100" i="8"/>
  <c r="AA100" i="8"/>
  <c r="AB102" i="8"/>
  <c r="L102" i="8"/>
  <c r="M102" i="8" s="1"/>
  <c r="AL102" i="8"/>
  <c r="AC102" i="8"/>
  <c r="AA102" i="8"/>
  <c r="AB103" i="8"/>
  <c r="L103" i="8"/>
  <c r="M103" i="8" s="1"/>
  <c r="AL103" i="8"/>
  <c r="AC103" i="8"/>
  <c r="AA103" i="8"/>
  <c r="AB104" i="8"/>
  <c r="L104" i="8"/>
  <c r="M104" i="8" s="1"/>
  <c r="AL104" i="8"/>
  <c r="AC104" i="8"/>
  <c r="AA104" i="8"/>
  <c r="AB105" i="8"/>
  <c r="L105" i="8"/>
  <c r="M105" i="8" s="1"/>
  <c r="AL105" i="8"/>
  <c r="AC105" i="8"/>
  <c r="AA105" i="8"/>
  <c r="AB106" i="8"/>
  <c r="L106" i="8"/>
  <c r="M106" i="8" s="1"/>
  <c r="AL106" i="8"/>
  <c r="AC106" i="8"/>
  <c r="AA106" i="8"/>
  <c r="AB107" i="8"/>
  <c r="L107" i="8"/>
  <c r="M107" i="8" s="1"/>
  <c r="AC107" i="8"/>
  <c r="AA107" i="8"/>
  <c r="AB109" i="8"/>
  <c r="L109" i="8"/>
  <c r="M109" i="8" s="1"/>
  <c r="AB110" i="8"/>
  <c r="L110" i="8"/>
  <c r="M110" i="8" s="1"/>
  <c r="AL110" i="8"/>
  <c r="AC110" i="8"/>
  <c r="AA110" i="8"/>
  <c r="AB111" i="8"/>
  <c r="L111" i="8"/>
  <c r="M111" i="8" s="1"/>
  <c r="AL111" i="8"/>
  <c r="AC111" i="8"/>
  <c r="AA111" i="8"/>
  <c r="AB112" i="8"/>
  <c r="L112" i="8"/>
  <c r="M112" i="8" s="1"/>
  <c r="AL112" i="8"/>
  <c r="AC112" i="8"/>
  <c r="AA112" i="8"/>
  <c r="AB113" i="8"/>
  <c r="L113" i="8"/>
  <c r="M113" i="8" s="1"/>
  <c r="AL113" i="8"/>
  <c r="AC113" i="8"/>
  <c r="AA113" i="8"/>
  <c r="AB114" i="8"/>
  <c r="L114" i="8"/>
  <c r="M114" i="8" s="1"/>
  <c r="AC114" i="8"/>
  <c r="AA114" i="8"/>
  <c r="AB116" i="8"/>
  <c r="L116" i="8"/>
  <c r="M116" i="8" s="1"/>
  <c r="AL116" i="8"/>
  <c r="AC116" i="8"/>
  <c r="AA116" i="8"/>
  <c r="AB117" i="8"/>
  <c r="L117" i="8"/>
  <c r="M117" i="8" s="1"/>
  <c r="AL117" i="8"/>
  <c r="AC117" i="8"/>
  <c r="AA117" i="8"/>
  <c r="AB118" i="8"/>
  <c r="L118" i="8"/>
  <c r="M118" i="8" s="1"/>
  <c r="AL118" i="8"/>
  <c r="AC118" i="8"/>
  <c r="AA118" i="8"/>
  <c r="AB119" i="8"/>
  <c r="L119" i="8"/>
  <c r="M119" i="8" s="1"/>
  <c r="AL119" i="8"/>
  <c r="AC119" i="8"/>
  <c r="AA119" i="8"/>
  <c r="AB120" i="8"/>
  <c r="L120" i="8"/>
  <c r="M120" i="8" s="1"/>
  <c r="AL120" i="8"/>
  <c r="AC120" i="8"/>
  <c r="AA120" i="8"/>
  <c r="AB121" i="8"/>
  <c r="L121" i="8"/>
  <c r="M121" i="8" s="1"/>
  <c r="AC121" i="8"/>
  <c r="AA121" i="8"/>
  <c r="AB123" i="8"/>
  <c r="L123" i="8"/>
  <c r="M123" i="8" s="1"/>
  <c r="AL123" i="8"/>
  <c r="AC123" i="8"/>
  <c r="AA123" i="8"/>
  <c r="AB124" i="8"/>
  <c r="L124" i="8"/>
  <c r="M124" i="8" s="1"/>
  <c r="AL124" i="8"/>
  <c r="AC124" i="8"/>
  <c r="AA124" i="8"/>
  <c r="AB125" i="8"/>
  <c r="L125" i="8"/>
  <c r="M125" i="8" s="1"/>
  <c r="AL125" i="8"/>
  <c r="AC125" i="8"/>
  <c r="AA125" i="8"/>
  <c r="AB126" i="8"/>
  <c r="L126" i="8"/>
  <c r="M126" i="8" s="1"/>
  <c r="AL126" i="8"/>
  <c r="AC126" i="8"/>
  <c r="AA126" i="8"/>
  <c r="AB127" i="8"/>
  <c r="L127" i="8"/>
  <c r="M127" i="8" s="1"/>
  <c r="AL127" i="8"/>
  <c r="AC127" i="8"/>
  <c r="AA127" i="8"/>
  <c r="AB128" i="8"/>
  <c r="L128" i="8"/>
  <c r="M128" i="8" s="1"/>
  <c r="AC128" i="8"/>
  <c r="AA128" i="8"/>
  <c r="AB130" i="8"/>
  <c r="L130" i="8"/>
  <c r="M130" i="8" s="1"/>
  <c r="AL130" i="8"/>
  <c r="AC130" i="8"/>
  <c r="AA130" i="8"/>
  <c r="AB131" i="8"/>
  <c r="L131" i="8"/>
  <c r="M131" i="8" s="1"/>
  <c r="AL131" i="8"/>
  <c r="AC131" i="8"/>
  <c r="AA131" i="8"/>
  <c r="AB132" i="8"/>
  <c r="L132" i="8"/>
  <c r="M132" i="8" s="1"/>
  <c r="AL132" i="8"/>
  <c r="AC132" i="8"/>
  <c r="AA132" i="8"/>
  <c r="AB133" i="8"/>
  <c r="L133" i="8"/>
  <c r="M133" i="8" s="1"/>
  <c r="AL133" i="8"/>
  <c r="AC133" i="8"/>
  <c r="AA133" i="8"/>
  <c r="AB134" i="8"/>
  <c r="L134" i="8"/>
  <c r="M134" i="8" s="1"/>
  <c r="AL134" i="8"/>
  <c r="AC134" i="8"/>
  <c r="AA134" i="8"/>
  <c r="AB135" i="8"/>
  <c r="L135" i="8"/>
  <c r="M135" i="8" s="1"/>
  <c r="AC135" i="8"/>
  <c r="AA135" i="8"/>
  <c r="AB137" i="8"/>
  <c r="L137" i="8"/>
  <c r="M137" i="8" s="1"/>
  <c r="AL137" i="8"/>
  <c r="AC137" i="8"/>
  <c r="AA137" i="8"/>
  <c r="AB138" i="8"/>
  <c r="L138" i="8"/>
  <c r="M138" i="8" s="1"/>
  <c r="AL138" i="8"/>
  <c r="AC138" i="8"/>
  <c r="AA138" i="8"/>
  <c r="AB139" i="8"/>
  <c r="L139" i="8"/>
  <c r="M139" i="8" s="1"/>
  <c r="AL139" i="8"/>
  <c r="AC139" i="8"/>
  <c r="AA139" i="8"/>
  <c r="AB140" i="8"/>
  <c r="L140" i="8"/>
  <c r="M140" i="8" s="1"/>
  <c r="AL140" i="8"/>
  <c r="AC140" i="8"/>
  <c r="AA140" i="8"/>
  <c r="AB141" i="8"/>
  <c r="L141" i="8"/>
  <c r="M141" i="8" s="1"/>
  <c r="AL141" i="8"/>
  <c r="AC141" i="8"/>
  <c r="AA141" i="8"/>
  <c r="AB142" i="8"/>
  <c r="L142" i="8"/>
  <c r="M142" i="8" s="1"/>
  <c r="AC142" i="8"/>
  <c r="AA142" i="8"/>
  <c r="AB144" i="8"/>
  <c r="L144" i="8"/>
  <c r="M144" i="8" s="1"/>
  <c r="AL144" i="8"/>
  <c r="AC144" i="8"/>
  <c r="AA144" i="8"/>
  <c r="AB145" i="8"/>
  <c r="L145" i="8"/>
  <c r="M145" i="8" s="1"/>
  <c r="AL145" i="8"/>
  <c r="AC145" i="8"/>
  <c r="AA145" i="8"/>
  <c r="AB146" i="8"/>
  <c r="L146" i="8"/>
  <c r="M146" i="8" s="1"/>
  <c r="AL146" i="8"/>
  <c r="AC146" i="8"/>
  <c r="AA146" i="8"/>
  <c r="AB147" i="8"/>
  <c r="L147" i="8"/>
  <c r="M147" i="8" s="1"/>
  <c r="AL147" i="8"/>
  <c r="AC147" i="8"/>
  <c r="AA147" i="8"/>
  <c r="AB148" i="8"/>
  <c r="L148" i="8"/>
  <c r="M148" i="8" s="1"/>
  <c r="AL148" i="8"/>
  <c r="AC148" i="8"/>
  <c r="AA148" i="8"/>
  <c r="AB149" i="8"/>
  <c r="L149" i="8"/>
  <c r="M149" i="8" s="1"/>
  <c r="AC149" i="8"/>
  <c r="AA149" i="8"/>
  <c r="AB151" i="8"/>
  <c r="L151" i="8"/>
  <c r="M151" i="8" s="1"/>
  <c r="AL151" i="8"/>
  <c r="AC151" i="8"/>
  <c r="AA151" i="8"/>
  <c r="AB152" i="8"/>
  <c r="L152" i="8"/>
  <c r="M152" i="8" s="1"/>
  <c r="AL152" i="8"/>
  <c r="AC152" i="8"/>
  <c r="AA152" i="8"/>
  <c r="AB153" i="8"/>
  <c r="L153" i="8"/>
  <c r="M153" i="8" s="1"/>
  <c r="AL153" i="8"/>
  <c r="AC153" i="8"/>
  <c r="AA153" i="8"/>
  <c r="AB154" i="8"/>
  <c r="L154" i="8"/>
  <c r="M154" i="8" s="1"/>
  <c r="AL154" i="8"/>
  <c r="AC154" i="8"/>
  <c r="AA154" i="8"/>
  <c r="AB155" i="8"/>
  <c r="L155" i="8"/>
  <c r="M155" i="8" s="1"/>
  <c r="AL155" i="8"/>
  <c r="AC155" i="8"/>
  <c r="AA155" i="8"/>
  <c r="AB156" i="8"/>
  <c r="L156" i="8"/>
  <c r="M156" i="8" s="1"/>
  <c r="AC156" i="8"/>
  <c r="AA156" i="8"/>
  <c r="AB160" i="8"/>
  <c r="L160" i="8"/>
  <c r="M160" i="8" s="1"/>
  <c r="AL160" i="8"/>
  <c r="AC160" i="8"/>
  <c r="AA160" i="8"/>
  <c r="AB161" i="8"/>
  <c r="L161" i="8"/>
  <c r="M161" i="8" s="1"/>
  <c r="AL161" i="8"/>
  <c r="AC161" i="8"/>
  <c r="AA161" i="8"/>
  <c r="AB162" i="8"/>
  <c r="L162" i="8"/>
  <c r="M162" i="8" s="1"/>
  <c r="AL162" i="8"/>
  <c r="AC162" i="8"/>
  <c r="AA162" i="8"/>
  <c r="AB163" i="8"/>
  <c r="L163" i="8"/>
  <c r="M163" i="8" s="1"/>
  <c r="AC163" i="8"/>
  <c r="AA163" i="8"/>
  <c r="AB165" i="8"/>
  <c r="L165" i="8"/>
  <c r="M165" i="8" s="1"/>
  <c r="AL165" i="8"/>
  <c r="AC165" i="8"/>
  <c r="AA165" i="8"/>
  <c r="AB166" i="8"/>
  <c r="L166" i="8"/>
  <c r="M166" i="8" s="1"/>
  <c r="AL166" i="8"/>
  <c r="AC166" i="8"/>
  <c r="AA166" i="8"/>
  <c r="AB167" i="8"/>
  <c r="L167" i="8"/>
  <c r="M167" i="8" s="1"/>
  <c r="AL167" i="8"/>
  <c r="AC167" i="8"/>
  <c r="AA167" i="8"/>
  <c r="AB168" i="8"/>
  <c r="L168" i="8"/>
  <c r="M168" i="8" s="1"/>
  <c r="AL168" i="8"/>
  <c r="AC168" i="8"/>
  <c r="AA168" i="8"/>
  <c r="AB169" i="8"/>
  <c r="L169" i="8"/>
  <c r="M169" i="8" s="1"/>
  <c r="AL169" i="8"/>
  <c r="AC169" i="8"/>
  <c r="AA169" i="8"/>
  <c r="AB170" i="8"/>
  <c r="L170" i="8"/>
  <c r="M170" i="8" s="1"/>
  <c r="AC170" i="8"/>
  <c r="AA170" i="8"/>
  <c r="AB174" i="8"/>
  <c r="L174" i="8"/>
  <c r="M174" i="8" s="1"/>
  <c r="AL174" i="8"/>
  <c r="AC174" i="8"/>
  <c r="AA174" i="8"/>
  <c r="AB175" i="8"/>
  <c r="L175" i="8"/>
  <c r="M175" i="8" s="1"/>
  <c r="AL175" i="8"/>
  <c r="AC175" i="8"/>
  <c r="AA175" i="8"/>
  <c r="AB176" i="8"/>
  <c r="L176" i="8"/>
  <c r="M176" i="8" s="1"/>
  <c r="AL176" i="8"/>
  <c r="AC176" i="8"/>
  <c r="AA176" i="8"/>
  <c r="AB177" i="8"/>
  <c r="L177" i="8"/>
  <c r="M177" i="8" s="1"/>
  <c r="AC177" i="8"/>
  <c r="AA177" i="8"/>
  <c r="AB181" i="8"/>
  <c r="L181" i="8"/>
  <c r="M181" i="8" s="1"/>
  <c r="AL181" i="8"/>
  <c r="AC181" i="8"/>
  <c r="AA181" i="8"/>
  <c r="AB182" i="8"/>
  <c r="L182" i="8"/>
  <c r="M182" i="8" s="1"/>
  <c r="AL182" i="8"/>
  <c r="AC182" i="8"/>
  <c r="AA182" i="8"/>
  <c r="AB183" i="8"/>
  <c r="L183" i="8"/>
  <c r="M183" i="8" s="1"/>
  <c r="AL183" i="8"/>
  <c r="AC183" i="8"/>
  <c r="AA183" i="8"/>
  <c r="AB184" i="8"/>
  <c r="L184" i="8"/>
  <c r="M184" i="8" s="1"/>
  <c r="AC184" i="8"/>
  <c r="AA184" i="8"/>
  <c r="AB188" i="8"/>
  <c r="L188" i="8"/>
  <c r="M188" i="8" s="1"/>
  <c r="AL188" i="8"/>
  <c r="AC188" i="8"/>
  <c r="AA188" i="8"/>
  <c r="AB189" i="8"/>
  <c r="L189" i="8"/>
  <c r="M189" i="8" s="1"/>
  <c r="AL189" i="8"/>
  <c r="AC189" i="8"/>
  <c r="AA189" i="8"/>
  <c r="AB190" i="8"/>
  <c r="L190" i="8"/>
  <c r="M190" i="8" s="1"/>
  <c r="AL190" i="8"/>
  <c r="AC190" i="8"/>
  <c r="AA190" i="8"/>
  <c r="AB191" i="8"/>
  <c r="L191" i="8"/>
  <c r="M191" i="8" s="1"/>
  <c r="AC191" i="8"/>
  <c r="AA191" i="8"/>
  <c r="AB195" i="8"/>
  <c r="L195" i="8"/>
  <c r="M195" i="8" s="1"/>
  <c r="AL195" i="8"/>
  <c r="AC195" i="8"/>
  <c r="AA195" i="8"/>
  <c r="AB196" i="8"/>
  <c r="L196" i="8"/>
  <c r="M196" i="8" s="1"/>
  <c r="AL196" i="8"/>
  <c r="AC196" i="8"/>
  <c r="AA196" i="8"/>
  <c r="AB197" i="8"/>
  <c r="L197" i="8"/>
  <c r="M197" i="8" s="1"/>
  <c r="AL197" i="8"/>
  <c r="AC197" i="8"/>
  <c r="AA197" i="8"/>
  <c r="AB198" i="8"/>
  <c r="L198" i="8"/>
  <c r="M198" i="8" s="1"/>
  <c r="AC198" i="8"/>
  <c r="AA198" i="8"/>
  <c r="AB202" i="8"/>
  <c r="L202" i="8"/>
  <c r="M202" i="8" s="1"/>
  <c r="AL202" i="8"/>
  <c r="AC202" i="8"/>
  <c r="AA202" i="8"/>
  <c r="AB203" i="8"/>
  <c r="L203" i="8"/>
  <c r="M203" i="8" s="1"/>
  <c r="AL203" i="8"/>
  <c r="AC203" i="8"/>
  <c r="AA203" i="8"/>
  <c r="AB204" i="8"/>
  <c r="L204" i="8"/>
  <c r="M204" i="8" s="1"/>
  <c r="AL204" i="8"/>
  <c r="AC204" i="8"/>
  <c r="AA204" i="8"/>
  <c r="AB205" i="8"/>
  <c r="L205" i="8"/>
  <c r="M205" i="8" s="1"/>
  <c r="AC205" i="8"/>
  <c r="AA205" i="8"/>
  <c r="AB209" i="8"/>
  <c r="L209" i="8"/>
  <c r="M209" i="8" s="1"/>
  <c r="AL209" i="8"/>
  <c r="AC209" i="8"/>
  <c r="AA209" i="8"/>
  <c r="AB210" i="8"/>
  <c r="L210" i="8"/>
  <c r="M210" i="8" s="1"/>
  <c r="AL210" i="8"/>
  <c r="AC210" i="8"/>
  <c r="AA210" i="8"/>
  <c r="AB211" i="8"/>
  <c r="L211" i="8"/>
  <c r="M211" i="8" s="1"/>
  <c r="AL211" i="8"/>
  <c r="AC211" i="8"/>
  <c r="AA211" i="8"/>
  <c r="AB212" i="8"/>
  <c r="L212" i="8"/>
  <c r="M212" i="8" s="1"/>
  <c r="AC212" i="8"/>
  <c r="AA212" i="8"/>
  <c r="AB216" i="8"/>
  <c r="L216" i="8"/>
  <c r="M216" i="8" s="1"/>
  <c r="AL216" i="8"/>
  <c r="AC216" i="8"/>
  <c r="AA216" i="8"/>
  <c r="AB217" i="8"/>
  <c r="L217" i="8"/>
  <c r="M217" i="8" s="1"/>
  <c r="AL217" i="8"/>
  <c r="AC217" i="8"/>
  <c r="AA217" i="8"/>
  <c r="AB218" i="8"/>
  <c r="L218" i="8"/>
  <c r="M218" i="8" s="1"/>
  <c r="AL218" i="8"/>
  <c r="AC218" i="8"/>
  <c r="AA218" i="8"/>
  <c r="AB219" i="8"/>
  <c r="L219" i="8"/>
  <c r="M219" i="8" s="1"/>
  <c r="AC219" i="8"/>
  <c r="AA219" i="8"/>
  <c r="AB223" i="8"/>
  <c r="L223" i="8"/>
  <c r="M223" i="8" s="1"/>
  <c r="AL223" i="8"/>
  <c r="AC223" i="8"/>
  <c r="AA223" i="8"/>
  <c r="AB224" i="8"/>
  <c r="L224" i="8"/>
  <c r="M224" i="8" s="1"/>
  <c r="AL224" i="8"/>
  <c r="AC224" i="8"/>
  <c r="AA224" i="8"/>
  <c r="AB225" i="8"/>
  <c r="L225" i="8"/>
  <c r="M225" i="8" s="1"/>
  <c r="AL225" i="8"/>
  <c r="AC225" i="8"/>
  <c r="AA225" i="8"/>
  <c r="AB226" i="8"/>
  <c r="L226" i="8"/>
  <c r="M226" i="8" s="1"/>
  <c r="AC226" i="8"/>
  <c r="AA226" i="8"/>
  <c r="AI160" i="2"/>
  <c r="X160" i="2"/>
  <c r="Y161" i="2"/>
  <c r="L161" i="2"/>
  <c r="M161" i="2" s="1"/>
  <c r="Z161" i="2"/>
  <c r="X161" i="2"/>
  <c r="AI161" i="2"/>
  <c r="Z162" i="2"/>
  <c r="X162" i="2"/>
  <c r="Z163" i="2"/>
  <c r="X163" i="2"/>
  <c r="AI167" i="2"/>
  <c r="L169" i="2"/>
  <c r="M169" i="2" s="1"/>
  <c r="Y169" i="2"/>
  <c r="Z169" i="2"/>
  <c r="X169" i="2"/>
  <c r="AI169" i="2"/>
  <c r="Y174" i="2"/>
  <c r="L174" i="2"/>
  <c r="M174" i="2" s="1"/>
  <c r="AI174" i="2"/>
  <c r="L176" i="2"/>
  <c r="M176" i="2" s="1"/>
  <c r="Y177" i="2"/>
  <c r="L177" i="2"/>
  <c r="M177" i="2" s="1"/>
  <c r="Z177" i="2"/>
  <c r="X177" i="2"/>
  <c r="Y181" i="2"/>
  <c r="L181" i="2"/>
  <c r="M181" i="2" s="1"/>
  <c r="X181" i="2"/>
  <c r="Z181" i="2"/>
  <c r="AI181" i="2"/>
  <c r="Z182" i="2"/>
  <c r="Y183" i="2"/>
  <c r="L183" i="2"/>
  <c r="M183" i="2" s="1"/>
  <c r="Z183" i="2"/>
  <c r="X183" i="2"/>
  <c r="Y184" i="2"/>
  <c r="L184" i="2"/>
  <c r="M184" i="2" s="1"/>
  <c r="AI183" i="2"/>
  <c r="Z184" i="2"/>
  <c r="Y188" i="2"/>
  <c r="L188" i="2"/>
  <c r="M188" i="2" s="1"/>
  <c r="Y189" i="2"/>
  <c r="L189" i="2"/>
  <c r="M189" i="2" s="1"/>
  <c r="AI188" i="2"/>
  <c r="Z189" i="2"/>
  <c r="L190" i="2"/>
  <c r="M190" i="2" s="1"/>
  <c r="Y190" i="2"/>
  <c r="Z190" i="2"/>
  <c r="X190" i="2"/>
  <c r="Y191" i="2"/>
  <c r="L191" i="2"/>
  <c r="M191" i="2" s="1"/>
  <c r="V193" i="2"/>
  <c r="E58" i="3" a="1"/>
  <c r="E58" i="3" s="1"/>
  <c r="Y195" i="2"/>
  <c r="L195" i="2"/>
  <c r="M195" i="2" s="1"/>
  <c r="Z195" i="2"/>
  <c r="X195" i="2"/>
  <c r="AI195" i="2"/>
  <c r="Z196" i="2"/>
  <c r="L197" i="2"/>
  <c r="M197" i="2" s="1"/>
  <c r="Y197" i="2"/>
  <c r="AI197" i="2"/>
  <c r="Z197" i="2"/>
  <c r="X197" i="2"/>
  <c r="Y198" i="2"/>
  <c r="L198" i="2"/>
  <c r="M198" i="2" s="1"/>
  <c r="Z198" i="2"/>
  <c r="X198" i="2"/>
  <c r="V200" i="2"/>
  <c r="E60" i="3" a="1"/>
  <c r="E60" i="3" s="1"/>
  <c r="Y202" i="2"/>
  <c r="L202" i="2"/>
  <c r="M202" i="2" s="1"/>
  <c r="Z202" i="2"/>
  <c r="X202" i="2"/>
  <c r="AI202" i="2"/>
  <c r="Z203" i="2"/>
  <c r="Y204" i="2"/>
  <c r="L204" i="2"/>
  <c r="M204" i="2" s="1"/>
  <c r="AI204" i="2"/>
  <c r="X204" i="2"/>
  <c r="Y205" i="2"/>
  <c r="L205" i="2"/>
  <c r="M205" i="2" s="1"/>
  <c r="Z205" i="2"/>
  <c r="X205" i="2"/>
  <c r="V207" i="2"/>
  <c r="E62" i="3" a="1"/>
  <c r="E62" i="3" s="1"/>
  <c r="Y209" i="2"/>
  <c r="L209" i="2"/>
  <c r="M209" i="2" s="1"/>
  <c r="Z209" i="2"/>
  <c r="X209" i="2"/>
  <c r="AI209" i="2"/>
  <c r="Z210" i="2"/>
  <c r="Y211" i="2"/>
  <c r="L211" i="2"/>
  <c r="M211" i="2" s="1"/>
  <c r="AI211" i="2"/>
  <c r="X211" i="2"/>
  <c r="Y212" i="2"/>
  <c r="L212" i="2"/>
  <c r="M212" i="2" s="1"/>
  <c r="Z212" i="2"/>
  <c r="X212" i="2"/>
  <c r="V214" i="2"/>
  <c r="E64" i="3" a="1"/>
  <c r="E64" i="3" s="1"/>
  <c r="Y216" i="2"/>
  <c r="L216" i="2"/>
  <c r="M216" i="2" s="1"/>
  <c r="AI216" i="2"/>
  <c r="L218" i="2"/>
  <c r="M218" i="2" s="1"/>
  <c r="Y218" i="2"/>
  <c r="Y219" i="2"/>
  <c r="L219" i="2"/>
  <c r="M219" i="2" s="1"/>
  <c r="V221" i="2"/>
  <c r="E66" i="3" a="1"/>
  <c r="E66" i="3" s="1"/>
  <c r="Y223" i="2"/>
  <c r="L223" i="2"/>
  <c r="M223" i="2" s="1"/>
  <c r="AI223" i="2"/>
  <c r="Z224" i="2"/>
  <c r="L225" i="2"/>
  <c r="M225" i="2" s="1"/>
  <c r="Y225" i="2"/>
  <c r="AI225" i="2"/>
  <c r="Z225" i="2"/>
  <c r="X225" i="2"/>
  <c r="Y226" i="2"/>
  <c r="L226" i="2"/>
  <c r="M226" i="2" s="1"/>
  <c r="O66" i="4"/>
  <c r="V186" i="2"/>
  <c r="E56" i="3" a="1"/>
  <c r="E56" i="3" s="1"/>
  <c r="Y76" i="2"/>
  <c r="L76" i="2"/>
  <c r="M76" i="2" s="1"/>
  <c r="AI76" i="2"/>
  <c r="Z76" i="2"/>
  <c r="X76" i="2"/>
  <c r="Y69" i="2"/>
  <c r="L69" i="2"/>
  <c r="M69" i="2" s="1"/>
  <c r="AI69" i="2"/>
  <c r="Z69" i="2"/>
  <c r="X69" i="2"/>
  <c r="Y62" i="2"/>
  <c r="L62" i="2"/>
  <c r="M62" i="2" s="1"/>
  <c r="AI62" i="2"/>
  <c r="Z62" i="2"/>
  <c r="X62" i="2"/>
  <c r="Y55" i="2"/>
  <c r="L55" i="2"/>
  <c r="M55" i="2" s="1"/>
  <c r="AI55" i="2"/>
  <c r="Z55" i="2"/>
  <c r="X55" i="2"/>
  <c r="Y48" i="2"/>
  <c r="L48" i="2"/>
  <c r="M48" i="2" s="1"/>
  <c r="AI48" i="2"/>
  <c r="Z48" i="2"/>
  <c r="X48" i="2"/>
  <c r="Y27" i="2"/>
  <c r="L27" i="2"/>
  <c r="M27" i="2" s="1"/>
  <c r="AI27" i="2"/>
  <c r="AI30" i="2" s="1"/>
  <c r="AE26" i="2" s="1"/>
  <c r="Z27" i="2"/>
  <c r="X27" i="2"/>
  <c r="Y20" i="2"/>
  <c r="L20" i="2"/>
  <c r="M20" i="2" s="1"/>
  <c r="AI20" i="2"/>
  <c r="AI23" i="2" s="1"/>
  <c r="AE19" i="2" s="1"/>
  <c r="Z20" i="2"/>
  <c r="X20" i="2"/>
  <c r="Y13" i="2"/>
  <c r="L13" i="2"/>
  <c r="M13" i="2" s="1"/>
  <c r="AI13" i="2"/>
  <c r="Z13" i="2"/>
  <c r="X13" i="2"/>
  <c r="Y6" i="2"/>
  <c r="L6" i="2"/>
  <c r="M6" i="2" s="1"/>
  <c r="AI6" i="2"/>
  <c r="Z6" i="2"/>
  <c r="X6" i="2"/>
  <c r="Y153" i="2"/>
  <c r="L153" i="2"/>
  <c r="M153" i="2" s="1"/>
  <c r="AI153" i="2"/>
  <c r="Z153" i="2"/>
  <c r="X153" i="2"/>
  <c r="Y146" i="2"/>
  <c r="L146" i="2"/>
  <c r="M146" i="2" s="1"/>
  <c r="AI146" i="2"/>
  <c r="Z146" i="2"/>
  <c r="X146" i="2"/>
  <c r="Y132" i="2"/>
  <c r="L132" i="2"/>
  <c r="M132" i="2" s="1"/>
  <c r="AI132" i="2"/>
  <c r="Z132" i="2"/>
  <c r="X132" i="2"/>
  <c r="Y125" i="2"/>
  <c r="L125" i="2"/>
  <c r="M125" i="2" s="1"/>
  <c r="AI125" i="2"/>
  <c r="Z125" i="2"/>
  <c r="X125" i="2"/>
  <c r="Y111" i="2"/>
  <c r="L111" i="2"/>
  <c r="M111" i="2" s="1"/>
  <c r="AI111" i="2"/>
  <c r="Z111" i="2"/>
  <c r="X111" i="2"/>
  <c r="Y104" i="2"/>
  <c r="L104" i="2"/>
  <c r="M104" i="2" s="1"/>
  <c r="AI104" i="2"/>
  <c r="Z104" i="2"/>
  <c r="X104" i="2"/>
  <c r="Y97" i="2"/>
  <c r="L97" i="2"/>
  <c r="M97" i="2" s="1"/>
  <c r="AI97" i="2"/>
  <c r="Z97" i="2"/>
  <c r="X97" i="2"/>
  <c r="Y83" i="2"/>
  <c r="L83" i="2"/>
  <c r="M83" i="2" s="1"/>
  <c r="AI83" i="2"/>
  <c r="Z83" i="2"/>
  <c r="X83" i="2"/>
  <c r="Y90" i="2"/>
  <c r="L90" i="2"/>
  <c r="M90" i="2" s="1"/>
  <c r="AI90" i="2"/>
  <c r="Z90" i="2"/>
  <c r="X90" i="2"/>
  <c r="E52" i="3" a="1"/>
  <c r="E52" i="3" s="1"/>
  <c r="V173" i="2"/>
  <c r="V166" i="2"/>
  <c r="V159" i="2"/>
  <c r="O64" i="4"/>
  <c r="M60" i="4"/>
  <c r="O60" i="4" s="1"/>
  <c r="M62" i="4"/>
  <c r="O62" i="4" s="1"/>
  <c r="L56" i="4"/>
  <c r="G56" i="4"/>
  <c r="L52" i="4"/>
  <c r="M48" i="4"/>
  <c r="L54" i="4"/>
  <c r="L48" i="4"/>
  <c r="M56" i="4"/>
  <c r="O56" i="4" s="1"/>
  <c r="M52" i="4"/>
  <c r="O52" i="4" s="1"/>
  <c r="M50" i="4"/>
  <c r="O50" i="4" s="1"/>
  <c r="L50" i="4"/>
  <c r="M54" i="4"/>
  <c r="O54" i="4" s="1"/>
  <c r="E54" i="3" a="1"/>
  <c r="E54" i="3" s="1"/>
  <c r="AI224" i="2"/>
  <c r="AI226" i="2" s="1"/>
  <c r="AE222" i="2" s="1"/>
  <c r="L224" i="2"/>
  <c r="M224" i="2" s="1"/>
  <c r="X223" i="2"/>
  <c r="X226" i="2"/>
  <c r="X224" i="2"/>
  <c r="Z217" i="2"/>
  <c r="X218" i="2"/>
  <c r="L217" i="2"/>
  <c r="M217" i="2" s="1"/>
  <c r="Z218" i="2"/>
  <c r="AI217" i="2"/>
  <c r="AI219" i="2" s="1"/>
  <c r="AE215" i="2" s="1"/>
  <c r="X216" i="2"/>
  <c r="X219" i="2"/>
  <c r="X217" i="2"/>
  <c r="AI210" i="2"/>
  <c r="AI212" i="2" s="1"/>
  <c r="AE208" i="2" s="1"/>
  <c r="L210" i="2"/>
  <c r="M210" i="2" s="1"/>
  <c r="Z211" i="2"/>
  <c r="X210" i="2"/>
  <c r="AI203" i="2"/>
  <c r="AI205" i="2" s="1"/>
  <c r="AE201" i="2" s="1"/>
  <c r="L203" i="2"/>
  <c r="M203" i="2" s="1"/>
  <c r="Z204" i="2"/>
  <c r="X203" i="2"/>
  <c r="AI196" i="2"/>
  <c r="AI198" i="2" s="1"/>
  <c r="AE194" i="2" s="1"/>
  <c r="L196" i="2"/>
  <c r="M196" i="2" s="1"/>
  <c r="X196" i="2"/>
  <c r="AI189" i="2"/>
  <c r="X188" i="2"/>
  <c r="X191" i="2"/>
  <c r="AI190" i="2"/>
  <c r="X189" i="2"/>
  <c r="AI182" i="2"/>
  <c r="AI184" i="2" s="1"/>
  <c r="AE180" i="2" s="1"/>
  <c r="L182" i="2"/>
  <c r="M182" i="2" s="1"/>
  <c r="X184" i="2"/>
  <c r="V182" i="2"/>
  <c r="X182" i="2"/>
  <c r="Z175" i="2"/>
  <c r="X176" i="2"/>
  <c r="AI175" i="2"/>
  <c r="L175" i="2"/>
  <c r="M175" i="2" s="1"/>
  <c r="Z176" i="2"/>
  <c r="X174" i="2"/>
  <c r="AI176" i="2"/>
  <c r="X175" i="2"/>
  <c r="F70" i="3"/>
  <c r="H74" i="3"/>
  <c r="L167" i="2"/>
  <c r="M167" i="2" s="1"/>
  <c r="Z168" i="2"/>
  <c r="L170" i="2"/>
  <c r="M170" i="2" s="1"/>
  <c r="Z167" i="2"/>
  <c r="Z170" i="2"/>
  <c r="L168" i="2"/>
  <c r="M168" i="2" s="1"/>
  <c r="X167" i="2"/>
  <c r="X170" i="2"/>
  <c r="X168" i="2"/>
  <c r="AI168" i="2"/>
  <c r="AI170" i="2" s="1"/>
  <c r="AE166" i="2" s="1"/>
  <c r="G48" i="4"/>
  <c r="M24" i="4"/>
  <c r="O24" i="4" s="1"/>
  <c r="M42" i="4"/>
  <c r="O42" i="4" s="1"/>
  <c r="M26" i="4"/>
  <c r="O26" i="4" s="1"/>
  <c r="M32" i="4"/>
  <c r="O32" i="4" s="1"/>
  <c r="M34" i="4"/>
  <c r="O34" i="4" s="1"/>
  <c r="M38" i="4"/>
  <c r="O38" i="4" s="1"/>
  <c r="M44" i="4"/>
  <c r="O44" i="4" s="1"/>
  <c r="M12" i="4"/>
  <c r="O12" i="4" s="1"/>
  <c r="M16" i="4"/>
  <c r="O16" i="4" s="1"/>
  <c r="M36" i="4"/>
  <c r="O36" i="4" s="1"/>
  <c r="M4" i="4"/>
  <c r="O4" i="4" s="1"/>
  <c r="D71" i="3"/>
  <c r="C71" i="3"/>
  <c r="I70" i="3"/>
  <c r="I74" i="3" s="1"/>
  <c r="D72" i="3"/>
  <c r="AH163" i="2"/>
  <c r="AE158" i="2" s="1"/>
  <c r="N48" i="4" s="1"/>
  <c r="X158" i="2"/>
  <c r="Y159" i="2"/>
  <c r="L158" i="2"/>
  <c r="M158" i="2" s="1"/>
  <c r="L160" i="2"/>
  <c r="M160" i="2" s="1"/>
  <c r="L163" i="2"/>
  <c r="M163" i="2" s="1"/>
  <c r="X159" i="2"/>
  <c r="AI158" i="2"/>
  <c r="Y162" i="2"/>
  <c r="AI159" i="2"/>
  <c r="AI162" i="2"/>
  <c r="Z160" i="2"/>
  <c r="X84" i="2"/>
  <c r="Z84" i="2"/>
  <c r="G40" i="4"/>
  <c r="M40" i="4"/>
  <c r="O40" i="4" s="1"/>
  <c r="V32" i="2"/>
  <c r="E12" i="3" a="1"/>
  <c r="E12" i="3" s="1"/>
  <c r="X85" i="2"/>
  <c r="Z85" i="2"/>
  <c r="L86" i="2"/>
  <c r="M86" i="2" s="1"/>
  <c r="Y86" i="2"/>
  <c r="X86" i="2"/>
  <c r="Z86" i="2"/>
  <c r="L117" i="2"/>
  <c r="M117" i="2" s="1"/>
  <c r="Y117" i="2"/>
  <c r="L118" i="2"/>
  <c r="M118" i="2" s="1"/>
  <c r="Y118" i="2"/>
  <c r="Y121" i="2"/>
  <c r="L121" i="2"/>
  <c r="M121" i="2" s="1"/>
  <c r="X121" i="2"/>
  <c r="Z121" i="2"/>
  <c r="Y124" i="2"/>
  <c r="L124" i="2"/>
  <c r="M124" i="2" s="1"/>
  <c r="Y126" i="2"/>
  <c r="L126" i="2"/>
  <c r="M126" i="2" s="1"/>
  <c r="Y127" i="2"/>
  <c r="L127" i="2"/>
  <c r="M127" i="2" s="1"/>
  <c r="L128" i="2"/>
  <c r="M128" i="2" s="1"/>
  <c r="Y128" i="2"/>
  <c r="Z128" i="2"/>
  <c r="X128" i="2"/>
  <c r="L135" i="2"/>
  <c r="M135" i="2" s="1"/>
  <c r="Y135" i="2"/>
  <c r="Z135" i="2"/>
  <c r="X135" i="2"/>
  <c r="Z138" i="2"/>
  <c r="X138" i="2"/>
  <c r="Z139" i="2"/>
  <c r="X139" i="2"/>
  <c r="L141" i="2"/>
  <c r="M141" i="2" s="1"/>
  <c r="Z141" i="2"/>
  <c r="X141" i="2"/>
  <c r="L142" i="2"/>
  <c r="M142" i="2" s="1"/>
  <c r="Z142" i="2"/>
  <c r="X142" i="2"/>
  <c r="V43" i="2"/>
  <c r="E14" i="3" a="1"/>
  <c r="E14" i="3" s="1"/>
  <c r="Z126" i="2"/>
  <c r="X126" i="2"/>
  <c r="Z124" i="2"/>
  <c r="X124" i="2"/>
  <c r="Z119" i="2"/>
  <c r="X119" i="2"/>
  <c r="Z118" i="2"/>
  <c r="X118" i="2"/>
  <c r="Z117" i="2"/>
  <c r="X117" i="2"/>
  <c r="L119" i="2"/>
  <c r="M119" i="2" s="1"/>
  <c r="Y119" i="2"/>
  <c r="X82" i="2"/>
  <c r="Z82" i="2"/>
  <c r="Y82" i="2"/>
  <c r="L82" i="2"/>
  <c r="M82" i="2" s="1"/>
  <c r="L84" i="2"/>
  <c r="M84" i="2" s="1"/>
  <c r="Z127" i="2"/>
  <c r="X127" i="2"/>
  <c r="L85" i="2"/>
  <c r="M85" i="2" s="1"/>
  <c r="Y85" i="2"/>
  <c r="V151" i="2"/>
  <c r="E46" i="3" a="1"/>
  <c r="E46" i="3" s="1"/>
  <c r="V144" i="2"/>
  <c r="E44" i="3" a="1"/>
  <c r="E44" i="3" s="1"/>
  <c r="Z140" i="2"/>
  <c r="X140" i="2"/>
  <c r="L138" i="2"/>
  <c r="M138" i="2" s="1"/>
  <c r="L139" i="2"/>
  <c r="M139" i="2" s="1"/>
  <c r="Y139" i="2"/>
  <c r="L140" i="2"/>
  <c r="M140" i="2" s="1"/>
  <c r="Y140" i="2"/>
  <c r="V123" i="2"/>
  <c r="E38" i="3" a="1"/>
  <c r="E38" i="3" s="1"/>
  <c r="Z131" i="2"/>
  <c r="X131" i="2"/>
  <c r="X133" i="2"/>
  <c r="Z133" i="2"/>
  <c r="Z134" i="2"/>
  <c r="X134" i="2"/>
  <c r="L131" i="2"/>
  <c r="M131" i="2" s="1"/>
  <c r="Y131" i="2"/>
  <c r="Y133" i="2"/>
  <c r="L133" i="2"/>
  <c r="M133" i="2" s="1"/>
  <c r="L134" i="2"/>
  <c r="M134" i="2" s="1"/>
  <c r="Y134" i="2"/>
  <c r="Z120" i="2"/>
  <c r="L120" i="2"/>
  <c r="M120" i="2" s="1"/>
  <c r="V103" i="2"/>
  <c r="E32" i="3" a="1"/>
  <c r="E32" i="3" s="1"/>
  <c r="E42" i="3" a="1"/>
  <c r="E42" i="3" s="1"/>
  <c r="C72" i="3"/>
  <c r="E30" i="3" a="1"/>
  <c r="E30" i="3" s="1"/>
  <c r="E16" i="3" a="1"/>
  <c r="E16" i="3" s="1"/>
  <c r="E10" i="3" a="1"/>
  <c r="E10" i="3" s="1"/>
  <c r="E8" i="3" a="1"/>
  <c r="E8" i="3" s="1"/>
  <c r="E40" i="3" a="1"/>
  <c r="E40" i="3" s="1"/>
  <c r="E36" i="3" a="1"/>
  <c r="E36" i="3" s="1"/>
  <c r="V118" i="2"/>
  <c r="E34" i="3" a="1"/>
  <c r="E34" i="3" s="1"/>
  <c r="V68" i="2"/>
  <c r="V61" i="2"/>
  <c r="E20" i="3" a="1"/>
  <c r="E20" i="3" s="1"/>
  <c r="V54" i="2"/>
  <c r="E18" i="3" a="1"/>
  <c r="E18" i="3" s="1"/>
  <c r="M18" i="4"/>
  <c r="O18" i="4" s="1"/>
  <c r="G46" i="4"/>
  <c r="M46" i="4"/>
  <c r="O46" i="4" s="1"/>
  <c r="M8" i="4"/>
  <c r="O8" i="4" s="1"/>
  <c r="E6" i="3" a="1"/>
  <c r="E6" i="3" s="1"/>
  <c r="V15" i="2"/>
  <c r="E4" i="3" a="1"/>
  <c r="E4" i="3" s="1"/>
  <c r="Y96" i="2"/>
  <c r="L96" i="2"/>
  <c r="M96" i="2" s="1"/>
  <c r="Z96" i="2"/>
  <c r="X96" i="2"/>
  <c r="Y98" i="2"/>
  <c r="L98" i="2"/>
  <c r="M98" i="2" s="1"/>
  <c r="Z98" i="2"/>
  <c r="X98" i="2"/>
  <c r="Y99" i="2"/>
  <c r="L99" i="2"/>
  <c r="M99" i="2" s="1"/>
  <c r="Z99" i="2"/>
  <c r="X99" i="2"/>
  <c r="Y100" i="2"/>
  <c r="L100" i="2"/>
  <c r="M100" i="2" s="1"/>
  <c r="Z100" i="2"/>
  <c r="X100" i="2"/>
  <c r="X137" i="2"/>
  <c r="Z137" i="2"/>
  <c r="AI4" i="2"/>
  <c r="AI9" i="2" s="1"/>
  <c r="AE5" i="2" s="1"/>
  <c r="L4" i="2"/>
  <c r="M4" i="2" s="1"/>
  <c r="G30" i="4"/>
  <c r="M30" i="4"/>
  <c r="O30" i="4" s="1"/>
  <c r="Y23" i="2"/>
  <c r="L23" i="2"/>
  <c r="M23" i="2" s="1"/>
  <c r="Y22" i="2"/>
  <c r="L22" i="2"/>
  <c r="M22" i="2" s="1"/>
  <c r="Y21" i="2"/>
  <c r="L21" i="2"/>
  <c r="M21" i="2" s="1"/>
  <c r="L33" i="2"/>
  <c r="M33" i="2" s="1"/>
  <c r="Y33" i="2"/>
  <c r="X33" i="2"/>
  <c r="Z33" i="2"/>
  <c r="L34" i="2"/>
  <c r="M34" i="2" s="1"/>
  <c r="Y34" i="2"/>
  <c r="X34" i="2"/>
  <c r="Z34" i="2"/>
  <c r="L35" i="2"/>
  <c r="M35" i="2" s="1"/>
  <c r="Y35" i="2"/>
  <c r="X35" i="2"/>
  <c r="Z35" i="2"/>
  <c r="L36" i="2"/>
  <c r="M36" i="2" s="1"/>
  <c r="Y36" i="2"/>
  <c r="X36" i="2"/>
  <c r="Z36" i="2"/>
  <c r="L37" i="2"/>
  <c r="M37" i="2" s="1"/>
  <c r="Y37" i="2"/>
  <c r="X37" i="2"/>
  <c r="Z37" i="2"/>
  <c r="Y47" i="2"/>
  <c r="L47" i="2"/>
  <c r="M47" i="2" s="1"/>
  <c r="X47" i="2"/>
  <c r="Z47" i="2"/>
  <c r="Y49" i="2"/>
  <c r="L49" i="2"/>
  <c r="M49" i="2" s="1"/>
  <c r="X49" i="2"/>
  <c r="Z49" i="2"/>
  <c r="Y50" i="2"/>
  <c r="L50" i="2"/>
  <c r="M50" i="2" s="1"/>
  <c r="X50" i="2"/>
  <c r="Z50" i="2"/>
  <c r="Y51" i="2"/>
  <c r="L51" i="2"/>
  <c r="M51" i="2" s="1"/>
  <c r="X51" i="2"/>
  <c r="Z51" i="2"/>
  <c r="L152" i="2"/>
  <c r="M152" i="2" s="1"/>
  <c r="Y152" i="2"/>
  <c r="Y154" i="2"/>
  <c r="L154" i="2"/>
  <c r="M154" i="2" s="1"/>
  <c r="Z154" i="2"/>
  <c r="X154" i="2"/>
  <c r="Y155" i="2"/>
  <c r="L155" i="2"/>
  <c r="M155" i="2" s="1"/>
  <c r="Z155" i="2"/>
  <c r="X155" i="2"/>
  <c r="Y156" i="2"/>
  <c r="L156" i="2"/>
  <c r="M156" i="2" s="1"/>
  <c r="Z156" i="2"/>
  <c r="X156" i="2"/>
  <c r="Y19" i="2"/>
  <c r="L19" i="2"/>
  <c r="M19" i="2" s="1"/>
  <c r="L7" i="2"/>
  <c r="L8" i="2"/>
  <c r="L5" i="2"/>
  <c r="G10" i="4"/>
  <c r="M10" i="4"/>
  <c r="O10" i="4" s="1"/>
  <c r="Z152" i="2"/>
  <c r="X152" i="2"/>
  <c r="Z145" i="2"/>
  <c r="X145" i="2"/>
  <c r="L145" i="2"/>
  <c r="M145" i="2" s="1"/>
  <c r="Y145" i="2"/>
  <c r="Z110" i="2"/>
  <c r="X110" i="2"/>
  <c r="Z112" i="2"/>
  <c r="X112" i="2"/>
  <c r="Z113" i="2"/>
  <c r="X113" i="2"/>
  <c r="Y113" i="2"/>
  <c r="L113" i="2"/>
  <c r="M113" i="2" s="1"/>
  <c r="Y112" i="2"/>
  <c r="L112" i="2"/>
  <c r="M112" i="2" s="1"/>
  <c r="Y110" i="2"/>
  <c r="L110" i="2"/>
  <c r="M110" i="2" s="1"/>
  <c r="Z103" i="2"/>
  <c r="X103" i="2"/>
  <c r="Y103" i="2"/>
  <c r="L103" i="2"/>
  <c r="M103" i="2" s="1"/>
  <c r="Z89" i="2"/>
  <c r="X89" i="2"/>
  <c r="Y89" i="2"/>
  <c r="L89" i="2"/>
  <c r="M89" i="2" s="1"/>
  <c r="Z114" i="2"/>
  <c r="X114" i="2"/>
  <c r="Y114" i="2"/>
  <c r="L114" i="2"/>
  <c r="M114" i="2" s="1"/>
  <c r="M22" i="4"/>
  <c r="O22" i="4" s="1"/>
  <c r="M20" i="4"/>
  <c r="O20" i="4" s="1"/>
  <c r="X28" i="2"/>
  <c r="Z28" i="2"/>
  <c r="X29" i="2"/>
  <c r="Z29" i="2"/>
  <c r="X30" i="2"/>
  <c r="Z30" i="2"/>
  <c r="L28" i="2"/>
  <c r="M28" i="2" s="1"/>
  <c r="Y28" i="2"/>
  <c r="L29" i="2"/>
  <c r="M29" i="2" s="1"/>
  <c r="Y29" i="2"/>
  <c r="L30" i="2"/>
  <c r="M30" i="2" s="1"/>
  <c r="Y30" i="2"/>
  <c r="G28" i="4"/>
  <c r="M28" i="4"/>
  <c r="O28" i="4" s="1"/>
  <c r="Z91" i="2"/>
  <c r="X91" i="2"/>
  <c r="Z92" i="2"/>
  <c r="X92" i="2"/>
  <c r="Y91" i="2"/>
  <c r="L91" i="2"/>
  <c r="M91" i="2" s="1"/>
  <c r="Y92" i="2"/>
  <c r="L92" i="2"/>
  <c r="M92" i="2" s="1"/>
  <c r="Y93" i="2"/>
  <c r="L93" i="2"/>
  <c r="M93" i="2" s="1"/>
  <c r="M14" i="4"/>
  <c r="O14" i="4" s="1"/>
  <c r="Z105" i="2"/>
  <c r="X105" i="2"/>
  <c r="Z106" i="2"/>
  <c r="X106" i="2"/>
  <c r="Z107" i="2"/>
  <c r="X107" i="2"/>
  <c r="Y105" i="2"/>
  <c r="L105" i="2"/>
  <c r="M105" i="2" s="1"/>
  <c r="Y106" i="2"/>
  <c r="L106" i="2"/>
  <c r="M106" i="2" s="1"/>
  <c r="Y107" i="2"/>
  <c r="L107" i="2"/>
  <c r="M107" i="2" s="1"/>
  <c r="X26" i="2"/>
  <c r="Z26" i="2"/>
  <c r="L26" i="2"/>
  <c r="M26" i="2" s="1"/>
  <c r="Y26" i="2"/>
  <c r="Z5" i="2"/>
  <c r="X5" i="2"/>
  <c r="M5" i="2"/>
  <c r="Z42" i="2"/>
  <c r="X42" i="2"/>
  <c r="Z43" i="2"/>
  <c r="X43" i="2"/>
  <c r="L44" i="2"/>
  <c r="M44" i="2" s="1"/>
  <c r="Z44" i="2"/>
  <c r="X44" i="2"/>
  <c r="Z63" i="2"/>
  <c r="X63" i="2"/>
  <c r="Z64" i="2"/>
  <c r="X64" i="2"/>
  <c r="L65" i="2"/>
  <c r="M65" i="2" s="1"/>
  <c r="Z65" i="2"/>
  <c r="X65" i="2"/>
  <c r="AI11" i="2"/>
  <c r="AI16" i="2" s="1"/>
  <c r="AE12" i="2" s="1"/>
  <c r="Z12" i="2"/>
  <c r="X12" i="2"/>
  <c r="Z23" i="2"/>
  <c r="X23" i="2"/>
  <c r="Z22" i="2"/>
  <c r="X22" i="2"/>
  <c r="Z21" i="2"/>
  <c r="X21" i="2"/>
  <c r="Z19" i="2"/>
  <c r="X19" i="2"/>
  <c r="X53" i="2"/>
  <c r="Z53" i="2"/>
  <c r="Y54" i="2"/>
  <c r="L54" i="2"/>
  <c r="M54" i="2" s="1"/>
  <c r="Z54" i="2"/>
  <c r="X54" i="2"/>
  <c r="Y56" i="2"/>
  <c r="L56" i="2"/>
  <c r="M56" i="2" s="1"/>
  <c r="Z56" i="2"/>
  <c r="X56" i="2"/>
  <c r="Y57" i="2"/>
  <c r="L57" i="2"/>
  <c r="M57" i="2" s="1"/>
  <c r="Z57" i="2"/>
  <c r="X57" i="2"/>
  <c r="Y58" i="2"/>
  <c r="L58" i="2"/>
  <c r="M58" i="2" s="1"/>
  <c r="Z58" i="2"/>
  <c r="X58" i="2"/>
  <c r="Z16" i="2"/>
  <c r="X16" i="2"/>
  <c r="Z15" i="2"/>
  <c r="X15" i="2"/>
  <c r="Z14" i="2"/>
  <c r="X14" i="2"/>
  <c r="Y72" i="2"/>
  <c r="L72" i="2"/>
  <c r="M72" i="2" s="1"/>
  <c r="Y71" i="2"/>
  <c r="L71" i="2"/>
  <c r="M71" i="2" s="1"/>
  <c r="Y70" i="2"/>
  <c r="L70" i="2"/>
  <c r="M70" i="2" s="1"/>
  <c r="Z61" i="2"/>
  <c r="X61" i="2"/>
  <c r="AI61" i="2"/>
  <c r="L61" i="2"/>
  <c r="M61" i="2" s="1"/>
  <c r="AI63" i="2"/>
  <c r="L63" i="2"/>
  <c r="M63" i="2" s="1"/>
  <c r="AI64" i="2"/>
  <c r="L64" i="2"/>
  <c r="M64" i="2" s="1"/>
  <c r="Z40" i="2"/>
  <c r="X40" i="2"/>
  <c r="AI40" i="2"/>
  <c r="L40" i="2"/>
  <c r="M40" i="2" s="1"/>
  <c r="AI41" i="2"/>
  <c r="AI42" i="2"/>
  <c r="L42" i="2"/>
  <c r="M42" i="2" s="1"/>
  <c r="AI43" i="2"/>
  <c r="L43" i="2"/>
  <c r="M43" i="2" s="1"/>
  <c r="Z9" i="2"/>
  <c r="X9" i="2"/>
  <c r="L9" i="2"/>
  <c r="M9" i="2" s="1"/>
  <c r="Z8" i="2"/>
  <c r="X8" i="2"/>
  <c r="M8" i="2"/>
  <c r="Z7" i="2"/>
  <c r="X7" i="2"/>
  <c r="M7" i="2"/>
  <c r="L12" i="2"/>
  <c r="M12" i="2" s="1"/>
  <c r="Y151" i="2"/>
  <c r="L151" i="2"/>
  <c r="M151" i="2" s="1"/>
  <c r="Z151" i="2"/>
  <c r="X151" i="2"/>
  <c r="Y144" i="2"/>
  <c r="L144" i="2"/>
  <c r="M144" i="2" s="1"/>
  <c r="Z144" i="2"/>
  <c r="X144" i="2"/>
  <c r="L137" i="2"/>
  <c r="M137" i="2" s="1"/>
  <c r="Y130" i="2"/>
  <c r="L130" i="2"/>
  <c r="M130" i="2" s="1"/>
  <c r="Z130" i="2"/>
  <c r="X130" i="2"/>
  <c r="Y123" i="2"/>
  <c r="L123" i="2"/>
  <c r="M123" i="2" s="1"/>
  <c r="Z123" i="2"/>
  <c r="X123" i="2"/>
  <c r="Y116" i="2"/>
  <c r="L116" i="2"/>
  <c r="M116" i="2" s="1"/>
  <c r="Z116" i="2"/>
  <c r="X116" i="2"/>
  <c r="Y109" i="2"/>
  <c r="L109" i="2"/>
  <c r="M109" i="2" s="1"/>
  <c r="Z109" i="2"/>
  <c r="X109" i="2"/>
  <c r="Y102" i="2"/>
  <c r="L102" i="2"/>
  <c r="M102" i="2" s="1"/>
  <c r="Z102" i="2"/>
  <c r="X102" i="2"/>
  <c r="Y95" i="2"/>
  <c r="L95" i="2"/>
  <c r="M95" i="2" s="1"/>
  <c r="Z95" i="2"/>
  <c r="X95" i="2"/>
  <c r="Y88" i="2"/>
  <c r="L88" i="2"/>
  <c r="M88" i="2" s="1"/>
  <c r="Z88" i="2"/>
  <c r="X88" i="2"/>
  <c r="Y74" i="2"/>
  <c r="L74" i="2"/>
  <c r="M74" i="2" s="1"/>
  <c r="Z74" i="2"/>
  <c r="X74" i="2"/>
  <c r="L53" i="2"/>
  <c r="M53" i="2" s="1"/>
  <c r="Y46" i="2"/>
  <c r="L46" i="2"/>
  <c r="M46" i="2" s="1"/>
  <c r="Z46" i="2"/>
  <c r="X46" i="2"/>
  <c r="Y32" i="2"/>
  <c r="L32" i="2"/>
  <c r="M32" i="2" s="1"/>
  <c r="Z32" i="2"/>
  <c r="X32" i="2"/>
  <c r="Y25" i="2"/>
  <c r="L25" i="2"/>
  <c r="M25" i="2" s="1"/>
  <c r="Z25" i="2"/>
  <c r="X25" i="2"/>
  <c r="AI151" i="2"/>
  <c r="AI156" i="2" s="1"/>
  <c r="AE152" i="2" s="1"/>
  <c r="AI144" i="2"/>
  <c r="AI149" i="2" s="1"/>
  <c r="AE145" i="2" s="1"/>
  <c r="AI137" i="2"/>
  <c r="AI142" i="2" s="1"/>
  <c r="AE138" i="2" s="1"/>
  <c r="AI130" i="2"/>
  <c r="AI135" i="2" s="1"/>
  <c r="AE131" i="2" s="1"/>
  <c r="AI123" i="2"/>
  <c r="AI128" i="2" s="1"/>
  <c r="AE124" i="2" s="1"/>
  <c r="AI116" i="2"/>
  <c r="AI121" i="2" s="1"/>
  <c r="AE117" i="2" s="1"/>
  <c r="AI109" i="2"/>
  <c r="AI114" i="2" s="1"/>
  <c r="AE110" i="2" s="1"/>
  <c r="AI102" i="2"/>
  <c r="AI107" i="2" s="1"/>
  <c r="AE103" i="2" s="1"/>
  <c r="AI95" i="2"/>
  <c r="AI100" i="2" s="1"/>
  <c r="AE96" i="2" s="1"/>
  <c r="AI88" i="2"/>
  <c r="AI93" i="2" s="1"/>
  <c r="AE89" i="2" s="1"/>
  <c r="AI81" i="2"/>
  <c r="AI86" i="2" s="1"/>
  <c r="AE82" i="2" s="1"/>
  <c r="AI74" i="2"/>
  <c r="AI79" i="2" s="1"/>
  <c r="AE75" i="2" s="1"/>
  <c r="Y67" i="2"/>
  <c r="L67" i="2"/>
  <c r="M67" i="2" s="1"/>
  <c r="AI67" i="2"/>
  <c r="AI72" i="2" s="1"/>
  <c r="AE68" i="2" s="1"/>
  <c r="Z67" i="2"/>
  <c r="X67" i="2"/>
  <c r="Y60" i="2"/>
  <c r="L60" i="2"/>
  <c r="M60" i="2" s="1"/>
  <c r="AI60" i="2"/>
  <c r="AI65" i="2" s="1"/>
  <c r="AE61" i="2" s="1"/>
  <c r="Z60" i="2"/>
  <c r="X60" i="2"/>
  <c r="AI53" i="2"/>
  <c r="AI58" i="2" s="1"/>
  <c r="AE54" i="2" s="1"/>
  <c r="AI46" i="2"/>
  <c r="AI51" i="2" s="1"/>
  <c r="AE47" i="2" s="1"/>
  <c r="Y39" i="2"/>
  <c r="L39" i="2"/>
  <c r="M39" i="2" s="1"/>
  <c r="AI39" i="2"/>
  <c r="AI44" i="2" s="1"/>
  <c r="AE40" i="2" s="1"/>
  <c r="Z39" i="2"/>
  <c r="X39" i="2"/>
  <c r="AI32" i="2"/>
  <c r="AI37" i="2" s="1"/>
  <c r="AE33" i="2" s="1"/>
  <c r="K70" i="3"/>
  <c r="K74" i="3" s="1"/>
  <c r="J70" i="3"/>
  <c r="J74" i="3" s="1"/>
  <c r="E69" i="4"/>
  <c r="G26" i="4"/>
  <c r="E70" i="4"/>
  <c r="G70" i="3"/>
  <c r="G74" i="3" s="1"/>
  <c r="F74" i="3"/>
  <c r="Q70" i="3"/>
  <c r="Q74" i="3" s="1"/>
  <c r="P70" i="3"/>
  <c r="P74" i="3" s="1"/>
  <c r="L46" i="4"/>
  <c r="G44" i="4"/>
  <c r="L44" i="4"/>
  <c r="L42" i="4"/>
  <c r="L40" i="4"/>
  <c r="G38" i="4"/>
  <c r="L38" i="4"/>
  <c r="G36" i="4"/>
  <c r="L36" i="4"/>
  <c r="G34" i="4"/>
  <c r="L34" i="4"/>
  <c r="G32" i="4"/>
  <c r="L32" i="4"/>
  <c r="L30" i="4"/>
  <c r="L28" i="4"/>
  <c r="G24" i="4"/>
  <c r="L24" i="4"/>
  <c r="G22" i="4"/>
  <c r="L22" i="4"/>
  <c r="G20" i="4"/>
  <c r="L20" i="4"/>
  <c r="L18" i="4"/>
  <c r="G16" i="4"/>
  <c r="L16" i="4"/>
  <c r="L14" i="4"/>
  <c r="G12" i="4"/>
  <c r="L12" i="4"/>
  <c r="L10" i="4"/>
  <c r="G8" i="4"/>
  <c r="L8" i="4"/>
  <c r="O70" i="3"/>
  <c r="O74" i="3" s="1"/>
  <c r="N70" i="3"/>
  <c r="N74" i="3" s="1"/>
  <c r="L26" i="4"/>
  <c r="M70" i="3"/>
  <c r="M74" i="3" s="1"/>
  <c r="L70" i="3"/>
  <c r="L74" i="3" s="1"/>
  <c r="L4" i="4"/>
  <c r="G4" i="4"/>
  <c r="V4" i="2"/>
  <c r="AL226" i="8" l="1"/>
  <c r="AH222" i="8" s="1"/>
  <c r="AL219" i="8"/>
  <c r="AH215" i="8" s="1"/>
  <c r="AL212" i="8"/>
  <c r="AH208" i="8" s="1"/>
  <c r="AL205" i="8"/>
  <c r="AH201" i="8" s="1"/>
  <c r="AL198" i="8"/>
  <c r="AH194" i="8" s="1"/>
  <c r="AL191" i="8"/>
  <c r="AH187" i="8" s="1"/>
  <c r="AL184" i="8"/>
  <c r="AH180" i="8" s="1"/>
  <c r="AL177" i="8"/>
  <c r="AH173" i="8" s="1"/>
  <c r="AL170" i="8"/>
  <c r="AH166" i="8" s="1"/>
  <c r="AL163" i="8"/>
  <c r="AH159" i="8" s="1"/>
  <c r="AL156" i="8"/>
  <c r="AH152" i="8" s="1"/>
  <c r="AL149" i="8"/>
  <c r="AH145" i="8" s="1"/>
  <c r="AL142" i="8"/>
  <c r="AH138" i="8" s="1"/>
  <c r="AL135" i="8"/>
  <c r="AH131" i="8" s="1"/>
  <c r="AL128" i="8"/>
  <c r="AH124" i="8" s="1"/>
  <c r="AL121" i="8"/>
  <c r="AH117" i="8" s="1"/>
  <c r="AL114" i="8"/>
  <c r="AH110" i="8" s="1"/>
  <c r="AL107" i="8"/>
  <c r="AH103" i="8" s="1"/>
  <c r="AL100" i="8"/>
  <c r="AH96" i="8" s="1"/>
  <c r="AL93" i="8"/>
  <c r="AH89" i="8" s="1"/>
  <c r="AL86" i="8"/>
  <c r="AH82" i="8" s="1"/>
  <c r="AL79" i="8"/>
  <c r="AH75" i="8" s="1"/>
  <c r="AL72" i="8"/>
  <c r="AH68" i="8" s="1"/>
  <c r="AL65" i="8"/>
  <c r="AH61" i="8" s="1"/>
  <c r="AL58" i="8"/>
  <c r="AH54" i="8" s="1"/>
  <c r="AL51" i="8"/>
  <c r="AH47" i="8" s="1"/>
  <c r="AL44" i="8"/>
  <c r="AH40" i="8" s="1"/>
  <c r="AL37" i="8"/>
  <c r="AH33" i="8" s="1"/>
  <c r="AL30" i="8"/>
  <c r="AH26" i="8" s="1"/>
  <c r="AL23" i="8"/>
  <c r="AH19" i="8" s="1"/>
  <c r="AL16" i="8"/>
  <c r="AH12" i="8" s="1"/>
  <c r="AL9" i="8"/>
  <c r="AH5" i="8" s="1"/>
  <c r="AI177" i="2"/>
  <c r="AE173" i="2" s="1"/>
  <c r="AI191" i="2"/>
  <c r="AE187" i="2" s="1"/>
  <c r="O48" i="4"/>
  <c r="D70" i="3"/>
  <c r="C70" i="3"/>
  <c r="E71" i="3"/>
  <c r="AI163" i="2"/>
  <c r="AE159" i="2" s="1"/>
  <c r="G70" i="4"/>
  <c r="I70" i="4"/>
  <c r="I69" i="4"/>
  <c r="G69" i="4"/>
  <c r="E72" i="3"/>
  <c r="E70"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<sst xmlns="http://schemas.openxmlformats.org/spreadsheetml/2006/main" count="970" uniqueCount="224">
  <si>
    <t xml:space="preserve">                        Updated Job Spreadsheet</t>
  </si>
  <si>
    <t>Job
Number</t>
  </si>
  <si>
    <t>Job
Name</t>
  </si>
  <si>
    <t>Job
Owner</t>
  </si>
  <si>
    <t>Contract
Signed &amp;
Returned. Retention % loaded correctly into Katipolt</t>
  </si>
  <si>
    <t>Warranty
Signed &amp;
Returned</t>
  </si>
  <si>
    <t>Construction
Programme
Received</t>
  </si>
  <si>
    <t>Into Work
Calculator
2 Weekly</t>
  </si>
  <si>
    <t>Temp Application
Done</t>
  </si>
  <si>
    <t>Mains
Connection
Application</t>
  </si>
  <si>
    <t>POs Sent
to Sub
contractors</t>
  </si>
  <si>
    <t>Switchboard
Drawing
Sent for
Approval</t>
  </si>
  <si>
    <t>Email
Sent to
QS/Builder
to Confirm
Order Gear</t>
  </si>
  <si>
    <t>Long Lead Time
Materials Ordered</t>
  </si>
  <si>
    <t>Client Walk
Through</t>
  </si>
  <si>
    <t>Pre Job Meeting
Completed
with Staff
Job Pack Made</t>
  </si>
  <si>
    <t>O&amp;M Manual underway (notes for what's needed)</t>
  </si>
  <si>
    <t>QA
Completed
By Others</t>
  </si>
  <si>
    <t xml:space="preserve">Job 
Completion 
Paperwork 
Completed </t>
  </si>
  <si>
    <t xml:space="preserve">All V.Os captured </t>
  </si>
  <si>
    <t>Last toolbox date</t>
  </si>
  <si>
    <t>Ordered</t>
  </si>
  <si>
    <t>Lead Times
Comm.</t>
  </si>
  <si>
    <t>1st
Fix</t>
  </si>
  <si>
    <t>2nd
Fix</t>
  </si>
  <si>
    <t>Charity Hospital</t>
  </si>
  <si>
    <t>Cameron</t>
  </si>
  <si>
    <t>Yes</t>
  </si>
  <si>
    <t>N/A</t>
  </si>
  <si>
    <t>Fisher Developements</t>
  </si>
  <si>
    <t>yes</t>
  </si>
  <si>
    <t>3 Innovation Road</t>
  </si>
  <si>
    <t>Rolly Autowash</t>
  </si>
  <si>
    <t>No</t>
  </si>
  <si>
    <t>Murney - 1 Freight Drive + 109 Iport</t>
  </si>
  <si>
    <t>Monkey Toe - Fisher fit out</t>
  </si>
  <si>
    <t>Tenancy 2 - Fisher Fit out</t>
  </si>
  <si>
    <t>Studio DB - tautara fit out</t>
  </si>
  <si>
    <t>35 Mania</t>
  </si>
  <si>
    <t>Cooltranz stage 4</t>
  </si>
  <si>
    <t>Andrew Reeve Stage 2</t>
  </si>
  <si>
    <t>5 Sanscrit Place</t>
  </si>
  <si>
    <t>Tom</t>
  </si>
  <si>
    <t>Melhuish House</t>
  </si>
  <si>
    <t>6 Tiroroa Lane</t>
  </si>
  <si>
    <t xml:space="preserve">Major Hornbrook </t>
  </si>
  <si>
    <t>NA</t>
  </si>
  <si>
    <t>Inline Architecture</t>
  </si>
  <si>
    <t>Percival Bach</t>
  </si>
  <si>
    <t>St Albans Street</t>
  </si>
  <si>
    <t>4 Perry St</t>
  </si>
  <si>
    <t>Ryans House</t>
  </si>
  <si>
    <t xml:space="preserve">71A Fendalton Road </t>
  </si>
  <si>
    <t>Dixon House</t>
  </si>
  <si>
    <t xml:space="preserve">Waimak Dairys </t>
  </si>
  <si>
    <t>Daves Twizel Shack</t>
  </si>
  <si>
    <t>FAB Pegasus Lakeside</t>
  </si>
  <si>
    <t>Harewood Golf Club</t>
  </si>
  <si>
    <t>Taggart House</t>
  </si>
  <si>
    <t>St Barnabas Church</t>
  </si>
  <si>
    <t>Contracting</t>
  </si>
  <si>
    <t>Westcoast Vaults</t>
  </si>
  <si>
    <t>Roydvale</t>
  </si>
  <si>
    <t>Week</t>
  </si>
  <si>
    <t>Quoted Price</t>
  </si>
  <si>
    <t>Claim to date</t>
  </si>
  <si>
    <t>Remaining to claim</t>
  </si>
  <si>
    <t>% Claim remaining</t>
  </si>
  <si>
    <t>Total quoted cost</t>
  </si>
  <si>
    <t>Total actual cost</t>
  </si>
  <si>
    <t>Quoted material cost</t>
  </si>
  <si>
    <t>Actual material cost</t>
  </si>
  <si>
    <t>Material cost remaining</t>
  </si>
  <si>
    <t>Material % remaining</t>
  </si>
  <si>
    <t>Estimated % of materials recieved</t>
  </si>
  <si>
    <t>Quoted labour cost</t>
  </si>
  <si>
    <t>Actual labour cost</t>
  </si>
  <si>
    <t>Labour  cost remaining</t>
  </si>
  <si>
    <t>Labour cost % remaining</t>
  </si>
  <si>
    <t>Quoted labour hours</t>
  </si>
  <si>
    <t>Actual labour hours</t>
  </si>
  <si>
    <t>Labour hours remaining</t>
  </si>
  <si>
    <t>Labour hour % remaining</t>
  </si>
  <si>
    <t>Estimated % of job complete</t>
  </si>
  <si>
    <t>GP $ Per Hour</t>
  </si>
  <si>
    <t>Quoted GP $ Per Hour</t>
  </si>
  <si>
    <t>Margin to date</t>
  </si>
  <si>
    <t>Quoted margin</t>
  </si>
  <si>
    <t>Hours calcs</t>
  </si>
  <si>
    <t>Materials calcs</t>
  </si>
  <si>
    <t>Start of month</t>
  </si>
  <si>
    <t>Hours calc for monthly claims</t>
  </si>
  <si>
    <t>Week 1</t>
  </si>
  <si>
    <t>Materials calc for monthly claims</t>
  </si>
  <si>
    <t>Week 2</t>
  </si>
  <si>
    <t>Week 3</t>
  </si>
  <si>
    <t>Estimated months claim</t>
  </si>
  <si>
    <t>Week 4</t>
  </si>
  <si>
    <t>Week 5</t>
  </si>
  <si>
    <t>Job Number</t>
  </si>
  <si>
    <t>Job Name</t>
  </si>
  <si>
    <t>Claim</t>
  </si>
  <si>
    <t>Costs</t>
  </si>
  <si>
    <t>Profit</t>
  </si>
  <si>
    <t>Retention</t>
  </si>
  <si>
    <t>Margin</t>
  </si>
  <si>
    <t>Quoted Margin</t>
  </si>
  <si>
    <t>Hours to complete before E.O.M</t>
  </si>
  <si>
    <t>Costs to come before E.O.M</t>
  </si>
  <si>
    <t>Total cost to come before E.O.M</t>
  </si>
  <si>
    <t>Estimated margin E.O.M</t>
  </si>
  <si>
    <t>GP End of month</t>
  </si>
  <si>
    <t>Hours this month</t>
  </si>
  <si>
    <t>GP $ per hour this month</t>
  </si>
  <si>
    <t>14 Mirrors and 49 Downlights have been ordered</t>
  </si>
  <si>
    <t>Murney Custodian - 1 Freight Drive</t>
  </si>
  <si>
    <t>Couldnt get this rite because of ers but they re claiming 30%</t>
  </si>
  <si>
    <t>48 Hours need to be made non Billable</t>
  </si>
  <si>
    <t>$18627.12 from Sharp Electrical</t>
  </si>
  <si>
    <t>Totals</t>
  </si>
  <si>
    <t>Commercial</t>
  </si>
  <si>
    <t>GP%</t>
  </si>
  <si>
    <t>E.O.M GP%</t>
  </si>
  <si>
    <t>Residential</t>
  </si>
  <si>
    <t>Job</t>
  </si>
  <si>
    <t>Quoted Hours</t>
  </si>
  <si>
    <t>Hours Used</t>
  </si>
  <si>
    <t>Hours Remaining</t>
  </si>
  <si>
    <t>January</t>
  </si>
  <si>
    <t>February</t>
  </si>
  <si>
    <t>March</t>
  </si>
  <si>
    <t>April</t>
  </si>
  <si>
    <t>May</t>
  </si>
  <si>
    <t>June</t>
  </si>
  <si>
    <t>July</t>
  </si>
  <si>
    <t>August</t>
  </si>
  <si>
    <t>September</t>
  </si>
  <si>
    <t>October</t>
  </si>
  <si>
    <t>November</t>
  </si>
  <si>
    <t>December</t>
  </si>
  <si>
    <t>Servicing</t>
  </si>
  <si>
    <t>Servicing work any job under 30 hours</t>
  </si>
  <si>
    <t>Programme Checked 24/03/26</t>
  </si>
  <si>
    <t>Cant find a Programme for this.</t>
  </si>
  <si>
    <t>Total Hours</t>
  </si>
  <si>
    <t>Residential Hours</t>
  </si>
  <si>
    <t>Commercial Hours</t>
  </si>
  <si>
    <t>Hours Available</t>
  </si>
  <si>
    <t>Balance Hours</t>
  </si>
  <si>
    <t>Working Days In Month</t>
  </si>
  <si>
    <t>Check Staff Numbers</t>
  </si>
  <si>
    <t>No - Staff On Tools</t>
  </si>
  <si>
    <t>Staff</t>
  </si>
  <si>
    <t>2 x PPLguys here for July and August</t>
  </si>
  <si>
    <t>Turbo</t>
  </si>
  <si>
    <t>Sean</t>
  </si>
  <si>
    <t>Jacob</t>
  </si>
  <si>
    <t>Hayden</t>
  </si>
  <si>
    <t>Doug</t>
  </si>
  <si>
    <t>Kyle</t>
  </si>
  <si>
    <t>Jack</t>
  </si>
  <si>
    <t xml:space="preserve">Andy </t>
  </si>
  <si>
    <t>Ben Ruffles</t>
  </si>
  <si>
    <t>Ben Dyer</t>
  </si>
  <si>
    <t xml:space="preserve">Jake </t>
  </si>
  <si>
    <t>Ethan</t>
  </si>
  <si>
    <t>Rhod</t>
  </si>
  <si>
    <t>George</t>
  </si>
  <si>
    <t>Jasper</t>
  </si>
  <si>
    <t>Logan</t>
  </si>
  <si>
    <t>Quin</t>
  </si>
  <si>
    <t>Regan</t>
  </si>
  <si>
    <t>Total Staff (enter in above spreadsheet)</t>
  </si>
  <si>
    <t>Cams Notes</t>
  </si>
  <si>
    <t>Koawa:</t>
  </si>
  <si>
    <t>New job meeting set up for 8am wednesday - Tim, Dylan, VD, Cam - Perhaps bring in Jacob once back from leave??</t>
  </si>
  <si>
    <t>Tray shop drawings into engineers - waiting on geoff to send back multidraw drawings.</t>
  </si>
  <si>
    <t>DB dates for sites (livening 11 July)</t>
  </si>
  <si>
    <t>Confirm Warrenties agreement</t>
  </si>
  <si>
    <t>Go to tech submissions meeting on Wednesday 12th March</t>
  </si>
  <si>
    <t>Start getting orders in, (so far PDL gear ordered through rads)  need to look at lights beign ordered that we can - confirm process.</t>
  </si>
  <si>
    <t>Tru Hire:</t>
  </si>
  <si>
    <t>Temp should be on Monday morning 14.04.25</t>
  </si>
  <si>
    <t>Craig would like an export/list for me please mate that captures all of the costs to date from you guys and ILS?</t>
  </si>
  <si>
    <t>Riccarton High:</t>
  </si>
  <si>
    <t>1x pits to repair</t>
  </si>
  <si>
    <r>
      <rPr>
        <sz val="11"/>
        <color rgb="FF000000"/>
        <rFont val="Aptos"/>
      </rPr>
      <t>Follow up VO’s </t>
    </r>
    <r>
      <rPr>
        <sz val="11"/>
        <color rgb="FFFF0000"/>
        <rFont val="Aptos"/>
      </rPr>
      <t xml:space="preserve">(Light pole to loop off date TBC, </t>
    </r>
  </si>
  <si>
    <r>
      <rPr>
        <sz val="11"/>
        <color rgb="FF000000"/>
        <rFont val="Aptos Narrow"/>
        <scheme val="minor"/>
      </rPr>
      <t xml:space="preserve">Arrange PS3 &amp; PS4 </t>
    </r>
    <r>
      <rPr>
        <sz val="11"/>
        <color rgb="FFFF0000"/>
        <rFont val="Aptos Narrow"/>
        <scheme val="minor"/>
      </rPr>
      <t>(PS3 filled in)</t>
    </r>
  </si>
  <si>
    <r>
      <rPr>
        <sz val="11"/>
        <color rgb="FF000000"/>
        <rFont val="Aptos Narrow"/>
        <scheme val="minor"/>
      </rPr>
      <t xml:space="preserve">Start O&amp;M manuals early - </t>
    </r>
    <r>
      <rPr>
        <sz val="11"/>
        <color rgb="FFFF0000"/>
        <rFont val="Aptos Narrow"/>
        <scheme val="minor"/>
      </rPr>
      <t>started; PS3 and board schedule in.</t>
    </r>
  </si>
  <si>
    <t>Check Strawberry sound hardware in swbd – report back to pete</t>
  </si>
  <si>
    <r>
      <rPr>
        <sz val="11"/>
        <color rgb="FF000000"/>
        <rFont val="Aptos Narrow"/>
        <scheme val="minor"/>
      </rPr>
      <t>From southbase deliverables register -</t>
    </r>
    <r>
      <rPr>
        <sz val="11"/>
        <color rgb="FFFF0000"/>
        <rFont val="Aptos Narrow"/>
        <scheme val="minor"/>
      </rPr>
      <t xml:space="preserve"> Provide lifting handles for pits, </t>
    </r>
  </si>
  <si>
    <t>Missing 3x J lights (external wall lights)</t>
  </si>
  <si>
    <t>EM's only have lights no drivers/batteries?</t>
  </si>
  <si>
    <t>Strip light for under cabinets 2520mm</t>
  </si>
  <si>
    <t>Spare light pole and head on site,was deleted from scope when landscaping changed</t>
  </si>
  <si>
    <t>Gills:</t>
  </si>
  <si>
    <r>
      <t>Follow up sensor return/outcome </t>
    </r>
    <r>
      <rPr>
        <sz val="11"/>
        <color rgb="FFFF0000"/>
        <rFont val="Aptos"/>
        <family val="2"/>
        <charset val="1"/>
      </rPr>
      <t>(waiting to hear back)</t>
    </r>
  </si>
  <si>
    <t>Lunns:</t>
  </si>
  <si>
    <t>Tidy up mains/ conduits coming out building</t>
  </si>
  <si>
    <t>finish external lights (tuesday 15.04.25)</t>
  </si>
  <si>
    <t>Unit 2 roller door no limits (V.O)</t>
  </si>
  <si>
    <t>Rosiez unhappy with level of tidy up and removal of old cables, need to clarify what we actually scoped to what we did.</t>
  </si>
  <si>
    <t>Kingsford Smith Drive</t>
  </si>
  <si>
    <t xml:space="preserve">Main 100A unit 1 approved, ready for livening date. - Had a phone call from genesis regarding wheather this would need CT's? </t>
  </si>
  <si>
    <t>Mains 2nd application is on hold until we get load breakdown for 160A - probably need to sort this asap.</t>
  </si>
  <si>
    <t>Confirm start date with Wolfy, and order materials lifter</t>
  </si>
  <si>
    <t>Te Aratai</t>
  </si>
  <si>
    <t>Ellesmere College (Temp power)</t>
  </si>
  <si>
    <t>Live</t>
  </si>
  <si>
    <t>Cooltranz</t>
  </si>
  <si>
    <t>Confirm correct data logger, depending on incoming size 1500A or 6kA then confirm price with cooltranz for hire rates etc.</t>
  </si>
  <si>
    <t>Other:</t>
  </si>
  <si>
    <t>Comes up with hours tracking solution</t>
  </si>
  <si>
    <t>Tom's Notes:</t>
  </si>
  <si>
    <t>Contractor Quoted Cost</t>
  </si>
  <si>
    <t>Contractor Actual Cost</t>
  </si>
  <si>
    <t>Contractor Balance</t>
  </si>
  <si>
    <t>Allowed</t>
  </si>
  <si>
    <t>Actual</t>
  </si>
  <si>
    <t>% of job</t>
  </si>
  <si>
    <t>Box out</t>
  </si>
  <si>
    <t>pre-wire</t>
  </si>
  <si>
    <t>cut out</t>
  </si>
  <si>
    <t>fit off lights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</si>
</sst>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_([$$-409]* #,##0.00_);_([$$-409]* \(#,##0.00\);_([$$-409]* &quot;-&quot;??_);_(@_)"/>
  </numFmts>
  <fonts count="28">
    <font>
      <sz val="11"/>
      <color theme="1"/>
      <name val="Aptos Narrow"/>
      <family val="2"/>
      <scheme val="minor"/>
    </font>
    <font>
      <sz val="11"/>
      <color theme="1"/>
      <name val="Aptos Narrow"/>
      <scheme val="minor"/>
    </font>
    <font>
      <b/>
      <sz val="24"/>
      <color theme="1"/>
      <name val="Aptos Display"/>
      <scheme val="major"/>
    </font>
    <font>
      <sz val="11"/>
      <color theme="1"/>
      <name val="Aptos Display"/>
      <scheme val="major"/>
    </font>
    <font>
      <sz val="11"/>
      <color theme="0"/>
      <name val="Aptos Display"/>
      <scheme val="major"/>
    </font>
    <font>
      <b/>
      <sz val="11"/>
      <color theme="1"/>
      <name val="Aptos Display"/>
      <scheme val="major"/>
    </font>
    <font>
      <b/>
      <sz val="11"/>
      <color theme="1"/>
      <name val="Aptos Narrow"/>
      <family val="2"/>
      <scheme val="minor"/>
    </font>
    <font>
      <sz val="11"/>
      <color theme="1"/>
      <name val="Calibri"/>
      <charset val="1"/>
    </font>
    <font>
      <sz val="11"/>
      <color rgb="FFFFFFFF"/>
      <name val="Arial"/>
      <charset val="1"/>
    </font>
    <font>
      <sz val="11"/>
      <color theme="1"/>
      <name val="Arial"/>
      <charset val="1"/>
    </font>
    <font>
      <b/>
      <sz val="11"/>
      <color theme="1"/>
      <name val="Calibri"/>
      <charset val="1"/>
    </font>
    <font>
      <b/>
      <sz val="11"/>
      <color theme="1"/>
      <name val="Arial"/>
      <charset val="1"/>
    </font>
    <font>
      <b/>
      <sz val="11"/>
      <color theme="1"/>
      <name val="Aptos Display"/>
      <family val="2"/>
      <scheme val="major"/>
    </font>
    <font>
      <sz val="11"/>
      <color rgb="FF000000"/>
      <name val="Aptos Narrow"/>
      <family val="2"/>
      <scheme val="minor"/>
    </font>
    <font>
      <sz val="11"/>
      <color rgb="FF242424"/>
      <name val="Aptos"/>
      <family val="2"/>
      <charset val="1"/>
    </font>
    <font>
      <sz val="11"/>
      <color rgb="FFFF0000"/>
      <name val="Aptos"/>
      <family val="2"/>
      <charset val="1"/>
    </font>
    <font>
      <sz val="11"/>
      <name val="Aptos"/>
      <family val="2"/>
      <charset val="1"/>
    </font>
    <font>
      <sz val="11"/>
      <color rgb="FF000000"/>
      <name val="Aptos"/>
      <family val="2"/>
      <charset val="1"/>
    </font>
    <font>
      <sz val="11"/>
      <color rgb="FF000000"/>
      <name val="Aptos"/>
    </font>
    <font>
      <sz val="11"/>
      <color rgb="FFFF0000"/>
      <name val="Aptos"/>
    </font>
    <font>
      <sz val="11"/>
      <color rgb="FF000000"/>
      <name val="Aptos Narrow"/>
      <scheme val="minor"/>
    </font>
    <font>
      <sz val="11"/>
      <color rgb="FFFF0000"/>
      <name val="Aptos Narrow"/>
      <scheme val="minor"/>
    </font>
    <font>
      <sz val="11"/>
      <color rgb="FFFF0000"/>
      <name val="Aptos Narrow"/>
      <family val="2"/>
      <scheme val="minor"/>
    </font>
    <font>
      <sz val="11"/>
      <color rgb="FF242424"/>
      <name val="Aptos"/>
    </font>
    <font>
      <sz val="11"/>
      <name val="Aptos"/>
    </font>
    <font>
      <sz val="11"/>
      <color rgb="FF000000"/>
      <name val="Aptos Narrow"/>
    </font>
    <font>
      <sz val="11"/>
      <color rgb="FF000000"/>
      <name val="Aptos Narrow"/>
      <charset val="1"/>
    </font>
    <font>
      <sz val="8"/>
      <name val="Aptos Narrow"/>
      <family val="2"/>
      <scheme val="minor"/>
    </font>
  </fonts>
  <fills count="19">
    <fill>
      <patternFill patternType="none"/>
    </fill>
    <fill>
      <patternFill patternType="gray125"/>
    </fill>
    <fill>
      <patternFill patternType="solid">
        <fgColor theme="9" tint="0.79998168889431442"/>
        <bgColor indexed="64"/>
      </patternFill>
    </fill>
    <fill>
      <patternFill patternType="solid">
        <fgColor theme="0" tint="-0.14999847407452621"/>
        <bgColor indexed="64"/>
      </patternFill>
    </fill>
    <fill>
      <patternFill patternType="solid">
        <fgColor theme="3"/>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rgb="FFFFFFFF"/>
        <bgColor indexed="64"/>
      </patternFill>
    </fill>
    <fill>
      <patternFill patternType="solid">
        <fgColor rgb="FF000000"/>
        <bgColor indexed="64"/>
      </patternFill>
    </fill>
    <fill>
      <patternFill patternType="solid">
        <fgColor rgb="FFCFE2F3"/>
        <bgColor indexed="64"/>
      </patternFill>
    </fill>
    <fill>
      <patternFill patternType="solid">
        <fgColor theme="5" tint="0.79998168889431442"/>
        <bgColor indexed="64"/>
      </patternFill>
    </fill>
    <fill>
      <patternFill patternType="solid">
        <fgColor theme="5"/>
        <bgColor indexed="64"/>
      </patternFill>
    </fill>
    <fill>
      <patternFill patternType="solid">
        <fgColor theme="1"/>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theme="6" tint="0.79998168889431442"/>
        <bgColor indexed="64"/>
      </patternFill>
    </fill>
    <fill>
      <patternFill patternType="solid">
        <fgColor rgb="FFFF0000"/>
        <bgColor indexed="64"/>
      </patternFill>
    </fill>
    <fill>
      <patternFill patternType="solid">
        <fgColor rgb="FFFFFF00"/>
        <bgColor indexed="64"/>
      </patternFill>
    </fill>
  </fills>
  <borders count="6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CCCCCC"/>
      </left>
      <right/>
      <top style="thin">
        <color rgb="FF000000"/>
      </top>
      <bottom style="thick">
        <color rgb="FF434343"/>
      </bottom>
      <diagonal/>
    </border>
    <border>
      <left style="thin">
        <color rgb="FFCCCCCC"/>
      </left>
      <right style="thin">
        <color rgb="FFCCCCCC"/>
      </right>
      <top style="thin">
        <color rgb="FF000000"/>
      </top>
      <bottom style="thick">
        <color rgb="FF434343"/>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ck">
        <color rgb="FF000000"/>
      </right>
      <top style="thin">
        <color rgb="FF000000"/>
      </top>
      <bottom style="thin">
        <color rgb="FFCCCCCC"/>
      </bottom>
      <diagonal/>
    </border>
    <border>
      <left style="thin">
        <color rgb="FFCCCCCC"/>
      </left>
      <right style="medium">
        <color rgb="FF000000"/>
      </right>
      <top style="thin">
        <color rgb="FF000000"/>
      </top>
      <bottom style="thick">
        <color rgb="FF434343"/>
      </bottom>
      <diagonal/>
    </border>
    <border>
      <left/>
      <right style="thin">
        <color rgb="FFCCCCCC"/>
      </right>
      <top style="thin">
        <color rgb="FF000000"/>
      </top>
      <bottom style="thin">
        <color rgb="FFCCCCCC"/>
      </bottom>
      <diagonal/>
    </border>
    <border>
      <left/>
      <right style="thin">
        <color rgb="FFCCCCCC"/>
      </right>
      <top style="thin">
        <color rgb="FFCCCCCC"/>
      </top>
      <bottom style="thin">
        <color rgb="FFCCCCCC"/>
      </bottom>
      <diagonal/>
    </border>
    <border>
      <left style="medium">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000000"/>
      </bottom>
      <diagonal/>
    </border>
    <border>
      <left style="thin">
        <color rgb="FF000000"/>
      </left>
      <right style="medium">
        <color rgb="FF000000"/>
      </right>
      <top style="thin">
        <color rgb="FFCCCCCC"/>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medium">
        <color rgb="FF000000"/>
      </bottom>
      <diagonal/>
    </border>
    <border>
      <left style="thin">
        <color rgb="FF000000"/>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94">
    <xf numFmtId="0" fontId="0" fillId="0" borderId="0" xfId="0"/>
    <xf numFmtId="0" fontId="3" fillId="0" borderId="0" xfId="0" applyFont="1" applyAlignment="1">
      <alignment vertical="center"/>
    </xf>
    <xf numFmtId="0" fontId="3"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4"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vertical="center"/>
    </xf>
    <xf numFmtId="0" fontId="0" fillId="0" borderId="9" xfId="0" applyBorder="1"/>
    <xf numFmtId="0" fontId="0" fillId="0" borderId="1" xfId="0" applyBorder="1"/>
    <xf numFmtId="0" fontId="0" fillId="0" borderId="6" xfId="0" applyBorder="1"/>
    <xf numFmtId="0" fontId="0" fillId="0" borderId="7" xfId="0" applyBorder="1"/>
    <xf numFmtId="0" fontId="8" fillId="8" borderId="14" xfId="0" applyFont="1" applyFill="1" applyBorder="1" applyAlignment="1">
      <alignment readingOrder="1"/>
    </xf>
    <xf numFmtId="0" fontId="7" fillId="0" borderId="15" xfId="0" applyFont="1" applyBorder="1" applyAlignment="1">
      <alignment readingOrder="1"/>
    </xf>
    <xf numFmtId="0" fontId="7" fillId="0" borderId="16" xfId="0" applyFont="1" applyBorder="1" applyAlignment="1">
      <alignment readingOrder="1"/>
    </xf>
    <xf numFmtId="0" fontId="7" fillId="0" borderId="17" xfId="0" applyFont="1" applyBorder="1" applyAlignment="1">
      <alignment readingOrder="1"/>
    </xf>
    <xf numFmtId="0" fontId="7" fillId="0" borderId="18" xfId="0" applyFont="1" applyBorder="1" applyAlignment="1">
      <alignment readingOrder="1"/>
    </xf>
    <xf numFmtId="0" fontId="8" fillId="8" borderId="13" xfId="0" applyFont="1" applyFill="1" applyBorder="1" applyAlignment="1">
      <alignment readingOrder="1"/>
    </xf>
    <xf numFmtId="0" fontId="5" fillId="3" borderId="9" xfId="0" applyFont="1" applyFill="1" applyBorder="1" applyAlignment="1">
      <alignment horizontal="center" vertical="center" wrapText="1"/>
    </xf>
    <xf numFmtId="0" fontId="0" fillId="10" borderId="25" xfId="0" applyFill="1" applyBorder="1"/>
    <xf numFmtId="0" fontId="0" fillId="10" borderId="26" xfId="0" applyFill="1" applyBorder="1"/>
    <xf numFmtId="0" fontId="0" fillId="0" borderId="30" xfId="0" applyBorder="1"/>
    <xf numFmtId="0" fontId="0" fillId="0" borderId="32" xfId="0" applyBorder="1"/>
    <xf numFmtId="0" fontId="0" fillId="0" borderId="35" xfId="0" applyBorder="1"/>
    <xf numFmtId="0" fontId="0" fillId="0" borderId="36" xfId="0" applyBorder="1"/>
    <xf numFmtId="0" fontId="7" fillId="7" borderId="37" xfId="0" applyFont="1" applyFill="1" applyBorder="1" applyAlignment="1">
      <alignment readingOrder="1"/>
    </xf>
    <xf numFmtId="0" fontId="8" fillId="8" borderId="38" xfId="0" applyFont="1" applyFill="1" applyBorder="1" applyAlignment="1">
      <alignment readingOrder="1"/>
    </xf>
    <xf numFmtId="0" fontId="0" fillId="0" borderId="29" xfId="0" applyBorder="1"/>
    <xf numFmtId="0" fontId="0" fillId="0" borderId="22" xfId="0" applyBorder="1"/>
    <xf numFmtId="0" fontId="7" fillId="0" borderId="39" xfId="0" applyFont="1" applyBorder="1" applyAlignment="1">
      <alignment readingOrder="1"/>
    </xf>
    <xf numFmtId="0" fontId="7" fillId="0" borderId="40" xfId="0" applyFont="1" applyBorder="1" applyAlignment="1">
      <alignment readingOrder="1"/>
    </xf>
    <xf numFmtId="0" fontId="11" fillId="9" borderId="41" xfId="0" applyFont="1" applyFill="1" applyBorder="1" applyAlignment="1">
      <alignment readingOrder="1"/>
    </xf>
    <xf numFmtId="0" fontId="11" fillId="9" borderId="42" xfId="0" applyFont="1" applyFill="1" applyBorder="1" applyAlignment="1">
      <alignment readingOrder="1"/>
    </xf>
    <xf numFmtId="2" fontId="7" fillId="9" borderId="42" xfId="0" applyNumberFormat="1" applyFont="1" applyFill="1" applyBorder="1" applyAlignment="1">
      <alignment readingOrder="1"/>
    </xf>
    <xf numFmtId="0" fontId="10" fillId="9" borderId="42" xfId="0" applyFont="1" applyFill="1" applyBorder="1" applyAlignment="1">
      <alignment readingOrder="1"/>
    </xf>
    <xf numFmtId="0" fontId="5" fillId="3" borderId="10" xfId="0" applyFont="1" applyFill="1" applyBorder="1" applyAlignment="1">
      <alignment horizontal="center" vertical="center" wrapText="1"/>
    </xf>
    <xf numFmtId="0" fontId="4" fillId="4" borderId="10" xfId="0" applyFont="1" applyFill="1" applyBorder="1" applyAlignment="1">
      <alignment horizontal="center" vertical="center" wrapText="1"/>
    </xf>
    <xf numFmtId="9" fontId="0" fillId="0" borderId="1" xfId="0" applyNumberFormat="1" applyBorder="1"/>
    <xf numFmtId="9" fontId="0" fillId="0" borderId="7" xfId="0" applyNumberFormat="1" applyBorder="1"/>
    <xf numFmtId="9" fontId="0" fillId="0" borderId="0" xfId="0" applyNumberFormat="1"/>
    <xf numFmtId="0" fontId="2" fillId="0" borderId="0" xfId="0" applyFont="1" applyAlignment="1">
      <alignment horizontal="left" vertical="center"/>
    </xf>
    <xf numFmtId="164" fontId="0" fillId="0" borderId="1" xfId="0" applyNumberFormat="1" applyBorder="1"/>
    <xf numFmtId="164" fontId="0" fillId="0" borderId="7" xfId="0" applyNumberFormat="1" applyBorder="1"/>
    <xf numFmtId="164" fontId="0" fillId="0" borderId="0" xfId="0" applyNumberFormat="1"/>
    <xf numFmtId="0" fontId="0" fillId="0" borderId="3" xfId="0" applyBorder="1"/>
    <xf numFmtId="0" fontId="0" fillId="0" borderId="1" xfId="0" applyBorder="1" applyProtection="1">
      <protection locked="0"/>
    </xf>
    <xf numFmtId="0" fontId="5" fillId="0" borderId="1" xfId="0" applyFont="1" applyBorder="1" applyAlignment="1" applyProtection="1">
      <alignment vertical="center"/>
      <protection locked="0"/>
    </xf>
    <xf numFmtId="0" fontId="3" fillId="0" borderId="1" xfId="0" applyFont="1" applyBorder="1" applyAlignment="1" applyProtection="1">
      <alignment vertical="center"/>
      <protection locked="0"/>
    </xf>
    <xf numFmtId="14" fontId="3" fillId="0" borderId="1" xfId="0" applyNumberFormat="1" applyFont="1" applyBorder="1" applyAlignment="1" applyProtection="1">
      <alignment vertical="center"/>
      <protection locked="0"/>
    </xf>
    <xf numFmtId="9" fontId="3" fillId="0" borderId="1" xfId="0" applyNumberFormat="1" applyFont="1" applyBorder="1" applyAlignment="1" applyProtection="1">
      <alignment horizontal="right" vertical="center"/>
      <protection locked="0"/>
    </xf>
    <xf numFmtId="0" fontId="3" fillId="0" borderId="10" xfId="0" applyFont="1" applyBorder="1" applyAlignment="1" applyProtection="1">
      <alignment vertical="center"/>
      <protection locked="0"/>
    </xf>
    <xf numFmtId="0" fontId="3" fillId="0" borderId="6" xfId="0" applyFont="1" applyBorder="1" applyAlignment="1" applyProtection="1">
      <alignment vertical="center"/>
      <protection locked="0"/>
    </xf>
    <xf numFmtId="0" fontId="5" fillId="0" borderId="7" xfId="0" applyFont="1" applyBorder="1" applyAlignment="1" applyProtection="1">
      <alignment vertical="center"/>
      <protection locked="0"/>
    </xf>
    <xf numFmtId="0" fontId="3" fillId="0" borderId="7" xfId="0" applyFont="1" applyBorder="1" applyAlignment="1" applyProtection="1">
      <alignment vertical="center"/>
      <protection locked="0"/>
    </xf>
    <xf numFmtId="14" fontId="3" fillId="0" borderId="7" xfId="0" applyNumberFormat="1" applyFont="1" applyBorder="1" applyAlignment="1" applyProtection="1">
      <alignment vertical="center"/>
      <protection locked="0"/>
    </xf>
    <xf numFmtId="9" fontId="3" fillId="0" borderId="7" xfId="0" applyNumberFormat="1" applyFont="1" applyBorder="1" applyAlignment="1" applyProtection="1">
      <alignment horizontal="right" vertical="center"/>
      <protection locked="0"/>
    </xf>
    <xf numFmtId="0" fontId="3" fillId="0" borderId="8" xfId="0" applyFont="1" applyBorder="1" applyAlignment="1" applyProtection="1">
      <alignment vertical="center"/>
      <protection locked="0"/>
    </xf>
    <xf numFmtId="164" fontId="0" fillId="0" borderId="1" xfId="0" applyNumberFormat="1" applyBorder="1" applyProtection="1">
      <protection locked="0"/>
    </xf>
    <xf numFmtId="164" fontId="0" fillId="0" borderId="7" xfId="0" applyNumberFormat="1" applyBorder="1" applyProtection="1">
      <protection locked="0"/>
    </xf>
    <xf numFmtId="9" fontId="0" fillId="0" borderId="1" xfId="0" applyNumberFormat="1" applyBorder="1" applyProtection="1">
      <protection locked="0"/>
    </xf>
    <xf numFmtId="0" fontId="0" fillId="0" borderId="7" xfId="0" applyBorder="1" applyProtection="1">
      <protection locked="0"/>
    </xf>
    <xf numFmtId="9" fontId="0" fillId="0" borderId="10" xfId="0" applyNumberFormat="1" applyBorder="1" applyProtection="1">
      <protection locked="0"/>
    </xf>
    <xf numFmtId="0" fontId="0" fillId="0" borderId="10" xfId="0" applyBorder="1" applyProtection="1">
      <protection locked="0"/>
    </xf>
    <xf numFmtId="0" fontId="9" fillId="9" borderId="42" xfId="0" applyFont="1" applyFill="1" applyBorder="1" applyAlignment="1" applyProtection="1">
      <alignment readingOrder="1"/>
      <protection locked="0"/>
    </xf>
    <xf numFmtId="0" fontId="9" fillId="9" borderId="43" xfId="0" applyFont="1" applyFill="1" applyBorder="1" applyAlignment="1" applyProtection="1">
      <alignment readingOrder="1"/>
      <protection locked="0"/>
    </xf>
    <xf numFmtId="0" fontId="0" fillId="0" borderId="9" xfId="0" applyBorder="1" applyProtection="1">
      <protection locked="0"/>
    </xf>
    <xf numFmtId="0" fontId="0" fillId="0" borderId="8" xfId="0" applyBorder="1" applyProtection="1">
      <protection locked="0"/>
    </xf>
    <xf numFmtId="0" fontId="0" fillId="10" borderId="27" xfId="0" applyFill="1" applyBorder="1" applyProtection="1">
      <protection locked="0"/>
    </xf>
    <xf numFmtId="0" fontId="0" fillId="10" borderId="4" xfId="0" applyFill="1" applyBorder="1" applyProtection="1">
      <protection locked="0"/>
    </xf>
    <xf numFmtId="0" fontId="0" fillId="10" borderId="5" xfId="0" applyFill="1" applyBorder="1" applyProtection="1">
      <protection locked="0"/>
    </xf>
    <xf numFmtId="0" fontId="0" fillId="10" borderId="28" xfId="0" applyFill="1" applyBorder="1" applyProtection="1">
      <protection locked="0"/>
    </xf>
    <xf numFmtId="0" fontId="12" fillId="0" borderId="1" xfId="0" applyFont="1" applyBorder="1" applyAlignment="1" applyProtection="1">
      <alignment vertical="center"/>
      <protection locked="0"/>
    </xf>
    <xf numFmtId="0" fontId="6" fillId="0" borderId="1" xfId="0" applyFont="1" applyBorder="1"/>
    <xf numFmtId="0" fontId="6" fillId="0" borderId="7" xfId="0" applyFont="1" applyBorder="1"/>
    <xf numFmtId="0" fontId="6" fillId="0" borderId="3" xfId="0" applyFont="1" applyBorder="1"/>
    <xf numFmtId="1" fontId="6" fillId="0" borderId="4" xfId="0" applyNumberFormat="1" applyFont="1" applyBorder="1"/>
    <xf numFmtId="0" fontId="6" fillId="0" borderId="9" xfId="0" applyFont="1" applyBorder="1"/>
    <xf numFmtId="0" fontId="6" fillId="0" borderId="34" xfId="0" applyFont="1" applyBorder="1"/>
    <xf numFmtId="0" fontId="6" fillId="0" borderId="31" xfId="0" applyFont="1" applyBorder="1"/>
    <xf numFmtId="0" fontId="6" fillId="0" borderId="32" xfId="0" applyFont="1" applyBorder="1"/>
    <xf numFmtId="0" fontId="6" fillId="0" borderId="33" xfId="0" applyFont="1" applyBorder="1"/>
    <xf numFmtId="165" fontId="0" fillId="0" borderId="0" xfId="0" applyNumberFormat="1"/>
    <xf numFmtId="0" fontId="0" fillId="0" borderId="4" xfId="0" applyBorder="1"/>
    <xf numFmtId="164" fontId="0" fillId="0" borderId="4" xfId="0" applyNumberFormat="1" applyBorder="1"/>
    <xf numFmtId="164" fontId="0" fillId="0" borderId="48" xfId="0" applyNumberFormat="1" applyBorder="1"/>
    <xf numFmtId="164" fontId="0" fillId="0" borderId="47" xfId="0" applyNumberFormat="1" applyBorder="1"/>
    <xf numFmtId="164" fontId="0" fillId="2" borderId="3" xfId="0" applyNumberFormat="1" applyFill="1" applyBorder="1"/>
    <xf numFmtId="9" fontId="0" fillId="2" borderId="48" xfId="0" applyNumberFormat="1" applyFill="1" applyBorder="1"/>
    <xf numFmtId="9" fontId="0" fillId="2" borderId="3" xfId="0" applyNumberFormat="1" applyFill="1" applyBorder="1"/>
    <xf numFmtId="9" fontId="0" fillId="2" borderId="5" xfId="0" applyNumberFormat="1" applyFill="1" applyBorder="1"/>
    <xf numFmtId="164" fontId="0" fillId="2" borderId="6" xfId="0" applyNumberFormat="1" applyFill="1" applyBorder="1"/>
    <xf numFmtId="9" fontId="0" fillId="2" borderId="47" xfId="0" applyNumberFormat="1" applyFill="1" applyBorder="1"/>
    <xf numFmtId="9" fontId="0" fillId="2" borderId="6" xfId="0" applyNumberFormat="1" applyFill="1" applyBorder="1"/>
    <xf numFmtId="9" fontId="0" fillId="2" borderId="8" xfId="0" applyNumberFormat="1" applyFill="1" applyBorder="1"/>
    <xf numFmtId="0" fontId="6" fillId="0" borderId="1" xfId="0" applyFont="1" applyBorder="1" applyAlignment="1">
      <alignment horizontal="center" vertical="center"/>
    </xf>
    <xf numFmtId="164" fontId="0" fillId="0" borderId="10" xfId="0" applyNumberFormat="1" applyBorder="1"/>
    <xf numFmtId="165" fontId="0" fillId="0" borderId="1" xfId="0" applyNumberFormat="1" applyBorder="1"/>
    <xf numFmtId="0" fontId="0" fillId="0" borderId="5" xfId="0" applyBorder="1"/>
    <xf numFmtId="164" fontId="0" fillId="0" borderId="8" xfId="0" applyNumberFormat="1" applyBorder="1"/>
    <xf numFmtId="0" fontId="6" fillId="0" borderId="7" xfId="0" applyFont="1" applyBorder="1" applyAlignment="1">
      <alignment horizontal="center" vertical="center"/>
    </xf>
    <xf numFmtId="0" fontId="0" fillId="0" borderId="0" xfId="0" applyAlignment="1">
      <alignment horizontal="center"/>
    </xf>
    <xf numFmtId="164" fontId="26" fillId="0" borderId="1" xfId="0" applyNumberFormat="1" applyFont="1" applyBorder="1" applyProtection="1">
      <protection locked="0"/>
    </xf>
    <xf numFmtId="0" fontId="0" fillId="3" borderId="9" xfId="0" applyFill="1" applyBorder="1" applyAlignment="1">
      <alignment horizontal="center"/>
    </xf>
    <xf numFmtId="0" fontId="0" fillId="3" borderId="1" xfId="0" applyFill="1" applyBorder="1" applyAlignment="1">
      <alignment horizontal="center"/>
    </xf>
    <xf numFmtId="0" fontId="0" fillId="3" borderId="11" xfId="0" applyFill="1" applyBorder="1" applyAlignment="1">
      <alignment horizontal="center"/>
    </xf>
    <xf numFmtId="0" fontId="0" fillId="3" borderId="2" xfId="0" applyFill="1" applyBorder="1" applyAlignment="1">
      <alignment horizontal="center"/>
    </xf>
    <xf numFmtId="0" fontId="0" fillId="3" borderId="49" xfId="0" applyFill="1" applyBorder="1" applyAlignment="1">
      <alignment horizontal="center"/>
    </xf>
    <xf numFmtId="0" fontId="0" fillId="12" borderId="11" xfId="0" applyFill="1" applyBorder="1" applyAlignment="1">
      <alignment horizontal="center"/>
    </xf>
    <xf numFmtId="0" fontId="0" fillId="12" borderId="2" xfId="0" applyFill="1" applyBorder="1" applyAlignment="1">
      <alignment horizontal="center"/>
    </xf>
    <xf numFmtId="0" fontId="0" fillId="3" borderId="9" xfId="0" applyFill="1" applyBorder="1"/>
    <xf numFmtId="0" fontId="0" fillId="3" borderId="1" xfId="0" applyFill="1" applyBorder="1"/>
    <xf numFmtId="0" fontId="0" fillId="3" borderId="10" xfId="0" applyFill="1" applyBorder="1"/>
    <xf numFmtId="0" fontId="3" fillId="13" borderId="9" xfId="0" applyFont="1" applyFill="1" applyBorder="1" applyAlignment="1" applyProtection="1">
      <alignment vertical="center"/>
      <protection locked="0"/>
    </xf>
    <xf numFmtId="0" fontId="5" fillId="13" borderId="1" xfId="0" applyFont="1" applyFill="1" applyBorder="1" applyAlignment="1" applyProtection="1">
      <alignment vertical="center"/>
      <protection locked="0"/>
    </xf>
    <xf numFmtId="164" fontId="0" fillId="0" borderId="36" xfId="0" applyNumberFormat="1" applyBorder="1"/>
    <xf numFmtId="0" fontId="26" fillId="0" borderId="44" xfId="0" applyFont="1" applyBorder="1"/>
    <xf numFmtId="0" fontId="8" fillId="12" borderId="14" xfId="0" applyFont="1" applyFill="1" applyBorder="1" applyAlignment="1">
      <alignment readingOrder="1"/>
    </xf>
    <xf numFmtId="164" fontId="1" fillId="0" borderId="1" xfId="0" applyNumberFormat="1" applyFont="1" applyBorder="1" applyProtection="1">
      <protection locked="0"/>
    </xf>
    <xf numFmtId="0" fontId="0" fillId="10" borderId="60" xfId="0" applyFill="1" applyBorder="1"/>
    <xf numFmtId="0" fontId="0" fillId="0" borderId="45" xfId="0" applyBorder="1"/>
    <xf numFmtId="0" fontId="0" fillId="0" borderId="46" xfId="0" applyBorder="1"/>
    <xf numFmtId="0" fontId="0" fillId="0" borderId="10" xfId="0" applyBorder="1"/>
    <xf numFmtId="0" fontId="0" fillId="0" borderId="34" xfId="0" applyBorder="1"/>
    <xf numFmtId="0" fontId="6" fillId="10" borderId="59" xfId="0" applyFont="1" applyFill="1" applyBorder="1"/>
    <xf numFmtId="0" fontId="6" fillId="10" borderId="60" xfId="0" applyFont="1" applyFill="1" applyBorder="1"/>
    <xf numFmtId="164" fontId="0" fillId="0" borderId="0" xfId="0" applyNumberFormat="1" applyProtection="1">
      <protection locked="0"/>
    </xf>
    <xf numFmtId="0" fontId="6" fillId="0" borderId="0" xfId="0" applyFont="1"/>
    <xf numFmtId="0" fontId="0" fillId="0" borderId="0" xfId="0" applyProtection="1">
      <protection locked="0"/>
    </xf>
    <xf numFmtId="0" fontId="0" fillId="0" borderId="30" xfId="0" applyBorder="1" applyProtection="1">
      <protection locked="0"/>
    </xf>
    <xf numFmtId="1" fontId="6" fillId="0" borderId="32" xfId="0" applyNumberFormat="1" applyFont="1" applyBorder="1"/>
    <xf numFmtId="0" fontId="3" fillId="0" borderId="0" xfId="0" applyFont="1" applyAlignment="1" applyProtection="1">
      <alignment vertical="center"/>
      <protection locked="0"/>
    </xf>
    <xf numFmtId="0" fontId="5" fillId="0" borderId="0" xfId="0" applyFont="1" applyAlignment="1" applyProtection="1">
      <alignment vertical="center"/>
      <protection locked="0"/>
    </xf>
    <xf numFmtId="14" fontId="3" fillId="0" borderId="0" xfId="0" applyNumberFormat="1" applyFont="1" applyAlignment="1" applyProtection="1">
      <alignment vertical="center"/>
      <protection locked="0"/>
    </xf>
    <xf numFmtId="9" fontId="3" fillId="0" borderId="0" xfId="0" applyNumberFormat="1" applyFont="1" applyAlignment="1" applyProtection="1">
      <alignment horizontal="right" vertical="center"/>
      <protection locked="0"/>
    </xf>
    <xf numFmtId="164" fontId="0" fillId="0" borderId="61" xfId="0" applyNumberFormat="1" applyBorder="1" applyProtection="1">
      <protection locked="0"/>
    </xf>
    <xf numFmtId="0" fontId="6" fillId="0" borderId="62" xfId="0" applyFont="1" applyBorder="1" applyAlignment="1">
      <alignment horizontal="center" vertical="center"/>
    </xf>
    <xf numFmtId="164" fontId="0" fillId="0" borderId="44" xfId="0" applyNumberFormat="1" applyBorder="1" applyProtection="1">
      <protection locked="0"/>
    </xf>
    <xf numFmtId="164" fontId="0" fillId="16" borderId="1" xfId="0" applyNumberFormat="1" applyFill="1" applyBorder="1" applyProtection="1">
      <protection locked="0"/>
    </xf>
    <xf numFmtId="9" fontId="0" fillId="16" borderId="1" xfId="0" applyNumberFormat="1" applyFill="1" applyBorder="1" applyProtection="1">
      <protection locked="0"/>
    </xf>
    <xf numFmtId="0" fontId="3" fillId="17" borderId="1" xfId="0" applyFont="1" applyFill="1" applyBorder="1" applyAlignment="1" applyProtection="1">
      <alignment vertical="center"/>
      <protection locked="0"/>
    </xf>
    <xf numFmtId="9" fontId="3" fillId="17" borderId="1" xfId="0" applyNumberFormat="1" applyFont="1" applyFill="1" applyBorder="1" applyAlignment="1" applyProtection="1">
      <alignment horizontal="right" vertical="center"/>
      <protection locked="0"/>
    </xf>
    <xf numFmtId="0" fontId="0" fillId="13" borderId="1" xfId="0" applyFill="1" applyBorder="1" applyProtection="1">
      <protection locked="0"/>
    </xf>
    <xf numFmtId="164" fontId="0" fillId="13" borderId="1" xfId="0" applyNumberFormat="1" applyFill="1" applyBorder="1" applyProtection="1">
      <protection locked="0"/>
    </xf>
    <xf numFmtId="0" fontId="3" fillId="0" borderId="9" xfId="0" applyFont="1" applyBorder="1" applyAlignment="1" applyProtection="1">
      <alignment vertical="center"/>
      <protection locked="0"/>
    </xf>
    <xf numFmtId="165" fontId="0" fillId="0" borderId="1" xfId="0" applyNumberFormat="1" applyBorder="1" applyProtection="1">
      <protection locked="0"/>
    </xf>
    <xf numFmtId="0" fontId="0" fillId="2" borderId="0" xfId="0" applyFill="1"/>
    <xf numFmtId="0" fontId="0" fillId="10" borderId="0" xfId="0" applyFill="1"/>
    <xf numFmtId="0" fontId="0" fillId="2" borderId="6" xfId="0" applyFill="1" applyBorder="1"/>
    <xf numFmtId="0" fontId="0" fillId="13" borderId="9" xfId="0" applyFill="1" applyBorder="1"/>
    <xf numFmtId="0" fontId="6" fillId="13" borderId="1" xfId="0" applyFont="1" applyFill="1" applyBorder="1"/>
    <xf numFmtId="164" fontId="0" fillId="0" borderId="44" xfId="0" applyNumberFormat="1" applyBorder="1"/>
    <xf numFmtId="9" fontId="0" fillId="0" borderId="62" xfId="0" applyNumberFormat="1" applyBorder="1" applyProtection="1">
      <protection locked="0"/>
    </xf>
    <xf numFmtId="164" fontId="0" fillId="3" borderId="1" xfId="0" applyNumberFormat="1" applyFill="1" applyBorder="1"/>
    <xf numFmtId="9" fontId="0" fillId="3" borderId="1" xfId="0" applyNumberFormat="1" applyFill="1" applyBorder="1"/>
    <xf numFmtId="0" fontId="0" fillId="18" borderId="0" xfId="0" applyFill="1"/>
    <xf numFmtId="0" fontId="0" fillId="3" borderId="11" xfId="0" applyFill="1" applyBorder="1"/>
    <xf numFmtId="0" fontId="0" fillId="3" borderId="2" xfId="0" applyFill="1" applyBorder="1"/>
    <xf numFmtId="0" fontId="0" fillId="3" borderId="12" xfId="0" applyFill="1" applyBorder="1"/>
    <xf numFmtId="0" fontId="0" fillId="5" borderId="2" xfId="0" applyFill="1" applyBorder="1"/>
    <xf numFmtId="0" fontId="0" fillId="5" borderId="1" xfId="0" applyFill="1" applyBorder="1"/>
    <xf numFmtId="0" fontId="0" fillId="18" borderId="1" xfId="0" applyFill="1" applyBorder="1" applyProtection="1">
      <protection locked="0"/>
    </xf>
    <xf numFmtId="0" fontId="0" fillId="10" borderId="9" xfId="0" applyFill="1" applyBorder="1"/>
    <xf numFmtId="0" fontId="0" fillId="10" borderId="6" xfId="0" applyFill="1" applyBorder="1"/>
    <xf numFmtId="0" fontId="2" fillId="2" borderId="3" xfId="0" applyFont="1" applyFill="1" applyBorder="1" applyAlignment="1">
      <alignment horizontal="left" vertical="center"/>
    </xf>
    <xf numFmtId="0" fontId="2" fillId="2" borderId="4" xfId="0" applyFont="1" applyFill="1" applyBorder="1" applyAlignment="1">
      <alignment horizontal="left" vertical="center"/>
    </xf>
    <xf numFmtId="0" fontId="2" fillId="2" borderId="5" xfId="0" applyFont="1" applyFill="1" applyBorder="1" applyAlignment="1">
      <alignment horizontal="left" vertical="center"/>
    </xf>
    <xf numFmtId="0" fontId="6" fillId="11" borderId="19" xfId="0" applyFont="1" applyFill="1" applyBorder="1" applyAlignment="1">
      <alignment horizontal="center" vertical="center"/>
    </xf>
    <xf numFmtId="0" fontId="6" fillId="11" borderId="20" xfId="0" applyFont="1" applyFill="1" applyBorder="1" applyAlignment="1">
      <alignment horizontal="center" vertical="center"/>
    </xf>
    <xf numFmtId="0" fontId="6" fillId="11" borderId="21" xfId="0" applyFont="1" applyFill="1" applyBorder="1" applyAlignment="1">
      <alignment horizontal="center" vertical="center"/>
    </xf>
    <xf numFmtId="0" fontId="6" fillId="11" borderId="22" xfId="0" applyFont="1" applyFill="1" applyBorder="1" applyAlignment="1">
      <alignment horizontal="center" vertical="center"/>
    </xf>
    <xf numFmtId="0" fontId="6" fillId="11" borderId="23" xfId="0" applyFont="1" applyFill="1" applyBorder="1" applyAlignment="1">
      <alignment horizontal="center" vertical="center"/>
    </xf>
    <xf numFmtId="0" fontId="6" fillId="11" borderId="24" xfId="0" applyFont="1" applyFill="1" applyBorder="1" applyAlignment="1">
      <alignment horizontal="center" vertical="center"/>
    </xf>
    <xf numFmtId="0" fontId="3" fillId="5" borderId="11" xfId="0" applyFont="1" applyFill="1" applyBorder="1" applyAlignment="1" applyProtection="1">
      <alignment vertical="center"/>
      <protection locked="0"/>
    </xf>
    <xf numFmtId="0" fontId="3" fillId="5" borderId="2" xfId="0" applyFont="1" applyFill="1" applyBorder="1" applyAlignment="1" applyProtection="1">
      <alignment vertical="center"/>
      <protection locked="0"/>
    </xf>
    <xf numFmtId="0" fontId="3" fillId="5" borderId="12" xfId="0" applyFont="1" applyFill="1" applyBorder="1" applyAlignment="1" applyProtection="1">
      <alignment vertical="center"/>
      <protection locked="0"/>
    </xf>
    <xf numFmtId="0" fontId="5" fillId="12" borderId="11" xfId="0" applyFont="1" applyFill="1" applyBorder="1" applyAlignment="1" applyProtection="1">
      <alignment vertical="center"/>
      <protection locked="0"/>
    </xf>
    <xf numFmtId="0" fontId="5" fillId="12" borderId="2" xfId="0" applyFont="1" applyFill="1" applyBorder="1" applyAlignment="1" applyProtection="1">
      <alignment vertical="center"/>
      <protection locked="0"/>
    </xf>
    <xf numFmtId="0" fontId="5" fillId="12" borderId="12" xfId="0" applyFont="1" applyFill="1" applyBorder="1" applyAlignment="1" applyProtection="1">
      <alignment vertical="center"/>
      <protection locked="0"/>
    </xf>
    <xf numFmtId="0" fontId="5" fillId="3" borderId="1" xfId="0" applyFont="1" applyFill="1" applyBorder="1" applyAlignment="1">
      <alignment horizontal="center" vertical="center" wrapText="1"/>
    </xf>
    <xf numFmtId="0" fontId="3" fillId="4" borderId="9" xfId="0" applyFont="1" applyFill="1" applyBorder="1" applyAlignment="1">
      <alignment horizontal="center" vertical="center"/>
    </xf>
    <xf numFmtId="0" fontId="3" fillId="4" borderId="1" xfId="0" applyFont="1" applyFill="1" applyBorder="1" applyAlignment="1">
      <alignment horizontal="center" vertical="center"/>
    </xf>
    <xf numFmtId="0" fontId="6" fillId="18" borderId="1" xfId="0" applyFont="1" applyFill="1" applyBorder="1" applyAlignment="1">
      <alignment horizontal="center" vertical="center" wrapText="1"/>
    </xf>
    <xf numFmtId="9" fontId="6" fillId="0" borderId="1" xfId="0" applyNumberFormat="1" applyFont="1" applyBorder="1" applyAlignment="1">
      <alignment horizontal="center" vertical="center" wrapText="1"/>
    </xf>
    <xf numFmtId="9" fontId="6" fillId="6" borderId="1" xfId="0" applyNumberFormat="1" applyFont="1" applyFill="1" applyBorder="1" applyAlignment="1">
      <alignment horizontal="center" vertical="center" wrapText="1"/>
    </xf>
    <xf numFmtId="164" fontId="6" fillId="0" borderId="1" xfId="0" applyNumberFormat="1" applyFont="1" applyBorder="1" applyAlignment="1">
      <alignment horizontal="center" vertical="center" wrapText="1"/>
    </xf>
    <xf numFmtId="0" fontId="6" fillId="0" borderId="1" xfId="0" applyFont="1" applyBorder="1" applyAlignment="1">
      <alignment horizontal="center" vertical="center" wrapText="1"/>
    </xf>
    <xf numFmtId="9" fontId="6" fillId="11" borderId="1" xfId="0" applyNumberFormat="1" applyFont="1" applyFill="1" applyBorder="1" applyAlignment="1">
      <alignment horizontal="center" vertical="center" wrapText="1"/>
    </xf>
    <xf numFmtId="9" fontId="6" fillId="13" borderId="1" xfId="0" applyNumberFormat="1" applyFont="1" applyFill="1" applyBorder="1" applyAlignment="1">
      <alignment horizontal="center" vertical="center" wrapText="1"/>
    </xf>
    <xf numFmtId="164" fontId="6" fillId="18" borderId="1" xfId="0" applyNumberFormat="1" applyFont="1" applyFill="1" applyBorder="1" applyAlignment="1">
      <alignment horizontal="center" vertical="center" wrapText="1"/>
    </xf>
    <xf numFmtId="164" fontId="6" fillId="14" borderId="1" xfId="0" applyNumberFormat="1" applyFont="1" applyFill="1" applyBorder="1" applyAlignment="1">
      <alignment horizontal="center" vertical="center" wrapText="1"/>
    </xf>
    <xf numFmtId="164" fontId="6" fillId="2" borderId="1" xfId="0" applyNumberFormat="1" applyFont="1" applyFill="1" applyBorder="1" applyAlignment="1">
      <alignment horizontal="center" vertical="center" wrapText="1"/>
    </xf>
    <xf numFmtId="9" fontId="6" fillId="0" borderId="10" xfId="0" applyNumberFormat="1" applyFont="1" applyBorder="1" applyAlignment="1">
      <alignment horizontal="center" vertical="center" wrapText="1"/>
    </xf>
    <xf numFmtId="0" fontId="5" fillId="3" borderId="9" xfId="0"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6" fillId="3" borderId="1" xfId="0" applyFont="1" applyFill="1" applyBorder="1" applyAlignment="1">
      <alignment horizontal="center" vertical="center" wrapText="1"/>
    </xf>
    <xf numFmtId="0" fontId="6" fillId="3" borderId="10" xfId="0" applyFont="1" applyFill="1" applyBorder="1" applyAlignment="1">
      <alignment horizontal="center" wrapText="1"/>
    </xf>
    <xf numFmtId="0" fontId="6" fillId="3" borderId="9" xfId="0" applyFont="1" applyFill="1" applyBorder="1" applyAlignment="1">
      <alignment horizontal="center" vertical="center" wrapText="1"/>
    </xf>
    <xf numFmtId="164" fontId="6" fillId="3" borderId="1" xfId="0" applyNumberFormat="1" applyFont="1" applyFill="1" applyBorder="1" applyAlignment="1">
      <alignment horizontal="center" vertical="center" wrapText="1"/>
    </xf>
    <xf numFmtId="9" fontId="6" fillId="3" borderId="1" xfId="0" applyNumberFormat="1" applyFont="1" applyFill="1" applyBorder="1" applyAlignment="1">
      <alignment horizontal="center" vertical="center" wrapText="1"/>
    </xf>
    <xf numFmtId="0" fontId="18" fillId="7" borderId="9" xfId="0" applyFont="1" applyFill="1" applyBorder="1" applyAlignment="1">
      <alignment horizontal="left" vertical="top" wrapText="1"/>
    </xf>
    <xf numFmtId="0" fontId="0" fillId="0" borderId="1" xfId="0" applyBorder="1" applyAlignment="1">
      <alignment horizontal="left" vertical="top"/>
    </xf>
    <xf numFmtId="0" fontId="0" fillId="0" borderId="10" xfId="0" applyBorder="1" applyAlignment="1">
      <alignment horizontal="left" vertical="top"/>
    </xf>
    <xf numFmtId="0" fontId="6" fillId="2" borderId="51" xfId="0" applyFont="1" applyFill="1" applyBorder="1" applyAlignment="1">
      <alignment horizontal="left" vertical="top"/>
    </xf>
    <xf numFmtId="0" fontId="6" fillId="2" borderId="52" xfId="0" applyFont="1" applyFill="1" applyBorder="1" applyAlignment="1">
      <alignment horizontal="left" vertical="top"/>
    </xf>
    <xf numFmtId="0" fontId="6" fillId="2" borderId="50" xfId="0" applyFont="1" applyFill="1" applyBorder="1" applyAlignment="1">
      <alignment horizontal="left" vertical="top"/>
    </xf>
    <xf numFmtId="0" fontId="6" fillId="15" borderId="31" xfId="0" applyFont="1" applyFill="1" applyBorder="1" applyAlignment="1">
      <alignment horizontal="left" vertical="top"/>
    </xf>
    <xf numFmtId="0" fontId="6" fillId="15" borderId="32" xfId="0" applyFont="1" applyFill="1" applyBorder="1" applyAlignment="1">
      <alignment horizontal="left" vertical="top"/>
    </xf>
    <xf numFmtId="0" fontId="6" fillId="15" borderId="33" xfId="0" applyFont="1" applyFill="1" applyBorder="1" applyAlignment="1">
      <alignment horizontal="left" vertical="top"/>
    </xf>
    <xf numFmtId="0" fontId="14" fillId="7" borderId="45" xfId="0" applyFont="1" applyFill="1" applyBorder="1" applyAlignment="1">
      <alignment horizontal="left" vertical="top" wrapText="1"/>
    </xf>
    <xf numFmtId="0" fontId="6" fillId="0" borderId="44" xfId="0" applyFont="1" applyBorder="1" applyAlignment="1">
      <alignment horizontal="left" vertical="top"/>
    </xf>
    <xf numFmtId="0" fontId="6" fillId="0" borderId="46" xfId="0" applyFont="1" applyBorder="1" applyAlignment="1">
      <alignment horizontal="left" vertical="top"/>
    </xf>
    <xf numFmtId="0" fontId="24" fillId="7" borderId="9" xfId="0" applyFont="1" applyFill="1" applyBorder="1" applyAlignment="1">
      <alignment horizontal="left" vertical="top" wrapText="1"/>
    </xf>
    <xf numFmtId="0" fontId="6" fillId="0" borderId="1" xfId="0" applyFont="1" applyBorder="1" applyAlignment="1">
      <alignment horizontal="left" vertical="top"/>
    </xf>
    <xf numFmtId="0" fontId="6" fillId="0" borderId="10" xfId="0" applyFont="1" applyBorder="1" applyAlignment="1">
      <alignment horizontal="left" vertical="top"/>
    </xf>
    <xf numFmtId="0" fontId="0" fillId="0" borderId="9" xfId="0" applyBorder="1" applyAlignment="1">
      <alignment horizontal="left" vertical="top"/>
    </xf>
    <xf numFmtId="0" fontId="23" fillId="7" borderId="9" xfId="0" applyFont="1" applyFill="1" applyBorder="1" applyAlignment="1">
      <alignment horizontal="left" vertical="top" wrapText="1"/>
    </xf>
    <xf numFmtId="0" fontId="25" fillId="0" borderId="34" xfId="0" applyFont="1" applyBorder="1" applyAlignment="1">
      <alignment horizontal="left" vertical="top"/>
    </xf>
    <xf numFmtId="0" fontId="0" fillId="0" borderId="35" xfId="0" applyBorder="1" applyAlignment="1">
      <alignment horizontal="left" vertical="top"/>
    </xf>
    <xf numFmtId="0" fontId="0" fillId="0" borderId="36" xfId="0" applyBorder="1" applyAlignment="1">
      <alignment horizontal="left" vertical="top"/>
    </xf>
    <xf numFmtId="0" fontId="18" fillId="7" borderId="1" xfId="0" applyFont="1" applyFill="1" applyBorder="1" applyAlignment="1">
      <alignment horizontal="left" vertical="top" wrapText="1"/>
    </xf>
    <xf numFmtId="0" fontId="6" fillId="15" borderId="56" xfId="0" applyFont="1" applyFill="1" applyBorder="1" applyAlignment="1">
      <alignment horizontal="left" vertical="top"/>
    </xf>
    <xf numFmtId="0" fontId="6" fillId="15" borderId="57" xfId="0" applyFont="1" applyFill="1" applyBorder="1" applyAlignment="1">
      <alignment horizontal="left" vertical="top"/>
    </xf>
    <xf numFmtId="0" fontId="6" fillId="15" borderId="58" xfId="0" applyFont="1" applyFill="1" applyBorder="1" applyAlignment="1">
      <alignment horizontal="left" vertical="top"/>
    </xf>
    <xf numFmtId="0" fontId="25" fillId="0" borderId="53" xfId="0" applyFont="1" applyBorder="1" applyAlignment="1">
      <alignment horizontal="left" vertical="top"/>
    </xf>
    <xf numFmtId="0" fontId="0" fillId="0" borderId="54" xfId="0" applyBorder="1" applyAlignment="1">
      <alignment horizontal="left" vertical="top"/>
    </xf>
    <xf numFmtId="0" fontId="0" fillId="0" borderId="55" xfId="0" applyBorder="1" applyAlignment="1">
      <alignment horizontal="left" vertical="top"/>
    </xf>
    <xf numFmtId="0" fontId="13" fillId="0" borderId="45" xfId="0" applyFont="1" applyBorder="1" applyAlignment="1">
      <alignment horizontal="left" vertical="top"/>
    </xf>
    <xf numFmtId="0" fontId="0" fillId="0" borderId="44" xfId="0" applyBorder="1" applyAlignment="1">
      <alignment horizontal="left" vertical="top"/>
    </xf>
    <xf numFmtId="0" fontId="0" fillId="0" borderId="46" xfId="0" applyBorder="1" applyAlignment="1">
      <alignment horizontal="left" vertical="top"/>
    </xf>
    <xf numFmtId="0" fontId="17" fillId="7" borderId="1" xfId="0" applyFont="1" applyFill="1" applyBorder="1" applyAlignment="1">
      <alignment horizontal="left" vertical="center" wrapText="1"/>
    </xf>
    <xf numFmtId="0" fontId="25" fillId="0" borderId="22" xfId="0" applyFont="1" applyBorder="1" applyAlignment="1">
      <alignment horizontal="left" vertical="top"/>
    </xf>
    <xf numFmtId="0" fontId="25" fillId="0" borderId="23" xfId="0" applyFont="1" applyBorder="1" applyAlignment="1">
      <alignment horizontal="left" vertical="top"/>
    </xf>
    <xf numFmtId="0" fontId="25" fillId="0" borderId="24" xfId="0" applyFont="1" applyBorder="1" applyAlignment="1">
      <alignment horizontal="left" vertical="top"/>
    </xf>
    <xf numFmtId="0" fontId="20" fillId="0" borderId="9" xfId="0" applyFont="1" applyBorder="1" applyAlignment="1">
      <alignment horizontal="left" vertical="top"/>
    </xf>
    <xf numFmtId="0" fontId="20" fillId="0" borderId="34" xfId="0" applyFont="1" applyBorder="1" applyAlignment="1">
      <alignment horizontal="left" vertical="top"/>
    </xf>
    <xf numFmtId="0" fontId="13" fillId="0" borderId="1" xfId="0" applyFont="1" applyBorder="1" applyAlignment="1">
      <alignment horizontal="left" vertical="top"/>
    </xf>
    <xf numFmtId="0" fontId="17" fillId="7" borderId="53" xfId="0" applyFont="1" applyFill="1" applyBorder="1" applyAlignment="1">
      <alignment horizontal="left" vertical="top" wrapText="1"/>
    </xf>
    <xf numFmtId="0" fontId="1" fillId="0" borderId="1" xfId="0" applyFont="1" applyBorder="1" applyAlignment="1">
      <alignment horizontal="left" vertical="top"/>
    </xf>
    <xf numFmtId="0" fontId="6" fillId="15" borderId="53" xfId="0" applyFont="1" applyFill="1" applyBorder="1" applyAlignment="1">
      <alignment horizontal="left" vertical="top"/>
    </xf>
    <xf numFmtId="0" fontId="6" fillId="15" borderId="54" xfId="0" applyFont="1" applyFill="1" applyBorder="1" applyAlignment="1">
      <alignment horizontal="left" vertical="top"/>
    </xf>
    <xf numFmtId="0" fontId="6" fillId="15" borderId="55" xfId="0" applyFont="1" applyFill="1" applyBorder="1" applyAlignment="1">
      <alignment horizontal="left" vertical="top"/>
    </xf>
    <xf numFmtId="0" fontId="23" fillId="7" borderId="1" xfId="0" applyFont="1" applyFill="1" applyBorder="1" applyAlignment="1">
      <alignment horizontal="left" vertical="top" wrapText="1"/>
    </xf>
    <xf numFmtId="0" fontId="23" fillId="7" borderId="53" xfId="0" applyFont="1" applyFill="1" applyBorder="1" applyAlignment="1">
      <alignment horizontal="left" vertical="top" wrapText="1"/>
    </xf>
    <xf numFmtId="0" fontId="20" fillId="0" borderId="1" xfId="0" applyFont="1" applyBorder="1" applyAlignment="1">
      <alignment horizontal="left" vertical="top"/>
    </xf>
    <xf numFmtId="0" fontId="1" fillId="0" borderId="9" xfId="0" applyFont="1" applyBorder="1" applyAlignment="1">
      <alignment horizontal="left" vertical="top"/>
    </xf>
    <xf numFmtId="0" fontId="22" fillId="0" borderId="53" xfId="0" applyFont="1" applyBorder="1" applyAlignment="1">
      <alignment horizontal="left" vertical="top"/>
    </xf>
    <xf numFmtId="0" fontId="22" fillId="0" borderId="54" xfId="0" applyFont="1" applyBorder="1" applyAlignment="1">
      <alignment horizontal="left" vertical="top"/>
    </xf>
    <xf numFmtId="0" fontId="22" fillId="0" borderId="55" xfId="0" applyFont="1" applyBorder="1" applyAlignment="1">
      <alignment horizontal="left" vertical="top"/>
    </xf>
    <xf numFmtId="0" fontId="1" fillId="0" borderId="53" xfId="0" applyFont="1" applyBorder="1" applyAlignment="1">
      <alignment horizontal="left" vertical="top"/>
    </xf>
    <xf numFmtId="0" fontId="22" fillId="0" borderId="45" xfId="0" applyFont="1" applyBorder="1" applyAlignment="1">
      <alignment horizontal="left" vertical="top"/>
    </xf>
    <xf numFmtId="0" fontId="22" fillId="0" borderId="44" xfId="0" applyFont="1" applyBorder="1" applyAlignment="1">
      <alignment horizontal="left" vertical="top"/>
    </xf>
    <xf numFmtId="0" fontId="22" fillId="0" borderId="46" xfId="0" applyFont="1" applyBorder="1" applyAlignment="1">
      <alignment horizontal="left" vertical="top"/>
    </xf>
    <xf numFmtId="0" fontId="6" fillId="0" borderId="9" xfId="0" applyFont="1" applyBorder="1" applyAlignment="1">
      <alignment horizontal="left" vertical="top"/>
    </xf>
    <xf numFmtId="0" fontId="6" fillId="0" borderId="34" xfId="0" applyFont="1" applyBorder="1" applyAlignment="1">
      <alignment horizontal="left" vertical="top"/>
    </xf>
    <xf numFmtId="0" fontId="6" fillId="0" borderId="35" xfId="0" applyFont="1" applyBorder="1" applyAlignment="1">
      <alignment horizontal="left" vertical="top"/>
    </xf>
    <xf numFmtId="0" fontId="6" fillId="0" borderId="36" xfId="0" applyFont="1" applyBorder="1" applyAlignment="1">
      <alignment horizontal="left" vertical="top"/>
    </xf>
    <xf numFmtId="0" fontId="0" fillId="0" borderId="45" xfId="0" applyBorder="1" applyAlignment="1">
      <alignment horizontal="left" vertical="top"/>
    </xf>
    <xf numFmtId="0" fontId="6" fillId="0" borderId="6" xfId="0" applyFont="1" applyBorder="1" applyAlignment="1">
      <alignment horizontal="left" vertical="top"/>
    </xf>
    <xf numFmtId="0" fontId="6" fillId="0" borderId="7" xfId="0" applyFont="1" applyBorder="1" applyAlignment="1">
      <alignment horizontal="left" vertical="top"/>
    </xf>
    <xf numFmtId="0" fontId="6" fillId="0" borderId="8" xfId="0" applyFont="1" applyBorder="1" applyAlignment="1">
      <alignment horizontal="left" vertical="top"/>
    </xf>
    <xf numFmtId="0" fontId="20" fillId="0" borderId="49" xfId="0" applyFont="1" applyBorder="1" applyAlignment="1">
      <alignment horizontal="left" vertical="top"/>
    </xf>
    <xf numFmtId="0" fontId="16" fillId="7" borderId="9" xfId="0" applyFont="1" applyFill="1" applyBorder="1" applyAlignment="1">
      <alignment horizontal="left" vertical="top" wrapText="1"/>
    </xf>
    <xf numFmtId="0" fontId="14" fillId="7" borderId="9" xfId="0" applyFont="1" applyFill="1" applyBorder="1" applyAlignment="1">
      <alignment horizontal="left" vertical="top" wrapText="1"/>
    </xf>
    <xf numFmtId="0" fontId="13" fillId="0" borderId="9" xfId="0" applyFont="1" applyBorder="1" applyAlignment="1">
      <alignment horizontal="left" vertical="top"/>
    </xf>
    <xf numFmtId="0" fontId="17" fillId="7" borderId="34" xfId="0" applyFont="1" applyFill="1" applyBorder="1" applyAlignment="1">
      <alignment horizontal="left" vertical="top" wrapText="1"/>
    </xf>
    <xf numFmtId="0" fontId="13" fillId="0" borderId="53" xfId="0" applyFont="1" applyBorder="1" applyAlignment="1">
      <alignment horizontal="left" vertical="top"/>
    </xf>
    <xf numFmtId="0" fontId="17" fillId="7" borderId="9" xfId="0" applyFont="1" applyFill="1" applyBorder="1" applyAlignment="1">
      <alignment horizontal="left" vertical="top" wrapText="1"/>
    </xf>
    <xf numFmtId="0" fontId="13" fillId="0" borderId="34" xfId="0" applyFont="1" applyBorder="1" applyAlignment="1">
      <alignment horizontal="left" vertical="top"/>
    </xf>
    <xf numFmtId="0" fontId="17" fillId="7" borderId="45" xfId="0" applyFont="1" applyFill="1" applyBorder="1" applyAlignment="1">
      <alignment horizontal="left" vertical="top" wrapText="1"/>
    </xf>
    <xf numFmtId="0" fontId="0" fillId="0" borderId="34" xfId="0" applyBorder="1" applyAlignment="1">
      <alignment horizontal="left" vertical="top"/>
    </xf>
    <xf numFmtId="0" fontId="18" fillId="7" borderId="34" xfId="0" applyFont="1" applyFill="1" applyBorder="1" applyAlignment="1">
      <alignment horizontal="left" vertical="top" wrapText="1"/>
    </xf>
    <xf numFmtId="0" fontId="0" fillId="0" borderId="53" xfId="0" applyBorder="1" applyAlignment="1">
      <alignment horizontal="left" vertical="top"/>
    </xf>
    <xf numFmtId="0" fontId="6" fillId="2" borderId="1" xfId="0" applyFont="1" applyFill="1" applyBorder="1" applyAlignment="1">
      <alignment horizontal="center" vertical="center" wrapText="1"/>
    </xf>
    <xf numFmtId="0" fontId="0" fillId="3" borderId="9" xfId="0" applyFill="1" applyBorder="1" applyAlignment="1"/>
    <xf numFmtId="0" fontId="0" fillId="3" borderId="1" xfId="0" applyFill="1" applyBorder="1" applyAlignment="1"/>
    <xf numFmtId="0" fontId="0" fillId="3" borderId="10" xfId="0" applyFill="1" applyBorder="1" applyAlignment="1"/>
    <xf numFmtId="0" fontId="0" fillId="3" borderId="44" xfId="0" applyFill="1" applyBorder="1" applyAlignment="1"/>
    <xf numFmtId="0" fontId="0" fillId="3" borderId="35" xfId="0" applyFill="1" applyBorder="1" applyAlignment="1"/>
    <xf numFmtId="0" fontId="0" fillId="12" borderId="9" xfId="0" applyFill="1" applyBorder="1" applyAlignment="1"/>
    <xf numFmtId="0" fontId="0" fillId="12" borderId="1" xfId="0" applyFill="1" applyBorder="1" applyAlignment="1"/>
    <xf numFmtId="0" fontId="0" fillId="12" borderId="10" xfId="0" applyFill="1" applyBorder="1" applyAlignment="1"/>
    <xf numFmtId="0" fontId="0" fillId="3" borderId="11" xfId="0" applyFill="1" applyBorder="1" applyAlignment="1"/>
    <xf numFmtId="0" fontId="0" fillId="3" borderId="2" xfId="0" applyFill="1" applyBorder="1" applyAlignment="1"/>
    <xf numFmtId="0" fontId="0" fillId="3" borderId="12" xfId="0" applyFill="1" applyBorder="1" applyAlignment="1"/>
    <xf numFmtId="0" fontId="0" fillId="0" borderId="0" xfId="0" applyAlignment="1"/>
    <xf numFmtId="0" fontId="6" fillId="3" borderId="9" xfId="0" applyFont="1" applyFill="1" applyBorder="1" applyAlignment="1"/>
    <xf numFmtId="0" fontId="6" fillId="3" borderId="1" xfId="0" applyFont="1" applyFill="1" applyBorder="1" applyAlignment="1"/>
    <xf numFmtId="0" fontId="6" fillId="3" borderId="10" xfId="0" applyFont="1" applyFill="1" applyBorder="1" applyAlignment="1"/>
    <xf numFmtId="0" fontId="0" fillId="3" borderId="9" xfId="0" applyFill="1" applyBorder="1" applyAlignment="1" applyProtection="1">
      <protection locked="0"/>
    </xf>
    <xf numFmtId="0" fontId="0" fillId="3" borderId="1" xfId="0" applyFill="1" applyBorder="1" applyAlignment="1" applyProtection="1">
      <protection locked="0"/>
    </xf>
    <xf numFmtId="0" fontId="0" fillId="3" borderId="10" xfId="0" applyFill="1" applyBorder="1" applyAlignment="1" applyProtection="1">
      <protection locked="0"/>
    </xf>
    <xf numFmtId="0" fontId="0" fillId="0" borderId="29" xfId="0" applyBorder="1" applyAlignment="1"/>
    <xf numFmtId="0" fontId="0" fillId="0" borderId="30" xfId="0" applyBorder="1" applyAlignment="1"/>
  </cellXfs>
  <cellStyles count="1">
    <cellStyle name="Normal" xfId="0" builtinId="0"/>
  </cellStyles>
  <dxfs count="3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92D05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92D050"/>
        </patternFill>
      </fill>
    </dxf>
    <dxf>
      <fill>
        <patternFill patternType="solid">
          <bgColor rgb="FFFFFF00"/>
        </patternFill>
      </fill>
    </dxf>
    <dxf>
      <font>
        <color theme="1"/>
      </font>
      <fill>
        <patternFill patternType="solid">
          <bgColor rgb="FFFF0000"/>
        </patternFill>
      </fill>
    </dxf>
    <dxf>
      <fill>
        <patternFill patternType="solid">
          <bgColor rgb="FF92D050"/>
        </patternFill>
      </fill>
    </dxf>
    <dxf>
      <fill>
        <patternFill patternType="solid">
          <bgColor rgb="FFFFFF00"/>
        </patternFill>
      </fill>
    </dxf>
    <dxf>
      <fill>
        <patternFill patternType="solid">
          <bgColor rgb="FFFFFF00"/>
        </patternFill>
      </fill>
    </dxf>
    <dxf>
      <fill>
        <patternFill patternType="solid">
          <bgColor rgb="FFFFFF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FF000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92D050"/>
        </patternFill>
      </fill>
    </dxf>
    <dxf>
      <fill>
        <patternFill patternType="solid">
          <bgColor rgb="FF92D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7"/>
  <sheetViews>
    <sheetView workbookViewId="0">
      <pane xSplit="2" ySplit="3" topLeftCell="C4" activePane="bottomRight" state="frozen"/>
      <selection pane="bottomRight" activeCell="D22" sqref="D22"/>
      <selection pane="bottomLeft"/>
      <selection pane="topRight"/>
    </sheetView>
  </sheetViews>
  <sheetFormatPr defaultRowHeight="15"/>
  <cols>
    <col min="1" max="1" width="8.28515625" style="1" customWidth="1"/>
    <col min="2" max="2" width="28.5703125" style="1" customWidth="1"/>
    <col min="3" max="20" width="12.42578125" style="1" customWidth="1"/>
    <col min="21" max="16384" width="9.140625" style="1"/>
  </cols>
  <sheetData>
    <row r="1" spans="1:23" ht="37.5" customHeight="1">
      <c r="A1" s="162" t="s">
        <v>0</v>
      </c>
      <c r="B1" s="163"/>
      <c r="C1" s="163"/>
      <c r="D1" s="163"/>
      <c r="E1" s="163"/>
      <c r="F1" s="163"/>
      <c r="G1" s="163"/>
      <c r="H1" s="163"/>
      <c r="I1" s="163"/>
      <c r="J1" s="163"/>
      <c r="K1" s="163"/>
      <c r="L1" s="163"/>
      <c r="M1" s="163"/>
      <c r="N1" s="163"/>
      <c r="O1" s="163"/>
      <c r="P1" s="163"/>
      <c r="Q1" s="163"/>
      <c r="R1" s="163"/>
      <c r="S1" s="163"/>
      <c r="T1" s="164"/>
    </row>
    <row r="2" spans="1:23" ht="102" customHeight="1">
      <c r="A2" s="17" t="s">
        <v>1</v>
      </c>
      <c r="B2" s="5" t="s">
        <v>2</v>
      </c>
      <c r="C2" s="5" t="s">
        <v>3</v>
      </c>
      <c r="D2" s="5" t="s">
        <v>4</v>
      </c>
      <c r="E2" s="5" t="s">
        <v>5</v>
      </c>
      <c r="F2" s="5" t="s">
        <v>6</v>
      </c>
      <c r="G2" s="5" t="s">
        <v>7</v>
      </c>
      <c r="H2" s="5" t="s">
        <v>8</v>
      </c>
      <c r="I2" s="5" t="s">
        <v>9</v>
      </c>
      <c r="J2" s="5" t="s">
        <v>10</v>
      </c>
      <c r="K2" s="5" t="s">
        <v>11</v>
      </c>
      <c r="L2" s="5" t="s">
        <v>12</v>
      </c>
      <c r="M2" s="177" t="s">
        <v>13</v>
      </c>
      <c r="N2" s="177"/>
      <c r="O2" s="5" t="s">
        <v>14</v>
      </c>
      <c r="P2" s="5" t="s">
        <v>15</v>
      </c>
      <c r="Q2" s="5" t="s">
        <v>16</v>
      </c>
      <c r="R2" s="177" t="s">
        <v>17</v>
      </c>
      <c r="S2" s="177"/>
      <c r="T2" s="34" t="s">
        <v>18</v>
      </c>
      <c r="U2" s="1" t="s">
        <v>19</v>
      </c>
      <c r="W2" s="1" t="s">
        <v>20</v>
      </c>
    </row>
    <row r="3" spans="1:23" ht="31.5" customHeight="1">
      <c r="A3" s="178"/>
      <c r="B3" s="179"/>
      <c r="C3" s="179"/>
      <c r="D3" s="179"/>
      <c r="E3" s="179"/>
      <c r="F3" s="179"/>
      <c r="G3" s="179"/>
      <c r="H3" s="179"/>
      <c r="I3" s="179"/>
      <c r="J3" s="179"/>
      <c r="K3" s="179"/>
      <c r="L3" s="179"/>
      <c r="M3" s="3" t="s">
        <v>21</v>
      </c>
      <c r="N3" s="4" t="s">
        <v>22</v>
      </c>
      <c r="O3" s="2"/>
      <c r="P3" s="2"/>
      <c r="Q3" s="2"/>
      <c r="R3" s="4" t="s">
        <v>23</v>
      </c>
      <c r="S3" s="4" t="s">
        <v>24</v>
      </c>
      <c r="T3" s="35"/>
    </row>
    <row r="4" spans="1:23" ht="15" customHeight="1">
      <c r="A4" s="142">
        <v>7658</v>
      </c>
      <c r="B4" s="70" t="s">
        <v>25</v>
      </c>
      <c r="C4" s="46" t="s">
        <v>26</v>
      </c>
      <c r="D4" s="46" t="s">
        <v>27</v>
      </c>
      <c r="E4" s="46"/>
      <c r="F4" s="46" t="s">
        <v>27</v>
      </c>
      <c r="G4" s="47" t="s">
        <v>27</v>
      </c>
      <c r="H4" s="46" t="s">
        <v>28</v>
      </c>
      <c r="I4" s="46" t="s">
        <v>28</v>
      </c>
      <c r="J4" s="46" t="s">
        <v>27</v>
      </c>
      <c r="K4" s="46" t="s">
        <v>27</v>
      </c>
      <c r="L4" s="46" t="s">
        <v>27</v>
      </c>
      <c r="M4" s="46" t="s">
        <v>27</v>
      </c>
      <c r="N4" s="47"/>
      <c r="O4" s="46"/>
      <c r="P4" s="46" t="s">
        <v>27</v>
      </c>
      <c r="Q4" s="48"/>
      <c r="R4" s="46"/>
      <c r="S4" s="46"/>
      <c r="T4" s="49"/>
    </row>
    <row r="5" spans="1:23" ht="6.75" customHeight="1">
      <c r="A5" s="171"/>
      <c r="B5" s="172"/>
      <c r="C5" s="172"/>
      <c r="D5" s="172"/>
      <c r="E5" s="172"/>
      <c r="F5" s="172"/>
      <c r="G5" s="172"/>
      <c r="H5" s="172"/>
      <c r="I5" s="172"/>
      <c r="J5" s="172"/>
      <c r="K5" s="172"/>
      <c r="L5" s="172"/>
      <c r="M5" s="172"/>
      <c r="N5" s="172"/>
      <c r="O5" s="172"/>
      <c r="P5" s="172"/>
      <c r="Q5" s="172"/>
      <c r="R5" s="172"/>
      <c r="S5" s="172"/>
      <c r="T5" s="173"/>
    </row>
    <row r="6" spans="1:23" ht="15" customHeight="1">
      <c r="A6" s="142">
        <v>8142</v>
      </c>
      <c r="B6" s="70" t="s">
        <v>29</v>
      </c>
      <c r="C6" s="46" t="s">
        <v>26</v>
      </c>
      <c r="D6" s="46" t="s">
        <v>27</v>
      </c>
      <c r="E6" s="46"/>
      <c r="F6" s="46" t="s">
        <v>27</v>
      </c>
      <c r="G6" s="47" t="s">
        <v>30</v>
      </c>
      <c r="H6" s="46" t="s">
        <v>27</v>
      </c>
      <c r="I6" s="138" t="s">
        <v>27</v>
      </c>
      <c r="J6" s="46" t="s">
        <v>27</v>
      </c>
      <c r="K6" s="46" t="s">
        <v>27</v>
      </c>
      <c r="L6" s="46"/>
      <c r="M6" s="46" t="s">
        <v>27</v>
      </c>
      <c r="N6" s="47"/>
      <c r="O6" s="46"/>
      <c r="P6" s="46"/>
      <c r="Q6" s="48"/>
      <c r="R6" s="46"/>
      <c r="S6" s="46"/>
      <c r="T6" s="49"/>
    </row>
    <row r="7" spans="1:23" ht="6.75" customHeight="1">
      <c r="A7" s="171"/>
      <c r="B7" s="172"/>
      <c r="C7" s="172"/>
      <c r="D7" s="172"/>
      <c r="E7" s="172"/>
      <c r="F7" s="172"/>
      <c r="G7" s="172"/>
      <c r="H7" s="172"/>
      <c r="I7" s="172"/>
      <c r="J7" s="172"/>
      <c r="K7" s="172"/>
      <c r="L7" s="172"/>
      <c r="M7" s="172"/>
      <c r="N7" s="172"/>
      <c r="O7" s="172"/>
      <c r="P7" s="172"/>
      <c r="Q7" s="172"/>
      <c r="R7" s="172"/>
      <c r="S7" s="172"/>
      <c r="T7" s="173"/>
    </row>
    <row r="8" spans="1:23" ht="15" customHeight="1">
      <c r="A8" s="7">
        <v>8824</v>
      </c>
      <c r="B8" s="71" t="s">
        <v>31</v>
      </c>
      <c r="C8" s="46" t="s">
        <v>26</v>
      </c>
      <c r="D8" s="46"/>
      <c r="E8" s="46"/>
      <c r="F8" s="46"/>
      <c r="G8" s="47"/>
      <c r="H8" s="46"/>
      <c r="I8" s="46"/>
      <c r="J8" s="46"/>
      <c r="K8" s="46"/>
      <c r="L8" s="46"/>
      <c r="M8" s="46"/>
      <c r="N8" s="47"/>
      <c r="O8" s="46"/>
      <c r="P8" s="46"/>
      <c r="Q8" s="48"/>
      <c r="R8" s="46"/>
      <c r="S8" s="46"/>
      <c r="T8" s="49"/>
    </row>
    <row r="9" spans="1:23" ht="6.75" customHeight="1">
      <c r="A9" s="171"/>
      <c r="B9" s="172"/>
      <c r="C9" s="172"/>
      <c r="D9" s="172"/>
      <c r="E9" s="172"/>
      <c r="F9" s="172"/>
      <c r="G9" s="172"/>
      <c r="H9" s="172"/>
      <c r="I9" s="172"/>
      <c r="J9" s="172"/>
      <c r="K9" s="172"/>
      <c r="L9" s="172"/>
      <c r="M9" s="172"/>
      <c r="N9" s="172"/>
      <c r="O9" s="172"/>
      <c r="P9" s="172"/>
      <c r="Q9" s="172"/>
      <c r="R9" s="172"/>
      <c r="S9" s="172"/>
      <c r="T9" s="173"/>
    </row>
    <row r="10" spans="1:23" ht="15" customHeight="1">
      <c r="A10" s="142">
        <v>8127</v>
      </c>
      <c r="B10" s="45" t="s">
        <v>32</v>
      </c>
      <c r="C10" s="46" t="s">
        <v>26</v>
      </c>
      <c r="D10" s="46" t="s">
        <v>27</v>
      </c>
      <c r="E10" s="46"/>
      <c r="F10" s="46" t="s">
        <v>27</v>
      </c>
      <c r="G10" s="47" t="s">
        <v>33</v>
      </c>
      <c r="H10" s="46" t="s">
        <v>27</v>
      </c>
      <c r="I10" s="46" t="s">
        <v>27</v>
      </c>
      <c r="J10" s="46" t="s">
        <v>28</v>
      </c>
      <c r="K10" s="46" t="s">
        <v>27</v>
      </c>
      <c r="L10" s="46"/>
      <c r="M10" s="46" t="s">
        <v>27</v>
      </c>
      <c r="N10" s="47"/>
      <c r="O10" s="46"/>
      <c r="P10" s="46"/>
      <c r="Q10" s="48"/>
      <c r="R10" s="46"/>
      <c r="S10" s="46"/>
      <c r="T10" s="49"/>
    </row>
    <row r="11" spans="1:23" ht="6.75" customHeight="1">
      <c r="A11" s="171"/>
      <c r="B11" s="172"/>
      <c r="C11" s="172"/>
      <c r="D11" s="172"/>
      <c r="E11" s="172"/>
      <c r="F11" s="172"/>
      <c r="G11" s="172"/>
      <c r="H11" s="172"/>
      <c r="I11" s="172"/>
      <c r="J11" s="172"/>
      <c r="K11" s="172"/>
      <c r="L11" s="172"/>
      <c r="M11" s="172"/>
      <c r="N11" s="172"/>
      <c r="O11" s="172"/>
      <c r="P11" s="172"/>
      <c r="Q11" s="172"/>
      <c r="R11" s="172"/>
      <c r="S11" s="172"/>
      <c r="T11" s="173"/>
    </row>
    <row r="12" spans="1:23" ht="15" customHeight="1">
      <c r="A12" s="142">
        <v>8183</v>
      </c>
      <c r="B12" s="45" t="s">
        <v>34</v>
      </c>
      <c r="C12" s="46" t="s">
        <v>26</v>
      </c>
      <c r="D12" s="46" t="s">
        <v>27</v>
      </c>
      <c r="E12" s="46"/>
      <c r="F12" s="46" t="s">
        <v>27</v>
      </c>
      <c r="G12" s="47" t="s">
        <v>27</v>
      </c>
      <c r="H12" s="46" t="s">
        <v>27</v>
      </c>
      <c r="I12" s="46" t="s">
        <v>27</v>
      </c>
      <c r="J12" s="46" t="s">
        <v>27</v>
      </c>
      <c r="K12" s="46" t="s">
        <v>27</v>
      </c>
      <c r="L12" s="46"/>
      <c r="M12" s="46" t="s">
        <v>27</v>
      </c>
      <c r="N12" s="47"/>
      <c r="O12" s="138"/>
      <c r="P12" s="46"/>
      <c r="Q12" s="48"/>
      <c r="R12" s="46"/>
      <c r="S12" s="46"/>
      <c r="T12" s="49"/>
    </row>
    <row r="13" spans="1:23" ht="6.75" customHeight="1">
      <c r="A13" s="171"/>
      <c r="B13" s="172"/>
      <c r="C13" s="172"/>
      <c r="D13" s="172"/>
      <c r="E13" s="172"/>
      <c r="F13" s="172"/>
      <c r="G13" s="172"/>
      <c r="H13" s="172"/>
      <c r="I13" s="172"/>
      <c r="J13" s="172"/>
      <c r="K13" s="172"/>
      <c r="L13" s="172"/>
      <c r="M13" s="172"/>
      <c r="N13" s="172"/>
      <c r="O13" s="172"/>
      <c r="P13" s="172"/>
      <c r="Q13" s="172"/>
      <c r="R13" s="172"/>
      <c r="S13" s="172"/>
      <c r="T13" s="173"/>
    </row>
    <row r="14" spans="1:23" ht="15" customHeight="1">
      <c r="A14" s="142">
        <v>8886</v>
      </c>
      <c r="B14" s="45" t="s">
        <v>35</v>
      </c>
      <c r="C14" s="46" t="s">
        <v>26</v>
      </c>
      <c r="D14" s="46"/>
      <c r="E14" s="46"/>
      <c r="F14" s="46" t="s">
        <v>27</v>
      </c>
      <c r="G14" s="47" t="s">
        <v>33</v>
      </c>
      <c r="H14" s="46" t="s">
        <v>28</v>
      </c>
      <c r="I14" s="46" t="s">
        <v>27</v>
      </c>
      <c r="J14" s="46" t="s">
        <v>27</v>
      </c>
      <c r="K14" s="46" t="s">
        <v>27</v>
      </c>
      <c r="L14" s="46"/>
      <c r="M14" s="46"/>
      <c r="N14" s="47"/>
      <c r="O14" s="46"/>
      <c r="P14" s="46"/>
      <c r="Q14" s="48"/>
      <c r="R14" s="46"/>
      <c r="S14" s="46"/>
      <c r="T14" s="49"/>
    </row>
    <row r="15" spans="1:23" ht="6.75" customHeight="1">
      <c r="A15" s="171"/>
      <c r="B15" s="172"/>
      <c r="C15" s="172"/>
      <c r="D15" s="172"/>
      <c r="E15" s="172"/>
      <c r="F15" s="172"/>
      <c r="G15" s="172"/>
      <c r="H15" s="172"/>
      <c r="I15" s="172"/>
      <c r="J15" s="172"/>
      <c r="K15" s="172"/>
      <c r="L15" s="172"/>
      <c r="M15" s="172"/>
      <c r="N15" s="172"/>
      <c r="O15" s="172"/>
      <c r="P15" s="172"/>
      <c r="Q15" s="172"/>
      <c r="R15" s="172"/>
      <c r="S15" s="172"/>
      <c r="T15" s="173"/>
    </row>
    <row r="16" spans="1:23" ht="15" customHeight="1">
      <c r="A16" s="142">
        <v>8887</v>
      </c>
      <c r="B16" s="45" t="s">
        <v>36</v>
      </c>
      <c r="C16" s="46" t="s">
        <v>26</v>
      </c>
      <c r="D16" s="46"/>
      <c r="E16" s="46"/>
      <c r="F16" s="46" t="s">
        <v>27</v>
      </c>
      <c r="G16" s="47" t="s">
        <v>33</v>
      </c>
      <c r="H16" s="46" t="s">
        <v>28</v>
      </c>
      <c r="I16" s="46" t="s">
        <v>27</v>
      </c>
      <c r="J16" s="138" t="s">
        <v>27</v>
      </c>
      <c r="K16" s="46" t="s">
        <v>27</v>
      </c>
      <c r="L16" s="46"/>
      <c r="M16" s="138"/>
      <c r="N16" s="47"/>
      <c r="O16" s="46"/>
      <c r="P16" s="138"/>
      <c r="Q16" s="48"/>
      <c r="R16" s="46"/>
      <c r="S16" s="46"/>
      <c r="T16" s="49"/>
    </row>
    <row r="17" spans="1:26" ht="6.75" customHeight="1">
      <c r="A17" s="171"/>
      <c r="B17" s="172"/>
      <c r="C17" s="172"/>
      <c r="D17" s="172"/>
      <c r="E17" s="172"/>
      <c r="F17" s="172"/>
      <c r="G17" s="172"/>
      <c r="H17" s="172"/>
      <c r="I17" s="172"/>
      <c r="J17" s="172"/>
      <c r="K17" s="172"/>
      <c r="L17" s="172"/>
      <c r="M17" s="172"/>
      <c r="N17" s="172"/>
      <c r="O17" s="172"/>
      <c r="P17" s="172"/>
      <c r="Q17" s="172"/>
      <c r="R17" s="172"/>
      <c r="S17" s="172"/>
      <c r="T17" s="173"/>
    </row>
    <row r="18" spans="1:26" ht="15" customHeight="1">
      <c r="A18" s="142">
        <v>8670</v>
      </c>
      <c r="B18" s="45" t="s">
        <v>37</v>
      </c>
      <c r="C18" s="46" t="s">
        <v>26</v>
      </c>
      <c r="D18" s="46" t="s">
        <v>27</v>
      </c>
      <c r="E18" s="46"/>
      <c r="F18" s="46"/>
      <c r="G18" s="47"/>
      <c r="H18" s="46"/>
      <c r="I18" s="46"/>
      <c r="J18" s="46"/>
      <c r="K18" s="46"/>
      <c r="L18" s="46"/>
      <c r="M18" s="46"/>
      <c r="N18" s="47"/>
      <c r="O18" s="46"/>
      <c r="P18" s="46"/>
      <c r="Q18" s="48"/>
      <c r="R18" s="46"/>
      <c r="S18" s="46"/>
      <c r="T18" s="49"/>
    </row>
    <row r="19" spans="1:26" ht="6.75" customHeight="1">
      <c r="A19" s="171"/>
      <c r="B19" s="172"/>
      <c r="C19" s="172"/>
      <c r="D19" s="172"/>
      <c r="E19" s="172"/>
      <c r="F19" s="172"/>
      <c r="G19" s="172"/>
      <c r="H19" s="172"/>
      <c r="I19" s="172"/>
      <c r="J19" s="172"/>
      <c r="K19" s="172"/>
      <c r="L19" s="172"/>
      <c r="M19" s="172"/>
      <c r="N19" s="172"/>
      <c r="O19" s="172"/>
      <c r="P19" s="172"/>
      <c r="Q19" s="172"/>
      <c r="R19" s="172"/>
      <c r="S19" s="172"/>
      <c r="T19" s="173"/>
    </row>
    <row r="20" spans="1:26" ht="15" customHeight="1">
      <c r="A20" s="142">
        <v>8907</v>
      </c>
      <c r="B20" s="45" t="s">
        <v>38</v>
      </c>
      <c r="C20" s="46" t="s">
        <v>26</v>
      </c>
      <c r="D20" s="46" t="s">
        <v>27</v>
      </c>
      <c r="E20" s="46"/>
      <c r="F20" s="46"/>
      <c r="G20" s="47"/>
      <c r="H20" s="46"/>
      <c r="I20" s="46"/>
      <c r="J20" s="46"/>
      <c r="K20" s="46"/>
      <c r="L20" s="46"/>
      <c r="M20" s="46"/>
      <c r="N20" s="47"/>
      <c r="O20" s="46"/>
      <c r="P20" s="46"/>
      <c r="Q20" s="48"/>
      <c r="R20" s="46"/>
      <c r="S20" s="46"/>
      <c r="T20" s="49"/>
    </row>
    <row r="21" spans="1:26" ht="6.75" customHeight="1">
      <c r="A21" s="171"/>
      <c r="B21" s="172"/>
      <c r="C21" s="172"/>
      <c r="D21" s="172"/>
      <c r="E21" s="172"/>
      <c r="F21" s="172"/>
      <c r="G21" s="172"/>
      <c r="H21" s="172"/>
      <c r="I21" s="172"/>
      <c r="J21" s="172"/>
      <c r="K21" s="172"/>
      <c r="L21" s="172"/>
      <c r="M21" s="172"/>
      <c r="N21" s="172"/>
      <c r="O21" s="172"/>
      <c r="P21" s="172"/>
      <c r="Q21" s="172"/>
      <c r="R21" s="172"/>
      <c r="S21" s="172"/>
      <c r="T21" s="173"/>
    </row>
    <row r="22" spans="1:26" ht="15" customHeight="1">
      <c r="A22" s="142">
        <v>9065</v>
      </c>
      <c r="B22" s="45" t="s">
        <v>39</v>
      </c>
      <c r="C22" s="46" t="s">
        <v>26</v>
      </c>
      <c r="D22" s="46"/>
      <c r="E22" s="46"/>
      <c r="F22" s="46"/>
      <c r="G22" s="47"/>
      <c r="H22" s="46"/>
      <c r="I22" s="46"/>
      <c r="J22" s="46"/>
      <c r="K22" s="46"/>
      <c r="L22" s="46"/>
      <c r="M22" s="46"/>
      <c r="N22" s="47"/>
      <c r="O22" s="46"/>
      <c r="P22" s="46"/>
      <c r="Q22" s="48"/>
      <c r="R22" s="46"/>
      <c r="S22" s="46"/>
      <c r="T22" s="49"/>
    </row>
    <row r="23" spans="1:26" ht="6.75" customHeight="1">
      <c r="A23" s="171"/>
      <c r="B23" s="172"/>
      <c r="C23" s="172"/>
      <c r="D23" s="172"/>
      <c r="E23" s="172"/>
      <c r="F23" s="172"/>
      <c r="G23" s="172"/>
      <c r="H23" s="172"/>
      <c r="I23" s="172"/>
      <c r="J23" s="172"/>
      <c r="K23" s="172"/>
      <c r="L23" s="172"/>
      <c r="M23" s="172"/>
      <c r="N23" s="172"/>
      <c r="O23" s="172"/>
      <c r="P23" s="172"/>
      <c r="Q23" s="172"/>
      <c r="R23" s="172"/>
      <c r="S23" s="172"/>
      <c r="T23" s="173"/>
    </row>
    <row r="24" spans="1:26" ht="15" customHeight="1">
      <c r="A24" s="142">
        <v>9259</v>
      </c>
      <c r="B24" s="45" t="s">
        <v>40</v>
      </c>
      <c r="C24" s="46" t="s">
        <v>26</v>
      </c>
      <c r="D24" s="46"/>
      <c r="E24" s="46"/>
      <c r="F24" s="46"/>
      <c r="G24" s="47"/>
      <c r="H24" s="46"/>
      <c r="I24" s="46"/>
      <c r="J24" s="46"/>
      <c r="K24" s="46"/>
      <c r="L24" s="46"/>
      <c r="M24" s="46"/>
      <c r="N24" s="47"/>
      <c r="O24" s="46"/>
      <c r="P24" s="46"/>
      <c r="Q24" s="48"/>
      <c r="R24" s="46"/>
      <c r="S24" s="46"/>
      <c r="T24" s="49"/>
    </row>
    <row r="25" spans="1:26" ht="6.75" customHeight="1">
      <c r="A25" s="174"/>
      <c r="B25" s="175"/>
      <c r="C25" s="175"/>
      <c r="D25" s="175"/>
      <c r="E25" s="175"/>
      <c r="F25" s="175"/>
      <c r="G25" s="175"/>
      <c r="H25" s="175"/>
      <c r="I25" s="175"/>
      <c r="J25" s="175"/>
      <c r="K25" s="175"/>
      <c r="L25" s="175"/>
      <c r="M25" s="175"/>
      <c r="N25" s="175"/>
      <c r="O25" s="175"/>
      <c r="P25" s="175"/>
      <c r="Q25" s="175"/>
      <c r="R25" s="175"/>
      <c r="S25" s="175"/>
      <c r="T25" s="176"/>
    </row>
    <row r="26" spans="1:26" ht="15" customHeight="1">
      <c r="A26" s="142">
        <v>8352</v>
      </c>
      <c r="B26" s="45" t="s">
        <v>41</v>
      </c>
      <c r="C26" s="46" t="s">
        <v>42</v>
      </c>
      <c r="D26" s="46" t="s">
        <v>27</v>
      </c>
      <c r="E26" s="46" t="s">
        <v>28</v>
      </c>
      <c r="F26" s="46" t="s">
        <v>27</v>
      </c>
      <c r="G26" s="47"/>
      <c r="H26" s="46" t="s">
        <v>28</v>
      </c>
      <c r="I26" s="46" t="s">
        <v>28</v>
      </c>
      <c r="J26" s="46"/>
      <c r="K26" s="46" t="s">
        <v>28</v>
      </c>
      <c r="L26" s="46" t="s">
        <v>27</v>
      </c>
      <c r="M26" s="46"/>
      <c r="N26" s="47"/>
      <c r="O26" s="46" t="s">
        <v>27</v>
      </c>
      <c r="P26" s="46"/>
      <c r="Q26" s="48"/>
      <c r="R26" s="46"/>
      <c r="S26" s="46"/>
      <c r="T26" s="49"/>
    </row>
    <row r="27" spans="1:26" ht="6.75" customHeight="1">
      <c r="A27" s="171"/>
      <c r="B27" s="172"/>
      <c r="C27" s="172"/>
      <c r="D27" s="172"/>
      <c r="E27" s="172"/>
      <c r="F27" s="172"/>
      <c r="G27" s="172"/>
      <c r="H27" s="172"/>
      <c r="I27" s="172"/>
      <c r="J27" s="172"/>
      <c r="K27" s="172"/>
      <c r="L27" s="172"/>
      <c r="M27" s="172"/>
      <c r="N27" s="172"/>
      <c r="O27" s="172"/>
      <c r="P27" s="172"/>
      <c r="Q27" s="172"/>
      <c r="R27" s="172"/>
      <c r="S27" s="172"/>
      <c r="T27" s="173"/>
    </row>
    <row r="28" spans="1:26" ht="15" customHeight="1">
      <c r="A28" s="142">
        <v>8234</v>
      </c>
      <c r="B28" s="45" t="s">
        <v>43</v>
      </c>
      <c r="C28" s="46" t="s">
        <v>42</v>
      </c>
      <c r="D28" s="46"/>
      <c r="E28" s="46"/>
      <c r="F28" s="46"/>
      <c r="G28" s="47"/>
      <c r="H28" s="46"/>
      <c r="I28" s="46"/>
      <c r="J28" s="46"/>
      <c r="K28" s="46"/>
      <c r="L28" s="46"/>
      <c r="M28" s="46"/>
      <c r="N28" s="47"/>
      <c r="O28" s="46"/>
      <c r="P28" s="46"/>
      <c r="Q28" s="48"/>
      <c r="R28" s="46"/>
      <c r="S28" s="46"/>
      <c r="T28" s="49"/>
    </row>
    <row r="29" spans="1:26" ht="6.75" customHeight="1">
      <c r="A29" s="171"/>
      <c r="B29" s="172"/>
      <c r="C29" s="172"/>
      <c r="D29" s="172"/>
      <c r="E29" s="172"/>
      <c r="F29" s="172"/>
      <c r="G29" s="172"/>
      <c r="H29" s="172"/>
      <c r="I29" s="172"/>
      <c r="J29" s="172"/>
      <c r="K29" s="172"/>
      <c r="L29" s="172"/>
      <c r="M29" s="172"/>
      <c r="N29" s="172"/>
      <c r="O29" s="172"/>
      <c r="P29" s="172"/>
      <c r="Q29" s="172"/>
      <c r="R29" s="172"/>
      <c r="S29" s="172"/>
      <c r="T29" s="173"/>
      <c r="Z29" s="6"/>
    </row>
    <row r="30" spans="1:26" ht="15" customHeight="1">
      <c r="A30" s="142">
        <v>8214</v>
      </c>
      <c r="B30" s="45" t="s">
        <v>44</v>
      </c>
      <c r="C30" s="46" t="s">
        <v>42</v>
      </c>
      <c r="D30" s="46" t="s">
        <v>27</v>
      </c>
      <c r="E30" s="46" t="s">
        <v>28</v>
      </c>
      <c r="F30" s="46"/>
      <c r="G30" s="47"/>
      <c r="H30" s="46"/>
      <c r="I30" s="46"/>
      <c r="J30" s="46"/>
      <c r="K30" s="46" t="s">
        <v>28</v>
      </c>
      <c r="L30" s="46"/>
      <c r="M30" s="46"/>
      <c r="N30" s="47"/>
      <c r="O30" s="46"/>
      <c r="P30" s="46"/>
      <c r="Q30" s="48"/>
      <c r="R30" s="46"/>
      <c r="S30" s="138"/>
      <c r="T30" s="49"/>
    </row>
    <row r="31" spans="1:26" ht="6.75" customHeight="1">
      <c r="A31" s="171"/>
      <c r="B31" s="172"/>
      <c r="C31" s="172"/>
      <c r="D31" s="172"/>
      <c r="E31" s="172"/>
      <c r="F31" s="172"/>
      <c r="G31" s="172"/>
      <c r="H31" s="172"/>
      <c r="I31" s="172"/>
      <c r="J31" s="172"/>
      <c r="K31" s="172"/>
      <c r="L31" s="172"/>
      <c r="M31" s="172"/>
      <c r="N31" s="172"/>
      <c r="O31" s="172"/>
      <c r="P31" s="172"/>
      <c r="Q31" s="172"/>
      <c r="R31" s="172"/>
      <c r="S31" s="172"/>
      <c r="T31" s="173"/>
    </row>
    <row r="32" spans="1:26" ht="15" customHeight="1">
      <c r="A32" s="142">
        <v>6792</v>
      </c>
      <c r="B32" s="45" t="s">
        <v>45</v>
      </c>
      <c r="C32" s="46" t="s">
        <v>42</v>
      </c>
      <c r="D32" s="46" t="s">
        <v>27</v>
      </c>
      <c r="E32" s="46" t="s">
        <v>28</v>
      </c>
      <c r="F32" s="46" t="s">
        <v>27</v>
      </c>
      <c r="G32" s="47">
        <v>45979</v>
      </c>
      <c r="H32" s="46" t="s">
        <v>27</v>
      </c>
      <c r="I32" s="46" t="s">
        <v>27</v>
      </c>
      <c r="J32" s="46" t="s">
        <v>28</v>
      </c>
      <c r="K32" s="46" t="s">
        <v>28</v>
      </c>
      <c r="L32" s="46" t="s">
        <v>28</v>
      </c>
      <c r="M32" s="46"/>
      <c r="N32" s="47"/>
      <c r="O32" s="46" t="s">
        <v>33</v>
      </c>
      <c r="P32" s="138"/>
      <c r="Q32" s="48" t="s">
        <v>46</v>
      </c>
      <c r="R32" s="46"/>
      <c r="S32" s="46"/>
      <c r="T32" s="49"/>
    </row>
    <row r="33" spans="1:20" ht="6.75" customHeight="1">
      <c r="A33" s="171"/>
      <c r="B33" s="172"/>
      <c r="C33" s="172"/>
      <c r="D33" s="172"/>
      <c r="E33" s="172"/>
      <c r="F33" s="172"/>
      <c r="G33" s="172"/>
      <c r="H33" s="172"/>
      <c r="I33" s="172"/>
      <c r="J33" s="172"/>
      <c r="K33" s="172"/>
      <c r="L33" s="172"/>
      <c r="M33" s="172"/>
      <c r="N33" s="172"/>
      <c r="O33" s="172"/>
      <c r="P33" s="172"/>
      <c r="Q33" s="172"/>
      <c r="R33" s="172"/>
      <c r="S33" s="172"/>
      <c r="T33" s="173"/>
    </row>
    <row r="34" spans="1:20" ht="15" customHeight="1">
      <c r="A34" s="142">
        <v>8840</v>
      </c>
      <c r="B34" s="45" t="s">
        <v>47</v>
      </c>
      <c r="C34" s="46" t="s">
        <v>42</v>
      </c>
      <c r="D34" s="46"/>
      <c r="E34" s="46"/>
      <c r="F34" s="46"/>
      <c r="G34" s="47"/>
      <c r="H34" s="46"/>
      <c r="I34" s="46"/>
      <c r="J34" s="46"/>
      <c r="K34" s="46"/>
      <c r="L34" s="46"/>
      <c r="M34" s="46"/>
      <c r="N34" s="47"/>
      <c r="O34" s="46"/>
      <c r="P34" s="138"/>
      <c r="Q34" s="139"/>
      <c r="R34" s="46"/>
      <c r="S34" s="46"/>
      <c r="T34" s="49"/>
    </row>
    <row r="35" spans="1:20" ht="6.75" customHeight="1">
      <c r="A35" s="171"/>
      <c r="B35" s="172"/>
      <c r="C35" s="172"/>
      <c r="D35" s="172"/>
      <c r="E35" s="172"/>
      <c r="F35" s="172"/>
      <c r="G35" s="172"/>
      <c r="H35" s="172"/>
      <c r="I35" s="172"/>
      <c r="J35" s="172"/>
      <c r="K35" s="172"/>
      <c r="L35" s="172"/>
      <c r="M35" s="172"/>
      <c r="N35" s="172"/>
      <c r="O35" s="172"/>
      <c r="P35" s="172"/>
      <c r="Q35" s="172"/>
      <c r="R35" s="172"/>
      <c r="S35" s="172"/>
      <c r="T35" s="173"/>
    </row>
    <row r="36" spans="1:20" ht="15" customHeight="1">
      <c r="A36" s="142">
        <v>8769</v>
      </c>
      <c r="B36" s="45" t="s">
        <v>48</v>
      </c>
      <c r="C36" s="46"/>
      <c r="D36" s="46"/>
      <c r="E36" s="46"/>
      <c r="F36" s="46"/>
      <c r="G36" s="47"/>
      <c r="H36" s="46"/>
      <c r="I36" s="46"/>
      <c r="J36" s="46"/>
      <c r="K36" s="46"/>
      <c r="L36" s="46"/>
      <c r="M36" s="46"/>
      <c r="N36" s="47"/>
      <c r="O36" s="46"/>
      <c r="P36" s="46"/>
      <c r="Q36" s="48"/>
      <c r="R36" s="46"/>
      <c r="S36" s="46"/>
      <c r="T36" s="49"/>
    </row>
    <row r="37" spans="1:20" ht="6.75" customHeight="1">
      <c r="A37" s="171"/>
      <c r="B37" s="172"/>
      <c r="C37" s="172"/>
      <c r="D37" s="172"/>
      <c r="E37" s="172"/>
      <c r="F37" s="172"/>
      <c r="G37" s="172"/>
      <c r="H37" s="172"/>
      <c r="I37" s="172"/>
      <c r="J37" s="172"/>
      <c r="K37" s="172"/>
      <c r="L37" s="172"/>
      <c r="M37" s="172"/>
      <c r="N37" s="172"/>
      <c r="O37" s="172"/>
      <c r="P37" s="172"/>
      <c r="Q37" s="172"/>
      <c r="R37" s="172"/>
      <c r="S37" s="172"/>
      <c r="T37" s="173"/>
    </row>
    <row r="38" spans="1:20">
      <c r="A38" s="142">
        <v>7901</v>
      </c>
      <c r="B38" s="112" t="s">
        <v>49</v>
      </c>
      <c r="C38" s="46"/>
      <c r="D38" s="46"/>
      <c r="E38" s="46"/>
      <c r="F38" s="46"/>
      <c r="G38" s="47"/>
      <c r="H38" s="46"/>
      <c r="I38" s="46"/>
      <c r="J38" s="46"/>
      <c r="K38" s="46"/>
      <c r="L38" s="46"/>
      <c r="M38" s="46"/>
      <c r="N38" s="47"/>
      <c r="O38" s="46"/>
      <c r="P38" s="46"/>
      <c r="Q38" s="48"/>
      <c r="R38" s="46"/>
      <c r="S38" s="46"/>
      <c r="T38" s="49"/>
    </row>
    <row r="39" spans="1:20" ht="6.75" customHeight="1">
      <c r="A39" s="171"/>
      <c r="B39" s="172"/>
      <c r="C39" s="172"/>
      <c r="D39" s="172"/>
      <c r="E39" s="172"/>
      <c r="F39" s="172"/>
      <c r="G39" s="172"/>
      <c r="H39" s="172"/>
      <c r="I39" s="172"/>
      <c r="J39" s="172"/>
      <c r="K39" s="172"/>
      <c r="L39" s="172"/>
      <c r="M39" s="172"/>
      <c r="N39" s="172"/>
      <c r="O39" s="172"/>
      <c r="P39" s="172"/>
      <c r="Q39" s="172"/>
      <c r="R39" s="172"/>
      <c r="S39" s="172"/>
      <c r="T39" s="173"/>
    </row>
    <row r="40" spans="1:20">
      <c r="A40" s="142">
        <v>8923</v>
      </c>
      <c r="B40" s="45" t="s">
        <v>50</v>
      </c>
      <c r="C40" s="46"/>
      <c r="D40" s="46"/>
      <c r="E40" s="46"/>
      <c r="F40" s="46"/>
      <c r="G40" s="47"/>
      <c r="H40" s="46"/>
      <c r="I40" s="46"/>
      <c r="J40" s="46"/>
      <c r="K40" s="46"/>
      <c r="L40" s="46"/>
      <c r="M40" s="46"/>
      <c r="N40" s="47"/>
      <c r="O40" s="46"/>
      <c r="P40" s="46"/>
      <c r="Q40" s="48"/>
      <c r="R40" s="46"/>
      <c r="S40" s="46"/>
      <c r="T40" s="49"/>
    </row>
    <row r="41" spans="1:20" ht="6.75" customHeight="1">
      <c r="A41" s="171"/>
      <c r="B41" s="172"/>
      <c r="C41" s="172"/>
      <c r="D41" s="172"/>
      <c r="E41" s="172"/>
      <c r="F41" s="172"/>
      <c r="G41" s="172"/>
      <c r="H41" s="172"/>
      <c r="I41" s="172"/>
      <c r="J41" s="172"/>
      <c r="K41" s="172"/>
      <c r="L41" s="172"/>
      <c r="M41" s="172"/>
      <c r="N41" s="172"/>
      <c r="O41" s="172"/>
      <c r="P41" s="172"/>
      <c r="Q41" s="172"/>
      <c r="R41" s="172"/>
      <c r="S41" s="172"/>
      <c r="T41" s="173"/>
    </row>
    <row r="42" spans="1:20">
      <c r="A42" s="111">
        <v>7864</v>
      </c>
      <c r="B42" s="112" t="s">
        <v>51</v>
      </c>
      <c r="C42" s="46"/>
      <c r="D42" s="46"/>
      <c r="E42" s="46"/>
      <c r="F42" s="46"/>
      <c r="G42" s="47"/>
      <c r="H42" s="46"/>
      <c r="I42" s="46"/>
      <c r="J42" s="46"/>
      <c r="K42" s="46"/>
      <c r="L42" s="46"/>
      <c r="M42" s="46"/>
      <c r="N42" s="47"/>
      <c r="O42" s="46"/>
      <c r="P42" s="46"/>
      <c r="Q42" s="48"/>
      <c r="R42" s="46"/>
      <c r="S42" s="46"/>
      <c r="T42" s="49"/>
    </row>
    <row r="43" spans="1:20" ht="6.75" customHeight="1">
      <c r="A43" s="171"/>
      <c r="B43" s="172"/>
      <c r="C43" s="172"/>
      <c r="D43" s="172"/>
      <c r="E43" s="172"/>
      <c r="F43" s="172"/>
      <c r="G43" s="172"/>
      <c r="H43" s="172"/>
      <c r="I43" s="172"/>
      <c r="J43" s="172"/>
      <c r="K43" s="172"/>
      <c r="L43" s="172"/>
      <c r="M43" s="172"/>
      <c r="N43" s="172"/>
      <c r="O43" s="172"/>
      <c r="P43" s="172"/>
      <c r="Q43" s="172"/>
      <c r="R43" s="172"/>
      <c r="S43" s="172"/>
      <c r="T43" s="173"/>
    </row>
    <row r="44" spans="1:20">
      <c r="A44" s="142">
        <v>7912</v>
      </c>
      <c r="B44" s="112" t="s">
        <v>52</v>
      </c>
      <c r="C44" s="46" t="s">
        <v>42</v>
      </c>
      <c r="D44" s="46" t="s">
        <v>27</v>
      </c>
      <c r="E44" s="46" t="s">
        <v>28</v>
      </c>
      <c r="F44" s="138"/>
      <c r="G44" s="47">
        <v>45979</v>
      </c>
      <c r="H44" s="138"/>
      <c r="I44" s="138"/>
      <c r="J44" s="46" t="s">
        <v>28</v>
      </c>
      <c r="K44" s="46" t="s">
        <v>28</v>
      </c>
      <c r="L44" s="138"/>
      <c r="M44" s="138"/>
      <c r="N44" s="47"/>
      <c r="O44" s="138" t="s">
        <v>33</v>
      </c>
      <c r="P44" s="138"/>
      <c r="Q44" s="48"/>
      <c r="R44" s="46"/>
      <c r="S44" s="46"/>
      <c r="T44" s="49"/>
    </row>
    <row r="45" spans="1:20" ht="6.75" customHeight="1">
      <c r="A45" s="171"/>
      <c r="B45" s="172"/>
      <c r="C45" s="172"/>
      <c r="D45" s="172"/>
      <c r="E45" s="172"/>
      <c r="F45" s="172"/>
      <c r="G45" s="172"/>
      <c r="H45" s="172"/>
      <c r="I45" s="172"/>
      <c r="J45" s="172"/>
      <c r="K45" s="172"/>
      <c r="L45" s="172"/>
      <c r="M45" s="172"/>
      <c r="N45" s="172"/>
      <c r="O45" s="172"/>
      <c r="P45" s="172"/>
      <c r="Q45" s="172"/>
      <c r="R45" s="172"/>
      <c r="S45" s="172"/>
      <c r="T45" s="173"/>
    </row>
    <row r="46" spans="1:20">
      <c r="A46" s="50">
        <v>8360</v>
      </c>
      <c r="B46" s="51" t="s">
        <v>53</v>
      </c>
      <c r="C46" s="52" t="s">
        <v>42</v>
      </c>
      <c r="D46" s="52" t="s">
        <v>27</v>
      </c>
      <c r="E46" s="52" t="s">
        <v>28</v>
      </c>
      <c r="F46" s="52" t="s">
        <v>27</v>
      </c>
      <c r="G46" s="53">
        <v>45979</v>
      </c>
      <c r="H46" s="52" t="s">
        <v>28</v>
      </c>
      <c r="I46" s="52" t="s">
        <v>27</v>
      </c>
      <c r="J46" s="52" t="s">
        <v>28</v>
      </c>
      <c r="K46" s="52" t="s">
        <v>28</v>
      </c>
      <c r="L46" s="52" t="s">
        <v>28</v>
      </c>
      <c r="M46" s="52" t="s">
        <v>28</v>
      </c>
      <c r="N46" s="53"/>
      <c r="O46" s="52" t="s">
        <v>27</v>
      </c>
      <c r="P46" s="52"/>
      <c r="Q46" s="54"/>
      <c r="R46" s="52"/>
      <c r="S46" s="52"/>
      <c r="T46" s="55"/>
    </row>
    <row r="47" spans="1:20" ht="6.75" customHeight="1">
      <c r="A47" s="174"/>
      <c r="B47" s="175"/>
      <c r="C47" s="175"/>
      <c r="D47" s="175"/>
      <c r="E47" s="175"/>
      <c r="F47" s="175"/>
      <c r="G47" s="175"/>
      <c r="H47" s="175"/>
      <c r="I47" s="175"/>
      <c r="J47" s="175"/>
      <c r="K47" s="175"/>
      <c r="L47" s="175"/>
      <c r="M47" s="175"/>
      <c r="N47" s="175"/>
      <c r="O47" s="175"/>
      <c r="P47" s="175"/>
      <c r="Q47" s="175"/>
      <c r="R47" s="175"/>
      <c r="S47" s="175"/>
      <c r="T47" s="176"/>
    </row>
    <row r="48" spans="1:20" ht="15" customHeight="1">
      <c r="A48" s="142">
        <v>8337</v>
      </c>
      <c r="B48" s="45" t="s">
        <v>54</v>
      </c>
      <c r="C48" s="46"/>
      <c r="D48" s="46"/>
      <c r="E48" s="46"/>
      <c r="F48" s="46"/>
      <c r="G48" s="47"/>
      <c r="H48" s="46"/>
      <c r="I48" s="138"/>
      <c r="J48" s="46"/>
      <c r="K48" s="46"/>
      <c r="L48" s="46"/>
      <c r="M48" s="46"/>
      <c r="N48" s="47"/>
      <c r="O48" s="46"/>
      <c r="P48" s="46"/>
      <c r="Q48" s="48"/>
      <c r="R48" s="46"/>
      <c r="S48" s="46"/>
      <c r="T48" s="49"/>
    </row>
    <row r="49" spans="1:20" ht="6.75" customHeight="1">
      <c r="A49" s="171"/>
      <c r="B49" s="172"/>
      <c r="C49" s="172"/>
      <c r="D49" s="172"/>
      <c r="E49" s="172"/>
      <c r="F49" s="172"/>
      <c r="G49" s="172"/>
      <c r="H49" s="172"/>
      <c r="I49" s="172"/>
      <c r="J49" s="172"/>
      <c r="K49" s="172"/>
      <c r="L49" s="172"/>
      <c r="M49" s="172"/>
      <c r="N49" s="172"/>
      <c r="O49" s="172"/>
      <c r="P49" s="172"/>
      <c r="Q49" s="172"/>
      <c r="R49" s="172"/>
      <c r="S49" s="172"/>
      <c r="T49" s="173"/>
    </row>
    <row r="50" spans="1:20" ht="15.75" thickBot="1">
      <c r="A50" s="50">
        <v>9240</v>
      </c>
      <c r="B50" s="45" t="s">
        <v>55</v>
      </c>
      <c r="C50" s="52"/>
      <c r="D50" s="52"/>
      <c r="E50" s="46"/>
      <c r="F50" s="46"/>
      <c r="G50" s="47"/>
      <c r="H50" s="46"/>
      <c r="I50" s="46"/>
      <c r="J50" s="46"/>
      <c r="K50" s="46"/>
      <c r="L50" s="46"/>
      <c r="M50" s="46"/>
      <c r="N50" s="47"/>
      <c r="O50" s="46"/>
      <c r="P50" s="46"/>
      <c r="Q50" s="48"/>
      <c r="R50" s="46"/>
      <c r="S50" s="46"/>
      <c r="T50" s="49"/>
    </row>
    <row r="51" spans="1:20" ht="6.75" customHeight="1">
      <c r="A51" s="171"/>
      <c r="B51" s="172"/>
      <c r="C51" s="172"/>
      <c r="D51" s="172"/>
      <c r="E51" s="172"/>
      <c r="F51" s="172"/>
      <c r="G51" s="172"/>
      <c r="H51" s="172"/>
      <c r="I51" s="172"/>
      <c r="J51" s="172"/>
      <c r="K51" s="172"/>
      <c r="L51" s="172"/>
      <c r="M51" s="172"/>
      <c r="N51" s="172"/>
      <c r="O51" s="172"/>
      <c r="P51" s="172"/>
      <c r="Q51" s="172"/>
      <c r="R51" s="172"/>
      <c r="S51" s="172"/>
      <c r="T51" s="173"/>
    </row>
    <row r="52" spans="1:20" ht="15.75" thickBot="1">
      <c r="A52" s="50">
        <v>7428</v>
      </c>
      <c r="B52" s="45" t="s">
        <v>56</v>
      </c>
      <c r="C52" s="52" t="s">
        <v>42</v>
      </c>
      <c r="D52" s="52" t="s">
        <v>27</v>
      </c>
      <c r="E52" s="46" t="s">
        <v>28</v>
      </c>
      <c r="F52" s="46" t="s">
        <v>27</v>
      </c>
      <c r="G52" s="47">
        <v>45979</v>
      </c>
      <c r="H52" s="46" t="s">
        <v>27</v>
      </c>
      <c r="I52" s="138"/>
      <c r="J52" s="46" t="s">
        <v>28</v>
      </c>
      <c r="K52" s="46" t="s">
        <v>28</v>
      </c>
      <c r="L52" s="46" t="s">
        <v>28</v>
      </c>
      <c r="M52" s="46"/>
      <c r="N52" s="47"/>
      <c r="O52" s="46" t="s">
        <v>33</v>
      </c>
      <c r="P52" s="138"/>
      <c r="Q52" s="48"/>
      <c r="R52" s="46"/>
      <c r="S52" s="46"/>
      <c r="T52" s="49"/>
    </row>
    <row r="53" spans="1:20" ht="6.75" customHeight="1">
      <c r="A53" s="171"/>
      <c r="B53" s="172"/>
      <c r="C53" s="172"/>
      <c r="D53" s="172"/>
      <c r="E53" s="172"/>
      <c r="F53" s="172"/>
      <c r="G53" s="172"/>
      <c r="H53" s="172"/>
      <c r="I53" s="172"/>
      <c r="J53" s="172"/>
      <c r="K53" s="172"/>
      <c r="L53" s="172"/>
      <c r="M53" s="172"/>
      <c r="N53" s="172"/>
      <c r="O53" s="172"/>
      <c r="P53" s="172"/>
      <c r="Q53" s="172"/>
      <c r="R53" s="172"/>
      <c r="S53" s="172"/>
      <c r="T53" s="173"/>
    </row>
    <row r="54" spans="1:20" ht="15.75" thickBot="1">
      <c r="A54" s="50">
        <v>9351</v>
      </c>
      <c r="B54" s="45" t="s">
        <v>57</v>
      </c>
      <c r="C54" s="52" t="s">
        <v>42</v>
      </c>
      <c r="D54" s="52"/>
      <c r="E54" s="46"/>
      <c r="F54" s="46"/>
      <c r="G54" s="47"/>
      <c r="H54" s="46"/>
      <c r="I54" s="138"/>
      <c r="J54" s="46"/>
      <c r="K54" s="46"/>
      <c r="L54" s="46"/>
      <c r="M54" s="46"/>
      <c r="N54" s="47"/>
      <c r="O54" s="46"/>
      <c r="P54" s="138"/>
      <c r="Q54" s="48"/>
      <c r="R54" s="46"/>
      <c r="S54" s="46"/>
      <c r="T54" s="49"/>
    </row>
    <row r="55" spans="1:20" ht="6.75" customHeight="1">
      <c r="A55" s="171"/>
      <c r="B55" s="172"/>
      <c r="C55" s="172"/>
      <c r="D55" s="172"/>
      <c r="E55" s="172"/>
      <c r="F55" s="172"/>
      <c r="G55" s="172"/>
      <c r="H55" s="172"/>
      <c r="I55" s="172"/>
      <c r="J55" s="172"/>
      <c r="K55" s="172"/>
      <c r="L55" s="172"/>
      <c r="M55" s="172"/>
      <c r="N55" s="172"/>
      <c r="O55" s="172"/>
      <c r="P55" s="172"/>
      <c r="Q55" s="172"/>
      <c r="R55" s="172"/>
      <c r="S55" s="172"/>
      <c r="T55" s="173"/>
    </row>
    <row r="56" spans="1:20" ht="15.75" thickBot="1">
      <c r="A56" s="50">
        <v>7429</v>
      </c>
      <c r="B56" s="45" t="s">
        <v>58</v>
      </c>
      <c r="C56" s="52" t="s">
        <v>42</v>
      </c>
      <c r="D56" s="52" t="s">
        <v>27</v>
      </c>
      <c r="E56" s="46" t="s">
        <v>28</v>
      </c>
      <c r="F56" s="46" t="s">
        <v>27</v>
      </c>
      <c r="G56" s="47">
        <v>45979</v>
      </c>
      <c r="H56" s="46" t="s">
        <v>28</v>
      </c>
      <c r="I56" s="46" t="s">
        <v>28</v>
      </c>
      <c r="J56" s="46" t="s">
        <v>28</v>
      </c>
      <c r="K56" s="46" t="s">
        <v>28</v>
      </c>
      <c r="L56" s="46" t="s">
        <v>28</v>
      </c>
      <c r="M56" s="46"/>
      <c r="N56" s="47"/>
      <c r="O56" s="46" t="s">
        <v>33</v>
      </c>
      <c r="P56" s="138"/>
      <c r="Q56" s="48"/>
      <c r="R56" s="46"/>
      <c r="S56" s="46"/>
      <c r="T56" s="49"/>
    </row>
    <row r="57" spans="1:20" ht="6.75" customHeight="1">
      <c r="A57" s="171"/>
      <c r="B57" s="172"/>
      <c r="C57" s="172"/>
      <c r="D57" s="172"/>
      <c r="E57" s="172"/>
      <c r="F57" s="172"/>
      <c r="G57" s="172"/>
      <c r="H57" s="172"/>
      <c r="I57" s="172"/>
      <c r="J57" s="172"/>
      <c r="K57" s="172"/>
      <c r="L57" s="172"/>
      <c r="M57" s="172"/>
      <c r="N57" s="172"/>
      <c r="O57" s="172"/>
      <c r="P57" s="172"/>
      <c r="Q57" s="172"/>
      <c r="R57" s="172"/>
      <c r="S57" s="172"/>
      <c r="T57" s="173"/>
    </row>
    <row r="58" spans="1:20" ht="15.75" thickBot="1">
      <c r="A58" s="50">
        <v>9508</v>
      </c>
      <c r="B58" s="45" t="s">
        <v>59</v>
      </c>
      <c r="C58" s="52" t="s">
        <v>42</v>
      </c>
      <c r="D58" s="52"/>
      <c r="E58" s="46" t="s">
        <v>28</v>
      </c>
      <c r="F58" s="46" t="s">
        <v>27</v>
      </c>
      <c r="G58" s="47">
        <v>45979</v>
      </c>
      <c r="H58" s="46" t="s">
        <v>28</v>
      </c>
      <c r="I58" s="46" t="s">
        <v>28</v>
      </c>
      <c r="J58" s="46" t="s">
        <v>28</v>
      </c>
      <c r="K58" s="46" t="s">
        <v>28</v>
      </c>
      <c r="L58" s="46" t="s">
        <v>28</v>
      </c>
      <c r="M58" s="46"/>
      <c r="N58" s="47"/>
      <c r="O58" s="46" t="s">
        <v>33</v>
      </c>
      <c r="P58" s="138"/>
      <c r="Q58" s="48"/>
      <c r="R58" s="46"/>
      <c r="S58" s="46"/>
      <c r="T58" s="49"/>
    </row>
    <row r="59" spans="1:20" ht="6.75" customHeight="1">
      <c r="A59" s="171"/>
      <c r="B59" s="172"/>
      <c r="C59" s="172"/>
      <c r="D59" s="172"/>
      <c r="E59" s="172"/>
      <c r="F59" s="172"/>
      <c r="G59" s="172"/>
      <c r="H59" s="172"/>
      <c r="I59" s="172"/>
      <c r="J59" s="172"/>
      <c r="K59" s="172"/>
      <c r="L59" s="172"/>
      <c r="M59" s="172"/>
      <c r="N59" s="172"/>
      <c r="O59" s="172"/>
      <c r="P59" s="172"/>
      <c r="Q59" s="172"/>
      <c r="R59" s="172"/>
      <c r="S59" s="172"/>
      <c r="T59" s="173"/>
    </row>
    <row r="60" spans="1:20" ht="15.75" thickBot="1">
      <c r="A60" s="50"/>
      <c r="B60" s="45"/>
      <c r="C60" s="52"/>
      <c r="D60" s="52"/>
      <c r="E60" s="46" t="s">
        <v>28</v>
      </c>
      <c r="F60" s="46" t="s">
        <v>27</v>
      </c>
      <c r="G60" s="47"/>
      <c r="H60" s="46" t="s">
        <v>28</v>
      </c>
      <c r="I60" s="46"/>
      <c r="J60" s="46" t="s">
        <v>28</v>
      </c>
      <c r="K60" s="46"/>
      <c r="L60" s="46"/>
      <c r="M60" s="46"/>
      <c r="N60" s="47"/>
      <c r="O60" s="46"/>
      <c r="P60" s="46"/>
      <c r="Q60" s="48"/>
      <c r="R60" s="46"/>
      <c r="S60" s="46"/>
      <c r="T60" s="49"/>
    </row>
    <row r="61" spans="1:20" ht="6.75" customHeight="1">
      <c r="A61" s="171"/>
      <c r="B61" s="172"/>
      <c r="C61" s="172"/>
      <c r="D61" s="172"/>
      <c r="E61" s="172"/>
      <c r="F61" s="172"/>
      <c r="G61" s="172"/>
      <c r="H61" s="172"/>
      <c r="I61" s="172"/>
      <c r="J61" s="172"/>
      <c r="K61" s="172"/>
      <c r="L61" s="172"/>
      <c r="M61" s="172"/>
      <c r="N61" s="172"/>
      <c r="O61" s="172"/>
      <c r="P61" s="172"/>
      <c r="Q61" s="172"/>
      <c r="R61" s="172"/>
      <c r="S61" s="172"/>
      <c r="T61" s="173"/>
    </row>
    <row r="62" spans="1:20" ht="15.75" thickBot="1">
      <c r="A62" s="50"/>
      <c r="B62" s="45" t="s">
        <v>60</v>
      </c>
      <c r="C62" s="52"/>
      <c r="D62" s="52"/>
      <c r="E62" s="46"/>
      <c r="F62" s="46"/>
      <c r="G62" s="47"/>
      <c r="H62" s="46"/>
      <c r="I62" s="46"/>
      <c r="J62" s="46"/>
      <c r="K62" s="46"/>
      <c r="L62" s="46"/>
      <c r="M62" s="46"/>
      <c r="N62" s="47"/>
      <c r="O62" s="46"/>
      <c r="P62" s="138"/>
      <c r="Q62" s="48"/>
      <c r="R62" s="46"/>
      <c r="S62" s="46"/>
      <c r="T62" s="49"/>
    </row>
    <row r="63" spans="1:20" ht="6.75" customHeight="1">
      <c r="A63" s="171"/>
      <c r="B63" s="172"/>
      <c r="C63" s="172"/>
      <c r="D63" s="172"/>
      <c r="E63" s="172"/>
      <c r="F63" s="172"/>
      <c r="G63" s="172"/>
      <c r="H63" s="172"/>
      <c r="I63" s="172"/>
      <c r="J63" s="172"/>
      <c r="K63" s="172"/>
      <c r="L63" s="172"/>
      <c r="M63" s="172"/>
      <c r="N63" s="172"/>
      <c r="O63" s="172"/>
      <c r="P63" s="172"/>
      <c r="Q63" s="172"/>
      <c r="R63" s="172"/>
      <c r="S63" s="172"/>
      <c r="T63" s="173"/>
    </row>
    <row r="64" spans="1:20" ht="15.75" thickBot="1">
      <c r="A64" s="50">
        <v>8946</v>
      </c>
      <c r="B64" s="45" t="s">
        <v>61</v>
      </c>
      <c r="C64" s="52" t="s">
        <v>26</v>
      </c>
      <c r="D64" s="52"/>
      <c r="E64" s="46"/>
      <c r="F64" s="46"/>
      <c r="G64" s="47"/>
      <c r="H64" s="46"/>
      <c r="I64" s="46"/>
      <c r="J64" s="46"/>
      <c r="K64" s="46"/>
      <c r="L64" s="46"/>
      <c r="M64" s="46"/>
      <c r="N64" s="47"/>
      <c r="O64" s="46"/>
      <c r="P64" s="138"/>
      <c r="Q64" s="48"/>
      <c r="R64" s="46"/>
      <c r="S64" s="46"/>
      <c r="T64" s="49"/>
    </row>
    <row r="65" spans="1:20" ht="6.75" customHeight="1">
      <c r="A65" s="171"/>
      <c r="B65" s="172"/>
      <c r="C65" s="172"/>
      <c r="D65" s="172"/>
      <c r="E65" s="172"/>
      <c r="F65" s="172"/>
      <c r="G65" s="172"/>
      <c r="H65" s="172"/>
      <c r="I65" s="172"/>
      <c r="J65" s="172"/>
      <c r="K65" s="172"/>
      <c r="L65" s="172"/>
      <c r="M65" s="172"/>
      <c r="N65" s="172"/>
      <c r="O65" s="172"/>
      <c r="P65" s="172"/>
      <c r="Q65" s="172"/>
      <c r="R65" s="172"/>
      <c r="S65" s="172"/>
      <c r="T65" s="173"/>
    </row>
    <row r="66" spans="1:20" ht="15.75" thickBot="1">
      <c r="A66" s="50">
        <v>8308</v>
      </c>
      <c r="B66" s="45" t="s">
        <v>62</v>
      </c>
      <c r="C66" s="52" t="s">
        <v>42</v>
      </c>
      <c r="D66" s="52"/>
      <c r="E66" s="46" t="s">
        <v>28</v>
      </c>
      <c r="F66" s="46" t="s">
        <v>27</v>
      </c>
      <c r="G66" s="47"/>
      <c r="H66" s="46" t="s">
        <v>28</v>
      </c>
      <c r="I66" s="46"/>
      <c r="J66" s="46" t="s">
        <v>28</v>
      </c>
      <c r="K66" s="46"/>
      <c r="L66" s="46"/>
      <c r="M66" s="46"/>
      <c r="N66" s="47"/>
      <c r="O66" s="46"/>
      <c r="P66" s="46"/>
      <c r="Q66" s="48"/>
      <c r="R66" s="46"/>
      <c r="S66" s="46"/>
      <c r="T66" s="49"/>
    </row>
    <row r="67" spans="1:20">
      <c r="A67" s="129"/>
      <c r="B67" s="130"/>
      <c r="C67" s="129"/>
      <c r="D67" s="129"/>
      <c r="E67" s="129"/>
      <c r="F67" s="129"/>
      <c r="G67" s="131"/>
      <c r="H67" s="129"/>
      <c r="I67" s="129"/>
      <c r="J67" s="129"/>
      <c r="K67" s="129"/>
      <c r="L67" s="129"/>
      <c r="M67" s="129"/>
      <c r="N67" s="131"/>
      <c r="O67" s="129"/>
      <c r="P67" s="129"/>
      <c r="Q67" s="132"/>
      <c r="R67" s="129"/>
      <c r="S67" s="129"/>
      <c r="T67" s="129"/>
    </row>
  </sheetData>
  <mergeCells count="35">
    <mergeCell ref="A7:T7"/>
    <mergeCell ref="A1:T1"/>
    <mergeCell ref="M2:N2"/>
    <mergeCell ref="R2:S2"/>
    <mergeCell ref="A3:L3"/>
    <mergeCell ref="A5:T5"/>
    <mergeCell ref="A31:T31"/>
    <mergeCell ref="A9:T9"/>
    <mergeCell ref="A11:T11"/>
    <mergeCell ref="A13:T13"/>
    <mergeCell ref="A15:T15"/>
    <mergeCell ref="A17:T17"/>
    <mergeCell ref="A19:T19"/>
    <mergeCell ref="A21:T21"/>
    <mergeCell ref="A23:T23"/>
    <mergeCell ref="A25:T25"/>
    <mergeCell ref="A27:T27"/>
    <mergeCell ref="A29:T29"/>
    <mergeCell ref="A45:T45"/>
    <mergeCell ref="A33:T33"/>
    <mergeCell ref="A35:T35"/>
    <mergeCell ref="A37:T37"/>
    <mergeCell ref="A39:T39"/>
    <mergeCell ref="A41:T41"/>
    <mergeCell ref="A43:T43"/>
    <mergeCell ref="A47:T47"/>
    <mergeCell ref="A49:T49"/>
    <mergeCell ref="A51:T51"/>
    <mergeCell ref="A53:T53"/>
    <mergeCell ref="A55:T55"/>
    <mergeCell ref="A57:T57"/>
    <mergeCell ref="A59:T59"/>
    <mergeCell ref="A61:T61"/>
    <mergeCell ref="A63:T63"/>
    <mergeCell ref="A65:T65"/>
  </mergeCells>
  <phoneticPr fontId="27" type="noConversion"/>
  <conditionalFormatting sqref="D10:G10 E20:P20">
    <cfRule type="containsText" dxfId="330" priority="41" operator="containsText" text="Yes">
      <formula>NOT(ISERROR(SEARCH("Yes",D10)))</formula>
    </cfRule>
  </conditionalFormatting>
  <conditionalFormatting sqref="D12:F12">
    <cfRule type="containsText" dxfId="329" priority="39" operator="containsText" text="Yes">
      <formula>NOT(ISERROR(SEARCH("Yes",D12)))</formula>
    </cfRule>
  </conditionalFormatting>
  <conditionalFormatting sqref="D4:N4 P4 D6:N6 P6 D8:N8 P8 D14:N14 P14 D16:N16 P16 D18:N18 P18 P20 D22:N22 P22 D24:N24 P24 D26:N26 P26 D28:N28 P28 D30:N30 P30 D32:N32 P32 D34:N34 P34 D36:N36 P36 D20:N20">
    <cfRule type="containsText" dxfId="328" priority="89" operator="containsText" text="N/A">
      <formula>NOT(ISERROR(SEARCH("N/A",D4)))</formula>
    </cfRule>
  </conditionalFormatting>
  <conditionalFormatting sqref="D10:N10">
    <cfRule type="containsText" dxfId="327" priority="40" operator="containsText" text="N/A">
      <formula>NOT(ISERROR(SEARCH("N/A",D10)))</formula>
    </cfRule>
  </conditionalFormatting>
  <conditionalFormatting sqref="D12:F12 H12:N12">
    <cfRule type="containsText" dxfId="326" priority="38" operator="containsText" text="N/A">
      <formula>NOT(ISERROR(SEARCH("N/A",D12)))</formula>
    </cfRule>
  </conditionalFormatting>
  <conditionalFormatting sqref="D38:N38 P38">
    <cfRule type="containsText" dxfId="325" priority="55" operator="containsText" text="N/A">
      <formula>NOT(ISERROR(SEARCH("N/A",D38)))</formula>
    </cfRule>
  </conditionalFormatting>
  <conditionalFormatting sqref="D40:N40 P40">
    <cfRule type="containsText" dxfId="324" priority="52" operator="containsText" text="N/A">
      <formula>NOT(ISERROR(SEARCH("N/A",D40)))</formula>
    </cfRule>
  </conditionalFormatting>
  <conditionalFormatting sqref="D42:N42 P42">
    <cfRule type="containsText" dxfId="323" priority="49" operator="containsText" text="N/A">
      <formula>NOT(ISERROR(SEARCH("N/A",D42)))</formula>
    </cfRule>
  </conditionalFormatting>
  <conditionalFormatting sqref="D44:N44 P44">
    <cfRule type="containsText" dxfId="322" priority="46" operator="containsText" text="N/A">
      <formula>NOT(ISERROR(SEARCH("N/A",D44)))</formula>
    </cfRule>
  </conditionalFormatting>
  <conditionalFormatting sqref="D46:N46 P46">
    <cfRule type="containsText" dxfId="321" priority="43" operator="containsText" text="N/A">
      <formula>NOT(ISERROR(SEARCH("N/A",D46)))</formula>
    </cfRule>
  </conditionalFormatting>
  <conditionalFormatting sqref="D4:P4 D6:P6 D8:P8 D14:P14 D16:P16 D18:P18 D22:P22 D24:P24 D26:P26 D28:P28 D30:P30 D32:P32 D34:P34 D36:P36 R4:T4 R6:T6 R8:T8 R14:T14 R16:T16 R18:T18 R20:T20 R22:T22 R24:T24 R26:T26 R28:T28 R30:T30 R32:T32 R34:T34 R36:T36">
    <cfRule type="containsText" dxfId="320" priority="90" operator="containsText" text="Yes">
      <formula>NOT(ISERROR(SEARCH("Yes",D4)))</formula>
    </cfRule>
  </conditionalFormatting>
  <conditionalFormatting sqref="D38:P38 R38:T38">
    <cfRule type="containsText" dxfId="319" priority="56" operator="containsText" text="Yes">
      <formula>NOT(ISERROR(SEARCH("Yes",D38)))</formula>
    </cfRule>
  </conditionalFormatting>
  <conditionalFormatting sqref="D40:P40 R40:T40">
    <cfRule type="containsText" dxfId="318" priority="53" operator="containsText" text="Yes">
      <formula>NOT(ISERROR(SEARCH("Yes",D40)))</formula>
    </cfRule>
  </conditionalFormatting>
  <conditionalFormatting sqref="D42:P42 R42:T42">
    <cfRule type="containsText" dxfId="317" priority="50" operator="containsText" text="Yes">
      <formula>NOT(ISERROR(SEARCH("Yes",D42)))</formula>
    </cfRule>
  </conditionalFormatting>
  <conditionalFormatting sqref="D44:P44 R44:T44">
    <cfRule type="containsText" dxfId="316" priority="47" operator="containsText" text="Yes">
      <formula>NOT(ISERROR(SEARCH("Yes",D44)))</formula>
    </cfRule>
  </conditionalFormatting>
  <conditionalFormatting sqref="D46:P46 R46:T46">
    <cfRule type="containsText" dxfId="315" priority="44" operator="containsText" text="Yes">
      <formula>NOT(ISERROR(SEARCH("Yes",D46)))</formula>
    </cfRule>
  </conditionalFormatting>
  <conditionalFormatting sqref="H10:P10 R10:T10">
    <cfRule type="containsText" dxfId="314" priority="62" operator="containsText" text="Yes">
      <formula>NOT(ISERROR(SEARCH("Yes",H10)))</formula>
    </cfRule>
  </conditionalFormatting>
  <conditionalFormatting sqref="H12:P12 R12:T12">
    <cfRule type="containsText" dxfId="313" priority="59" operator="containsText" text="Yes">
      <formula>NOT(ISERROR(SEARCH("Yes",H12)))</formula>
    </cfRule>
  </conditionalFormatting>
  <conditionalFormatting sqref="O4 O6 O8 O14 O16 O18 O20 O22 O24 O26 O28 O30 O32 O34 O36">
    <cfRule type="containsText" dxfId="312" priority="84" operator="containsText" text="No">
      <formula>NOT(ISERROR(SEARCH("No",O4)))</formula>
    </cfRule>
  </conditionalFormatting>
  <conditionalFormatting sqref="O10">
    <cfRule type="containsText" dxfId="311" priority="60" operator="containsText" text="No">
      <formula>NOT(ISERROR(SEARCH("No",O10)))</formula>
    </cfRule>
  </conditionalFormatting>
  <conditionalFormatting sqref="O12">
    <cfRule type="containsText" dxfId="310" priority="57" operator="containsText" text="No">
      <formula>NOT(ISERROR(SEARCH("No",O12)))</formula>
    </cfRule>
  </conditionalFormatting>
  <conditionalFormatting sqref="O38">
    <cfRule type="containsText" dxfId="309" priority="54" operator="containsText" text="No">
      <formula>NOT(ISERROR(SEARCH("No",O38)))</formula>
    </cfRule>
  </conditionalFormatting>
  <conditionalFormatting sqref="O40">
    <cfRule type="containsText" dxfId="308" priority="51" operator="containsText" text="No">
      <formula>NOT(ISERROR(SEARCH("No",O40)))</formula>
    </cfRule>
  </conditionalFormatting>
  <conditionalFormatting sqref="O42">
    <cfRule type="containsText" dxfId="307" priority="48" operator="containsText" text="No">
      <formula>NOT(ISERROR(SEARCH("No",O42)))</formula>
    </cfRule>
  </conditionalFormatting>
  <conditionalFormatting sqref="O44">
    <cfRule type="containsText" dxfId="306" priority="45" operator="containsText" text="No">
      <formula>NOT(ISERROR(SEARCH("No",O44)))</formula>
    </cfRule>
  </conditionalFormatting>
  <conditionalFormatting sqref="O46">
    <cfRule type="containsText" dxfId="305" priority="42" operator="containsText" text="No">
      <formula>NOT(ISERROR(SEARCH("No",O46)))</formula>
    </cfRule>
  </conditionalFormatting>
  <conditionalFormatting sqref="P10">
    <cfRule type="containsText" dxfId="304" priority="61" operator="containsText" text="N/A">
      <formula>NOT(ISERROR(SEARCH("N/A",P10)))</formula>
    </cfRule>
  </conditionalFormatting>
  <conditionalFormatting sqref="P12">
    <cfRule type="containsText" dxfId="303" priority="58" operator="containsText" text="N/A">
      <formula>NOT(ISERROR(SEARCH("N/A",P12)))</formula>
    </cfRule>
  </conditionalFormatting>
  <conditionalFormatting sqref="D48:N48 P48">
    <cfRule type="containsText" dxfId="302" priority="36" operator="containsText" text="N/A">
      <formula>NOT(ISERROR(SEARCH("N/A",D48)))</formula>
    </cfRule>
  </conditionalFormatting>
  <conditionalFormatting sqref="D48:P48 R48:T48">
    <cfRule type="containsText" dxfId="301" priority="37" operator="containsText" text="Yes">
      <formula>NOT(ISERROR(SEARCH("Yes",D48)))</formula>
    </cfRule>
  </conditionalFormatting>
  <conditionalFormatting sqref="O48">
    <cfRule type="containsText" dxfId="300" priority="35" operator="containsText" text="No">
      <formula>NOT(ISERROR(SEARCH("No",O48)))</formula>
    </cfRule>
  </conditionalFormatting>
  <conditionalFormatting sqref="D50">
    <cfRule type="containsText" dxfId="299" priority="33" operator="containsText" text="N/A">
      <formula>NOT(ISERROR(SEARCH("N/A",D50)))</formula>
    </cfRule>
  </conditionalFormatting>
  <conditionalFormatting sqref="D50">
    <cfRule type="containsText" dxfId="298" priority="34" operator="containsText" text="Yes">
      <formula>NOT(ISERROR(SEARCH("Yes",D50)))</formula>
    </cfRule>
  </conditionalFormatting>
  <conditionalFormatting sqref="E50:N50 P50">
    <cfRule type="containsText" dxfId="297" priority="30" operator="containsText" text="N/A">
      <formula>NOT(ISERROR(SEARCH("N/A",E50)))</formula>
    </cfRule>
  </conditionalFormatting>
  <conditionalFormatting sqref="E50:P50 R50:T50">
    <cfRule type="containsText" dxfId="296" priority="31" operator="containsText" text="Yes">
      <formula>NOT(ISERROR(SEARCH("Yes",E50)))</formula>
    </cfRule>
  </conditionalFormatting>
  <conditionalFormatting sqref="O50">
    <cfRule type="containsText" dxfId="295" priority="29" operator="containsText" text="No">
      <formula>NOT(ISERROR(SEARCH("No",O50)))</formula>
    </cfRule>
  </conditionalFormatting>
  <conditionalFormatting sqref="D52">
    <cfRule type="containsText" dxfId="294" priority="27" operator="containsText" text="N/A">
      <formula>NOT(ISERROR(SEARCH("N/A",D52)))</formula>
    </cfRule>
  </conditionalFormatting>
  <conditionalFormatting sqref="D52">
    <cfRule type="containsText" dxfId="293" priority="28" operator="containsText" text="Yes">
      <formula>NOT(ISERROR(SEARCH("Yes",D52)))</formula>
    </cfRule>
  </conditionalFormatting>
  <conditionalFormatting sqref="E52:N52 P52">
    <cfRule type="containsText" dxfId="292" priority="25" operator="containsText" text="N/A">
      <formula>NOT(ISERROR(SEARCH("N/A",E52)))</formula>
    </cfRule>
  </conditionalFormatting>
  <conditionalFormatting sqref="E52:P52 R52:T52">
    <cfRule type="containsText" dxfId="291" priority="26" operator="containsText" text="Yes">
      <formula>NOT(ISERROR(SEARCH("Yes",E52)))</formula>
    </cfRule>
  </conditionalFormatting>
  <conditionalFormatting sqref="O52">
    <cfRule type="containsText" dxfId="290" priority="24" operator="containsText" text="No">
      <formula>NOT(ISERROR(SEARCH("No",O52)))</formula>
    </cfRule>
  </conditionalFormatting>
  <conditionalFormatting sqref="D54">
    <cfRule type="containsText" dxfId="289" priority="22" operator="containsText" text="N/A">
      <formula>NOT(ISERROR(SEARCH("N/A",D54)))</formula>
    </cfRule>
  </conditionalFormatting>
  <conditionalFormatting sqref="D54">
    <cfRule type="containsText" dxfId="288" priority="23" operator="containsText" text="Yes">
      <formula>NOT(ISERROR(SEARCH("Yes",D54)))</formula>
    </cfRule>
  </conditionalFormatting>
  <conditionalFormatting sqref="E54:N54 P54">
    <cfRule type="containsText" dxfId="287" priority="20" operator="containsText" text="N/A">
      <formula>NOT(ISERROR(SEARCH("N/A",E54)))</formula>
    </cfRule>
  </conditionalFormatting>
  <conditionalFormatting sqref="E54:P54 R54:T54">
    <cfRule type="containsText" dxfId="286" priority="21" operator="containsText" text="Yes">
      <formula>NOT(ISERROR(SEARCH("Yes",E54)))</formula>
    </cfRule>
  </conditionalFormatting>
  <conditionalFormatting sqref="O54">
    <cfRule type="containsText" dxfId="285" priority="19" operator="containsText" text="No">
      <formula>NOT(ISERROR(SEARCH("No",O54)))</formula>
    </cfRule>
  </conditionalFormatting>
  <conditionalFormatting sqref="D56">
    <cfRule type="containsText" dxfId="284" priority="17" operator="containsText" text="N/A">
      <formula>NOT(ISERROR(SEARCH("N/A",D56)))</formula>
    </cfRule>
  </conditionalFormatting>
  <conditionalFormatting sqref="D56">
    <cfRule type="containsText" dxfId="283" priority="18" operator="containsText" text="Yes">
      <formula>NOT(ISERROR(SEARCH("Yes",D56)))</formula>
    </cfRule>
  </conditionalFormatting>
  <conditionalFormatting sqref="E56:N56 P56">
    <cfRule type="containsText" dxfId="282" priority="15" operator="containsText" text="N/A">
      <formula>NOT(ISERROR(SEARCH("N/A",E56)))</formula>
    </cfRule>
  </conditionalFormatting>
  <conditionalFormatting sqref="E56:P56 R56:T56">
    <cfRule type="containsText" dxfId="281" priority="16" operator="containsText" text="Yes">
      <formula>NOT(ISERROR(SEARCH("Yes",E56)))</formula>
    </cfRule>
  </conditionalFormatting>
  <conditionalFormatting sqref="O56">
    <cfRule type="containsText" dxfId="280" priority="14" operator="containsText" text="No">
      <formula>NOT(ISERROR(SEARCH("No",O56)))</formula>
    </cfRule>
  </conditionalFormatting>
  <conditionalFormatting sqref="D58">
    <cfRule type="containsText" dxfId="279" priority="12" operator="containsText" text="N/A">
      <formula>NOT(ISERROR(SEARCH("N/A",D58)))</formula>
    </cfRule>
  </conditionalFormatting>
  <conditionalFormatting sqref="D58">
    <cfRule type="containsText" dxfId="278" priority="13" operator="containsText" text="Yes">
      <formula>NOT(ISERROR(SEARCH("Yes",D58)))</formula>
    </cfRule>
  </conditionalFormatting>
  <conditionalFormatting sqref="E58:N58 P58">
    <cfRule type="containsText" dxfId="277" priority="10" operator="containsText" text="N/A">
      <formula>NOT(ISERROR(SEARCH("N/A",E58)))</formula>
    </cfRule>
  </conditionalFormatting>
  <conditionalFormatting sqref="E58:P58 R58:T58">
    <cfRule type="containsText" dxfId="276" priority="11" operator="containsText" text="Yes">
      <formula>NOT(ISERROR(SEARCH("Yes",E58)))</formula>
    </cfRule>
  </conditionalFormatting>
  <conditionalFormatting sqref="O58">
    <cfRule type="containsText" dxfId="275" priority="9" operator="containsText" text="No">
      <formula>NOT(ISERROR(SEARCH("No",O58)))</formula>
    </cfRule>
  </conditionalFormatting>
  <conditionalFormatting sqref="D60 D62 D64 D66:D67">
    <cfRule type="containsText" dxfId="274" priority="7" operator="containsText" text="N/A">
      <formula>NOT(ISERROR(SEARCH("N/A",D60)))</formula>
    </cfRule>
  </conditionalFormatting>
  <conditionalFormatting sqref="D60 D62 D64 D66:D67">
    <cfRule type="containsText" dxfId="273" priority="8" operator="containsText" text="Yes">
      <formula>NOT(ISERROR(SEARCH("Yes",D60)))</formula>
    </cfRule>
  </conditionalFormatting>
  <conditionalFormatting sqref="E60:N60 P60 E62:N62 E64:N64 P62 P64 E66:N67 P66:P67">
    <cfRule type="containsText" dxfId="272" priority="5" operator="containsText" text="N/A">
      <formula>NOT(ISERROR(SEARCH("N/A",E60)))</formula>
    </cfRule>
  </conditionalFormatting>
  <conditionalFormatting sqref="E60:P60 R60:T60 E62:P62 E64:P64 R62:T62 R64:T64 E66:P67 R66:T67">
    <cfRule type="containsText" dxfId="271" priority="6" operator="containsText" text="Yes">
      <formula>NOT(ISERROR(SEARCH("Yes",E60)))</formula>
    </cfRule>
  </conditionalFormatting>
  <conditionalFormatting sqref="O60 O62 O64 O66:O67">
    <cfRule type="containsText" dxfId="270" priority="4" operator="containsText" text="No">
      <formula>NOT(ISERROR(SEARCH("No",O60)))</formula>
    </cfRule>
  </conditionalFormatting>
  <conditionalFormatting sqref="G12">
    <cfRule type="containsText" dxfId="269" priority="2" operator="containsText" text="N/A">
      <formula>NOT(ISERROR(SEARCH("N/A",G12)))</formula>
    </cfRule>
  </conditionalFormatting>
  <conditionalFormatting sqref="G12">
    <cfRule type="containsText" dxfId="268" priority="3" operator="containsText" text="Yes">
      <formula>NOT(ISERROR(SEARCH("Yes",G12)))</formula>
    </cfRule>
  </conditionalFormatting>
  <conditionalFormatting sqref="D20">
    <cfRule type="containsText" dxfId="267" priority="1" operator="containsText" text="Yes">
      <formula>NOT(ISERROR(SEARCH("Yes",D20)))</formula>
    </cfRule>
  </conditionalFormatting>
  <dataValidations count="6">
    <dataValidation type="list" allowBlank="1" showInputMessage="1" showErrorMessage="1" sqref="D34:F34 D4:F4 H4:M4 D10:F10 H10:M10 D6:F6 H6:M6 D44:F44 H44:M44 D8:F8 H8:M8 D12:F12 H12:M12 D14:F14 H14:M14 D16:F16 H16:M16 D18:F18 H18:M18 H20:M20 D22:F22 H22:M22 D24:F24 H24:M24 D26:F26 H26:M26 D28:F28 H28:M28 D30:F30 H30:M30 D32:F32 H32:M32 H34:M34 D36:F36 H36:M36 D38:F38 H38:M38 D40:F40 H40:M40 D42:F42 H42:M42 D46:F46 H46:M46 D48:F48 H48:M48 D50:F50 H50:M50 D52:F52 H52:M52 D54:F54 H54:M54 D56:F56 H56:M56 D58:F58 H58:M58 D66:F67 H60:M60 D60:F60 D62:F62 H62:M62 D64:F64 H64:M64 H66:M67 D20:F20" xr:uid="{887CCCCF-02DD-43E1-8A87-A7A95342C33A}">
      <formula1>"Yes, N/A"</formula1>
    </dataValidation>
    <dataValidation type="list" allowBlank="1" showInputMessage="1" showErrorMessage="1" sqref="O4 O10 O6 O44 O8 O12 O14 O16 O18 O20 O22 O24 O26 O28 O30 O32 O34 O36 O38 O40 O42 O46 O48 O50 O52 O54 O56 O58 O60 O62 O64 O66:O67" xr:uid="{D201CB7B-D28B-4630-9777-73FA9D9AF17B}">
      <formula1>"Yes, No"</formula1>
    </dataValidation>
    <dataValidation allowBlank="1" showInputMessage="1" showErrorMessage="1" sqref="G4 G8 G46 G44 G6 G10 G66:G67 G14 G16 G18 G22 G24 G26 G28 G30 G32 G34 G36 G38 G40 G42 G20 G48 G50 G52 G54 G56 G58 G60 G62 G64 G12" xr:uid="{2305A270-DE81-4A5C-969F-EE42FB59A657}"/>
    <dataValidation type="list" allowBlank="1" showInputMessage="1" showErrorMessage="1" sqref="R34:T34 R4:T4 P4 R10:T10 P10 R6:T6 P6 R44:T44 P44 R8:T8 P8 R12:T12 P12 R14:T14 P14 R16:T16 P16 R18:T18 P18 R20:T20 P20 R22:T22 P22 R24:T24 P24 R26:T26 P26 R28:T28 P28 R30:T30 P30 R32:T32 P32 P34 R36:T36 P36 R38:T38 P38 R40:T40 P40 R42:T42 P42 R46:T46 P46 R48:T48 P48 R50:T50 P50 R52:T52 P52 R54:T54 P54 R56:T56 P56 R58:T58 P58 R66:T67 P60 R60:T60 R62:T62 P62 R64:T64 P64 P66:P67" xr:uid="{3E999313-CE5D-478C-8114-AF40A4FB9C10}">
      <formula1>"Yes"</formula1>
    </dataValidation>
    <dataValidation type="list" allowBlank="1" showInputMessage="1" showErrorMessage="1" sqref="C4" xr:uid="{99A581DF-C5C6-4D4F-871F-AB26C8F4EABB}">
      <formula1>"Tom,Cameron"</formula1>
    </dataValidation>
    <dataValidation type="list" allowBlank="1" showInputMessage="1" showErrorMessage="1" sqref="C46 C8 C12 C14 C16 C18 C20 C22 C24 C26 C28 C30 C32 C34 C36 C38 C40 C42 C44 C6 C48 C50 C52 C54 C56 C58 C60 C62 C64 C66:C67 C10" xr:uid="{4850F0AA-B183-4BC1-A507-CC6BE31B106E}">
      <formula1>"Tom, Cameron"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D8165-848C-41CB-A3A0-6DA487DFEF84}">
  <dimension ref="A1:AI226"/>
  <sheetViews>
    <sheetView zoomScale="85" zoomScaleNormal="85" workbookViewId="0">
      <pane xSplit="2" ySplit="3" topLeftCell="J204" activePane="bottomRight" state="frozen"/>
      <selection pane="bottomRight" activeCell="T226" sqref="T226"/>
      <selection pane="bottomLeft"/>
      <selection pane="topRight"/>
    </sheetView>
  </sheetViews>
  <sheetFormatPr defaultRowHeight="15"/>
  <cols>
    <col min="2" max="3" width="26.42578125" customWidth="1"/>
    <col min="4" max="4" width="13.85546875" style="42" customWidth="1"/>
    <col min="5" max="5" width="14.85546875" style="42" customWidth="1"/>
    <col min="6" max="6" width="13.7109375" style="42" customWidth="1"/>
    <col min="7" max="7" width="12.7109375" style="38" customWidth="1"/>
    <col min="8" max="8" width="15.5703125" style="42" customWidth="1"/>
    <col min="9" max="9" width="16.42578125" style="42" customWidth="1"/>
    <col min="10" max="10" width="13.85546875" style="42" customWidth="1"/>
    <col min="11" max="11" width="14" style="42" customWidth="1"/>
    <col min="12" max="12" width="14.28515625" style="42" customWidth="1"/>
    <col min="13" max="14" width="12.7109375" style="38" customWidth="1"/>
    <col min="15" max="17" width="12.7109375" style="42" customWidth="1"/>
    <col min="18" max="18" width="12.7109375" style="38" customWidth="1"/>
    <col min="19" max="21" width="12.7109375" customWidth="1"/>
    <col min="22" max="27" width="12.7109375" style="38" customWidth="1"/>
    <col min="30" max="30" width="29" bestFit="1" customWidth="1"/>
    <col min="31" max="31" width="17" customWidth="1"/>
    <col min="34" max="34" width="11" bestFit="1" customWidth="1"/>
    <col min="35" max="35" width="13.7109375" bestFit="1" customWidth="1"/>
  </cols>
  <sheetData>
    <row r="1" spans="1:35" ht="31.5">
      <c r="A1" s="162" t="s">
        <v>0</v>
      </c>
      <c r="B1" s="163"/>
      <c r="C1" s="163"/>
      <c r="D1" s="163"/>
      <c r="E1" s="163"/>
      <c r="F1" s="163"/>
      <c r="G1" s="163"/>
      <c r="H1" s="163"/>
      <c r="I1" s="163"/>
      <c r="J1" s="163"/>
      <c r="K1" s="163"/>
      <c r="L1" s="163"/>
      <c r="M1" s="163"/>
      <c r="N1" s="163"/>
      <c r="O1" s="163"/>
      <c r="P1" s="163"/>
      <c r="Q1" s="163"/>
      <c r="R1" s="163"/>
      <c r="S1" s="163"/>
      <c r="T1" s="163"/>
      <c r="U1" s="163"/>
      <c r="V1" s="163"/>
      <c r="W1" s="163"/>
      <c r="X1" s="163"/>
      <c r="Y1" s="163"/>
      <c r="Z1" s="163"/>
      <c r="AA1" s="164"/>
      <c r="AB1" s="1"/>
    </row>
    <row r="2" spans="1:35" ht="50.25" customHeight="1">
      <c r="A2" s="191" t="s">
        <v>1</v>
      </c>
      <c r="B2" s="177" t="s">
        <v>2</v>
      </c>
      <c r="C2" s="177" t="s">
        <v>63</v>
      </c>
      <c r="D2" s="187" t="s">
        <v>64</v>
      </c>
      <c r="E2" s="187" t="s">
        <v>65</v>
      </c>
      <c r="F2" s="183" t="s">
        <v>66</v>
      </c>
      <c r="G2" s="181" t="s">
        <v>67</v>
      </c>
      <c r="H2" s="187" t="s">
        <v>68</v>
      </c>
      <c r="I2" s="187" t="s">
        <v>69</v>
      </c>
      <c r="J2" s="188" t="s">
        <v>70</v>
      </c>
      <c r="K2" s="188" t="s">
        <v>71</v>
      </c>
      <c r="L2" s="183" t="s">
        <v>72</v>
      </c>
      <c r="M2" s="181" t="s">
        <v>73</v>
      </c>
      <c r="N2" s="182" t="s">
        <v>74</v>
      </c>
      <c r="O2" s="189" t="s">
        <v>75</v>
      </c>
      <c r="P2" s="189" t="s">
        <v>76</v>
      </c>
      <c r="Q2" s="183" t="s">
        <v>77</v>
      </c>
      <c r="R2" s="181" t="s">
        <v>78</v>
      </c>
      <c r="S2" s="180" t="s">
        <v>79</v>
      </c>
      <c r="T2" s="180" t="s">
        <v>80</v>
      </c>
      <c r="U2" s="184" t="s">
        <v>81</v>
      </c>
      <c r="V2" s="181" t="s">
        <v>82</v>
      </c>
      <c r="W2" s="182" t="s">
        <v>83</v>
      </c>
      <c r="X2" s="185" t="s">
        <v>84</v>
      </c>
      <c r="Y2" s="186" t="s">
        <v>85</v>
      </c>
      <c r="Z2" s="185" t="s">
        <v>86</v>
      </c>
      <c r="AA2" s="190" t="s">
        <v>87</v>
      </c>
    </row>
    <row r="3" spans="1:35" ht="16.5" customHeight="1">
      <c r="A3" s="191"/>
      <c r="B3" s="177"/>
      <c r="C3" s="177"/>
      <c r="D3" s="187"/>
      <c r="E3" s="187"/>
      <c r="F3" s="183"/>
      <c r="G3" s="181"/>
      <c r="H3" s="187"/>
      <c r="I3" s="187"/>
      <c r="J3" s="188"/>
      <c r="K3" s="188"/>
      <c r="L3" s="183"/>
      <c r="M3" s="181"/>
      <c r="N3" s="182"/>
      <c r="O3" s="189"/>
      <c r="P3" s="189"/>
      <c r="Q3" s="183"/>
      <c r="R3" s="181"/>
      <c r="S3" s="180"/>
      <c r="T3" s="180"/>
      <c r="U3" s="184"/>
      <c r="V3" s="181"/>
      <c r="W3" s="182"/>
      <c r="X3" s="185"/>
      <c r="Y3" s="186"/>
      <c r="Z3" s="185"/>
      <c r="AA3" s="190"/>
      <c r="AH3" s="43" t="s">
        <v>88</v>
      </c>
      <c r="AI3" s="96" t="s">
        <v>89</v>
      </c>
    </row>
    <row r="4" spans="1:35">
      <c r="A4" s="7">
        <f>'Main Sheet'!A4</f>
        <v>7658</v>
      </c>
      <c r="B4" s="71" t="str">
        <f>'Main Sheet'!B4</f>
        <v>Charity Hospital</v>
      </c>
      <c r="C4" s="93" t="s">
        <v>90</v>
      </c>
      <c r="D4" s="56">
        <v>151187.84</v>
      </c>
      <c r="E4" s="56">
        <v>84036.95</v>
      </c>
      <c r="F4" s="40">
        <f>D4-E4</f>
        <v>67150.89</v>
      </c>
      <c r="G4" s="36">
        <f>F4/D4</f>
        <v>0.4441553632884761</v>
      </c>
      <c r="H4" s="40">
        <v>123244.87</v>
      </c>
      <c r="I4" s="40">
        <v>83080.14</v>
      </c>
      <c r="J4" s="56">
        <f>SUM(H4-O4)</f>
        <v>99869.39</v>
      </c>
      <c r="K4" s="56">
        <f>SUM(I4-P4)</f>
        <v>71217.91</v>
      </c>
      <c r="L4" s="40">
        <f t="shared" ref="L4:L9" si="0">J4-K4</f>
        <v>28651.479999999996</v>
      </c>
      <c r="M4" s="36">
        <f>L4/J4</f>
        <v>0.28688950638428851</v>
      </c>
      <c r="N4" s="58">
        <v>0.2</v>
      </c>
      <c r="O4" s="56">
        <v>23375.48</v>
      </c>
      <c r="P4" s="56">
        <v>11862.23</v>
      </c>
      <c r="Q4" s="40">
        <f>O4-P4</f>
        <v>11513.25</v>
      </c>
      <c r="R4" s="36">
        <f>Q4/O4</f>
        <v>0.49253534045076297</v>
      </c>
      <c r="S4" s="44">
        <v>473</v>
      </c>
      <c r="T4" s="44">
        <v>247.75</v>
      </c>
      <c r="U4" s="8">
        <f>S4-T4</f>
        <v>225.25</v>
      </c>
      <c r="V4" s="36">
        <f>U4/S4</f>
        <v>0.47621564482029599</v>
      </c>
      <c r="W4" s="58"/>
      <c r="X4" s="95">
        <f>(E4-K4-P4)/T4</f>
        <v>3.8619979818365047</v>
      </c>
      <c r="Y4" s="95">
        <f>(D4-J4-O4)/S4</f>
        <v>59.076046511627901</v>
      </c>
      <c r="Z4" s="36">
        <f>(E4-K4-P4)/E4</f>
        <v>1.1385586935270664E-2</v>
      </c>
      <c r="AA4" s="60">
        <f>SUM(D4-H4)/D4</f>
        <v>0.18482286670674045</v>
      </c>
      <c r="AB4" s="80"/>
      <c r="AD4" t="s">
        <v>91</v>
      </c>
      <c r="AE4">
        <f>AH9</f>
        <v>170.25</v>
      </c>
      <c r="AH4" s="7">
        <f>SUM(T5-T4)</f>
        <v>55</v>
      </c>
      <c r="AI4" s="94">
        <f>SUM(K5-K4)</f>
        <v>4159.1900000000023</v>
      </c>
    </row>
    <row r="5" spans="1:35">
      <c r="A5" s="7"/>
      <c r="B5" s="71"/>
      <c r="C5" s="93" t="s">
        <v>92</v>
      </c>
      <c r="D5" s="56">
        <v>151187.84</v>
      </c>
      <c r="E5" s="56">
        <v>84036.95</v>
      </c>
      <c r="F5" s="40">
        <f t="shared" ref="F5:F9" si="1">D5-E5</f>
        <v>67150.89</v>
      </c>
      <c r="G5" s="36">
        <f t="shared" ref="G5:G9" si="2">F5/D5</f>
        <v>0.4441553632884761</v>
      </c>
      <c r="H5" s="40">
        <v>123244.87</v>
      </c>
      <c r="I5" s="40">
        <v>90009.08</v>
      </c>
      <c r="J5" s="56">
        <f t="shared" ref="J5:K6" si="3">SUM(H5-O5)</f>
        <v>99869.39</v>
      </c>
      <c r="K5" s="56">
        <f t="shared" ref="K5:K9" si="4">SUM(I5-P5)</f>
        <v>75377.100000000006</v>
      </c>
      <c r="L5" s="40">
        <f t="shared" ref="L5:L8" si="5">J5-K5</f>
        <v>24492.289999999994</v>
      </c>
      <c r="M5" s="36">
        <f t="shared" ref="M5:M9" si="6">L5/J5</f>
        <v>0.24524321215940134</v>
      </c>
      <c r="N5" s="58">
        <v>0.2</v>
      </c>
      <c r="O5" s="56">
        <v>23375.48</v>
      </c>
      <c r="P5" s="56">
        <v>14631.98</v>
      </c>
      <c r="Q5" s="40">
        <f t="shared" ref="Q5:Q9" si="7">O5-P5</f>
        <v>8743.5</v>
      </c>
      <c r="R5" s="36">
        <f t="shared" ref="R5:R9" si="8">Q5/O5</f>
        <v>0.37404579499543966</v>
      </c>
      <c r="S5" s="44">
        <v>473</v>
      </c>
      <c r="T5" s="44">
        <v>302.75</v>
      </c>
      <c r="U5" s="8">
        <f t="shared" ref="U5:U9" si="9">S5-T5</f>
        <v>170.25</v>
      </c>
      <c r="V5" s="36">
        <f t="shared" ref="V5:V9" si="10">U5/S5</f>
        <v>0.35993657505285415</v>
      </c>
      <c r="W5" s="58"/>
      <c r="X5" s="95">
        <f t="shared" ref="X5:X9" si="11">(E5-K5-P5)/T5</f>
        <v>-19.726275805119762</v>
      </c>
      <c r="Y5" s="95">
        <f t="shared" ref="Y5:Y9" si="12">(D5-J5-O5)/S5</f>
        <v>59.076046511627901</v>
      </c>
      <c r="Z5" s="36">
        <f t="shared" ref="Z5:Z9" si="13">(E5-K5-P5)/E5</f>
        <v>-7.1065525343316338E-2</v>
      </c>
      <c r="AA5" s="60">
        <f t="shared" ref="AA5:AA9" si="14">SUM(D5-H5)/D5</f>
        <v>0.18482286670674045</v>
      </c>
      <c r="AB5" s="80"/>
      <c r="AD5" t="s">
        <v>93</v>
      </c>
      <c r="AE5" s="42">
        <f>AI9</f>
        <v>21734.649999999994</v>
      </c>
      <c r="AH5" s="7">
        <f>SUM(T6-T5)</f>
        <v>0</v>
      </c>
      <c r="AI5" s="94">
        <f>SUM(K6-K5)</f>
        <v>0</v>
      </c>
    </row>
    <row r="6" spans="1:35">
      <c r="A6" s="7"/>
      <c r="B6" s="71"/>
      <c r="C6" s="93" t="s">
        <v>94</v>
      </c>
      <c r="D6" s="56">
        <v>151187.84</v>
      </c>
      <c r="E6" s="56">
        <v>84036.95</v>
      </c>
      <c r="F6" s="40">
        <f t="shared" si="1"/>
        <v>67150.89</v>
      </c>
      <c r="G6" s="36">
        <f t="shared" si="2"/>
        <v>0.4441553632884761</v>
      </c>
      <c r="H6" s="40">
        <v>123244.87</v>
      </c>
      <c r="I6" s="40">
        <v>90009.08</v>
      </c>
      <c r="J6" s="56">
        <f t="shared" si="3"/>
        <v>99869.39</v>
      </c>
      <c r="K6" s="56">
        <f t="shared" si="3"/>
        <v>75377.100000000006</v>
      </c>
      <c r="L6" s="40">
        <f t="shared" si="5"/>
        <v>24492.289999999994</v>
      </c>
      <c r="M6" s="36">
        <f t="shared" si="6"/>
        <v>0.24524321215940134</v>
      </c>
      <c r="N6" s="58">
        <v>0.8</v>
      </c>
      <c r="O6" s="56">
        <v>23375.48</v>
      </c>
      <c r="P6" s="56">
        <v>14631.98</v>
      </c>
      <c r="Q6" s="40">
        <f t="shared" si="7"/>
        <v>8743.5</v>
      </c>
      <c r="R6" s="36">
        <f t="shared" si="8"/>
        <v>0.37404579499543966</v>
      </c>
      <c r="S6" s="44">
        <v>473</v>
      </c>
      <c r="T6" s="44">
        <v>302.75</v>
      </c>
      <c r="U6" s="8">
        <f t="shared" si="9"/>
        <v>170.25</v>
      </c>
      <c r="V6" s="36">
        <f t="shared" si="10"/>
        <v>0.35993657505285415</v>
      </c>
      <c r="W6" s="58"/>
      <c r="X6" s="95">
        <f t="shared" si="11"/>
        <v>-19.726275805119762</v>
      </c>
      <c r="Y6" s="95">
        <f t="shared" si="12"/>
        <v>59.076046511627901</v>
      </c>
      <c r="Z6" s="36">
        <f t="shared" si="13"/>
        <v>-7.1065525343316338E-2</v>
      </c>
      <c r="AA6" s="60">
        <f t="shared" si="14"/>
        <v>0.18482286670674045</v>
      </c>
      <c r="AB6" s="80"/>
      <c r="AH6" s="7">
        <f>SUM(T7-T6)</f>
        <v>0</v>
      </c>
      <c r="AI6" s="94">
        <f>SUM(K7-K6)</f>
        <v>0</v>
      </c>
    </row>
    <row r="7" spans="1:35">
      <c r="A7" s="7"/>
      <c r="B7" s="71"/>
      <c r="C7" s="93" t="s">
        <v>95</v>
      </c>
      <c r="D7" s="56">
        <v>151187.84</v>
      </c>
      <c r="E7" s="56">
        <v>84036.95</v>
      </c>
      <c r="F7" s="40">
        <f t="shared" si="1"/>
        <v>67150.89</v>
      </c>
      <c r="G7" s="36">
        <f>F7/D7</f>
        <v>0.4441553632884761</v>
      </c>
      <c r="H7" s="40">
        <v>123244.87</v>
      </c>
      <c r="I7" s="40">
        <v>90009.08</v>
      </c>
      <c r="J7" s="56">
        <f>SUM(H7-O7)</f>
        <v>99869.39</v>
      </c>
      <c r="K7" s="56">
        <f t="shared" si="4"/>
        <v>75377.100000000006</v>
      </c>
      <c r="L7" s="40">
        <f t="shared" si="5"/>
        <v>24492.289999999994</v>
      </c>
      <c r="M7" s="36">
        <f t="shared" si="6"/>
        <v>0.24524321215940134</v>
      </c>
      <c r="N7" s="58">
        <v>0.8</v>
      </c>
      <c r="O7" s="56">
        <v>23375.48</v>
      </c>
      <c r="P7" s="56">
        <v>14631.98</v>
      </c>
      <c r="Q7" s="40">
        <f t="shared" si="7"/>
        <v>8743.5</v>
      </c>
      <c r="R7" s="36">
        <f t="shared" si="8"/>
        <v>0.37404579499543966</v>
      </c>
      <c r="S7" s="44">
        <v>473</v>
      </c>
      <c r="T7" s="44">
        <v>302.75</v>
      </c>
      <c r="U7" s="8">
        <f t="shared" si="9"/>
        <v>170.25</v>
      </c>
      <c r="V7" s="36">
        <f t="shared" si="10"/>
        <v>0.35993657505285415</v>
      </c>
      <c r="W7" s="58"/>
      <c r="X7" s="95">
        <f t="shared" si="11"/>
        <v>-19.726275805119762</v>
      </c>
      <c r="Y7" s="95">
        <f t="shared" si="12"/>
        <v>59.076046511627901</v>
      </c>
      <c r="Z7" s="36">
        <f t="shared" si="13"/>
        <v>-7.1065525343316338E-2</v>
      </c>
      <c r="AA7" s="60">
        <f t="shared" si="14"/>
        <v>0.18482286670674045</v>
      </c>
      <c r="AB7" s="80"/>
      <c r="AD7" t="s">
        <v>96</v>
      </c>
      <c r="AE7" s="42">
        <v>0</v>
      </c>
      <c r="AH7" s="7">
        <f>SUM(T8-T7)</f>
        <v>52.75</v>
      </c>
      <c r="AI7" s="94">
        <f>SUM(K8-K7)</f>
        <v>9611.1199999999953</v>
      </c>
    </row>
    <row r="8" spans="1:35">
      <c r="A8" s="7"/>
      <c r="B8" s="71"/>
      <c r="C8" s="93" t="s">
        <v>97</v>
      </c>
      <c r="D8" s="56">
        <v>211177.4</v>
      </c>
      <c r="E8" s="56">
        <v>205915.9</v>
      </c>
      <c r="F8" s="40">
        <f t="shared" si="1"/>
        <v>5261.5</v>
      </c>
      <c r="G8" s="36">
        <f t="shared" si="2"/>
        <v>2.4915071404421119E-2</v>
      </c>
      <c r="H8" s="40">
        <v>179035.16</v>
      </c>
      <c r="I8" s="40">
        <v>102494.5</v>
      </c>
      <c r="J8" s="56">
        <f t="shared" ref="J8:J9" si="15">SUM(H8-O8)</f>
        <v>153862.87</v>
      </c>
      <c r="K8" s="56">
        <f t="shared" si="4"/>
        <v>84988.22</v>
      </c>
      <c r="L8" s="40">
        <f t="shared" si="5"/>
        <v>68874.649999999994</v>
      </c>
      <c r="M8" s="36">
        <f t="shared" si="6"/>
        <v>0.44763658704663445</v>
      </c>
      <c r="N8" s="58">
        <v>0.8</v>
      </c>
      <c r="O8" s="56">
        <v>25172.29</v>
      </c>
      <c r="P8" s="56">
        <v>17506.28</v>
      </c>
      <c r="Q8" s="40">
        <f t="shared" si="7"/>
        <v>7666.010000000002</v>
      </c>
      <c r="R8" s="36">
        <f t="shared" si="8"/>
        <v>0.30454162096495796</v>
      </c>
      <c r="S8" s="44">
        <v>509</v>
      </c>
      <c r="T8" s="44">
        <v>355.5</v>
      </c>
      <c r="U8" s="8">
        <f t="shared" si="9"/>
        <v>153.5</v>
      </c>
      <c r="V8" s="36">
        <f t="shared" si="10"/>
        <v>0.30157170923379173</v>
      </c>
      <c r="W8" s="58"/>
      <c r="X8" s="95">
        <f t="shared" si="11"/>
        <v>290.9181434599156</v>
      </c>
      <c r="Y8" s="95">
        <f t="shared" si="12"/>
        <v>63.147819253438108</v>
      </c>
      <c r="Z8" s="36">
        <f t="shared" si="13"/>
        <v>0.50225067612554442</v>
      </c>
      <c r="AA8" s="60">
        <f t="shared" si="14"/>
        <v>0.15220492344351239</v>
      </c>
      <c r="AB8" s="80"/>
      <c r="AH8" s="7">
        <f>SUM(T9-T8)</f>
        <v>62.5</v>
      </c>
      <c r="AI8" s="94">
        <f>SUM(K9-K8)</f>
        <v>7964.3399999999965</v>
      </c>
    </row>
    <row r="9" spans="1:35">
      <c r="A9" s="7"/>
      <c r="B9" s="71"/>
      <c r="C9" s="93" t="s">
        <v>98</v>
      </c>
      <c r="D9" s="56">
        <v>215046.91</v>
      </c>
      <c r="E9" s="56">
        <v>205915.9</v>
      </c>
      <c r="F9" s="40">
        <f t="shared" si="1"/>
        <v>9131.0100000000093</v>
      </c>
      <c r="G9" s="36">
        <f t="shared" si="2"/>
        <v>4.2460549654026694E-2</v>
      </c>
      <c r="H9" s="40">
        <v>181293.63</v>
      </c>
      <c r="I9" s="40">
        <v>113522.99</v>
      </c>
      <c r="J9" s="56">
        <f t="shared" si="15"/>
        <v>155024.75</v>
      </c>
      <c r="K9" s="56">
        <f t="shared" si="4"/>
        <v>92952.56</v>
      </c>
      <c r="L9" s="40">
        <f t="shared" si="0"/>
        <v>62072.19</v>
      </c>
      <c r="M9" s="36">
        <f t="shared" si="6"/>
        <v>0.4004018068082677</v>
      </c>
      <c r="N9" s="58">
        <v>0.9</v>
      </c>
      <c r="O9" s="56">
        <v>26268.880000000001</v>
      </c>
      <c r="P9" s="56">
        <v>20570.43</v>
      </c>
      <c r="Q9" s="40">
        <f t="shared" si="7"/>
        <v>5698.4500000000007</v>
      </c>
      <c r="R9" s="36">
        <f t="shared" si="8"/>
        <v>0.21692778679563043</v>
      </c>
      <c r="S9" s="44">
        <v>530.95000000000005</v>
      </c>
      <c r="T9" s="44">
        <v>418</v>
      </c>
      <c r="U9" s="8">
        <f t="shared" si="9"/>
        <v>112.95000000000005</v>
      </c>
      <c r="V9" s="36">
        <f t="shared" si="10"/>
        <v>0.212731895658725</v>
      </c>
      <c r="W9" s="58"/>
      <c r="X9" s="95">
        <f t="shared" si="11"/>
        <v>221.03566985645935</v>
      </c>
      <c r="Y9" s="95">
        <f t="shared" si="12"/>
        <v>63.571485073924087</v>
      </c>
      <c r="Z9" s="36">
        <f t="shared" si="13"/>
        <v>0.44869245162709631</v>
      </c>
      <c r="AA9" s="60">
        <f t="shared" si="14"/>
        <v>0.1569577540081836</v>
      </c>
      <c r="AB9" s="80"/>
      <c r="AH9" s="9">
        <f>SUM(AH4,AH5,AH6,AH7,AH8)</f>
        <v>170.25</v>
      </c>
      <c r="AI9" s="97">
        <f>SUM(AI4,AI5,AI6,AI7,AI8)</f>
        <v>21734.649999999994</v>
      </c>
    </row>
    <row r="10" spans="1:35" ht="9" customHeight="1">
      <c r="A10" s="274"/>
      <c r="B10" s="275"/>
      <c r="C10" s="275"/>
      <c r="D10" s="275"/>
      <c r="E10" s="275"/>
      <c r="F10" s="275"/>
      <c r="G10" s="275"/>
      <c r="H10" s="275"/>
      <c r="I10" s="275"/>
      <c r="J10" s="275"/>
      <c r="K10" s="275"/>
      <c r="L10" s="275"/>
      <c r="M10" s="275"/>
      <c r="N10" s="275"/>
      <c r="O10" s="275"/>
      <c r="P10" s="275"/>
      <c r="Q10" s="275"/>
      <c r="R10" s="275"/>
      <c r="S10" s="275"/>
      <c r="T10" s="275"/>
      <c r="U10" s="275"/>
      <c r="V10" s="275"/>
      <c r="W10" s="275"/>
      <c r="X10" s="275"/>
      <c r="Y10" s="275"/>
      <c r="Z10" s="275"/>
      <c r="AA10" s="276"/>
    </row>
    <row r="11" spans="1:35">
      <c r="A11" s="7">
        <f>'Main Sheet'!A6</f>
        <v>8142</v>
      </c>
      <c r="B11" s="71" t="str">
        <f>'Main Sheet'!B6</f>
        <v>Fisher Developements</v>
      </c>
      <c r="C11" s="93" t="s">
        <v>90</v>
      </c>
      <c r="D11" s="56">
        <v>95023.47</v>
      </c>
      <c r="E11" s="133">
        <v>51156.11</v>
      </c>
      <c r="F11" s="40">
        <f>D11-E11</f>
        <v>43867.360000000001</v>
      </c>
      <c r="G11" s="36">
        <f>F11/D11</f>
        <v>0.46164763294794431</v>
      </c>
      <c r="H11" s="40">
        <v>72292.47</v>
      </c>
      <c r="I11" s="40">
        <v>46015.25</v>
      </c>
      <c r="J11" s="56">
        <f>SUM(H11-O11)</f>
        <v>56719.740000000005</v>
      </c>
      <c r="K11" s="56">
        <f>SUM(I11-P11)</f>
        <v>43985.17</v>
      </c>
      <c r="L11" s="40">
        <f>J11-K11</f>
        <v>12734.570000000007</v>
      </c>
      <c r="M11" s="36">
        <f t="shared" ref="M11:M16" si="16">L11/J11</f>
        <v>0.22451742550300841</v>
      </c>
      <c r="N11" s="58">
        <v>0.5</v>
      </c>
      <c r="O11" s="56">
        <v>15572.73</v>
      </c>
      <c r="P11" s="56">
        <v>2030.08</v>
      </c>
      <c r="Q11" s="40">
        <f t="shared" ref="Q11:Q16" si="17">O11-P11</f>
        <v>13542.65</v>
      </c>
      <c r="R11" s="36">
        <f t="shared" ref="R11:R16" si="18">Q11/O11</f>
        <v>0.86963878523547256</v>
      </c>
      <c r="S11" s="44">
        <v>311.89</v>
      </c>
      <c r="T11" s="44">
        <v>45.5</v>
      </c>
      <c r="U11" s="8">
        <f t="shared" ref="U11:U16" si="19">S11-T11</f>
        <v>266.39</v>
      </c>
      <c r="V11" s="36">
        <f t="shared" ref="V11:V16" si="20">U11/S11</f>
        <v>0.8541152329346885</v>
      </c>
      <c r="W11" s="58">
        <v>0.1</v>
      </c>
      <c r="X11" s="95">
        <f t="shared" ref="X11:X16" si="21">(E11-K11-P11)/T11</f>
        <v>112.98593406593412</v>
      </c>
      <c r="Y11" s="95">
        <f>(D11-J11-O11)/S11</f>
        <v>72.88146461893615</v>
      </c>
      <c r="Z11" s="36">
        <f t="shared" ref="Z11:Z16" si="22">(E11-K11-P11)/E11</f>
        <v>0.10049356763053333</v>
      </c>
      <c r="AA11" s="60">
        <f>SUM(D11-H11)/D11</f>
        <v>0.23921458561763742</v>
      </c>
      <c r="AB11" s="80"/>
      <c r="AD11" t="s">
        <v>91</v>
      </c>
      <c r="AE11">
        <f>AH16</f>
        <v>7</v>
      </c>
      <c r="AH11" s="7">
        <f>SUM(T12-T11)</f>
        <v>7</v>
      </c>
      <c r="AI11" s="94">
        <f>SUM(K12-K11)</f>
        <v>-178.95999999999185</v>
      </c>
    </row>
    <row r="12" spans="1:35">
      <c r="A12" s="7"/>
      <c r="B12" s="71"/>
      <c r="C12" s="134" t="s">
        <v>92</v>
      </c>
      <c r="D12" s="56">
        <v>95023.47</v>
      </c>
      <c r="E12" s="133">
        <v>51156.11</v>
      </c>
      <c r="F12" s="40">
        <f t="shared" ref="F12:F16" si="23">D12-E12</f>
        <v>43867.360000000001</v>
      </c>
      <c r="G12" s="36">
        <f t="shared" ref="G12:G16" si="24">F12/D12</f>
        <v>0.46164763294794431</v>
      </c>
      <c r="H12" s="40">
        <v>72292.47</v>
      </c>
      <c r="I12" s="40">
        <v>46401.16</v>
      </c>
      <c r="J12" s="56">
        <f t="shared" ref="J12:K16" si="25">SUM(H12-O12)</f>
        <v>56719.740000000005</v>
      </c>
      <c r="K12" s="56">
        <f t="shared" ref="K12:K15" si="26">SUM(I12-P12)</f>
        <v>43806.210000000006</v>
      </c>
      <c r="L12" s="40">
        <f>J12-K12</f>
        <v>12913.529999999999</v>
      </c>
      <c r="M12" s="36">
        <f t="shared" si="16"/>
        <v>0.22767258806193394</v>
      </c>
      <c r="N12" s="58">
        <v>0.5</v>
      </c>
      <c r="O12" s="56">
        <v>15572.73</v>
      </c>
      <c r="P12" s="56">
        <v>2594.9499999999998</v>
      </c>
      <c r="Q12" s="40">
        <f t="shared" si="17"/>
        <v>12977.779999999999</v>
      </c>
      <c r="R12" s="36">
        <f t="shared" si="18"/>
        <v>0.83336576181568678</v>
      </c>
      <c r="S12" s="44">
        <v>311.89</v>
      </c>
      <c r="T12" s="44">
        <v>52.5</v>
      </c>
      <c r="U12" s="8">
        <f t="shared" si="19"/>
        <v>259.39</v>
      </c>
      <c r="V12" s="36">
        <f t="shared" si="20"/>
        <v>0.83167142261694826</v>
      </c>
      <c r="W12" s="58"/>
      <c r="X12" s="95">
        <f t="shared" si="21"/>
        <v>90.570476190476086</v>
      </c>
      <c r="Y12" s="95">
        <f>(D12-J12-O12)/S12</f>
        <v>72.88146461893615</v>
      </c>
      <c r="Z12" s="36">
        <f t="shared" si="22"/>
        <v>9.2949796221800177E-2</v>
      </c>
      <c r="AA12" s="60">
        <f t="shared" ref="AA12:AA16" si="27">SUM(D12-H12)/D12</f>
        <v>0.23921458561763742</v>
      </c>
      <c r="AB12" s="80"/>
      <c r="AD12" t="s">
        <v>93</v>
      </c>
      <c r="AE12" s="42">
        <f>AI16</f>
        <v>1716.6900000000023</v>
      </c>
      <c r="AH12" s="7">
        <f>SUM(T13-T12)</f>
        <v>0</v>
      </c>
      <c r="AI12" s="94">
        <f>SUM(K13-K12)</f>
        <v>0</v>
      </c>
    </row>
    <row r="13" spans="1:35">
      <c r="A13" s="7"/>
      <c r="B13" s="71"/>
      <c r="C13" s="134" t="s">
        <v>94</v>
      </c>
      <c r="D13" s="56">
        <v>95023.47</v>
      </c>
      <c r="E13" s="133">
        <v>51156.11</v>
      </c>
      <c r="F13" s="40">
        <f t="shared" si="23"/>
        <v>43867.360000000001</v>
      </c>
      <c r="G13" s="36">
        <f t="shared" si="24"/>
        <v>0.46164763294794431</v>
      </c>
      <c r="H13" s="40">
        <v>72292.47</v>
      </c>
      <c r="I13" s="40">
        <v>46401.16</v>
      </c>
      <c r="J13" s="56">
        <f t="shared" si="25"/>
        <v>56719.740000000005</v>
      </c>
      <c r="K13" s="56">
        <f t="shared" si="25"/>
        <v>43806.210000000006</v>
      </c>
      <c r="L13" s="40">
        <f t="shared" ref="L13" si="28">J13-K13</f>
        <v>12913.529999999999</v>
      </c>
      <c r="M13" s="36">
        <f>L13/J13</f>
        <v>0.22767258806193394</v>
      </c>
      <c r="N13" s="58"/>
      <c r="O13" s="56">
        <v>15572.73</v>
      </c>
      <c r="P13" s="56">
        <v>2594.9499999999998</v>
      </c>
      <c r="Q13" s="40">
        <f>O13-P13</f>
        <v>12977.779999999999</v>
      </c>
      <c r="R13" s="36">
        <f>Q13/O13</f>
        <v>0.83336576181568678</v>
      </c>
      <c r="S13" s="44">
        <v>311.89</v>
      </c>
      <c r="T13" s="44">
        <v>52.5</v>
      </c>
      <c r="U13" s="8">
        <f t="shared" si="19"/>
        <v>259.39</v>
      </c>
      <c r="V13" s="36">
        <f>U13/S13</f>
        <v>0.83167142261694826</v>
      </c>
      <c r="W13" s="58"/>
      <c r="X13" s="95">
        <f>(E13-K13-P13)/T13</f>
        <v>90.570476190476086</v>
      </c>
      <c r="Y13" s="95">
        <f>(D13-J13-O13)/S13</f>
        <v>72.88146461893615</v>
      </c>
      <c r="Z13" s="36">
        <f>(E13-K13-P13)/E13</f>
        <v>9.2949796221800177E-2</v>
      </c>
      <c r="AA13" s="60">
        <f t="shared" si="27"/>
        <v>0.23921458561763742</v>
      </c>
      <c r="AB13" s="80"/>
      <c r="AH13" s="7">
        <f>SUM(T14-T13)</f>
        <v>0</v>
      </c>
      <c r="AI13" s="94">
        <f>SUM(K14-K13)</f>
        <v>0</v>
      </c>
    </row>
    <row r="14" spans="1:35">
      <c r="A14" s="7"/>
      <c r="B14" s="71"/>
      <c r="C14" s="134" t="s">
        <v>95</v>
      </c>
      <c r="D14" s="56">
        <v>95023.47</v>
      </c>
      <c r="E14" s="133">
        <v>51156.11</v>
      </c>
      <c r="F14" s="40">
        <f t="shared" si="23"/>
        <v>43867.360000000001</v>
      </c>
      <c r="G14" s="36">
        <f t="shared" si="24"/>
        <v>0.46164763294794431</v>
      </c>
      <c r="H14" s="40">
        <v>72292.47</v>
      </c>
      <c r="I14" s="40">
        <v>46401.16</v>
      </c>
      <c r="J14" s="56">
        <f>SUM(H14-O14)</f>
        <v>56719.740000000005</v>
      </c>
      <c r="K14" s="56">
        <f t="shared" si="26"/>
        <v>43806.210000000006</v>
      </c>
      <c r="L14" s="40">
        <f t="shared" ref="L13:L16" si="29">J14-K14</f>
        <v>12913.529999999999</v>
      </c>
      <c r="M14" s="36">
        <f t="shared" si="16"/>
        <v>0.22767258806193394</v>
      </c>
      <c r="N14" s="58"/>
      <c r="O14" s="56">
        <v>15572.73</v>
      </c>
      <c r="P14" s="56">
        <v>2594.9499999999998</v>
      </c>
      <c r="Q14" s="40">
        <f t="shared" si="17"/>
        <v>12977.779999999999</v>
      </c>
      <c r="R14" s="36">
        <f t="shared" si="18"/>
        <v>0.83336576181568678</v>
      </c>
      <c r="S14" s="44">
        <v>311.89</v>
      </c>
      <c r="T14" s="44">
        <v>52.5</v>
      </c>
      <c r="U14" s="8">
        <f>S14-T14</f>
        <v>259.39</v>
      </c>
      <c r="V14" s="36">
        <f>U14/S14</f>
        <v>0.83167142261694826</v>
      </c>
      <c r="W14" s="58"/>
      <c r="X14" s="95">
        <f t="shared" si="21"/>
        <v>90.570476190476086</v>
      </c>
      <c r="Y14" s="95">
        <f>(D16-J14-O14)/S14</f>
        <v>72.88146461893615</v>
      </c>
      <c r="Z14" s="36">
        <f t="shared" si="22"/>
        <v>9.2949796221800177E-2</v>
      </c>
      <c r="AA14" s="60">
        <f>SUM(D16-H14)/D16</f>
        <v>0.23921458561763742</v>
      </c>
      <c r="AB14" s="80"/>
      <c r="AD14" t="s">
        <v>96</v>
      </c>
      <c r="AE14" s="42">
        <v>0</v>
      </c>
      <c r="AH14" s="7">
        <f>SUM(T15-T14)</f>
        <v>0</v>
      </c>
      <c r="AI14" s="94">
        <f>SUM(K15-K14)</f>
        <v>1880.9499999999971</v>
      </c>
    </row>
    <row r="15" spans="1:35">
      <c r="A15" s="7"/>
      <c r="B15" s="71"/>
      <c r="C15" s="134" t="s">
        <v>97</v>
      </c>
      <c r="D15" s="56">
        <v>95023.47</v>
      </c>
      <c r="E15" s="133">
        <v>51156.11</v>
      </c>
      <c r="F15" s="40">
        <f t="shared" si="23"/>
        <v>43867.360000000001</v>
      </c>
      <c r="G15" s="36">
        <f t="shared" si="24"/>
        <v>0.46164763294794431</v>
      </c>
      <c r="H15" s="40">
        <v>72292.47</v>
      </c>
      <c r="I15" s="40">
        <v>48282.11</v>
      </c>
      <c r="J15" s="56">
        <f t="shared" si="25"/>
        <v>56719.740000000005</v>
      </c>
      <c r="K15" s="56">
        <f t="shared" si="26"/>
        <v>45687.16</v>
      </c>
      <c r="L15" s="40">
        <f t="shared" si="29"/>
        <v>11032.580000000002</v>
      </c>
      <c r="M15" s="36">
        <f t="shared" si="16"/>
        <v>0.19451041207170555</v>
      </c>
      <c r="N15" s="58"/>
      <c r="O15" s="56">
        <v>15572.73</v>
      </c>
      <c r="P15" s="56">
        <v>2594.9499999999998</v>
      </c>
      <c r="Q15" s="40">
        <f t="shared" si="17"/>
        <v>12977.779999999999</v>
      </c>
      <c r="R15" s="36">
        <f t="shared" si="18"/>
        <v>0.83336576181568678</v>
      </c>
      <c r="S15" s="44">
        <v>311.89</v>
      </c>
      <c r="T15" s="44">
        <v>52.5</v>
      </c>
      <c r="U15" s="8">
        <f>S15-T15</f>
        <v>259.39</v>
      </c>
      <c r="V15" s="36">
        <f>U15/S15</f>
        <v>0.83167142261694826</v>
      </c>
      <c r="W15" s="58"/>
      <c r="X15" s="95">
        <f t="shared" si="21"/>
        <v>54.74285714285709</v>
      </c>
      <c r="Y15" s="95">
        <f>(D15-J15-O15)/S15</f>
        <v>72.88146461893615</v>
      </c>
      <c r="Z15" s="36">
        <f t="shared" si="22"/>
        <v>5.6180972321781257E-2</v>
      </c>
      <c r="AA15" s="60">
        <f t="shared" si="27"/>
        <v>0.23921458561763742</v>
      </c>
      <c r="AB15" s="80"/>
      <c r="AH15" s="7">
        <f>SUM(T16-T15)</f>
        <v>0</v>
      </c>
      <c r="AI15" s="94">
        <f>SUM(K16-K15)</f>
        <v>14.69999999999709</v>
      </c>
    </row>
    <row r="16" spans="1:35">
      <c r="A16" s="7"/>
      <c r="B16" s="71"/>
      <c r="C16" s="134" t="s">
        <v>98</v>
      </c>
      <c r="D16" s="56">
        <v>95023.47</v>
      </c>
      <c r="E16" s="133">
        <v>51156.11</v>
      </c>
      <c r="F16" s="40">
        <f t="shared" si="23"/>
        <v>43867.360000000001</v>
      </c>
      <c r="G16" s="36">
        <f t="shared" si="24"/>
        <v>0.46164763294794431</v>
      </c>
      <c r="H16" s="40">
        <v>72292.47</v>
      </c>
      <c r="I16" s="40">
        <v>48296.81</v>
      </c>
      <c r="J16" s="56">
        <f t="shared" si="25"/>
        <v>56719.740000000005</v>
      </c>
      <c r="K16" s="56">
        <f>SUM(I16-P16)</f>
        <v>45701.86</v>
      </c>
      <c r="L16" s="40">
        <f t="shared" si="29"/>
        <v>11017.880000000005</v>
      </c>
      <c r="M16" s="36">
        <f t="shared" si="16"/>
        <v>0.19425124304166422</v>
      </c>
      <c r="N16" s="58"/>
      <c r="O16" s="56">
        <v>15572.73</v>
      </c>
      <c r="P16" s="56">
        <v>2594.9499999999998</v>
      </c>
      <c r="Q16" s="40">
        <f t="shared" si="17"/>
        <v>12977.779999999999</v>
      </c>
      <c r="R16" s="36">
        <f t="shared" si="18"/>
        <v>0.83336576181568678</v>
      </c>
      <c r="S16" s="44">
        <v>311.89</v>
      </c>
      <c r="T16" s="44">
        <v>52.5</v>
      </c>
      <c r="U16" s="8">
        <f t="shared" si="19"/>
        <v>259.39</v>
      </c>
      <c r="V16" s="36">
        <f t="shared" si="20"/>
        <v>0.83167142261694826</v>
      </c>
      <c r="W16" s="58">
        <v>0.3</v>
      </c>
      <c r="X16" s="95">
        <f t="shared" si="21"/>
        <v>54.462857142857146</v>
      </c>
      <c r="Y16" s="95">
        <f>(D16-J16-O16)/S16</f>
        <v>72.88146461893615</v>
      </c>
      <c r="Z16" s="36">
        <f t="shared" si="22"/>
        <v>5.5893616617839009E-2</v>
      </c>
      <c r="AA16" s="60">
        <f t="shared" si="27"/>
        <v>0.23921458561763742</v>
      </c>
      <c r="AB16" s="80"/>
      <c r="AH16" s="9">
        <f>SUM(AH11,AH12,AH13,AH14,AH15)</f>
        <v>7</v>
      </c>
      <c r="AI16" s="97">
        <f>SUM(AI11,AI12,AI13,AI14,AI15)</f>
        <v>1716.6900000000023</v>
      </c>
    </row>
    <row r="17" spans="1:35" ht="9" customHeight="1">
      <c r="A17" s="274"/>
      <c r="B17" s="275"/>
      <c r="C17" s="275"/>
      <c r="D17" s="277"/>
      <c r="E17" s="275"/>
      <c r="F17" s="275"/>
      <c r="G17" s="275"/>
      <c r="H17" s="275"/>
      <c r="I17" s="275"/>
      <c r="J17" s="275"/>
      <c r="K17" s="275"/>
      <c r="L17" s="275"/>
      <c r="M17" s="275"/>
      <c r="N17" s="275"/>
      <c r="O17" s="275"/>
      <c r="P17" s="275"/>
      <c r="Q17" s="275"/>
      <c r="R17" s="275"/>
      <c r="S17" s="275"/>
      <c r="T17" s="275"/>
      <c r="U17" s="275"/>
      <c r="V17" s="275"/>
      <c r="W17" s="275"/>
      <c r="X17" s="275"/>
      <c r="Y17" s="275"/>
      <c r="Z17" s="275"/>
      <c r="AA17" s="276"/>
    </row>
    <row r="18" spans="1:35">
      <c r="A18" s="7">
        <v>8824</v>
      </c>
      <c r="B18" s="71" t="s">
        <v>31</v>
      </c>
      <c r="C18" s="93" t="s">
        <v>90</v>
      </c>
      <c r="D18" s="56">
        <v>27500.32</v>
      </c>
      <c r="E18" s="56">
        <v>0</v>
      </c>
      <c r="F18" s="40">
        <f>D18-E18</f>
        <v>27500.32</v>
      </c>
      <c r="G18" s="36">
        <f>F18/D18</f>
        <v>1</v>
      </c>
      <c r="H18" s="40">
        <v>19565.830000000002</v>
      </c>
      <c r="I18" s="40">
        <v>4619.18</v>
      </c>
      <c r="J18" s="56">
        <f>SUM(H18-O18)</f>
        <v>13767.340000000002</v>
      </c>
      <c r="K18" s="56">
        <f>SUM(I18-P18)</f>
        <v>3061.2400000000002</v>
      </c>
      <c r="L18" s="40">
        <f t="shared" ref="L18:L23" si="30">J18-K18</f>
        <v>10706.100000000002</v>
      </c>
      <c r="M18" s="36">
        <f>L18/J18</f>
        <v>0.77764477379072505</v>
      </c>
      <c r="N18" s="58"/>
      <c r="O18" s="56">
        <v>5798.49</v>
      </c>
      <c r="P18" s="56">
        <v>1557.94</v>
      </c>
      <c r="Q18" s="40">
        <f>O18-P18</f>
        <v>4240.5499999999993</v>
      </c>
      <c r="R18" s="36">
        <f t="shared" ref="R18:R23" si="31">Q18/O18</f>
        <v>0.7313197056475047</v>
      </c>
      <c r="S18" s="44">
        <v>125.39</v>
      </c>
      <c r="T18" s="44">
        <v>31.75</v>
      </c>
      <c r="U18" s="8">
        <f t="shared" ref="U18:U23" si="32">S18-T18</f>
        <v>93.64</v>
      </c>
      <c r="V18" s="36">
        <f t="shared" ref="V18:V23" si="33">U18/S18</f>
        <v>0.74679001515272347</v>
      </c>
      <c r="W18" s="58">
        <v>0.25</v>
      </c>
      <c r="X18" s="95">
        <f t="shared" ref="X18:X23" si="34">(E18-K18-P18)/T18</f>
        <v>-145.48598425196852</v>
      </c>
      <c r="Y18" s="95">
        <f t="shared" ref="Y18:Y23" si="35">(D18-J18-O18)/S18</f>
        <v>63.278491107743825</v>
      </c>
      <c r="Z18" s="36" t="e">
        <f t="shared" ref="Z18:Z23" si="36">(E18-K18-P18)/E18</f>
        <v>#DIV/0!</v>
      </c>
      <c r="AA18" s="60">
        <f>SUM(D18-H18)/D18</f>
        <v>0.28852355172594346</v>
      </c>
      <c r="AB18" s="80"/>
      <c r="AD18" t="s">
        <v>91</v>
      </c>
      <c r="AE18">
        <f>AH23</f>
        <v>3</v>
      </c>
      <c r="AH18" s="7">
        <f>SUM(T19-T18)</f>
        <v>0</v>
      </c>
      <c r="AI18" s="94">
        <f>SUM(K19-K18)</f>
        <v>0</v>
      </c>
    </row>
    <row r="19" spans="1:35">
      <c r="A19" s="7"/>
      <c r="B19" s="71"/>
      <c r="C19" s="93" t="s">
        <v>92</v>
      </c>
      <c r="D19" s="56">
        <v>27500.32</v>
      </c>
      <c r="E19" s="56"/>
      <c r="F19" s="40">
        <f t="shared" ref="F19:F23" si="37">D19-E19</f>
        <v>27500.32</v>
      </c>
      <c r="G19" s="36">
        <f t="shared" ref="G19:G23" si="38">F19/D19</f>
        <v>1</v>
      </c>
      <c r="H19" s="40">
        <v>19565.830000000002</v>
      </c>
      <c r="I19" s="40">
        <v>4619.18</v>
      </c>
      <c r="J19" s="56">
        <f t="shared" ref="J19:J23" si="39">SUM(H19-O19)</f>
        <v>13767.340000000002</v>
      </c>
      <c r="K19" s="56">
        <f t="shared" ref="K19:K23" si="40">SUM(I19-P19)</f>
        <v>3061.2400000000002</v>
      </c>
      <c r="L19" s="40">
        <f t="shared" si="30"/>
        <v>10706.100000000002</v>
      </c>
      <c r="M19" s="36">
        <f t="shared" ref="M19:M23" si="41">L19/J19</f>
        <v>0.77764477379072505</v>
      </c>
      <c r="N19" s="58"/>
      <c r="O19" s="56">
        <v>5798.49</v>
      </c>
      <c r="P19" s="56">
        <v>1557.94</v>
      </c>
      <c r="Q19" s="40">
        <f t="shared" ref="Q19:Q23" si="42">O19-P19</f>
        <v>4240.5499999999993</v>
      </c>
      <c r="R19" s="36">
        <f t="shared" si="31"/>
        <v>0.7313197056475047</v>
      </c>
      <c r="S19" s="44">
        <v>125.39</v>
      </c>
      <c r="T19" s="44">
        <v>31.75</v>
      </c>
      <c r="U19" s="8">
        <f t="shared" si="32"/>
        <v>93.64</v>
      </c>
      <c r="V19" s="36">
        <f t="shared" si="33"/>
        <v>0.74679001515272347</v>
      </c>
      <c r="W19" s="58">
        <v>0.25</v>
      </c>
      <c r="X19" s="95">
        <f t="shared" si="34"/>
        <v>-145.48598425196852</v>
      </c>
      <c r="Y19" s="95">
        <f t="shared" si="35"/>
        <v>63.278491107743825</v>
      </c>
      <c r="Z19" s="36" t="e">
        <f t="shared" si="36"/>
        <v>#DIV/0!</v>
      </c>
      <c r="AA19" s="60">
        <f t="shared" ref="AA19:AA23" si="43">SUM(D19-H19)/D19</f>
        <v>0.28852355172594346</v>
      </c>
      <c r="AB19" s="80"/>
      <c r="AD19" t="s">
        <v>93</v>
      </c>
      <c r="AE19" s="42">
        <f>AI23</f>
        <v>2849.9999999999995</v>
      </c>
      <c r="AH19" s="7">
        <f>SUM(T20-T19)</f>
        <v>3</v>
      </c>
      <c r="AI19" s="94">
        <f>SUM(K20-K19)</f>
        <v>-4.5474735088646412E-13</v>
      </c>
    </row>
    <row r="20" spans="1:35">
      <c r="A20" s="7"/>
      <c r="B20" s="71"/>
      <c r="C20" s="93" t="s">
        <v>94</v>
      </c>
      <c r="D20" s="56">
        <v>27500.32</v>
      </c>
      <c r="E20" s="56"/>
      <c r="F20" s="40">
        <f t="shared" si="37"/>
        <v>27500.32</v>
      </c>
      <c r="G20" s="36">
        <f t="shared" si="38"/>
        <v>1</v>
      </c>
      <c r="H20" s="40">
        <v>19565.830000000002</v>
      </c>
      <c r="I20" s="40">
        <v>4771.92</v>
      </c>
      <c r="J20" s="56">
        <f t="shared" si="39"/>
        <v>13767.340000000002</v>
      </c>
      <c r="K20" s="56">
        <f t="shared" ref="K20" si="44">SUM(I20-P20)</f>
        <v>3061.24</v>
      </c>
      <c r="L20" s="40">
        <f>J20-K20</f>
        <v>10706.100000000002</v>
      </c>
      <c r="M20" s="36">
        <f t="shared" si="41"/>
        <v>0.77764477379072505</v>
      </c>
      <c r="N20" s="58"/>
      <c r="O20" s="56">
        <v>5798.49</v>
      </c>
      <c r="P20" s="56">
        <v>1710.68</v>
      </c>
      <c r="Q20" s="40">
        <f t="shared" si="42"/>
        <v>4087.8099999999995</v>
      </c>
      <c r="R20" s="36">
        <f>Q20/O20</f>
        <v>0.70497836505710965</v>
      </c>
      <c r="S20" s="44">
        <v>125.39</v>
      </c>
      <c r="T20" s="44">
        <v>34.75</v>
      </c>
      <c r="U20" s="8">
        <f t="shared" si="32"/>
        <v>90.64</v>
      </c>
      <c r="V20" s="36">
        <f>U20/S20</f>
        <v>0.72286466225376822</v>
      </c>
      <c r="W20" s="58"/>
      <c r="X20" s="95">
        <f>(E20-K20-P20)/T20</f>
        <v>-137.32143884892088</v>
      </c>
      <c r="Y20" s="95">
        <f>(D20-J20-O20)/S20</f>
        <v>63.278491107743825</v>
      </c>
      <c r="Z20" s="36" t="e">
        <f>(E20-K20-P20)/E20</f>
        <v>#DIV/0!</v>
      </c>
      <c r="AA20" s="60">
        <f t="shared" si="43"/>
        <v>0.28852355172594346</v>
      </c>
      <c r="AB20" s="80"/>
      <c r="AH20" s="7">
        <f>SUM(T21-T20)</f>
        <v>0</v>
      </c>
      <c r="AI20" s="94">
        <f>SUM(K21-K20)</f>
        <v>0</v>
      </c>
    </row>
    <row r="21" spans="1:35">
      <c r="A21" s="7"/>
      <c r="B21" s="71"/>
      <c r="C21" s="93" t="s">
        <v>95</v>
      </c>
      <c r="D21" s="56">
        <v>27500.32</v>
      </c>
      <c r="E21" s="56"/>
      <c r="F21" s="40">
        <f t="shared" si="37"/>
        <v>27500.32</v>
      </c>
      <c r="G21" s="36">
        <f t="shared" si="38"/>
        <v>1</v>
      </c>
      <c r="H21" s="40">
        <v>19565.830000000002</v>
      </c>
      <c r="I21" s="40">
        <v>4771.92</v>
      </c>
      <c r="J21" s="56">
        <f t="shared" si="39"/>
        <v>13767.340000000002</v>
      </c>
      <c r="K21" s="56">
        <f t="shared" si="40"/>
        <v>3061.24</v>
      </c>
      <c r="L21" s="40">
        <f t="shared" si="30"/>
        <v>10706.100000000002</v>
      </c>
      <c r="M21" s="36">
        <f t="shared" si="41"/>
        <v>0.77764477379072505</v>
      </c>
      <c r="N21" s="58"/>
      <c r="O21" s="56">
        <v>5798.49</v>
      </c>
      <c r="P21" s="56">
        <v>1710.68</v>
      </c>
      <c r="Q21" s="40">
        <f t="shared" si="42"/>
        <v>4087.8099999999995</v>
      </c>
      <c r="R21" s="36">
        <f t="shared" si="31"/>
        <v>0.70497836505710965</v>
      </c>
      <c r="S21" s="44">
        <v>125.39</v>
      </c>
      <c r="T21" s="44">
        <v>34.75</v>
      </c>
      <c r="U21" s="8">
        <f t="shared" si="32"/>
        <v>90.64</v>
      </c>
      <c r="V21" s="36">
        <f t="shared" si="33"/>
        <v>0.72286466225376822</v>
      </c>
      <c r="W21" s="58"/>
      <c r="X21" s="95">
        <f t="shared" si="34"/>
        <v>-137.32143884892088</v>
      </c>
      <c r="Y21" s="95">
        <f t="shared" si="35"/>
        <v>63.278491107743825</v>
      </c>
      <c r="Z21" s="36" t="e">
        <f t="shared" si="36"/>
        <v>#DIV/0!</v>
      </c>
      <c r="AA21" s="60">
        <f t="shared" si="43"/>
        <v>0.28852355172594346</v>
      </c>
      <c r="AB21" s="80"/>
      <c r="AD21" t="s">
        <v>96</v>
      </c>
      <c r="AE21" s="42">
        <v>0</v>
      </c>
      <c r="AH21" s="7">
        <f>SUM(T22-T21)</f>
        <v>0</v>
      </c>
      <c r="AI21" s="94">
        <f>SUM(K22-K21)</f>
        <v>0</v>
      </c>
    </row>
    <row r="22" spans="1:35">
      <c r="A22" s="7"/>
      <c r="B22" s="71"/>
      <c r="C22" s="93" t="s">
        <v>97</v>
      </c>
      <c r="D22" s="56">
        <v>27500.32</v>
      </c>
      <c r="E22" s="56"/>
      <c r="F22" s="40">
        <f t="shared" si="37"/>
        <v>27500.32</v>
      </c>
      <c r="G22" s="36">
        <f t="shared" si="38"/>
        <v>1</v>
      </c>
      <c r="H22" s="40">
        <v>19565.830000000002</v>
      </c>
      <c r="I22" s="40">
        <v>4771.92</v>
      </c>
      <c r="J22" s="56">
        <f t="shared" si="39"/>
        <v>13767.340000000002</v>
      </c>
      <c r="K22" s="56">
        <f t="shared" si="40"/>
        <v>3061.24</v>
      </c>
      <c r="L22" s="40">
        <f t="shared" si="30"/>
        <v>10706.100000000002</v>
      </c>
      <c r="M22" s="36">
        <f t="shared" si="41"/>
        <v>0.77764477379072505</v>
      </c>
      <c r="N22" s="58"/>
      <c r="O22" s="56">
        <v>5798.49</v>
      </c>
      <c r="P22" s="56">
        <v>1710.68</v>
      </c>
      <c r="Q22" s="40">
        <f t="shared" si="42"/>
        <v>4087.8099999999995</v>
      </c>
      <c r="R22" s="36">
        <f t="shared" si="31"/>
        <v>0.70497836505710965</v>
      </c>
      <c r="S22" s="44">
        <v>125.39</v>
      </c>
      <c r="T22" s="44">
        <v>34.75</v>
      </c>
      <c r="U22" s="8">
        <f t="shared" si="32"/>
        <v>90.64</v>
      </c>
      <c r="V22" s="36">
        <f t="shared" si="33"/>
        <v>0.72286466225376822</v>
      </c>
      <c r="W22" s="58"/>
      <c r="X22" s="95">
        <f t="shared" si="34"/>
        <v>-137.32143884892088</v>
      </c>
      <c r="Y22" s="95">
        <f t="shared" si="35"/>
        <v>63.278491107743825</v>
      </c>
      <c r="Z22" s="36" t="e">
        <f t="shared" si="36"/>
        <v>#DIV/0!</v>
      </c>
      <c r="AA22" s="60">
        <f t="shared" si="43"/>
        <v>0.28852355172594346</v>
      </c>
      <c r="AB22" s="80"/>
      <c r="AH22" s="7">
        <f>SUM(T23-T22)</f>
        <v>0</v>
      </c>
      <c r="AI22" s="94">
        <f>SUM(K23-K22)</f>
        <v>2850</v>
      </c>
    </row>
    <row r="23" spans="1:35">
      <c r="A23" s="7"/>
      <c r="B23" s="71"/>
      <c r="C23" s="93" t="s">
        <v>98</v>
      </c>
      <c r="D23" s="56">
        <v>27500.32</v>
      </c>
      <c r="E23" s="56">
        <v>6999.08</v>
      </c>
      <c r="F23" s="40">
        <f t="shared" si="37"/>
        <v>20501.239999999998</v>
      </c>
      <c r="G23" s="36">
        <f t="shared" si="38"/>
        <v>0.74549096155971994</v>
      </c>
      <c r="H23" s="40">
        <v>19565.830000000002</v>
      </c>
      <c r="I23" s="40">
        <v>7621.92</v>
      </c>
      <c r="J23" s="56">
        <f t="shared" si="39"/>
        <v>13767.340000000002</v>
      </c>
      <c r="K23" s="56">
        <f t="shared" si="40"/>
        <v>5911.24</v>
      </c>
      <c r="L23" s="40">
        <f t="shared" si="30"/>
        <v>7856.1000000000022</v>
      </c>
      <c r="M23" s="36">
        <f t="shared" si="41"/>
        <v>0.57063310704900161</v>
      </c>
      <c r="N23" s="58"/>
      <c r="O23" s="56">
        <v>5798.49</v>
      </c>
      <c r="P23" s="56">
        <v>1710.68</v>
      </c>
      <c r="Q23" s="40">
        <f t="shared" si="42"/>
        <v>4087.8099999999995</v>
      </c>
      <c r="R23" s="36">
        <f t="shared" si="31"/>
        <v>0.70497836505710965</v>
      </c>
      <c r="S23" s="44">
        <v>125.39</v>
      </c>
      <c r="T23" s="44">
        <v>34.75</v>
      </c>
      <c r="U23" s="8">
        <f t="shared" si="32"/>
        <v>90.64</v>
      </c>
      <c r="V23" s="36">
        <f t="shared" si="33"/>
        <v>0.72286466225376822</v>
      </c>
      <c r="W23" s="58">
        <v>0.25</v>
      </c>
      <c r="X23" s="95">
        <f t="shared" si="34"/>
        <v>-17.923453237410069</v>
      </c>
      <c r="Y23" s="95">
        <f t="shared" si="35"/>
        <v>63.278491107743825</v>
      </c>
      <c r="Z23" s="36">
        <f t="shared" si="36"/>
        <v>-8.8988838533064329E-2</v>
      </c>
      <c r="AA23" s="60">
        <f t="shared" si="43"/>
        <v>0.28852355172594346</v>
      </c>
      <c r="AB23" s="80"/>
      <c r="AH23" s="9">
        <f>SUM(AH18,AH19,AH20,AH21,AH22)</f>
        <v>3</v>
      </c>
      <c r="AI23" s="97">
        <f>SUM(AI18,AI19,AI20,AI21,AI22)</f>
        <v>2849.9999999999995</v>
      </c>
    </row>
    <row r="24" spans="1:35" ht="9" customHeight="1">
      <c r="A24" s="274"/>
      <c r="B24" s="275"/>
      <c r="C24" s="275"/>
      <c r="D24" s="275"/>
      <c r="E24" s="275"/>
      <c r="F24" s="275"/>
      <c r="G24" s="275"/>
      <c r="H24" s="275"/>
      <c r="I24" s="275"/>
      <c r="J24" s="275"/>
      <c r="K24" s="275"/>
      <c r="L24" s="275"/>
      <c r="M24" s="275"/>
      <c r="N24" s="275"/>
      <c r="O24" s="275"/>
      <c r="P24" s="275"/>
      <c r="Q24" s="275"/>
      <c r="R24" s="275"/>
      <c r="S24" s="275"/>
      <c r="T24" s="275"/>
      <c r="U24" s="275"/>
      <c r="V24" s="275"/>
      <c r="W24" s="275"/>
      <c r="X24" s="275"/>
      <c r="Y24" s="275"/>
      <c r="Z24" s="275"/>
      <c r="AA24" s="276"/>
    </row>
    <row r="25" spans="1:35">
      <c r="A25" s="7">
        <f>'Main Sheet'!A10</f>
        <v>8127</v>
      </c>
      <c r="B25" s="71" t="str">
        <f>'Main Sheet'!B10</f>
        <v>Rolly Autowash</v>
      </c>
      <c r="C25" s="93" t="s">
        <v>90</v>
      </c>
      <c r="D25" s="143">
        <v>150850.82</v>
      </c>
      <c r="E25" s="143">
        <v>58752.41</v>
      </c>
      <c r="F25" s="40">
        <f>D25-E25</f>
        <v>92098.41</v>
      </c>
      <c r="G25" s="36">
        <f>F25/D25</f>
        <v>0.6105264127831721</v>
      </c>
      <c r="H25" s="40">
        <v>102178.42</v>
      </c>
      <c r="I25" s="40">
        <v>53395.44</v>
      </c>
      <c r="J25" s="56">
        <f>SUM(H25-O25)</f>
        <v>63160.67</v>
      </c>
      <c r="K25" s="56">
        <f>SUM(I25-P25)</f>
        <v>46046.12</v>
      </c>
      <c r="L25" s="40">
        <f t="shared" ref="L25:L30" si="45">J25-K25</f>
        <v>17114.549999999996</v>
      </c>
      <c r="M25" s="36">
        <f t="shared" ref="M25:M30" si="46">L25/J25</f>
        <v>0.27096846819389336</v>
      </c>
      <c r="N25" s="58">
        <v>0</v>
      </c>
      <c r="O25" s="56">
        <v>39017.75</v>
      </c>
      <c r="P25" s="56">
        <v>7349.32</v>
      </c>
      <c r="Q25" s="40">
        <f t="shared" ref="Q25:Q30" si="47">O25-P25</f>
        <v>31668.43</v>
      </c>
      <c r="R25" s="36">
        <f>Q25/O25</f>
        <v>0.81164162464519352</v>
      </c>
      <c r="S25" s="44">
        <v>795.22</v>
      </c>
      <c r="T25" s="44">
        <v>160.75</v>
      </c>
      <c r="U25" s="8">
        <f t="shared" ref="U25:U30" si="48">S25-T25</f>
        <v>634.47</v>
      </c>
      <c r="V25" s="36">
        <f t="shared" ref="V25:V30" si="49">U25/S25</f>
        <v>0.79785468172329665</v>
      </c>
      <c r="W25" s="58">
        <v>0.05</v>
      </c>
      <c r="X25" s="95">
        <f t="shared" ref="X25:X30" si="50">(E25-K25-P25)/T25</f>
        <v>33.324852255054438</v>
      </c>
      <c r="Y25" s="95">
        <f t="shared" ref="Y25:Y30" si="51">(D25-J25-O25)/S25</f>
        <v>61.206207087346904</v>
      </c>
      <c r="Z25" s="36">
        <f t="shared" ref="Z25:Z30" si="52">(E25-K25-P25)/E25</f>
        <v>9.1178727817292957E-2</v>
      </c>
      <c r="AA25" s="60">
        <f>SUM(D25-H25)/D25</f>
        <v>0.32265253844824976</v>
      </c>
      <c r="AB25" s="80"/>
      <c r="AD25" t="s">
        <v>91</v>
      </c>
      <c r="AE25">
        <f>AH30</f>
        <v>227.5</v>
      </c>
      <c r="AH25" s="7">
        <f>SUM(T26-T25)</f>
        <v>0</v>
      </c>
      <c r="AI25" s="94">
        <f>SUM(K26-K25)</f>
        <v>15900.86</v>
      </c>
    </row>
    <row r="26" spans="1:35">
      <c r="A26" s="7"/>
      <c r="B26" s="71"/>
      <c r="C26" s="93" t="s">
        <v>92</v>
      </c>
      <c r="D26" s="143">
        <v>150850.82</v>
      </c>
      <c r="E26" s="143">
        <v>58752.41</v>
      </c>
      <c r="F26" s="40">
        <f t="shared" ref="F26:F30" si="53">D26-E26</f>
        <v>92098.41</v>
      </c>
      <c r="G26" s="36">
        <f t="shared" ref="G26:G30" si="54">F26/D26</f>
        <v>0.6105264127831721</v>
      </c>
      <c r="H26" s="40">
        <v>102178.42</v>
      </c>
      <c r="I26" s="40">
        <v>75741.83</v>
      </c>
      <c r="J26" s="56">
        <f t="shared" ref="J26:K30" si="55">SUM(H26-O26)</f>
        <v>62464.86</v>
      </c>
      <c r="K26" s="56">
        <f t="shared" ref="K26:K30" si="56">SUM(I26-P26)</f>
        <v>61946.98</v>
      </c>
      <c r="L26" s="40">
        <f t="shared" si="45"/>
        <v>517.87999999999738</v>
      </c>
      <c r="M26" s="36">
        <f t="shared" si="46"/>
        <v>8.2907413864370689E-3</v>
      </c>
      <c r="N26" s="58">
        <v>0</v>
      </c>
      <c r="O26" s="56">
        <v>39713.56</v>
      </c>
      <c r="P26" s="56">
        <v>13794.85</v>
      </c>
      <c r="Q26" s="40">
        <f t="shared" si="47"/>
        <v>25918.71</v>
      </c>
      <c r="R26" s="36">
        <f t="shared" ref="R26:R30" si="57">Q26/O26</f>
        <v>0.65264131445279649</v>
      </c>
      <c r="S26" s="44">
        <v>795.22</v>
      </c>
      <c r="T26" s="44">
        <v>160.75</v>
      </c>
      <c r="U26" s="8">
        <f t="shared" si="48"/>
        <v>634.47</v>
      </c>
      <c r="V26" s="36">
        <f t="shared" si="49"/>
        <v>0.79785468172329665</v>
      </c>
      <c r="W26" s="58"/>
      <c r="X26" s="95">
        <f t="shared" si="50"/>
        <v>-105.68846034214617</v>
      </c>
      <c r="Y26" s="95">
        <f t="shared" si="51"/>
        <v>61.206207087346904</v>
      </c>
      <c r="Z26" s="36">
        <f t="shared" si="52"/>
        <v>-0.28916975490877733</v>
      </c>
      <c r="AA26" s="60">
        <f t="shared" ref="AA26:AA29" si="58">SUM(D26-H26)/D26</f>
        <v>0.32265253844824976</v>
      </c>
      <c r="AB26" s="80"/>
      <c r="AD26" t="s">
        <v>93</v>
      </c>
      <c r="AE26" s="42">
        <f>AI30</f>
        <v>10918.690000000002</v>
      </c>
      <c r="AH26" s="7">
        <f>SUM(T27-T26)</f>
        <v>0</v>
      </c>
      <c r="AI26" s="94">
        <f>SUM(K27-K26)</f>
        <v>0</v>
      </c>
    </row>
    <row r="27" spans="1:35">
      <c r="A27" s="7"/>
      <c r="B27" s="71"/>
      <c r="C27" s="93" t="s">
        <v>94</v>
      </c>
      <c r="D27" s="143">
        <v>150850.82</v>
      </c>
      <c r="E27" s="143">
        <v>58752.41</v>
      </c>
      <c r="F27" s="40">
        <f t="shared" si="53"/>
        <v>92098.41</v>
      </c>
      <c r="G27" s="36">
        <f t="shared" si="54"/>
        <v>0.6105264127831721</v>
      </c>
      <c r="H27" s="40">
        <v>102178.42</v>
      </c>
      <c r="I27" s="40">
        <v>75741.83</v>
      </c>
      <c r="J27" s="56">
        <f t="shared" si="55"/>
        <v>62464.86</v>
      </c>
      <c r="K27" s="56">
        <f t="shared" si="55"/>
        <v>61946.98</v>
      </c>
      <c r="L27" s="40">
        <f>J27-K27</f>
        <v>517.87999999999738</v>
      </c>
      <c r="M27" s="36">
        <f>L27/J27</f>
        <v>8.2907413864370689E-3</v>
      </c>
      <c r="N27" s="58">
        <v>0</v>
      </c>
      <c r="O27" s="56">
        <v>39713.56</v>
      </c>
      <c r="P27" s="56">
        <v>13794.85</v>
      </c>
      <c r="Q27" s="40">
        <f>O27-P27</f>
        <v>25918.71</v>
      </c>
      <c r="R27" s="36">
        <f t="shared" si="57"/>
        <v>0.65264131445279649</v>
      </c>
      <c r="S27" s="44">
        <v>795.22</v>
      </c>
      <c r="T27" s="44">
        <v>160.75</v>
      </c>
      <c r="U27" s="8">
        <f>S27-T27</f>
        <v>634.47</v>
      </c>
      <c r="V27" s="36">
        <f>U27/S27</f>
        <v>0.79785468172329665</v>
      </c>
      <c r="W27" s="58"/>
      <c r="X27" s="95">
        <f>(E27-K27-P27)/T27</f>
        <v>-105.68846034214617</v>
      </c>
      <c r="Y27" s="95">
        <f>(D27-J27-O27)/S27</f>
        <v>61.206207087346904</v>
      </c>
      <c r="Z27" s="36">
        <f>(E27-K27-P27)/E27</f>
        <v>-0.28916975490877733</v>
      </c>
      <c r="AA27" s="60">
        <f t="shared" si="58"/>
        <v>0.32265253844824976</v>
      </c>
      <c r="AB27" s="80"/>
      <c r="AH27" s="7">
        <f>SUM(T28-T27)</f>
        <v>0</v>
      </c>
      <c r="AI27" s="94">
        <f>SUM(K28-K27)</f>
        <v>0</v>
      </c>
    </row>
    <row r="28" spans="1:35">
      <c r="A28" s="7"/>
      <c r="B28" s="71"/>
      <c r="C28" s="93" t="s">
        <v>95</v>
      </c>
      <c r="D28" s="143">
        <v>150850.82</v>
      </c>
      <c r="E28" s="143">
        <v>58752.41</v>
      </c>
      <c r="F28" s="40">
        <f t="shared" si="53"/>
        <v>92098.41</v>
      </c>
      <c r="G28" s="36">
        <f t="shared" si="54"/>
        <v>0.6105264127831721</v>
      </c>
      <c r="H28" s="40">
        <v>102178.42</v>
      </c>
      <c r="I28" s="40">
        <v>75741.83</v>
      </c>
      <c r="J28" s="56">
        <f t="shared" si="55"/>
        <v>62464.86</v>
      </c>
      <c r="K28" s="56">
        <f t="shared" si="56"/>
        <v>61946.98</v>
      </c>
      <c r="L28" s="40">
        <f t="shared" si="45"/>
        <v>517.87999999999738</v>
      </c>
      <c r="M28" s="36">
        <f t="shared" si="46"/>
        <v>8.2907413864370689E-3</v>
      </c>
      <c r="N28" s="58">
        <v>0</v>
      </c>
      <c r="O28" s="56">
        <v>39713.56</v>
      </c>
      <c r="P28" s="56">
        <v>13794.85</v>
      </c>
      <c r="Q28" s="40">
        <f t="shared" si="47"/>
        <v>25918.71</v>
      </c>
      <c r="R28" s="36">
        <f t="shared" si="57"/>
        <v>0.65264131445279649</v>
      </c>
      <c r="S28" s="44">
        <v>795.22</v>
      </c>
      <c r="T28" s="44">
        <v>160.75</v>
      </c>
      <c r="U28" s="8">
        <f t="shared" si="48"/>
        <v>634.47</v>
      </c>
      <c r="V28" s="36">
        <f t="shared" si="49"/>
        <v>0.79785468172329665</v>
      </c>
      <c r="W28" s="58"/>
      <c r="X28" s="95">
        <f t="shared" si="50"/>
        <v>-105.68846034214617</v>
      </c>
      <c r="Y28" s="95">
        <f t="shared" si="51"/>
        <v>61.206207087346904</v>
      </c>
      <c r="Z28" s="36">
        <f t="shared" si="52"/>
        <v>-0.28916975490877733</v>
      </c>
      <c r="AA28" s="60">
        <f t="shared" si="58"/>
        <v>0.32265253844824976</v>
      </c>
      <c r="AB28" s="80"/>
      <c r="AD28" t="s">
        <v>96</v>
      </c>
      <c r="AE28" s="42">
        <v>0</v>
      </c>
      <c r="AH28" s="7">
        <f>SUM(T29-T28)</f>
        <v>182.25</v>
      </c>
      <c r="AI28" s="94">
        <f>SUM(K29-K28)</f>
        <v>957.45000000000437</v>
      </c>
    </row>
    <row r="29" spans="1:35">
      <c r="A29" s="7"/>
      <c r="B29" s="71"/>
      <c r="C29" s="93" t="s">
        <v>97</v>
      </c>
      <c r="D29" s="143">
        <v>150850.82</v>
      </c>
      <c r="E29" s="143">
        <v>58752.41</v>
      </c>
      <c r="F29" s="40">
        <f t="shared" si="53"/>
        <v>92098.41</v>
      </c>
      <c r="G29" s="36">
        <f t="shared" si="54"/>
        <v>0.6105264127831721</v>
      </c>
      <c r="H29" s="40">
        <v>102178.42</v>
      </c>
      <c r="I29" s="40">
        <v>79494.070000000007</v>
      </c>
      <c r="J29" s="56">
        <f t="shared" si="55"/>
        <v>62464.86</v>
      </c>
      <c r="K29" s="56">
        <f t="shared" si="56"/>
        <v>62904.430000000008</v>
      </c>
      <c r="L29" s="40">
        <f t="shared" si="45"/>
        <v>-439.57000000000698</v>
      </c>
      <c r="M29" s="36">
        <f t="shared" si="46"/>
        <v>-7.0370765259060372E-3</v>
      </c>
      <c r="N29" s="58">
        <v>0</v>
      </c>
      <c r="O29" s="56">
        <v>39713.56</v>
      </c>
      <c r="P29" s="56">
        <v>16589.64</v>
      </c>
      <c r="Q29" s="40">
        <f t="shared" si="47"/>
        <v>23123.919999999998</v>
      </c>
      <c r="R29" s="36">
        <f t="shared" si="57"/>
        <v>0.58226761841547314</v>
      </c>
      <c r="S29" s="44">
        <v>795.22</v>
      </c>
      <c r="T29" s="44">
        <v>343</v>
      </c>
      <c r="U29" s="8">
        <f t="shared" si="48"/>
        <v>452.22</v>
      </c>
      <c r="V29" s="36">
        <f t="shared" si="49"/>
        <v>0.56867282010009812</v>
      </c>
      <c r="W29" s="58"/>
      <c r="X29" s="95">
        <f t="shared" si="50"/>
        <v>-60.471311953352782</v>
      </c>
      <c r="Y29" s="95">
        <f t="shared" si="51"/>
        <v>61.206207087346904</v>
      </c>
      <c r="Z29" s="36">
        <f t="shared" si="52"/>
        <v>-0.35303504996646101</v>
      </c>
      <c r="AA29" s="60">
        <f t="shared" si="58"/>
        <v>0.32265253844824976</v>
      </c>
      <c r="AB29" s="80"/>
      <c r="AH29" s="7">
        <f>SUM(T30-T29)</f>
        <v>45.25</v>
      </c>
      <c r="AI29" s="94">
        <f>SUM(K30-K29)</f>
        <v>-5939.6200000000026</v>
      </c>
    </row>
    <row r="30" spans="1:35">
      <c r="A30" s="7"/>
      <c r="B30" s="71"/>
      <c r="C30" s="93" t="s">
        <v>98</v>
      </c>
      <c r="D30" s="143">
        <v>150850.82</v>
      </c>
      <c r="E30" s="143">
        <v>111983.72</v>
      </c>
      <c r="F30" s="40">
        <f t="shared" si="53"/>
        <v>38867.100000000006</v>
      </c>
      <c r="G30" s="36">
        <f t="shared" si="54"/>
        <v>0.25765256032416667</v>
      </c>
      <c r="H30" s="40">
        <v>102178.42</v>
      </c>
      <c r="I30" s="40">
        <v>75718.13</v>
      </c>
      <c r="J30" s="56">
        <f t="shared" si="55"/>
        <v>62464.86</v>
      </c>
      <c r="K30" s="56">
        <f t="shared" si="56"/>
        <v>56964.810000000005</v>
      </c>
      <c r="L30" s="40">
        <f t="shared" si="45"/>
        <v>5500.0499999999956</v>
      </c>
      <c r="M30" s="36">
        <f t="shared" si="46"/>
        <v>8.8050305403710116E-2</v>
      </c>
      <c r="N30" s="58">
        <v>0.9</v>
      </c>
      <c r="O30" s="56">
        <v>39713.56</v>
      </c>
      <c r="P30" s="56">
        <v>18753.32</v>
      </c>
      <c r="Q30" s="40">
        <f t="shared" si="47"/>
        <v>20960.239999999998</v>
      </c>
      <c r="R30" s="36">
        <f t="shared" si="57"/>
        <v>0.52778547176329693</v>
      </c>
      <c r="S30" s="44">
        <v>795.22</v>
      </c>
      <c r="T30" s="44">
        <v>388.25</v>
      </c>
      <c r="U30" s="8">
        <f t="shared" si="48"/>
        <v>406.97</v>
      </c>
      <c r="V30" s="36">
        <f t="shared" si="49"/>
        <v>0.51177032770805564</v>
      </c>
      <c r="W30" s="58">
        <v>0.6</v>
      </c>
      <c r="X30" s="95">
        <f t="shared" si="50"/>
        <v>93.407830006439141</v>
      </c>
      <c r="Y30" s="95">
        <f t="shared" si="51"/>
        <v>61.206207087346904</v>
      </c>
      <c r="Z30" s="36">
        <f t="shared" si="52"/>
        <v>0.32384698418662994</v>
      </c>
      <c r="AA30" s="60">
        <f>SUM(D30-H30)/D30</f>
        <v>0.32265253844824976</v>
      </c>
      <c r="AB30" s="80"/>
      <c r="AH30" s="9">
        <f>SUM(AH25,AH26,AH27,AH28,AH29)</f>
        <v>227.5</v>
      </c>
      <c r="AI30" s="97">
        <f>SUM(AI25,AI26,AI27,AI28,AI29)</f>
        <v>10918.690000000002</v>
      </c>
    </row>
    <row r="31" spans="1:35" ht="9" customHeight="1">
      <c r="A31" s="274"/>
      <c r="B31" s="275"/>
      <c r="C31" s="275"/>
      <c r="D31" s="278"/>
      <c r="E31" s="275"/>
      <c r="F31" s="275"/>
      <c r="G31" s="275"/>
      <c r="H31" s="275"/>
      <c r="I31" s="278"/>
      <c r="J31" s="275"/>
      <c r="K31" s="275"/>
      <c r="L31" s="275"/>
      <c r="M31" s="275"/>
      <c r="N31" s="275"/>
      <c r="O31" s="278"/>
      <c r="P31" s="275"/>
      <c r="Q31" s="275"/>
      <c r="R31" s="275"/>
      <c r="S31" s="275"/>
      <c r="T31" s="275"/>
      <c r="U31" s="275"/>
      <c r="V31" s="275"/>
      <c r="W31" s="275"/>
      <c r="X31" s="275"/>
      <c r="Y31" s="275"/>
      <c r="Z31" s="275"/>
      <c r="AA31" s="276"/>
    </row>
    <row r="32" spans="1:35">
      <c r="A32" s="7">
        <f>'Main Sheet'!A12</f>
        <v>8183</v>
      </c>
      <c r="B32" s="71" t="str">
        <f>'Main Sheet'!B12</f>
        <v>Murney - 1 Freight Drive + 109 Iport</v>
      </c>
      <c r="C32" s="134" t="s">
        <v>90</v>
      </c>
      <c r="D32" s="56">
        <v>387361.22</v>
      </c>
      <c r="E32" s="56">
        <v>129848.32000000001</v>
      </c>
      <c r="F32" s="40">
        <f>D32-E32</f>
        <v>257512.89999999997</v>
      </c>
      <c r="G32" s="36">
        <f>F32/D32</f>
        <v>0.66478750763951022</v>
      </c>
      <c r="H32" s="40">
        <v>319185.51</v>
      </c>
      <c r="I32" s="40">
        <v>115165.8</v>
      </c>
      <c r="J32" s="133">
        <f>SUM(H32-O32)</f>
        <v>263544.78000000003</v>
      </c>
      <c r="K32" s="56">
        <f>SUM(I32-P32)</f>
        <v>106200.69</v>
      </c>
      <c r="L32" s="40">
        <f t="shared" ref="L32:L37" si="59">J32-K32</f>
        <v>157344.09000000003</v>
      </c>
      <c r="M32" s="36">
        <f t="shared" ref="M32:M37" si="60">L32/J32</f>
        <v>0.59702981026602009</v>
      </c>
      <c r="N32" s="150">
        <v>0.25</v>
      </c>
      <c r="O32" s="56">
        <v>55640.73</v>
      </c>
      <c r="P32" s="56">
        <v>8965.11</v>
      </c>
      <c r="Q32" s="40">
        <f t="shared" ref="Q32:Q37" si="61">O32-P32</f>
        <v>46675.62</v>
      </c>
      <c r="R32" s="36">
        <f t="shared" ref="R32:R37" si="62">Q32/O32</f>
        <v>0.83887504711027339</v>
      </c>
      <c r="S32" s="44">
        <v>1114.27</v>
      </c>
      <c r="T32" s="44">
        <v>223.25</v>
      </c>
      <c r="U32" s="8">
        <f t="shared" ref="U32:U37" si="63">S32-T32</f>
        <v>891.02</v>
      </c>
      <c r="V32" s="36">
        <f t="shared" ref="V32:V37" si="64">U32/S32</f>
        <v>0.7996446103727104</v>
      </c>
      <c r="W32" s="58">
        <v>0.15</v>
      </c>
      <c r="X32" s="95">
        <f t="shared" ref="X32:X37" si="65">(E32-K32-P32)/T32</f>
        <v>65.767166853303493</v>
      </c>
      <c r="Y32" s="95">
        <f t="shared" ref="Y32:Y37" si="66">(D32-J32-O32)/S32</f>
        <v>61.184192341173983</v>
      </c>
      <c r="Z32" s="36">
        <f t="shared" ref="Z32:Z37" si="67">(E32-K32-P32)/E32</f>
        <v>0.11307439326130675</v>
      </c>
      <c r="AA32" s="60">
        <f>SUM(D32-H32)/D32</f>
        <v>0.17600034923475294</v>
      </c>
      <c r="AB32" s="80"/>
      <c r="AD32" t="s">
        <v>91</v>
      </c>
      <c r="AE32">
        <f>AH37</f>
        <v>164.25</v>
      </c>
      <c r="AH32" s="7">
        <f>SUM(T33-T32)</f>
        <v>117.5</v>
      </c>
      <c r="AI32" s="94">
        <f>SUM(K33-K32)</f>
        <v>6796.8000000000029</v>
      </c>
    </row>
    <row r="33" spans="1:35">
      <c r="A33" s="7"/>
      <c r="B33" s="71"/>
      <c r="C33" s="93" t="s">
        <v>92</v>
      </c>
      <c r="D33" s="56">
        <v>387361.22</v>
      </c>
      <c r="E33" s="56">
        <v>129848.32000000001</v>
      </c>
      <c r="F33" s="40">
        <f t="shared" ref="F33:F37" si="68">D33-E33</f>
        <v>257512.89999999997</v>
      </c>
      <c r="G33" s="36">
        <f t="shared" ref="G33:G37" si="69">F33/D33</f>
        <v>0.66478750763951022</v>
      </c>
      <c r="H33" s="40">
        <v>319185.51</v>
      </c>
      <c r="I33" s="149">
        <v>127651.08</v>
      </c>
      <c r="J33" s="56">
        <f t="shared" ref="J33:J37" si="70">SUM(H33-O33)</f>
        <v>263544.78000000003</v>
      </c>
      <c r="K33" s="56">
        <f t="shared" ref="K33:K37" si="71">SUM(I33-P33)</f>
        <v>112997.49</v>
      </c>
      <c r="L33" s="40">
        <f t="shared" si="59"/>
        <v>150547.29000000004</v>
      </c>
      <c r="M33" s="36">
        <f t="shared" si="60"/>
        <v>0.5712398856847023</v>
      </c>
      <c r="N33" s="58">
        <v>0.25</v>
      </c>
      <c r="O33" s="56">
        <v>55640.73</v>
      </c>
      <c r="P33" s="56">
        <v>14653.59</v>
      </c>
      <c r="Q33" s="40">
        <f t="shared" si="61"/>
        <v>40987.14</v>
      </c>
      <c r="R33" s="36">
        <f t="shared" si="62"/>
        <v>0.73663914905501771</v>
      </c>
      <c r="S33" s="44">
        <v>1114.27</v>
      </c>
      <c r="T33" s="44">
        <v>340.75</v>
      </c>
      <c r="U33" s="8">
        <f t="shared" si="63"/>
        <v>773.52</v>
      </c>
      <c r="V33" s="36">
        <f t="shared" si="64"/>
        <v>0.69419440530571586</v>
      </c>
      <c r="W33" s="58"/>
      <c r="X33" s="95">
        <f t="shared" si="65"/>
        <v>6.4482465150403572</v>
      </c>
      <c r="Y33" s="95">
        <f t="shared" si="66"/>
        <v>61.184192341173983</v>
      </c>
      <c r="Z33" s="36">
        <f t="shared" si="67"/>
        <v>1.6921589744095276E-2</v>
      </c>
      <c r="AA33" s="60">
        <f t="shared" ref="AA33:AA36" si="72">SUM(D33-H33)/D33</f>
        <v>0.17600034923475294</v>
      </c>
      <c r="AB33" s="80"/>
      <c r="AD33" t="s">
        <v>93</v>
      </c>
      <c r="AE33" s="42">
        <f>AI37</f>
        <v>26116.020000000019</v>
      </c>
      <c r="AH33" s="7">
        <f>SUM(T34-T33)</f>
        <v>0</v>
      </c>
      <c r="AI33" s="94">
        <f>SUM(K34-K33)</f>
        <v>0</v>
      </c>
    </row>
    <row r="34" spans="1:35">
      <c r="A34" s="7"/>
      <c r="B34" s="71"/>
      <c r="C34" s="93" t="s">
        <v>94</v>
      </c>
      <c r="D34" s="56">
        <v>387361.22</v>
      </c>
      <c r="E34" s="56">
        <v>129848.32000000001</v>
      </c>
      <c r="F34" s="40">
        <f t="shared" si="68"/>
        <v>257512.89999999997</v>
      </c>
      <c r="G34" s="36">
        <f t="shared" si="69"/>
        <v>0.66478750763951022</v>
      </c>
      <c r="H34" s="40">
        <v>319185.51</v>
      </c>
      <c r="I34" s="149">
        <v>127651.08</v>
      </c>
      <c r="J34" s="56">
        <f t="shared" si="70"/>
        <v>263544.78000000003</v>
      </c>
      <c r="K34" s="56">
        <f t="shared" si="71"/>
        <v>112997.49</v>
      </c>
      <c r="L34" s="40">
        <f t="shared" si="59"/>
        <v>150547.29000000004</v>
      </c>
      <c r="M34" s="36">
        <f t="shared" si="60"/>
        <v>0.5712398856847023</v>
      </c>
      <c r="N34" s="58"/>
      <c r="O34" s="56">
        <v>55640.73</v>
      </c>
      <c r="P34" s="56">
        <v>14653.59</v>
      </c>
      <c r="Q34" s="40">
        <f t="shared" si="61"/>
        <v>40987.14</v>
      </c>
      <c r="R34" s="36">
        <f t="shared" si="62"/>
        <v>0.73663914905501771</v>
      </c>
      <c r="S34" s="44">
        <v>1114.27</v>
      </c>
      <c r="T34" s="44">
        <v>340.75</v>
      </c>
      <c r="U34" s="8">
        <f t="shared" si="63"/>
        <v>773.52</v>
      </c>
      <c r="V34" s="36">
        <f t="shared" si="64"/>
        <v>0.69419440530571586</v>
      </c>
      <c r="W34" s="58"/>
      <c r="X34" s="95">
        <f t="shared" si="65"/>
        <v>6.4482465150403572</v>
      </c>
      <c r="Y34" s="95">
        <f t="shared" si="66"/>
        <v>61.184192341173983</v>
      </c>
      <c r="Z34" s="36">
        <f t="shared" si="67"/>
        <v>1.6921589744095276E-2</v>
      </c>
      <c r="AA34" s="60">
        <f t="shared" si="72"/>
        <v>0.17600034923475294</v>
      </c>
      <c r="AB34" s="80"/>
      <c r="AH34" s="7">
        <f>SUM(T35-T34)</f>
        <v>0</v>
      </c>
      <c r="AI34" s="94">
        <f>SUM(K35-K34)</f>
        <v>0</v>
      </c>
    </row>
    <row r="35" spans="1:35">
      <c r="A35" s="7"/>
      <c r="B35" s="71"/>
      <c r="C35" s="93" t="s">
        <v>95</v>
      </c>
      <c r="D35" s="56">
        <v>387361.22</v>
      </c>
      <c r="E35" s="56">
        <v>129848.32000000001</v>
      </c>
      <c r="F35" s="40">
        <f t="shared" si="68"/>
        <v>257512.89999999997</v>
      </c>
      <c r="G35" s="36">
        <f t="shared" si="69"/>
        <v>0.66478750763951022</v>
      </c>
      <c r="H35" s="40">
        <v>319185.51</v>
      </c>
      <c r="I35" s="149">
        <v>127651.08</v>
      </c>
      <c r="J35" s="56">
        <f t="shared" si="70"/>
        <v>263544.78000000003</v>
      </c>
      <c r="K35" s="56">
        <f t="shared" si="71"/>
        <v>112997.49</v>
      </c>
      <c r="L35" s="40">
        <f t="shared" si="59"/>
        <v>150547.29000000004</v>
      </c>
      <c r="M35" s="36">
        <f t="shared" si="60"/>
        <v>0.5712398856847023</v>
      </c>
      <c r="N35" s="58"/>
      <c r="O35" s="56">
        <v>55640.73</v>
      </c>
      <c r="P35" s="56">
        <v>14653.59</v>
      </c>
      <c r="Q35" s="40">
        <f t="shared" si="61"/>
        <v>40987.14</v>
      </c>
      <c r="R35" s="36">
        <f t="shared" si="62"/>
        <v>0.73663914905501771</v>
      </c>
      <c r="S35" s="44">
        <v>1114.27</v>
      </c>
      <c r="T35" s="44">
        <v>340.75</v>
      </c>
      <c r="U35" s="8">
        <f t="shared" si="63"/>
        <v>773.52</v>
      </c>
      <c r="V35" s="36">
        <f t="shared" si="64"/>
        <v>0.69419440530571586</v>
      </c>
      <c r="W35" s="58"/>
      <c r="X35" s="95">
        <f t="shared" si="65"/>
        <v>6.4482465150403572</v>
      </c>
      <c r="Y35" s="95">
        <f t="shared" si="66"/>
        <v>61.184192341173983</v>
      </c>
      <c r="Z35" s="36">
        <f t="shared" si="67"/>
        <v>1.6921589744095276E-2</v>
      </c>
      <c r="AA35" s="60">
        <f t="shared" si="72"/>
        <v>0.17600034923475294</v>
      </c>
      <c r="AB35" s="80"/>
      <c r="AD35" t="s">
        <v>96</v>
      </c>
      <c r="AE35" s="42">
        <v>0</v>
      </c>
      <c r="AH35" s="7">
        <f>SUM(T36-T35)</f>
        <v>34.75</v>
      </c>
      <c r="AI35" s="94">
        <f>SUM(K36-K35)</f>
        <v>-1881.6699999999983</v>
      </c>
    </row>
    <row r="36" spans="1:35">
      <c r="A36" s="7"/>
      <c r="B36" s="71"/>
      <c r="C36" s="93" t="s">
        <v>97</v>
      </c>
      <c r="D36" s="56">
        <v>389022.03</v>
      </c>
      <c r="E36" s="56">
        <v>129848.32000000001</v>
      </c>
      <c r="F36" s="40">
        <f t="shared" si="68"/>
        <v>259173.71000000002</v>
      </c>
      <c r="G36" s="36">
        <f t="shared" si="69"/>
        <v>0.66621859435569752</v>
      </c>
      <c r="H36" s="40">
        <v>320431.12</v>
      </c>
      <c r="I36" s="40">
        <v>127233.96</v>
      </c>
      <c r="J36" s="56">
        <f t="shared" si="70"/>
        <v>264519.78000000003</v>
      </c>
      <c r="K36" s="56">
        <f t="shared" si="71"/>
        <v>111115.82</v>
      </c>
      <c r="L36" s="40">
        <f t="shared" si="59"/>
        <v>153403.96000000002</v>
      </c>
      <c r="M36" s="36">
        <f t="shared" si="60"/>
        <v>0.57993379549914947</v>
      </c>
      <c r="N36" s="58"/>
      <c r="O36" s="56">
        <v>55911.34</v>
      </c>
      <c r="P36" s="56">
        <v>16118.14</v>
      </c>
      <c r="Q36" s="40">
        <f t="shared" si="61"/>
        <v>39793.199999999997</v>
      </c>
      <c r="R36" s="36">
        <f t="shared" si="62"/>
        <v>0.71171966187896762</v>
      </c>
      <c r="S36" s="44">
        <v>1120.27</v>
      </c>
      <c r="T36" s="44">
        <v>375.5</v>
      </c>
      <c r="U36" s="8">
        <f t="shared" si="63"/>
        <v>744.77</v>
      </c>
      <c r="V36" s="36">
        <f t="shared" si="64"/>
        <v>0.66481294687887738</v>
      </c>
      <c r="W36" s="58"/>
      <c r="X36" s="95">
        <f t="shared" si="65"/>
        <v>6.962343541944076</v>
      </c>
      <c r="Y36" s="95">
        <f t="shared" si="66"/>
        <v>61.227123818365222</v>
      </c>
      <c r="Z36" s="36">
        <f t="shared" si="67"/>
        <v>2.0133953215567213E-2</v>
      </c>
      <c r="AA36" s="60">
        <f t="shared" si="72"/>
        <v>0.17631626157521216</v>
      </c>
      <c r="AB36" s="80"/>
      <c r="AH36" s="7">
        <f>SUM(T37-T36)</f>
        <v>12</v>
      </c>
      <c r="AI36" s="94">
        <f>SUM(K37-K36)</f>
        <v>21200.890000000014</v>
      </c>
    </row>
    <row r="37" spans="1:35">
      <c r="A37" s="7"/>
      <c r="B37" s="71"/>
      <c r="C37" s="93" t="s">
        <v>98</v>
      </c>
      <c r="D37" s="56">
        <v>389022.03</v>
      </c>
      <c r="E37" s="56">
        <v>176161.65</v>
      </c>
      <c r="F37" s="40">
        <f t="shared" si="68"/>
        <v>212860.38000000003</v>
      </c>
      <c r="G37" s="36">
        <f t="shared" si="69"/>
        <v>0.54716793288030507</v>
      </c>
      <c r="H37" s="40">
        <v>320431.12</v>
      </c>
      <c r="I37" s="40">
        <v>148939.51</v>
      </c>
      <c r="J37" s="56">
        <f t="shared" si="70"/>
        <v>264519.78000000003</v>
      </c>
      <c r="K37" s="56">
        <f t="shared" si="71"/>
        <v>132316.71000000002</v>
      </c>
      <c r="L37" s="40">
        <f t="shared" si="59"/>
        <v>132203.07</v>
      </c>
      <c r="M37" s="36">
        <f t="shared" si="60"/>
        <v>0.49978519564775076</v>
      </c>
      <c r="N37" s="58"/>
      <c r="O37" s="56">
        <v>55911.34</v>
      </c>
      <c r="P37" s="56">
        <v>16622.8</v>
      </c>
      <c r="Q37" s="40">
        <f t="shared" si="61"/>
        <v>39288.539999999994</v>
      </c>
      <c r="R37" s="36">
        <f t="shared" si="62"/>
        <v>0.70269358595233089</v>
      </c>
      <c r="S37" s="44">
        <v>1120.27</v>
      </c>
      <c r="T37" s="44">
        <v>387.5</v>
      </c>
      <c r="U37" s="8">
        <f t="shared" si="63"/>
        <v>732.77</v>
      </c>
      <c r="V37" s="36">
        <f t="shared" si="64"/>
        <v>0.65410124345023968</v>
      </c>
      <c r="W37" s="58">
        <v>0.4</v>
      </c>
      <c r="X37" s="95">
        <f t="shared" si="65"/>
        <v>70.250683870967677</v>
      </c>
      <c r="Y37" s="95">
        <f t="shared" si="66"/>
        <v>61.227123818365222</v>
      </c>
      <c r="Z37" s="36">
        <f t="shared" si="67"/>
        <v>0.15452932008754444</v>
      </c>
      <c r="AA37" s="60">
        <f>SUM(D37-H37)/D37</f>
        <v>0.17631626157521216</v>
      </c>
      <c r="AB37" s="80"/>
      <c r="AH37" s="9">
        <f>SUM(AH32,AH33,AH34,AH35,AH36)</f>
        <v>164.25</v>
      </c>
      <c r="AI37" s="97">
        <f>SUM(AI32,AI33,AI34,AI35,AI36)</f>
        <v>26116.020000000019</v>
      </c>
    </row>
    <row r="38" spans="1:35" ht="9" customHeight="1">
      <c r="A38" s="274"/>
      <c r="B38" s="275"/>
      <c r="C38" s="275"/>
      <c r="D38" s="275"/>
      <c r="E38" s="275"/>
      <c r="F38" s="275"/>
      <c r="G38" s="275"/>
      <c r="H38" s="275"/>
      <c r="I38" s="275"/>
      <c r="J38" s="275"/>
      <c r="K38" s="275"/>
      <c r="L38" s="275"/>
      <c r="M38" s="275"/>
      <c r="N38" s="275"/>
      <c r="O38" s="275"/>
      <c r="P38" s="275"/>
      <c r="Q38" s="275"/>
      <c r="R38" s="275"/>
      <c r="S38" s="275"/>
      <c r="T38" s="275"/>
      <c r="U38" s="275"/>
      <c r="V38" s="275"/>
      <c r="W38" s="275"/>
      <c r="X38" s="275"/>
      <c r="Y38" s="275"/>
      <c r="Z38" s="275"/>
      <c r="AA38" s="276"/>
    </row>
    <row r="39" spans="1:35">
      <c r="A39" s="7">
        <f>'Main Sheet'!A14</f>
        <v>8886</v>
      </c>
      <c r="B39" s="71" t="str">
        <f>'Main Sheet'!B14</f>
        <v>Monkey Toe - Fisher fit out</v>
      </c>
      <c r="C39" s="93" t="s">
        <v>90</v>
      </c>
      <c r="D39" s="56">
        <v>128258.5</v>
      </c>
      <c r="E39" s="56">
        <v>25608.7</v>
      </c>
      <c r="F39" s="40">
        <f>D39-E39</f>
        <v>102649.8</v>
      </c>
      <c r="G39" s="36">
        <f>F39/D39</f>
        <v>0.80033526043108261</v>
      </c>
      <c r="H39" s="40">
        <v>94098.32</v>
      </c>
      <c r="I39" s="40">
        <v>21372.82</v>
      </c>
      <c r="J39" s="56">
        <f>SUM(H39-O39)</f>
        <v>69042.090000000011</v>
      </c>
      <c r="K39" s="56">
        <f>SUM(I39-P39)</f>
        <v>20997.98</v>
      </c>
      <c r="L39" s="40">
        <f t="shared" ref="L39:L44" si="73">J39-K39</f>
        <v>48044.110000000015</v>
      </c>
      <c r="M39" s="36">
        <f t="shared" ref="M39:M44" si="74">L39/J39</f>
        <v>0.69586697042340417</v>
      </c>
      <c r="N39" s="58">
        <v>0</v>
      </c>
      <c r="O39" s="56">
        <v>25056.23</v>
      </c>
      <c r="P39" s="56">
        <v>374.84</v>
      </c>
      <c r="Q39" s="40">
        <f t="shared" ref="Q39:Q44" si="75">O39-P39</f>
        <v>24681.39</v>
      </c>
      <c r="R39" s="36">
        <f t="shared" ref="R39:R44" si="76">Q39/O39</f>
        <v>0.98504004792420885</v>
      </c>
      <c r="S39" s="44">
        <v>501.83</v>
      </c>
      <c r="T39" s="44">
        <v>8</v>
      </c>
      <c r="U39" s="8">
        <f>S39-T39</f>
        <v>493.83</v>
      </c>
      <c r="V39" s="36">
        <f>U39/S39</f>
        <v>0.98405834645198575</v>
      </c>
      <c r="W39" s="58">
        <v>0.01</v>
      </c>
      <c r="X39" s="95">
        <f t="shared" ref="X39:X44" si="77">(E39-K39-P39)/T39</f>
        <v>529.48500000000013</v>
      </c>
      <c r="Y39" s="95">
        <f>(D39-J39-O39)/S39</f>
        <v>68.071219337225742</v>
      </c>
      <c r="Z39" s="36">
        <f t="shared" ref="Z39:Z44" si="78">(E39-K39-P39)/E39</f>
        <v>0.16540784967608668</v>
      </c>
      <c r="AA39" s="60">
        <f>SUM(D39-H39)/D39</f>
        <v>0.26633852727109697</v>
      </c>
      <c r="AB39" s="80"/>
      <c r="AD39" t="s">
        <v>91</v>
      </c>
      <c r="AE39">
        <f>AH44</f>
        <v>104</v>
      </c>
      <c r="AH39" s="7">
        <f>SUM(T40-T39)</f>
        <v>60.75</v>
      </c>
      <c r="AI39" s="94">
        <f>SUM(K40-K39)</f>
        <v>537.26000000000204</v>
      </c>
    </row>
    <row r="40" spans="1:35">
      <c r="A40" s="7"/>
      <c r="B40" s="71"/>
      <c r="C40" s="93" t="s">
        <v>92</v>
      </c>
      <c r="D40" s="56">
        <v>128258.5</v>
      </c>
      <c r="E40" s="56">
        <v>25608.7</v>
      </c>
      <c r="F40" s="40">
        <f>D40-E40</f>
        <v>102649.8</v>
      </c>
      <c r="G40" s="36">
        <f t="shared" ref="G40:G44" si="79">F40/D40</f>
        <v>0.80033526043108261</v>
      </c>
      <c r="H40" s="40">
        <v>94098.32</v>
      </c>
      <c r="I40" s="40">
        <v>24859.040000000001</v>
      </c>
      <c r="J40" s="56">
        <f>SUM(H40-O40)</f>
        <v>69042.090000000011</v>
      </c>
      <c r="K40" s="56">
        <f t="shared" ref="K40:K44" si="80">SUM(I40-P40)</f>
        <v>21535.24</v>
      </c>
      <c r="L40" s="40">
        <f t="shared" si="73"/>
        <v>47506.850000000006</v>
      </c>
      <c r="M40" s="36">
        <f t="shared" si="74"/>
        <v>0.68808534040612035</v>
      </c>
      <c r="N40" s="58"/>
      <c r="O40" s="56">
        <v>25056.23</v>
      </c>
      <c r="P40" s="56">
        <v>3323.8</v>
      </c>
      <c r="Q40" s="40">
        <f t="shared" si="75"/>
        <v>21732.43</v>
      </c>
      <c r="R40" s="36">
        <f t="shared" si="76"/>
        <v>0.86734636455683878</v>
      </c>
      <c r="S40" s="44">
        <v>501.83</v>
      </c>
      <c r="T40" s="44">
        <v>68.75</v>
      </c>
      <c r="U40" s="8">
        <f>S40-T40</f>
        <v>433.08</v>
      </c>
      <c r="V40" s="36">
        <f>U40/S40</f>
        <v>0.86300141482175241</v>
      </c>
      <c r="W40" s="58">
        <v>0.3</v>
      </c>
      <c r="X40" s="95">
        <f t="shared" si="77"/>
        <v>10.904145454545439</v>
      </c>
      <c r="Y40" s="95">
        <f>(D40-J40-O40)/S40</f>
        <v>68.071219337225742</v>
      </c>
      <c r="Z40" s="36">
        <f t="shared" si="78"/>
        <v>2.9273645284610267E-2</v>
      </c>
      <c r="AA40" s="60">
        <f t="shared" ref="AA40:AA44" si="81">SUM(D40-H40)/D40</f>
        <v>0.26633852727109697</v>
      </c>
      <c r="AB40" s="80"/>
      <c r="AD40" t="s">
        <v>93</v>
      </c>
      <c r="AE40" s="42">
        <f>AI44</f>
        <v>5849.48</v>
      </c>
      <c r="AH40" s="7">
        <f>SUM(T41-T40)</f>
        <v>0</v>
      </c>
      <c r="AI40" s="94">
        <f>SUM(K41-K40)</f>
        <v>0</v>
      </c>
    </row>
    <row r="41" spans="1:35">
      <c r="A41" s="7"/>
      <c r="B41" s="71"/>
      <c r="C41" s="93" t="s">
        <v>94</v>
      </c>
      <c r="D41" s="56">
        <v>128258.5</v>
      </c>
      <c r="E41" s="56">
        <v>25608.7</v>
      </c>
      <c r="F41" s="40">
        <f t="shared" ref="F41:F44" si="82">D41-E41</f>
        <v>102649.8</v>
      </c>
      <c r="G41" s="36">
        <f t="shared" si="79"/>
        <v>0.80033526043108261</v>
      </c>
      <c r="H41" s="40">
        <v>94098.32</v>
      </c>
      <c r="I41" s="40">
        <v>24859.040000000001</v>
      </c>
      <c r="J41" s="56">
        <f>SUM(H41-O41)</f>
        <v>69042.090000000011</v>
      </c>
      <c r="K41" s="56">
        <f t="shared" si="80"/>
        <v>21535.24</v>
      </c>
      <c r="L41" s="40">
        <f t="shared" si="73"/>
        <v>47506.850000000006</v>
      </c>
      <c r="M41" s="36">
        <f t="shared" si="74"/>
        <v>0.68808534040612035</v>
      </c>
      <c r="N41" s="58"/>
      <c r="O41" s="56">
        <v>25056.23</v>
      </c>
      <c r="P41" s="56">
        <v>3323.8</v>
      </c>
      <c r="Q41" s="40">
        <f t="shared" si="75"/>
        <v>21732.43</v>
      </c>
      <c r="R41" s="36">
        <f t="shared" si="76"/>
        <v>0.86734636455683878</v>
      </c>
      <c r="S41" s="44">
        <v>501.83</v>
      </c>
      <c r="T41" s="44">
        <v>68.75</v>
      </c>
      <c r="U41" s="8">
        <f>S41-T41</f>
        <v>433.08</v>
      </c>
      <c r="V41" s="36">
        <f>U41/S41</f>
        <v>0.86300141482175241</v>
      </c>
      <c r="W41" s="58"/>
      <c r="X41" s="95">
        <f t="shared" si="77"/>
        <v>10.904145454545439</v>
      </c>
      <c r="Y41" s="95">
        <f>(D41-J41-O41)/S41</f>
        <v>68.071219337225742</v>
      </c>
      <c r="Z41" s="36">
        <f t="shared" si="78"/>
        <v>2.9273645284610267E-2</v>
      </c>
      <c r="AA41" s="60">
        <f t="shared" si="81"/>
        <v>0.26633852727109697</v>
      </c>
      <c r="AB41" s="80"/>
      <c r="AH41" s="7">
        <f>SUM(T42-T41)</f>
        <v>0</v>
      </c>
      <c r="AI41" s="94">
        <f>SUM(K42-K41)</f>
        <v>0</v>
      </c>
    </row>
    <row r="42" spans="1:35">
      <c r="A42" s="7"/>
      <c r="B42" s="71"/>
      <c r="C42" s="93" t="s">
        <v>95</v>
      </c>
      <c r="D42" s="56">
        <v>128258.5</v>
      </c>
      <c r="E42" s="56">
        <v>25608.7</v>
      </c>
      <c r="F42" s="40">
        <f t="shared" si="82"/>
        <v>102649.8</v>
      </c>
      <c r="G42" s="36">
        <f t="shared" si="79"/>
        <v>0.80033526043108261</v>
      </c>
      <c r="H42" s="40">
        <v>94098.32</v>
      </c>
      <c r="I42" s="40">
        <v>24859.040000000001</v>
      </c>
      <c r="J42" s="56">
        <f t="shared" ref="J42:J44" si="83">SUM(H42-O42)</f>
        <v>69042.090000000011</v>
      </c>
      <c r="K42" s="56">
        <f t="shared" si="80"/>
        <v>21535.24</v>
      </c>
      <c r="L42" s="40">
        <f t="shared" si="73"/>
        <v>47506.850000000006</v>
      </c>
      <c r="M42" s="36">
        <f t="shared" si="74"/>
        <v>0.68808534040612035</v>
      </c>
      <c r="N42" s="58"/>
      <c r="O42" s="56">
        <v>25056.23</v>
      </c>
      <c r="P42" s="56">
        <v>3323.8</v>
      </c>
      <c r="Q42" s="40">
        <f t="shared" si="75"/>
        <v>21732.43</v>
      </c>
      <c r="R42" s="36">
        <f t="shared" si="76"/>
        <v>0.86734636455683878</v>
      </c>
      <c r="S42" s="44">
        <v>501.83</v>
      </c>
      <c r="T42" s="44">
        <v>68.75</v>
      </c>
      <c r="U42" s="8">
        <f>S42-T42</f>
        <v>433.08</v>
      </c>
      <c r="V42" s="36">
        <f>U42/S41</f>
        <v>0.86300141482175241</v>
      </c>
      <c r="W42" s="58"/>
      <c r="X42" s="95">
        <f t="shared" si="77"/>
        <v>10.904145454545439</v>
      </c>
      <c r="Y42" s="95">
        <f>(D42-J42-O42)/S41</f>
        <v>68.071219337225742</v>
      </c>
      <c r="Z42" s="36">
        <f t="shared" si="78"/>
        <v>2.9273645284610267E-2</v>
      </c>
      <c r="AA42" s="60">
        <f t="shared" si="81"/>
        <v>0.26633852727109697</v>
      </c>
      <c r="AB42" s="80"/>
      <c r="AD42" t="s">
        <v>96</v>
      </c>
      <c r="AE42" s="42">
        <v>0</v>
      </c>
      <c r="AH42" s="7">
        <f>SUM(T43-T42)</f>
        <v>19.5</v>
      </c>
      <c r="AI42" s="94">
        <f>SUM(K43-K42)</f>
        <v>-3.637978807091713E-12</v>
      </c>
    </row>
    <row r="43" spans="1:35">
      <c r="A43" s="7"/>
      <c r="B43" s="71"/>
      <c r="C43" s="93" t="s">
        <v>97</v>
      </c>
      <c r="D43" s="56">
        <v>128258.5</v>
      </c>
      <c r="E43" s="56">
        <v>25608.7</v>
      </c>
      <c r="F43" s="40">
        <f t="shared" si="82"/>
        <v>102649.8</v>
      </c>
      <c r="G43" s="36">
        <f t="shared" si="79"/>
        <v>0.80033526043108261</v>
      </c>
      <c r="H43" s="40">
        <v>94098.32</v>
      </c>
      <c r="I43" s="40">
        <v>25952.6</v>
      </c>
      <c r="J43" s="56">
        <f t="shared" si="83"/>
        <v>69042.090000000011</v>
      </c>
      <c r="K43" s="56">
        <f t="shared" si="80"/>
        <v>21535.239999999998</v>
      </c>
      <c r="L43" s="40">
        <f t="shared" si="73"/>
        <v>47506.850000000013</v>
      </c>
      <c r="M43" s="36">
        <f t="shared" si="74"/>
        <v>0.68808534040612046</v>
      </c>
      <c r="N43" s="58"/>
      <c r="O43" s="56">
        <v>25056.23</v>
      </c>
      <c r="P43" s="56">
        <v>4417.3599999999997</v>
      </c>
      <c r="Q43" s="40">
        <f t="shared" si="75"/>
        <v>20638.87</v>
      </c>
      <c r="R43" s="36">
        <f t="shared" si="76"/>
        <v>0.82370212917106844</v>
      </c>
      <c r="S43" s="44">
        <v>501.83</v>
      </c>
      <c r="T43" s="44">
        <v>88.25</v>
      </c>
      <c r="U43" s="8">
        <f>S43-T43</f>
        <v>413.58</v>
      </c>
      <c r="V43" s="36">
        <f>U43/S43</f>
        <v>0.8241436342984676</v>
      </c>
      <c r="W43" s="58"/>
      <c r="X43" s="95">
        <f t="shared" si="77"/>
        <v>-3.8968838526911829</v>
      </c>
      <c r="Y43" s="95">
        <f>(D43-J43-O43)/S43</f>
        <v>68.071219337225742</v>
      </c>
      <c r="Z43" s="36">
        <f t="shared" si="78"/>
        <v>-1.3429029978093261E-2</v>
      </c>
      <c r="AA43" s="60">
        <f t="shared" si="81"/>
        <v>0.26633852727109697</v>
      </c>
      <c r="AB43" s="80"/>
      <c r="AH43" s="7">
        <f>SUM(T44-T43)</f>
        <v>23.75</v>
      </c>
      <c r="AI43" s="94">
        <f>SUM(K44-K43)</f>
        <v>5312.2200000000012</v>
      </c>
    </row>
    <row r="44" spans="1:35">
      <c r="A44" s="7"/>
      <c r="B44" s="71"/>
      <c r="C44" s="93" t="s">
        <v>98</v>
      </c>
      <c r="D44" s="56">
        <v>128258.5</v>
      </c>
      <c r="E44" s="56">
        <v>36398.39</v>
      </c>
      <c r="F44" s="40">
        <f t="shared" si="82"/>
        <v>91860.11</v>
      </c>
      <c r="G44" s="36">
        <f t="shared" si="79"/>
        <v>0.71621069948580407</v>
      </c>
      <c r="H44" s="40">
        <v>94098.32</v>
      </c>
      <c r="I44" s="40">
        <v>32521.46</v>
      </c>
      <c r="J44" s="56">
        <f t="shared" si="83"/>
        <v>69042.090000000011</v>
      </c>
      <c r="K44" s="56">
        <f t="shared" si="80"/>
        <v>26847.46</v>
      </c>
      <c r="L44" s="40">
        <f t="shared" si="73"/>
        <v>42194.630000000012</v>
      </c>
      <c r="M44" s="36">
        <f t="shared" si="74"/>
        <v>0.61114357922826501</v>
      </c>
      <c r="N44" s="58"/>
      <c r="O44" s="56">
        <v>25056.23</v>
      </c>
      <c r="P44" s="56">
        <v>5674</v>
      </c>
      <c r="Q44" s="40">
        <f t="shared" si="75"/>
        <v>19382.23</v>
      </c>
      <c r="R44" s="36">
        <f t="shared" si="76"/>
        <v>0.77354933284057492</v>
      </c>
      <c r="S44" s="44">
        <v>501</v>
      </c>
      <c r="T44" s="44">
        <v>112</v>
      </c>
      <c r="U44" s="8">
        <f>S44-T44</f>
        <v>389</v>
      </c>
      <c r="V44" s="36">
        <f>U44/S44</f>
        <v>0.77644710578842313</v>
      </c>
      <c r="W44" s="58">
        <v>0.4</v>
      </c>
      <c r="X44" s="95">
        <f t="shared" si="77"/>
        <v>34.615446428571431</v>
      </c>
      <c r="Y44" s="95">
        <f>(D44-J44-O44)/S44</f>
        <v>68.183992015968045</v>
      </c>
      <c r="Z44" s="36">
        <f t="shared" si="78"/>
        <v>0.10651377712036166</v>
      </c>
      <c r="AA44" s="60">
        <f t="shared" si="81"/>
        <v>0.26633852727109697</v>
      </c>
      <c r="AB44" s="80"/>
      <c r="AH44" s="9">
        <f>SUM(AH39,AH40,AH41,AH42,AH43)</f>
        <v>104</v>
      </c>
      <c r="AI44" s="97">
        <f>SUM(AI39,AI40,AI41,AI42,AI43)</f>
        <v>5849.48</v>
      </c>
    </row>
    <row r="45" spans="1:35" ht="9" customHeight="1">
      <c r="A45" s="274"/>
      <c r="B45" s="275"/>
      <c r="C45" s="275"/>
      <c r="D45" s="275"/>
      <c r="E45" s="275"/>
      <c r="F45" s="275"/>
      <c r="G45" s="275"/>
      <c r="H45" s="275"/>
      <c r="I45" s="275"/>
      <c r="J45" s="275"/>
      <c r="K45" s="275"/>
      <c r="L45" s="275"/>
      <c r="M45" s="275"/>
      <c r="N45" s="275"/>
      <c r="O45" s="275"/>
      <c r="P45" s="275"/>
      <c r="Q45" s="275"/>
      <c r="R45" s="275"/>
      <c r="S45" s="275"/>
      <c r="T45" s="275"/>
      <c r="U45" s="275"/>
      <c r="V45" s="275"/>
      <c r="W45" s="275"/>
      <c r="X45" s="275"/>
      <c r="Y45" s="275"/>
      <c r="Z45" s="275"/>
      <c r="AA45" s="276"/>
    </row>
    <row r="46" spans="1:35">
      <c r="A46" s="7">
        <f>'Main Sheet'!A16</f>
        <v>8887</v>
      </c>
      <c r="B46" s="71" t="str">
        <f>'Main Sheet'!B16</f>
        <v>Tenancy 2 - Fisher Fit out</v>
      </c>
      <c r="C46" s="93" t="s">
        <v>90</v>
      </c>
      <c r="D46" s="56">
        <v>64305.21</v>
      </c>
      <c r="E46" s="56">
        <v>14477.41</v>
      </c>
      <c r="F46" s="40">
        <f>D46-E46</f>
        <v>49827.8</v>
      </c>
      <c r="G46" s="36">
        <f>F46/D46</f>
        <v>0.7748641206521214</v>
      </c>
      <c r="H46" s="40">
        <v>49749.48</v>
      </c>
      <c r="I46" s="40">
        <v>13531.4</v>
      </c>
      <c r="J46" s="56">
        <f>SUM(H46-O46)</f>
        <v>39151.4</v>
      </c>
      <c r="K46" s="56">
        <f>SUM(I46-P46)</f>
        <v>13232.43</v>
      </c>
      <c r="L46" s="40">
        <f t="shared" ref="L46:L51" si="84">J46-K46</f>
        <v>25918.97</v>
      </c>
      <c r="M46" s="36">
        <f t="shared" ref="M46:M51" si="85">L46/J46</f>
        <v>0.66201898271837023</v>
      </c>
      <c r="N46" s="58">
        <v>0</v>
      </c>
      <c r="O46" s="56">
        <v>10598.08</v>
      </c>
      <c r="P46" s="56">
        <v>298.97000000000003</v>
      </c>
      <c r="Q46" s="40">
        <f>O46-P46</f>
        <v>10299.11</v>
      </c>
      <c r="R46" s="36">
        <f>Q46/O46</f>
        <v>0.97179017331441175</v>
      </c>
      <c r="S46" s="44">
        <v>212.3</v>
      </c>
      <c r="T46" s="44">
        <v>6.5</v>
      </c>
      <c r="U46" s="8">
        <f>S46-T46</f>
        <v>205.8</v>
      </c>
      <c r="V46" s="36">
        <f>U46/S46</f>
        <v>0.96938294865756003</v>
      </c>
      <c r="W46" s="58">
        <v>0.01</v>
      </c>
      <c r="X46" s="95">
        <f>(E46-K46-P46)/T46</f>
        <v>145.53999999999994</v>
      </c>
      <c r="Y46" s="95">
        <f>(D46-J46-O46)/S46</f>
        <v>68.562081959491266</v>
      </c>
      <c r="Z46" s="36">
        <f>(E46-K46-P46)/E46</f>
        <v>6.5343870208828758E-2</v>
      </c>
      <c r="AA46" s="60">
        <f>SUM(D46-H46)/D46</f>
        <v>0.22635382109785498</v>
      </c>
      <c r="AB46" s="80"/>
      <c r="AD46" t="s">
        <v>91</v>
      </c>
      <c r="AE46">
        <f>AH51</f>
        <v>80.25</v>
      </c>
      <c r="AH46" s="7">
        <f>SUM(T47-T46)</f>
        <v>15.75</v>
      </c>
      <c r="AI46" s="94">
        <f>SUM(K47-K46)</f>
        <v>1065.1899999999987</v>
      </c>
    </row>
    <row r="47" spans="1:35">
      <c r="A47" s="7"/>
      <c r="B47" s="71"/>
      <c r="C47" s="93" t="s">
        <v>92</v>
      </c>
      <c r="D47" s="56">
        <v>64305.21</v>
      </c>
      <c r="E47" s="56">
        <v>14477.41</v>
      </c>
      <c r="F47" s="40">
        <f t="shared" ref="F47:F51" si="86">D47-E47</f>
        <v>49827.8</v>
      </c>
      <c r="G47" s="36">
        <f t="shared" ref="G47:G51" si="87">F47/D47</f>
        <v>0.7748641206521214</v>
      </c>
      <c r="H47" s="40">
        <v>49749.48</v>
      </c>
      <c r="I47" s="40">
        <v>15402</v>
      </c>
      <c r="J47" s="56">
        <f t="shared" ref="J47:K51" si="88">SUM(H47-O47)</f>
        <v>39151.4</v>
      </c>
      <c r="K47" s="56">
        <f t="shared" ref="K47:K51" si="89">SUM(I47-P47)</f>
        <v>14297.619999999999</v>
      </c>
      <c r="L47" s="40">
        <f t="shared" si="84"/>
        <v>24853.780000000002</v>
      </c>
      <c r="M47" s="36">
        <f t="shared" si="85"/>
        <v>0.6348120373728654</v>
      </c>
      <c r="N47" s="58">
        <v>0</v>
      </c>
      <c r="O47" s="56">
        <v>10598.08</v>
      </c>
      <c r="P47" s="56">
        <v>1104.3800000000001</v>
      </c>
      <c r="Q47" s="40">
        <f t="shared" ref="Q47:Q51" si="90">O47-P47</f>
        <v>9493.7000000000007</v>
      </c>
      <c r="R47" s="36">
        <f t="shared" ref="R47:R51" si="91">Q47/O47</f>
        <v>0.89579433255835028</v>
      </c>
      <c r="S47" s="44">
        <v>212.3</v>
      </c>
      <c r="T47" s="44">
        <v>22.25</v>
      </c>
      <c r="U47" s="8">
        <f t="shared" ref="U47:U51" si="92">S47-T47</f>
        <v>190.05</v>
      </c>
      <c r="V47" s="36">
        <f t="shared" ref="V47:V51" si="93">U47/S47</f>
        <v>0.89519547809703248</v>
      </c>
      <c r="W47" s="58">
        <v>0.2</v>
      </c>
      <c r="X47" s="95">
        <f t="shared" ref="X47:X51" si="94">(E47-K47-P47)/T47</f>
        <v>-41.554606741572996</v>
      </c>
      <c r="Y47" s="95">
        <f t="shared" ref="Y47:Y51" si="95">(D47-J47-O47)/S47</f>
        <v>68.562081959491266</v>
      </c>
      <c r="Z47" s="36">
        <f t="shared" ref="Z47:Z51" si="96">(E47-K47-P47)/E47</f>
        <v>-6.3864323798248385E-2</v>
      </c>
      <c r="AA47" s="60">
        <f t="shared" ref="AA47:AA50" si="97">SUM(D47-H47)/D47</f>
        <v>0.22635382109785498</v>
      </c>
      <c r="AB47" s="80"/>
      <c r="AD47" t="s">
        <v>93</v>
      </c>
      <c r="AE47" s="42">
        <f>AI51</f>
        <v>2406.619999999999</v>
      </c>
      <c r="AH47" s="7">
        <f>SUM(T48-T47)</f>
        <v>0</v>
      </c>
      <c r="AI47" s="94">
        <f>SUM(K48-K47)</f>
        <v>0</v>
      </c>
    </row>
    <row r="48" spans="1:35">
      <c r="A48" s="7"/>
      <c r="B48" s="71"/>
      <c r="C48" s="93" t="s">
        <v>94</v>
      </c>
      <c r="D48" s="56">
        <v>64305.21</v>
      </c>
      <c r="E48" s="56">
        <v>14477.41</v>
      </c>
      <c r="F48" s="40">
        <f t="shared" si="86"/>
        <v>49827.8</v>
      </c>
      <c r="G48" s="36">
        <f t="shared" si="87"/>
        <v>0.7748641206521214</v>
      </c>
      <c r="H48" s="40">
        <v>49749.48</v>
      </c>
      <c r="I48" s="40">
        <v>15402</v>
      </c>
      <c r="J48" s="56">
        <f t="shared" si="88"/>
        <v>39151.4</v>
      </c>
      <c r="K48" s="56">
        <f t="shared" si="88"/>
        <v>14297.619999999999</v>
      </c>
      <c r="L48" s="40">
        <f>J48-K48</f>
        <v>24853.780000000002</v>
      </c>
      <c r="M48" s="36">
        <f>L48/J48</f>
        <v>0.6348120373728654</v>
      </c>
      <c r="N48" s="58">
        <v>0</v>
      </c>
      <c r="O48" s="56">
        <v>10598.08</v>
      </c>
      <c r="P48" s="56">
        <v>1104.3800000000001</v>
      </c>
      <c r="Q48" s="40">
        <f t="shared" si="90"/>
        <v>9493.7000000000007</v>
      </c>
      <c r="R48" s="36">
        <f t="shared" si="91"/>
        <v>0.89579433255835028</v>
      </c>
      <c r="S48" s="44">
        <v>212.3</v>
      </c>
      <c r="T48" s="44">
        <v>22.25</v>
      </c>
      <c r="U48" s="8">
        <f t="shared" si="92"/>
        <v>190.05</v>
      </c>
      <c r="V48" s="36">
        <f t="shared" si="93"/>
        <v>0.89519547809703248</v>
      </c>
      <c r="W48" s="58"/>
      <c r="X48" s="95">
        <f t="shared" si="94"/>
        <v>-41.554606741572996</v>
      </c>
      <c r="Y48" s="95">
        <f t="shared" si="95"/>
        <v>68.562081959491266</v>
      </c>
      <c r="Z48" s="36">
        <f t="shared" si="96"/>
        <v>-6.3864323798248385E-2</v>
      </c>
      <c r="AA48" s="60">
        <f t="shared" si="97"/>
        <v>0.22635382109785498</v>
      </c>
      <c r="AB48" s="80"/>
      <c r="AH48" s="7">
        <f>SUM(T49-T48)</f>
        <v>0</v>
      </c>
      <c r="AI48" s="94">
        <f>SUM(K49-K48)</f>
        <v>0</v>
      </c>
    </row>
    <row r="49" spans="1:35">
      <c r="A49" s="7"/>
      <c r="B49" s="71"/>
      <c r="C49" s="93" t="s">
        <v>95</v>
      </c>
      <c r="D49" s="56">
        <v>64305.21</v>
      </c>
      <c r="E49" s="56">
        <v>14477.41</v>
      </c>
      <c r="F49" s="40">
        <f t="shared" si="86"/>
        <v>49827.8</v>
      </c>
      <c r="G49" s="36">
        <f t="shared" si="87"/>
        <v>0.7748641206521214</v>
      </c>
      <c r="H49" s="40">
        <v>49749.48</v>
      </c>
      <c r="I49" s="40">
        <v>15402</v>
      </c>
      <c r="J49" s="56">
        <f t="shared" si="88"/>
        <v>39151.4</v>
      </c>
      <c r="K49" s="56">
        <f t="shared" si="89"/>
        <v>14297.619999999999</v>
      </c>
      <c r="L49" s="40">
        <f t="shared" si="84"/>
        <v>24853.780000000002</v>
      </c>
      <c r="M49" s="36">
        <f t="shared" si="85"/>
        <v>0.6348120373728654</v>
      </c>
      <c r="N49" s="58">
        <v>0</v>
      </c>
      <c r="O49" s="56">
        <v>10598.08</v>
      </c>
      <c r="P49" s="56">
        <v>1104.3800000000001</v>
      </c>
      <c r="Q49" s="40">
        <f t="shared" si="90"/>
        <v>9493.7000000000007</v>
      </c>
      <c r="R49" s="36">
        <f t="shared" si="91"/>
        <v>0.89579433255835028</v>
      </c>
      <c r="S49" s="44">
        <v>212.3</v>
      </c>
      <c r="T49" s="44">
        <v>22.25</v>
      </c>
      <c r="U49" s="8">
        <f t="shared" si="92"/>
        <v>190.05</v>
      </c>
      <c r="V49" s="36">
        <f t="shared" si="93"/>
        <v>0.89519547809703248</v>
      </c>
      <c r="W49" s="58"/>
      <c r="X49" s="95">
        <f t="shared" si="94"/>
        <v>-41.554606741572996</v>
      </c>
      <c r="Y49" s="95">
        <f t="shared" si="95"/>
        <v>68.562081959491266</v>
      </c>
      <c r="Z49" s="36">
        <f t="shared" si="96"/>
        <v>-6.3864323798248385E-2</v>
      </c>
      <c r="AA49" s="60">
        <f t="shared" si="97"/>
        <v>0.22635382109785498</v>
      </c>
      <c r="AB49" s="80"/>
      <c r="AD49" t="s">
        <v>96</v>
      </c>
      <c r="AE49" s="42">
        <v>0</v>
      </c>
      <c r="AH49" s="7">
        <f>SUM(T50-T49)</f>
        <v>64.75</v>
      </c>
      <c r="AI49" s="94">
        <f>SUM(K50-K49)</f>
        <v>159.67000000000007</v>
      </c>
    </row>
    <row r="50" spans="1:35">
      <c r="A50" s="7"/>
      <c r="B50" s="71"/>
      <c r="C50" s="93" t="s">
        <v>97</v>
      </c>
      <c r="D50" s="56">
        <v>64305.21</v>
      </c>
      <c r="E50" s="56">
        <v>14477.41</v>
      </c>
      <c r="F50" s="40">
        <f t="shared" si="86"/>
        <v>49827.8</v>
      </c>
      <c r="G50" s="36">
        <f t="shared" si="87"/>
        <v>0.7748641206521214</v>
      </c>
      <c r="H50" s="40">
        <v>49749.48</v>
      </c>
      <c r="I50" s="40">
        <v>16010.31</v>
      </c>
      <c r="J50" s="56">
        <f t="shared" si="88"/>
        <v>39151.4</v>
      </c>
      <c r="K50" s="56">
        <f t="shared" si="89"/>
        <v>14457.289999999999</v>
      </c>
      <c r="L50" s="40">
        <f t="shared" si="84"/>
        <v>24694.11</v>
      </c>
      <c r="M50" s="36">
        <f t="shared" si="85"/>
        <v>0.63073376686402016</v>
      </c>
      <c r="N50" s="58">
        <v>0</v>
      </c>
      <c r="O50" s="56">
        <v>10598.08</v>
      </c>
      <c r="P50" s="56">
        <v>1553.02</v>
      </c>
      <c r="Q50" s="40">
        <f t="shared" si="90"/>
        <v>9045.06</v>
      </c>
      <c r="R50" s="36">
        <f t="shared" si="91"/>
        <v>0.8534621365379389</v>
      </c>
      <c r="S50" s="44">
        <v>212.3</v>
      </c>
      <c r="T50" s="44">
        <v>87</v>
      </c>
      <c r="U50" s="8">
        <f t="shared" si="92"/>
        <v>125.30000000000001</v>
      </c>
      <c r="V50" s="36">
        <f t="shared" si="93"/>
        <v>0.59020254357041924</v>
      </c>
      <c r="W50" s="58"/>
      <c r="X50" s="95">
        <f t="shared" si="94"/>
        <v>-17.619540229885047</v>
      </c>
      <c r="Y50" s="95">
        <f t="shared" si="95"/>
        <v>68.562081959491266</v>
      </c>
      <c r="Z50" s="36">
        <f t="shared" si="96"/>
        <v>-0.10588219854241879</v>
      </c>
      <c r="AA50" s="60">
        <f t="shared" si="97"/>
        <v>0.22635382109785498</v>
      </c>
      <c r="AB50" s="80"/>
      <c r="AH50" s="7">
        <f>SUM(T51-T50)</f>
        <v>-0.25</v>
      </c>
      <c r="AI50" s="94">
        <f>SUM(K51-K50)</f>
        <v>1181.7600000000002</v>
      </c>
    </row>
    <row r="51" spans="1:35">
      <c r="A51" s="7"/>
      <c r="B51" s="71"/>
      <c r="C51" s="93" t="s">
        <v>98</v>
      </c>
      <c r="D51" s="56">
        <v>64305.21</v>
      </c>
      <c r="E51" s="56">
        <v>25322.07</v>
      </c>
      <c r="F51" s="40">
        <f t="shared" si="86"/>
        <v>38983.14</v>
      </c>
      <c r="G51" s="36">
        <f t="shared" si="87"/>
        <v>0.60622055351347115</v>
      </c>
      <c r="H51" s="40">
        <v>49749.48</v>
      </c>
      <c r="I51" s="40">
        <v>19566.87</v>
      </c>
      <c r="J51" s="56">
        <f t="shared" si="88"/>
        <v>39151.4</v>
      </c>
      <c r="K51" s="56">
        <f t="shared" si="89"/>
        <v>15639.05</v>
      </c>
      <c r="L51" s="40">
        <f t="shared" si="84"/>
        <v>23512.350000000002</v>
      </c>
      <c r="M51" s="36">
        <f t="shared" si="85"/>
        <v>0.60054940564066683</v>
      </c>
      <c r="N51" s="58">
        <v>0</v>
      </c>
      <c r="O51" s="56">
        <v>10598.08</v>
      </c>
      <c r="P51" s="56">
        <v>3927.82</v>
      </c>
      <c r="Q51" s="40">
        <f t="shared" si="90"/>
        <v>6670.26</v>
      </c>
      <c r="R51" s="36">
        <f t="shared" si="91"/>
        <v>0.6293838129170567</v>
      </c>
      <c r="S51" s="44">
        <v>212.3</v>
      </c>
      <c r="T51" s="44">
        <v>86.75</v>
      </c>
      <c r="U51" s="8">
        <f t="shared" si="92"/>
        <v>125.55000000000001</v>
      </c>
      <c r="V51" s="36">
        <f t="shared" si="93"/>
        <v>0.59138012246820537</v>
      </c>
      <c r="W51" s="58">
        <v>0.4</v>
      </c>
      <c r="X51" s="95">
        <f t="shared" si="94"/>
        <v>66.342363112391936</v>
      </c>
      <c r="Y51" s="95">
        <f t="shared" si="95"/>
        <v>68.562081959491266</v>
      </c>
      <c r="Z51" s="36">
        <f t="shared" si="96"/>
        <v>0.22727999725140957</v>
      </c>
      <c r="AA51" s="60">
        <f>SUM(D51-H51)/D51</f>
        <v>0.22635382109785498</v>
      </c>
      <c r="AB51" s="80"/>
      <c r="AH51" s="9">
        <f>SUM(AH46,AH47,AH48,AH49,AH50)</f>
        <v>80.25</v>
      </c>
      <c r="AI51" s="97">
        <f>SUM(AI46,AI47,AI48,AI49,AI50)</f>
        <v>2406.619999999999</v>
      </c>
    </row>
    <row r="52" spans="1:35" ht="9" customHeight="1">
      <c r="A52" s="274"/>
      <c r="B52" s="275"/>
      <c r="C52" s="275"/>
      <c r="D52" s="275"/>
      <c r="E52" s="275"/>
      <c r="F52" s="275"/>
      <c r="G52" s="275"/>
      <c r="H52" s="275"/>
      <c r="I52" s="275"/>
      <c r="J52" s="275"/>
      <c r="K52" s="275"/>
      <c r="L52" s="275"/>
      <c r="M52" s="275"/>
      <c r="N52" s="275"/>
      <c r="O52" s="275"/>
      <c r="P52" s="275"/>
      <c r="Q52" s="275"/>
      <c r="R52" s="275"/>
      <c r="S52" s="275"/>
      <c r="T52" s="275"/>
      <c r="U52" s="275"/>
      <c r="V52" s="275"/>
      <c r="W52" s="275"/>
      <c r="X52" s="275"/>
      <c r="Y52" s="275"/>
      <c r="Z52" s="275"/>
      <c r="AA52" s="276"/>
    </row>
    <row r="53" spans="1:35">
      <c r="A53" s="7">
        <f>'Main Sheet'!A18</f>
        <v>8670</v>
      </c>
      <c r="B53" s="71" t="str">
        <f>'Main Sheet'!B18</f>
        <v>Studio DB - tautara fit out</v>
      </c>
      <c r="C53" s="93" t="s">
        <v>90</v>
      </c>
      <c r="D53" s="56">
        <v>146005.54999999999</v>
      </c>
      <c r="E53" s="56">
        <v>61401.4</v>
      </c>
      <c r="F53" s="40">
        <f>D53-E53</f>
        <v>84604.15</v>
      </c>
      <c r="G53" s="36">
        <f>F53/D53</f>
        <v>0.57945845209308822</v>
      </c>
      <c r="H53" s="40">
        <v>103345.75</v>
      </c>
      <c r="I53" s="40">
        <v>52398.84</v>
      </c>
      <c r="J53" s="56">
        <f>SUM(H53-O53)</f>
        <v>71390.14</v>
      </c>
      <c r="K53" s="56">
        <f>SUM(I53-P53)</f>
        <v>50454.38</v>
      </c>
      <c r="L53" s="40">
        <f t="shared" ref="L53:L58" si="98">J53-K53</f>
        <v>20935.760000000002</v>
      </c>
      <c r="M53" s="36">
        <f t="shared" ref="M53:M58" si="99">L53/J53</f>
        <v>0.29325842476285946</v>
      </c>
      <c r="N53" s="58"/>
      <c r="O53" s="56">
        <v>31955.61</v>
      </c>
      <c r="P53" s="56">
        <v>1944.46</v>
      </c>
      <c r="Q53" s="40">
        <f t="shared" ref="Q53:Q58" si="100">O53-P53</f>
        <v>30011.15</v>
      </c>
      <c r="R53" s="36">
        <f t="shared" ref="R53:R58" si="101">Q53/O53</f>
        <v>0.93915121632789988</v>
      </c>
      <c r="S53" s="44">
        <v>639.95000000000005</v>
      </c>
      <c r="T53" s="44">
        <v>38</v>
      </c>
      <c r="U53" s="8">
        <f t="shared" ref="U53:U58" si="102">S53-T53</f>
        <v>601.95000000000005</v>
      </c>
      <c r="V53" s="36">
        <f t="shared" ref="V53:V58" si="103">U53/S53</f>
        <v>0.94062036096570045</v>
      </c>
      <c r="W53" s="58">
        <v>0</v>
      </c>
      <c r="X53" s="95">
        <f t="shared" ref="X53:X58" si="104">(E53-K53-P53)/T53</f>
        <v>236.90947368421067</v>
      </c>
      <c r="Y53" s="95">
        <f>(D53-J53-O53)/S53</f>
        <v>66.661145401984513</v>
      </c>
      <c r="Z53" s="36">
        <f t="shared" ref="Z53:Z58" si="105">(E53-K53-P53)/E53</f>
        <v>0.14661815528636163</v>
      </c>
      <c r="AA53" s="60">
        <f>SUM(D53-H53)/D53</f>
        <v>0.29217930414289039</v>
      </c>
      <c r="AB53" s="80"/>
      <c r="AD53" t="s">
        <v>91</v>
      </c>
      <c r="AE53">
        <f>AH58</f>
        <v>231</v>
      </c>
      <c r="AH53" s="7">
        <f>SUM(T54-T53)</f>
        <v>132.5</v>
      </c>
      <c r="AI53" s="94">
        <f>SUM(K54-K53)</f>
        <v>8559.0799999999945</v>
      </c>
    </row>
    <row r="54" spans="1:35">
      <c r="A54" s="7"/>
      <c r="B54" s="71"/>
      <c r="C54" s="93" t="s">
        <v>92</v>
      </c>
      <c r="D54" s="56">
        <v>146005.54999999999</v>
      </c>
      <c r="E54" s="56">
        <v>61401.4</v>
      </c>
      <c r="F54" s="40">
        <f>D54-E54</f>
        <v>84604.15</v>
      </c>
      <c r="G54" s="36">
        <f>F54/D54</f>
        <v>0.57945845209308822</v>
      </c>
      <c r="H54" s="40">
        <v>103345.75</v>
      </c>
      <c r="I54" s="40">
        <v>67982.009999999995</v>
      </c>
      <c r="J54" s="56">
        <f t="shared" ref="J54:K58" si="106">SUM(H54-O54)</f>
        <v>71390.14</v>
      </c>
      <c r="K54" s="56">
        <f t="shared" ref="K54:K58" si="107">SUM(I54-P54)</f>
        <v>59013.459999999992</v>
      </c>
      <c r="L54" s="40">
        <f t="shared" si="98"/>
        <v>12376.680000000008</v>
      </c>
      <c r="M54" s="36">
        <f t="shared" si="99"/>
        <v>0.17336679827214246</v>
      </c>
      <c r="N54" s="58"/>
      <c r="O54" s="56">
        <v>31955.61</v>
      </c>
      <c r="P54" s="56">
        <v>8968.5499999999993</v>
      </c>
      <c r="Q54" s="40">
        <f t="shared" si="100"/>
        <v>22987.06</v>
      </c>
      <c r="R54" s="36">
        <f t="shared" si="101"/>
        <v>0.71934348929655856</v>
      </c>
      <c r="S54" s="44">
        <v>639.95000000000005</v>
      </c>
      <c r="T54" s="44">
        <v>170.5</v>
      </c>
      <c r="U54" s="8">
        <f t="shared" si="102"/>
        <v>469.45000000000005</v>
      </c>
      <c r="V54" s="36">
        <f t="shared" si="103"/>
        <v>0.733572935385577</v>
      </c>
      <c r="W54" s="58">
        <v>0.25</v>
      </c>
      <c r="X54" s="95">
        <f t="shared" si="104"/>
        <v>-38.595953079178827</v>
      </c>
      <c r="Y54" s="95">
        <f>(D54-J54-O54)/S54</f>
        <v>66.661145401984513</v>
      </c>
      <c r="Z54" s="36">
        <f t="shared" si="105"/>
        <v>-0.10717361493386127</v>
      </c>
      <c r="AA54" s="60">
        <f>SUM(D54-H54)/D54</f>
        <v>0.29217930414289039</v>
      </c>
      <c r="AB54" s="80"/>
      <c r="AD54" t="s">
        <v>93</v>
      </c>
      <c r="AE54" s="42">
        <f>AI58</f>
        <v>15945.500000000007</v>
      </c>
      <c r="AH54" s="7">
        <f>SUM(T55-T54)</f>
        <v>0</v>
      </c>
      <c r="AI54" s="94">
        <f>SUM(K55-K54)</f>
        <v>0</v>
      </c>
    </row>
    <row r="55" spans="1:35">
      <c r="A55" s="7"/>
      <c r="B55" s="71"/>
      <c r="C55" s="93" t="s">
        <v>94</v>
      </c>
      <c r="D55" s="56">
        <v>146005.54999999999</v>
      </c>
      <c r="E55" s="56">
        <v>61401.4</v>
      </c>
      <c r="F55" s="40">
        <f t="shared" ref="F55:F58" si="108">D55-E55</f>
        <v>84604.15</v>
      </c>
      <c r="G55" s="36">
        <f t="shared" ref="G55:G58" si="109">F55/D55</f>
        <v>0.57945845209308822</v>
      </c>
      <c r="H55" s="40">
        <v>103345.75</v>
      </c>
      <c r="I55" s="40">
        <v>67982.009999999995</v>
      </c>
      <c r="J55" s="56">
        <f t="shared" si="106"/>
        <v>71390.14</v>
      </c>
      <c r="K55" s="56">
        <f t="shared" si="106"/>
        <v>59013.459999999992</v>
      </c>
      <c r="L55" s="40">
        <f>J55-K55</f>
        <v>12376.680000000008</v>
      </c>
      <c r="M55" s="36">
        <f>L55/J55</f>
        <v>0.17336679827214246</v>
      </c>
      <c r="N55" s="58"/>
      <c r="O55" s="56">
        <v>31955.61</v>
      </c>
      <c r="P55" s="56">
        <v>8968.5499999999993</v>
      </c>
      <c r="Q55" s="40">
        <f>O55-P55</f>
        <v>22987.06</v>
      </c>
      <c r="R55" s="36">
        <f>Q55/O55</f>
        <v>0.71934348929655856</v>
      </c>
      <c r="S55" s="44">
        <v>639.95000000000005</v>
      </c>
      <c r="T55" s="44">
        <v>170.5</v>
      </c>
      <c r="U55" s="8">
        <f>S55-T55</f>
        <v>469.45000000000005</v>
      </c>
      <c r="V55" s="36">
        <f>U55/S55</f>
        <v>0.733572935385577</v>
      </c>
      <c r="W55" s="58"/>
      <c r="X55" s="95">
        <f>(E55-K55-P55)/T55</f>
        <v>-38.595953079178827</v>
      </c>
      <c r="Y55" s="95">
        <f>(D55-J55-O55)/S55</f>
        <v>66.661145401984513</v>
      </c>
      <c r="Z55" s="36">
        <f>(E55-K55-P55)/E55</f>
        <v>-0.10717361493386127</v>
      </c>
      <c r="AA55" s="60">
        <f t="shared" ref="AA55:AA57" si="110">SUM(D55-H55)/D55</f>
        <v>0.29217930414289039</v>
      </c>
      <c r="AB55" s="80"/>
      <c r="AH55" s="7">
        <f>SUM(T56-T55)</f>
        <v>0</v>
      </c>
      <c r="AI55" s="94">
        <f>SUM(K56-K55)</f>
        <v>0</v>
      </c>
    </row>
    <row r="56" spans="1:35">
      <c r="A56" s="7"/>
      <c r="B56" s="71"/>
      <c r="C56" s="93" t="s">
        <v>95</v>
      </c>
      <c r="D56" s="56">
        <v>146005.54999999999</v>
      </c>
      <c r="E56" s="56">
        <v>61401.4</v>
      </c>
      <c r="F56" s="40">
        <f t="shared" si="108"/>
        <v>84604.15</v>
      </c>
      <c r="G56" s="36">
        <f t="shared" si="109"/>
        <v>0.57945845209308822</v>
      </c>
      <c r="H56" s="40">
        <v>103345.75</v>
      </c>
      <c r="I56" s="40">
        <v>67982.009999999995</v>
      </c>
      <c r="J56" s="56">
        <f t="shared" si="106"/>
        <v>71390.14</v>
      </c>
      <c r="K56" s="56">
        <f t="shared" si="107"/>
        <v>59013.459999999992</v>
      </c>
      <c r="L56" s="40">
        <f t="shared" si="98"/>
        <v>12376.680000000008</v>
      </c>
      <c r="M56" s="36">
        <f t="shared" si="99"/>
        <v>0.17336679827214246</v>
      </c>
      <c r="N56" s="58"/>
      <c r="O56" s="56">
        <v>31955.61</v>
      </c>
      <c r="P56" s="56">
        <v>8968.5499999999993</v>
      </c>
      <c r="Q56" s="40">
        <f t="shared" si="100"/>
        <v>22987.06</v>
      </c>
      <c r="R56" s="36">
        <f t="shared" si="101"/>
        <v>0.71934348929655856</v>
      </c>
      <c r="S56" s="44">
        <v>639.95000000000005</v>
      </c>
      <c r="T56" s="44">
        <v>170.5</v>
      </c>
      <c r="U56" s="8">
        <f t="shared" si="102"/>
        <v>469.45000000000005</v>
      </c>
      <c r="V56" s="36">
        <f t="shared" si="103"/>
        <v>0.733572935385577</v>
      </c>
      <c r="W56" s="58"/>
      <c r="X56" s="95">
        <f t="shared" si="104"/>
        <v>-38.595953079178827</v>
      </c>
      <c r="Y56" s="95">
        <f t="shared" ref="Y56:Y58" si="111">(D56-J56-O56)/S56</f>
        <v>66.661145401984513</v>
      </c>
      <c r="Z56" s="36">
        <f t="shared" si="105"/>
        <v>-0.10717361493386127</v>
      </c>
      <c r="AA56" s="60">
        <f t="shared" si="110"/>
        <v>0.29217930414289039</v>
      </c>
      <c r="AB56" s="80"/>
      <c r="AD56" t="s">
        <v>96</v>
      </c>
      <c r="AE56" s="42">
        <v>0</v>
      </c>
      <c r="AH56" s="7">
        <f>SUM(T57-T56)</f>
        <v>72.25</v>
      </c>
      <c r="AI56" s="94">
        <f>SUM(K57-K56)</f>
        <v>4493.6200000000099</v>
      </c>
    </row>
    <row r="57" spans="1:35">
      <c r="A57" s="7"/>
      <c r="B57" s="71"/>
      <c r="C57" s="93" t="s">
        <v>97</v>
      </c>
      <c r="D57" s="56">
        <v>150152.16</v>
      </c>
      <c r="E57" s="56">
        <v>61401.4</v>
      </c>
      <c r="F57" s="40">
        <f t="shared" si="108"/>
        <v>88750.760000000009</v>
      </c>
      <c r="G57" s="36">
        <f t="shared" si="109"/>
        <v>0.5910721497446324</v>
      </c>
      <c r="H57" s="40">
        <v>105626.39</v>
      </c>
      <c r="I57" s="40">
        <v>75607.83</v>
      </c>
      <c r="J57" s="56">
        <f t="shared" si="106"/>
        <v>72224.17</v>
      </c>
      <c r="K57" s="56">
        <f t="shared" si="107"/>
        <v>63507.08</v>
      </c>
      <c r="L57" s="40">
        <f t="shared" si="98"/>
        <v>8717.0899999999965</v>
      </c>
      <c r="M57" s="36">
        <f t="shared" si="99"/>
        <v>0.12069491418177594</v>
      </c>
      <c r="N57" s="58"/>
      <c r="O57" s="56">
        <v>33402.22</v>
      </c>
      <c r="P57" s="56">
        <v>12100.75</v>
      </c>
      <c r="Q57" s="40">
        <f t="shared" si="100"/>
        <v>21301.47</v>
      </c>
      <c r="R57" s="36">
        <f t="shared" si="101"/>
        <v>0.63772617508656615</v>
      </c>
      <c r="S57" s="44">
        <v>668.92</v>
      </c>
      <c r="T57" s="44">
        <v>242.75</v>
      </c>
      <c r="U57" s="8">
        <f t="shared" si="102"/>
        <v>426.16999999999996</v>
      </c>
      <c r="V57" s="36">
        <f t="shared" si="103"/>
        <v>0.6371015966034802</v>
      </c>
      <c r="W57" s="58"/>
      <c r="X57" s="95">
        <f t="shared" si="104"/>
        <v>-58.522883625128735</v>
      </c>
      <c r="Y57" s="95">
        <f t="shared" si="111"/>
        <v>66.563669796089229</v>
      </c>
      <c r="Z57" s="36">
        <f t="shared" si="105"/>
        <v>-0.23136980590019121</v>
      </c>
      <c r="AA57" s="60">
        <f t="shared" si="110"/>
        <v>0.29653765886551353</v>
      </c>
      <c r="AB57" s="80"/>
      <c r="AH57" s="7">
        <f>SUM(T58-T57)</f>
        <v>26.25</v>
      </c>
      <c r="AI57" s="94">
        <f>SUM(K58-K57)</f>
        <v>2892.8000000000029</v>
      </c>
    </row>
    <row r="58" spans="1:35">
      <c r="A58" s="7"/>
      <c r="B58" s="71"/>
      <c r="C58" s="93" t="s">
        <v>98</v>
      </c>
      <c r="D58" s="56">
        <v>150152.16</v>
      </c>
      <c r="E58" s="56">
        <v>98562.5</v>
      </c>
      <c r="F58" s="40">
        <f t="shared" si="108"/>
        <v>51589.66</v>
      </c>
      <c r="G58" s="36">
        <f t="shared" si="109"/>
        <v>0.34358253654159887</v>
      </c>
      <c r="H58" s="40">
        <v>105626.39</v>
      </c>
      <c r="I58" s="40">
        <v>79936.19</v>
      </c>
      <c r="J58" s="56">
        <f t="shared" si="106"/>
        <v>72224.17</v>
      </c>
      <c r="K58" s="56">
        <f t="shared" si="107"/>
        <v>66399.88</v>
      </c>
      <c r="L58" s="40">
        <f t="shared" si="98"/>
        <v>5824.2899999999936</v>
      </c>
      <c r="M58" s="36">
        <f t="shared" si="99"/>
        <v>8.0641840536208223E-2</v>
      </c>
      <c r="N58" s="58"/>
      <c r="O58" s="56">
        <v>33402.22</v>
      </c>
      <c r="P58" s="56">
        <v>13536.31</v>
      </c>
      <c r="Q58" s="40">
        <f t="shared" si="100"/>
        <v>19865.910000000003</v>
      </c>
      <c r="R58" s="36">
        <f t="shared" si="101"/>
        <v>0.59474819338355367</v>
      </c>
      <c r="S58" s="44">
        <v>668.92</v>
      </c>
      <c r="T58" s="44">
        <v>269</v>
      </c>
      <c r="U58" s="8">
        <f t="shared" si="102"/>
        <v>399.91999999999996</v>
      </c>
      <c r="V58" s="36">
        <f t="shared" si="103"/>
        <v>0.59785923578305322</v>
      </c>
      <c r="W58" s="58">
        <v>0.3</v>
      </c>
      <c r="X58" s="95">
        <f t="shared" si="104"/>
        <v>69.242788104089215</v>
      </c>
      <c r="Y58" s="95">
        <f t="shared" si="111"/>
        <v>66.563669796089229</v>
      </c>
      <c r="Z58" s="36">
        <f t="shared" si="105"/>
        <v>0.18897968294229547</v>
      </c>
      <c r="AA58" s="60">
        <f>SUM(D58-H58)/D58</f>
        <v>0.29653765886551353</v>
      </c>
      <c r="AB58" s="80"/>
      <c r="AH58" s="9">
        <f>SUM(AH53,AH54,AH55,AH56,AH57)</f>
        <v>231</v>
      </c>
      <c r="AI58" s="97">
        <f>SUM(AI53,AI54,AI55,AI56,AI57)</f>
        <v>15945.500000000007</v>
      </c>
    </row>
    <row r="59" spans="1:35" ht="9" customHeight="1">
      <c r="A59" s="274"/>
      <c r="B59" s="275"/>
      <c r="C59" s="275"/>
      <c r="D59" s="275"/>
      <c r="E59" s="275"/>
      <c r="F59" s="275"/>
      <c r="G59" s="275"/>
      <c r="H59" s="275"/>
      <c r="I59" s="275"/>
      <c r="J59" s="275"/>
      <c r="K59" s="275"/>
      <c r="L59" s="275"/>
      <c r="M59" s="275"/>
      <c r="N59" s="275"/>
      <c r="O59" s="275"/>
      <c r="P59" s="275"/>
      <c r="Q59" s="275"/>
      <c r="R59" s="275"/>
      <c r="S59" s="275"/>
      <c r="T59" s="275"/>
      <c r="U59" s="275"/>
      <c r="V59" s="275"/>
      <c r="W59" s="275"/>
      <c r="X59" s="275"/>
      <c r="Y59" s="275"/>
      <c r="Z59" s="275"/>
      <c r="AA59" s="276"/>
    </row>
    <row r="60" spans="1:35">
      <c r="A60" s="7">
        <f>'Main Sheet'!A20</f>
        <v>8907</v>
      </c>
      <c r="B60" s="71" t="str">
        <f>'Main Sheet'!B20</f>
        <v>35 Mania</v>
      </c>
      <c r="C60" s="93" t="s">
        <v>90</v>
      </c>
      <c r="D60" s="56">
        <v>20420.560000000001</v>
      </c>
      <c r="E60" s="56"/>
      <c r="F60" s="40">
        <f>D60-E60</f>
        <v>20420.560000000001</v>
      </c>
      <c r="G60" s="36">
        <f>F60/D60</f>
        <v>1</v>
      </c>
      <c r="H60" s="40">
        <v>15859.68</v>
      </c>
      <c r="I60" s="40">
        <v>0</v>
      </c>
      <c r="J60" s="56">
        <f>SUM(H60-O60)</f>
        <v>12689.1</v>
      </c>
      <c r="K60" s="56">
        <f>SUM(I60-P60)</f>
        <v>0</v>
      </c>
      <c r="L60" s="40">
        <f t="shared" ref="L60:L65" si="112">J60-K60</f>
        <v>12689.1</v>
      </c>
      <c r="M60" s="36">
        <f t="shared" ref="M60:M65" si="113">L60/J60</f>
        <v>1</v>
      </c>
      <c r="N60" s="58"/>
      <c r="O60" s="56">
        <v>3170.58</v>
      </c>
      <c r="P60" s="56">
        <v>0</v>
      </c>
      <c r="Q60" s="40">
        <f t="shared" ref="Q60:Q65" si="114">O60-P60</f>
        <v>3170.58</v>
      </c>
      <c r="R60" s="36">
        <f t="shared" ref="R60:R65" si="115">Q60/O60</f>
        <v>1</v>
      </c>
      <c r="S60" s="44">
        <v>63.5</v>
      </c>
      <c r="T60" s="44">
        <v>0</v>
      </c>
      <c r="U60" s="8">
        <f t="shared" ref="U60:U65" si="116">S60-T60</f>
        <v>63.5</v>
      </c>
      <c r="V60" s="36">
        <f t="shared" ref="V60:V65" si="117">U60/S60</f>
        <v>1</v>
      </c>
      <c r="W60" s="58"/>
      <c r="X60" s="95" t="e">
        <f t="shared" ref="X60:X65" si="118">(E60-K60-P60)/T60</f>
        <v>#DIV/0!</v>
      </c>
      <c r="Y60" s="95">
        <f t="shared" ref="Y60:Y65" si="119">(D60-J60-O60)/S60</f>
        <v>71.824881889763802</v>
      </c>
      <c r="Z60" s="36" t="e">
        <f t="shared" ref="Z60:Z65" si="120">(E60-K60-P60)/E60</f>
        <v>#DIV/0!</v>
      </c>
      <c r="AA60" s="60">
        <f>SUM(D60-H60)/D60</f>
        <v>0.22334744982507829</v>
      </c>
      <c r="AB60" s="80"/>
      <c r="AD60" t="s">
        <v>91</v>
      </c>
      <c r="AE60">
        <f>AH65</f>
        <v>26.75</v>
      </c>
      <c r="AH60" s="7">
        <f>SUM(T61-T60)</f>
        <v>26.75</v>
      </c>
      <c r="AI60" s="94">
        <f>SUM(K61-K60)</f>
        <v>1454.9800000000002</v>
      </c>
    </row>
    <row r="61" spans="1:35">
      <c r="A61" s="7"/>
      <c r="B61" s="71"/>
      <c r="C61" s="93" t="s">
        <v>92</v>
      </c>
      <c r="D61" s="56">
        <v>20420.560000000001</v>
      </c>
      <c r="E61" s="56"/>
      <c r="F61" s="40">
        <f t="shared" ref="F61:F65" si="121">D61-E61</f>
        <v>20420.560000000001</v>
      </c>
      <c r="G61" s="36">
        <f t="shared" ref="G61:G65" si="122">F61/D61</f>
        <v>1</v>
      </c>
      <c r="H61" s="40">
        <v>15859.68</v>
      </c>
      <c r="I61" s="40">
        <v>2489.0100000000002</v>
      </c>
      <c r="J61" s="56">
        <f>SUM(H61-O61)</f>
        <v>12689.1</v>
      </c>
      <c r="K61" s="56">
        <f t="shared" ref="K61:K65" si="123">SUM(I61-P61)</f>
        <v>1454.9800000000002</v>
      </c>
      <c r="L61" s="40">
        <f t="shared" si="112"/>
        <v>11234.12</v>
      </c>
      <c r="M61" s="36">
        <f t="shared" si="113"/>
        <v>0.88533623346021395</v>
      </c>
      <c r="N61" s="58"/>
      <c r="O61" s="56">
        <v>3170.58</v>
      </c>
      <c r="P61" s="56">
        <v>1034.03</v>
      </c>
      <c r="Q61" s="40">
        <f t="shared" si="114"/>
        <v>2136.5500000000002</v>
      </c>
      <c r="R61" s="36">
        <f t="shared" si="115"/>
        <v>0.67386724195573056</v>
      </c>
      <c r="S61" s="44">
        <v>63.5</v>
      </c>
      <c r="T61" s="44">
        <v>26.75</v>
      </c>
      <c r="U61" s="8">
        <f t="shared" si="116"/>
        <v>36.75</v>
      </c>
      <c r="V61" s="36">
        <f t="shared" si="117"/>
        <v>0.57874015748031493</v>
      </c>
      <c r="W61" s="58">
        <v>0.38</v>
      </c>
      <c r="X61" s="95">
        <f t="shared" si="118"/>
        <v>-93.047102803738326</v>
      </c>
      <c r="Y61" s="95">
        <f t="shared" si="119"/>
        <v>71.824881889763802</v>
      </c>
      <c r="Z61" s="36" t="e">
        <f t="shared" si="120"/>
        <v>#DIV/0!</v>
      </c>
      <c r="AA61" s="60">
        <f t="shared" ref="AA61:AA65" si="124">SUM(D61-H61)/D61</f>
        <v>0.22334744982507829</v>
      </c>
      <c r="AB61" s="80"/>
      <c r="AD61" t="s">
        <v>93</v>
      </c>
      <c r="AE61" s="42">
        <f>AI65</f>
        <v>11159.14</v>
      </c>
      <c r="AH61" s="7">
        <f>SUM(T62-T61)</f>
        <v>0</v>
      </c>
      <c r="AI61" s="94">
        <f>SUM(K62-K61)</f>
        <v>0</v>
      </c>
    </row>
    <row r="62" spans="1:35">
      <c r="A62" s="7"/>
      <c r="B62" s="71"/>
      <c r="C62" s="93" t="s">
        <v>94</v>
      </c>
      <c r="D62" s="56">
        <v>20420.560000000001</v>
      </c>
      <c r="E62" s="56"/>
      <c r="F62" s="40">
        <f t="shared" si="121"/>
        <v>20420.560000000001</v>
      </c>
      <c r="G62" s="36">
        <f t="shared" si="122"/>
        <v>1</v>
      </c>
      <c r="H62" s="40">
        <v>15859.68</v>
      </c>
      <c r="I62" s="40">
        <v>2489.0100000000002</v>
      </c>
      <c r="J62" s="56">
        <f t="shared" ref="J62:K62" si="125">SUM(H62-O62)</f>
        <v>12689.1</v>
      </c>
      <c r="K62" s="56">
        <f t="shared" si="125"/>
        <v>1454.9800000000002</v>
      </c>
      <c r="L62" s="40">
        <f>J62-K62</f>
        <v>11234.12</v>
      </c>
      <c r="M62" s="36">
        <f>L62/J62</f>
        <v>0.88533623346021395</v>
      </c>
      <c r="N62" s="58"/>
      <c r="O62" s="56">
        <v>3170.58</v>
      </c>
      <c r="P62" s="56">
        <v>1034.03</v>
      </c>
      <c r="Q62" s="40">
        <f>O62-P62</f>
        <v>2136.5500000000002</v>
      </c>
      <c r="R62" s="36">
        <f>Q62/O62</f>
        <v>0.67386724195573056</v>
      </c>
      <c r="S62" s="44">
        <v>63.5</v>
      </c>
      <c r="T62" s="44">
        <v>26.75</v>
      </c>
      <c r="U62" s="8">
        <f>S62-T62</f>
        <v>36.75</v>
      </c>
      <c r="V62" s="36">
        <f>U62/S62</f>
        <v>0.57874015748031493</v>
      </c>
      <c r="W62" s="58"/>
      <c r="X62" s="95">
        <f>(E62-K62-P62)/T62</f>
        <v>-93.047102803738326</v>
      </c>
      <c r="Y62" s="95">
        <f>(D62-J62-O62)/S62</f>
        <v>71.824881889763802</v>
      </c>
      <c r="Z62" s="36" t="e">
        <f>(E62-K62-P62)/E62</f>
        <v>#DIV/0!</v>
      </c>
      <c r="AA62" s="60">
        <f t="shared" si="124"/>
        <v>0.22334744982507829</v>
      </c>
      <c r="AB62" s="80"/>
      <c r="AH62" s="7">
        <f>SUM(T63-T62)</f>
        <v>0</v>
      </c>
      <c r="AI62" s="94">
        <f>SUM(K63-K62)</f>
        <v>0</v>
      </c>
    </row>
    <row r="63" spans="1:35">
      <c r="A63" s="7"/>
      <c r="B63" s="71"/>
      <c r="C63" s="93" t="s">
        <v>95</v>
      </c>
      <c r="D63" s="56">
        <v>20420.560000000001</v>
      </c>
      <c r="E63" s="56"/>
      <c r="F63" s="40">
        <f t="shared" si="121"/>
        <v>20420.560000000001</v>
      </c>
      <c r="G63" s="36">
        <f t="shared" si="122"/>
        <v>1</v>
      </c>
      <c r="H63" s="40">
        <v>15859.68</v>
      </c>
      <c r="I63" s="40">
        <v>2489.0100000000002</v>
      </c>
      <c r="J63" s="56">
        <f t="shared" ref="J62:J65" si="126">SUM(H63-O63)</f>
        <v>12689.1</v>
      </c>
      <c r="K63" s="56">
        <f t="shared" si="123"/>
        <v>1454.9800000000002</v>
      </c>
      <c r="L63" s="40">
        <f t="shared" si="112"/>
        <v>11234.12</v>
      </c>
      <c r="M63" s="36">
        <f t="shared" si="113"/>
        <v>0.88533623346021395</v>
      </c>
      <c r="N63" s="58"/>
      <c r="O63" s="56">
        <v>3170.58</v>
      </c>
      <c r="P63" s="56">
        <v>1034.03</v>
      </c>
      <c r="Q63" s="40">
        <f t="shared" si="114"/>
        <v>2136.5500000000002</v>
      </c>
      <c r="R63" s="36">
        <f t="shared" si="115"/>
        <v>0.67386724195573056</v>
      </c>
      <c r="S63" s="44">
        <v>63.5</v>
      </c>
      <c r="T63" s="44">
        <v>26.75</v>
      </c>
      <c r="U63" s="8">
        <f t="shared" si="116"/>
        <v>36.75</v>
      </c>
      <c r="V63" s="36">
        <f t="shared" si="117"/>
        <v>0.57874015748031493</v>
      </c>
      <c r="W63" s="58"/>
      <c r="X63" s="95">
        <f t="shared" si="118"/>
        <v>-93.047102803738326</v>
      </c>
      <c r="Y63" s="95">
        <f t="shared" si="119"/>
        <v>71.824881889763802</v>
      </c>
      <c r="Z63" s="36" t="e">
        <f t="shared" si="120"/>
        <v>#DIV/0!</v>
      </c>
      <c r="AA63" s="60">
        <f t="shared" si="124"/>
        <v>0.22334744982507829</v>
      </c>
      <c r="AB63" s="80"/>
      <c r="AD63" t="s">
        <v>96</v>
      </c>
      <c r="AE63" s="42">
        <v>0</v>
      </c>
      <c r="AH63" s="7">
        <f>SUM(T64-T63)</f>
        <v>0</v>
      </c>
      <c r="AI63" s="94">
        <f>SUM(K64-K63)</f>
        <v>0</v>
      </c>
    </row>
    <row r="64" spans="1:35">
      <c r="A64" s="7"/>
      <c r="B64" s="71"/>
      <c r="C64" s="93" t="s">
        <v>97</v>
      </c>
      <c r="D64" s="56">
        <v>20420.560000000001</v>
      </c>
      <c r="E64" s="56"/>
      <c r="F64" s="40">
        <f t="shared" si="121"/>
        <v>20420.560000000001</v>
      </c>
      <c r="G64" s="36">
        <f t="shared" si="122"/>
        <v>1</v>
      </c>
      <c r="H64" s="40">
        <v>15859.68</v>
      </c>
      <c r="I64" s="40">
        <v>2489.0100000000002</v>
      </c>
      <c r="J64" s="56">
        <f t="shared" si="126"/>
        <v>12689.1</v>
      </c>
      <c r="K64" s="56">
        <f t="shared" si="123"/>
        <v>1454.9800000000002</v>
      </c>
      <c r="L64" s="40">
        <f t="shared" si="112"/>
        <v>11234.12</v>
      </c>
      <c r="M64" s="36">
        <f t="shared" si="113"/>
        <v>0.88533623346021395</v>
      </c>
      <c r="N64" s="58"/>
      <c r="O64" s="56">
        <v>3170.58</v>
      </c>
      <c r="P64" s="56">
        <v>1034.03</v>
      </c>
      <c r="Q64" s="40">
        <f t="shared" si="114"/>
        <v>2136.5500000000002</v>
      </c>
      <c r="R64" s="36">
        <f t="shared" si="115"/>
        <v>0.67386724195573056</v>
      </c>
      <c r="S64" s="44">
        <v>63.5</v>
      </c>
      <c r="T64" s="44">
        <v>26.75</v>
      </c>
      <c r="U64" s="8">
        <f t="shared" si="116"/>
        <v>36.75</v>
      </c>
      <c r="V64" s="36">
        <f t="shared" si="117"/>
        <v>0.57874015748031493</v>
      </c>
      <c r="W64" s="58"/>
      <c r="X64" s="95">
        <f t="shared" si="118"/>
        <v>-93.047102803738326</v>
      </c>
      <c r="Y64" s="95">
        <f t="shared" si="119"/>
        <v>71.824881889763802</v>
      </c>
      <c r="Z64" s="36" t="e">
        <f t="shared" si="120"/>
        <v>#DIV/0!</v>
      </c>
      <c r="AA64" s="60">
        <f t="shared" si="124"/>
        <v>0.22334744982507829</v>
      </c>
      <c r="AB64" s="80"/>
      <c r="AH64" s="7">
        <f>SUM(T65-T64)</f>
        <v>0</v>
      </c>
      <c r="AI64" s="94">
        <f>SUM(K65-K64)</f>
        <v>9704.16</v>
      </c>
    </row>
    <row r="65" spans="1:35">
      <c r="A65" s="7"/>
      <c r="B65" s="71"/>
      <c r="C65" s="93" t="s">
        <v>98</v>
      </c>
      <c r="D65" s="56">
        <v>20420.560000000001</v>
      </c>
      <c r="E65" s="56">
        <v>16358.37</v>
      </c>
      <c r="F65" s="40">
        <f t="shared" si="121"/>
        <v>4062.1900000000005</v>
      </c>
      <c r="G65" s="36">
        <f t="shared" si="122"/>
        <v>0.19892647410257114</v>
      </c>
      <c r="H65" s="40">
        <v>15859.68</v>
      </c>
      <c r="I65" s="40">
        <v>12193.17</v>
      </c>
      <c r="J65" s="56">
        <f t="shared" si="126"/>
        <v>12689.1</v>
      </c>
      <c r="K65" s="56">
        <f t="shared" si="123"/>
        <v>11159.14</v>
      </c>
      <c r="L65" s="40">
        <f t="shared" si="112"/>
        <v>1529.9600000000009</v>
      </c>
      <c r="M65" s="36">
        <f t="shared" si="113"/>
        <v>0.1205727750589089</v>
      </c>
      <c r="N65" s="58"/>
      <c r="O65" s="56">
        <v>3170.58</v>
      </c>
      <c r="P65" s="56">
        <v>1034.03</v>
      </c>
      <c r="Q65" s="40">
        <f t="shared" si="114"/>
        <v>2136.5500000000002</v>
      </c>
      <c r="R65" s="36">
        <f t="shared" si="115"/>
        <v>0.67386724195573056</v>
      </c>
      <c r="S65" s="44">
        <v>63.5</v>
      </c>
      <c r="T65" s="44">
        <v>26.75</v>
      </c>
      <c r="U65" s="8">
        <f t="shared" si="116"/>
        <v>36.75</v>
      </c>
      <c r="V65" s="36">
        <f t="shared" si="117"/>
        <v>0.57874015748031493</v>
      </c>
      <c r="W65" s="58">
        <v>0.4</v>
      </c>
      <c r="X65" s="95">
        <f t="shared" si="118"/>
        <v>155.70841121495334</v>
      </c>
      <c r="Y65" s="95">
        <f t="shared" si="119"/>
        <v>71.824881889763802</v>
      </c>
      <c r="Z65" s="36">
        <f t="shared" si="120"/>
        <v>0.25462194582956621</v>
      </c>
      <c r="AA65" s="60">
        <f t="shared" si="124"/>
        <v>0.22334744982507829</v>
      </c>
      <c r="AB65" s="80"/>
      <c r="AH65" s="9">
        <f>SUM(AH60,AH61,AH62,AH63,AH64)</f>
        <v>26.75</v>
      </c>
      <c r="AI65" s="97">
        <f>SUM(AI60,AI61,AI62,AI63,AI64)</f>
        <v>11159.14</v>
      </c>
    </row>
    <row r="66" spans="1:35" ht="9" customHeight="1">
      <c r="A66" s="274"/>
      <c r="B66" s="275"/>
      <c r="C66" s="275"/>
      <c r="D66" s="275"/>
      <c r="E66" s="275"/>
      <c r="F66" s="275"/>
      <c r="G66" s="275"/>
      <c r="H66" s="275"/>
      <c r="I66" s="275"/>
      <c r="J66" s="275"/>
      <c r="K66" s="275"/>
      <c r="L66" s="275"/>
      <c r="M66" s="275"/>
      <c r="N66" s="275"/>
      <c r="O66" s="275"/>
      <c r="P66" s="275"/>
      <c r="Q66" s="275"/>
      <c r="R66" s="275"/>
      <c r="S66" s="275"/>
      <c r="T66" s="275"/>
      <c r="U66" s="275"/>
      <c r="V66" s="275"/>
      <c r="W66" s="275"/>
      <c r="X66" s="275"/>
      <c r="Y66" s="275"/>
      <c r="Z66" s="275"/>
      <c r="AA66" s="276"/>
    </row>
    <row r="67" spans="1:35">
      <c r="A67" s="7">
        <f>'Main Sheet'!A22</f>
        <v>9065</v>
      </c>
      <c r="B67" s="71" t="str">
        <f>'Main Sheet'!B22</f>
        <v>Cooltranz stage 4</v>
      </c>
      <c r="C67" s="93" t="s">
        <v>90</v>
      </c>
      <c r="D67" s="56">
        <v>46303.5</v>
      </c>
      <c r="E67" s="56">
        <v>6131.46</v>
      </c>
      <c r="F67" s="40">
        <f>D67-E67</f>
        <v>40172.04</v>
      </c>
      <c r="G67" s="36">
        <f>F67/D67</f>
        <v>0.86758106838575921</v>
      </c>
      <c r="H67" s="40">
        <v>34612.410000000003</v>
      </c>
      <c r="I67" s="40">
        <v>5397.27</v>
      </c>
      <c r="J67" s="56">
        <f>SUM(H67-O67)</f>
        <v>26584.530000000002</v>
      </c>
      <c r="K67" s="56">
        <f>SUM(I67-P67)</f>
        <v>5397.27</v>
      </c>
      <c r="L67" s="40">
        <f t="shared" ref="L67:L72" si="127">J67-K67</f>
        <v>21187.260000000002</v>
      </c>
      <c r="M67" s="36">
        <f t="shared" ref="M67:M72" si="128">L67/J67</f>
        <v>0.79697703890194782</v>
      </c>
      <c r="N67" s="58"/>
      <c r="O67" s="56">
        <v>8027.88</v>
      </c>
      <c r="P67" s="56">
        <v>0</v>
      </c>
      <c r="Q67" s="40">
        <f t="shared" ref="Q67:Q72" si="129">O67-P67</f>
        <v>8027.88</v>
      </c>
      <c r="R67" s="36">
        <f t="shared" ref="R67:R72" si="130">Q67/O67</f>
        <v>1</v>
      </c>
      <c r="S67" s="44">
        <v>160.82</v>
      </c>
      <c r="T67" s="44">
        <v>0</v>
      </c>
      <c r="U67" s="8">
        <f t="shared" ref="U67:U72" si="131">S67-T67</f>
        <v>160.82</v>
      </c>
      <c r="V67" s="36">
        <f t="shared" ref="V67:V72" si="132">U67/S67</f>
        <v>1</v>
      </c>
      <c r="W67" s="58"/>
      <c r="X67" s="95" t="e">
        <f t="shared" ref="X67:X72" si="133">(E67-K67-P67)/T67</f>
        <v>#DIV/0!</v>
      </c>
      <c r="Y67" s="95">
        <f t="shared" ref="Y67:Y72" si="134">(D67-J67-O67)/S67</f>
        <v>72.696741698793659</v>
      </c>
      <c r="Z67" s="36">
        <f t="shared" ref="Z67:Z72" si="135">(E67-K67-P67)/E67</f>
        <v>0.11974146451253039</v>
      </c>
      <c r="AA67" s="60">
        <f>SUM(D67-H67)/D67</f>
        <v>0.25248825682723763</v>
      </c>
      <c r="AB67" s="80"/>
      <c r="AD67" t="s">
        <v>91</v>
      </c>
      <c r="AE67">
        <f>AH72</f>
        <v>0</v>
      </c>
      <c r="AH67" s="7">
        <f>SUM(T68-T67)</f>
        <v>0</v>
      </c>
      <c r="AI67" s="94">
        <f>SUM(K68-K67)</f>
        <v>0</v>
      </c>
    </row>
    <row r="68" spans="1:35">
      <c r="A68" s="7"/>
      <c r="B68" s="71"/>
      <c r="C68" s="93" t="s">
        <v>92</v>
      </c>
      <c r="D68" s="56">
        <v>46303.5</v>
      </c>
      <c r="E68" s="56">
        <v>6131.46</v>
      </c>
      <c r="F68" s="40">
        <f t="shared" ref="F68:F72" si="136">D68-E68</f>
        <v>40172.04</v>
      </c>
      <c r="G68" s="36">
        <f t="shared" ref="G68:G72" si="137">F68/D68</f>
        <v>0.86758106838575921</v>
      </c>
      <c r="H68" s="40">
        <v>34612.410000000003</v>
      </c>
      <c r="I68" s="40">
        <v>5397.27</v>
      </c>
      <c r="J68" s="56">
        <f>SUM(H68-O68)</f>
        <v>26584.530000000002</v>
      </c>
      <c r="K68" s="56">
        <f t="shared" ref="K68:K79" si="138">SUM(I68-P68)</f>
        <v>5397.27</v>
      </c>
      <c r="L68" s="40">
        <f t="shared" si="127"/>
        <v>21187.260000000002</v>
      </c>
      <c r="M68" s="36">
        <f t="shared" si="128"/>
        <v>0.79697703890194782</v>
      </c>
      <c r="N68" s="58"/>
      <c r="O68" s="56">
        <v>8027.88</v>
      </c>
      <c r="P68" s="56">
        <v>0</v>
      </c>
      <c r="Q68" s="40">
        <f t="shared" si="129"/>
        <v>8027.88</v>
      </c>
      <c r="R68" s="36">
        <f t="shared" si="130"/>
        <v>1</v>
      </c>
      <c r="S68" s="44">
        <v>160.82</v>
      </c>
      <c r="T68" s="44">
        <v>0</v>
      </c>
      <c r="U68" s="8">
        <f t="shared" si="131"/>
        <v>160.82</v>
      </c>
      <c r="V68" s="36">
        <f t="shared" si="132"/>
        <v>1</v>
      </c>
      <c r="W68" s="58"/>
      <c r="X68" s="95" t="e">
        <f t="shared" si="133"/>
        <v>#DIV/0!</v>
      </c>
      <c r="Y68" s="95">
        <f t="shared" si="134"/>
        <v>72.696741698793659</v>
      </c>
      <c r="Z68" s="36">
        <f t="shared" si="135"/>
        <v>0.11974146451253039</v>
      </c>
      <c r="AA68" s="60">
        <f t="shared" ref="AA68:AA72" si="139">SUM(D68-H68)/D68</f>
        <v>0.25248825682723763</v>
      </c>
      <c r="AB68" s="80"/>
      <c r="AD68" t="s">
        <v>93</v>
      </c>
      <c r="AE68" s="42">
        <f>AI72</f>
        <v>0</v>
      </c>
      <c r="AH68" s="7">
        <f>SUM(T69-T68)</f>
        <v>0</v>
      </c>
      <c r="AI68" s="94">
        <f>SUM(K69-K68)</f>
        <v>0</v>
      </c>
    </row>
    <row r="69" spans="1:35">
      <c r="A69" s="7"/>
      <c r="B69" s="71"/>
      <c r="C69" s="93" t="s">
        <v>94</v>
      </c>
      <c r="D69" s="56">
        <v>46303.5</v>
      </c>
      <c r="E69" s="56">
        <v>6131.46</v>
      </c>
      <c r="F69" s="40">
        <f t="shared" si="136"/>
        <v>40172.04</v>
      </c>
      <c r="G69" s="36">
        <f t="shared" si="137"/>
        <v>0.86758106838575921</v>
      </c>
      <c r="H69" s="40">
        <v>34612.410000000003</v>
      </c>
      <c r="I69" s="40">
        <v>5397.27</v>
      </c>
      <c r="J69" s="56">
        <f>SUM(H69-O69)</f>
        <v>26584.530000000002</v>
      </c>
      <c r="K69" s="56">
        <f t="shared" si="138"/>
        <v>5397.27</v>
      </c>
      <c r="L69" s="40">
        <f>J69-K69</f>
        <v>21187.260000000002</v>
      </c>
      <c r="M69" s="36">
        <f>L69/J69</f>
        <v>0.79697703890194782</v>
      </c>
      <c r="N69" s="58"/>
      <c r="O69" s="56">
        <v>8027.88</v>
      </c>
      <c r="P69" s="56">
        <v>0</v>
      </c>
      <c r="Q69" s="40">
        <f>O69-P69</f>
        <v>8027.88</v>
      </c>
      <c r="R69" s="36">
        <f>Q69/O69</f>
        <v>1</v>
      </c>
      <c r="S69" s="44">
        <v>160.82</v>
      </c>
      <c r="T69" s="44">
        <v>0</v>
      </c>
      <c r="U69" s="8">
        <f>S69-T69</f>
        <v>160.82</v>
      </c>
      <c r="V69" s="36">
        <f>U69/S69</f>
        <v>1</v>
      </c>
      <c r="W69" s="58"/>
      <c r="X69" s="95" t="e">
        <f>(E69-K69-P69)/T69</f>
        <v>#DIV/0!</v>
      </c>
      <c r="Y69" s="95">
        <f>(D69-J69-O69)/S69</f>
        <v>72.696741698793659</v>
      </c>
      <c r="Z69" s="36">
        <f>(E69-K69-P69)/E69</f>
        <v>0.11974146451253039</v>
      </c>
      <c r="AA69" s="60">
        <f>SUM(D69-H69)/D69</f>
        <v>0.25248825682723763</v>
      </c>
      <c r="AB69" s="80"/>
      <c r="AH69" s="7">
        <f>SUM(T70-T69)</f>
        <v>0</v>
      </c>
      <c r="AI69" s="94">
        <f>SUM(K70-K69)</f>
        <v>0</v>
      </c>
    </row>
    <row r="70" spans="1:35">
      <c r="A70" s="7"/>
      <c r="B70" s="71"/>
      <c r="C70" s="93" t="s">
        <v>95</v>
      </c>
      <c r="D70" s="56">
        <v>46303.5</v>
      </c>
      <c r="E70" s="56">
        <v>6131.46</v>
      </c>
      <c r="F70" s="40">
        <f t="shared" si="136"/>
        <v>40172.04</v>
      </c>
      <c r="G70" s="36">
        <f t="shared" si="137"/>
        <v>0.86758106838575921</v>
      </c>
      <c r="H70" s="40">
        <v>34612.410000000003</v>
      </c>
      <c r="I70" s="40">
        <v>5397.27</v>
      </c>
      <c r="J70" s="56">
        <f>SUM(H70-O70)</f>
        <v>26584.530000000002</v>
      </c>
      <c r="K70" s="56">
        <f t="shared" si="138"/>
        <v>5397.27</v>
      </c>
      <c r="L70" s="40">
        <f t="shared" si="127"/>
        <v>21187.260000000002</v>
      </c>
      <c r="M70" s="36">
        <f t="shared" si="128"/>
        <v>0.79697703890194782</v>
      </c>
      <c r="N70" s="58"/>
      <c r="O70" s="56">
        <v>8027.88</v>
      </c>
      <c r="P70" s="56">
        <v>0</v>
      </c>
      <c r="Q70" s="40">
        <f t="shared" si="129"/>
        <v>8027.88</v>
      </c>
      <c r="R70" s="36">
        <f t="shared" si="130"/>
        <v>1</v>
      </c>
      <c r="S70" s="44">
        <v>160.82</v>
      </c>
      <c r="T70" s="44">
        <v>0</v>
      </c>
      <c r="U70" s="8">
        <f t="shared" si="131"/>
        <v>160.82</v>
      </c>
      <c r="V70" s="36">
        <f t="shared" si="132"/>
        <v>1</v>
      </c>
      <c r="W70" s="58"/>
      <c r="X70" s="95" t="e">
        <f t="shared" si="133"/>
        <v>#DIV/0!</v>
      </c>
      <c r="Y70" s="95">
        <f t="shared" si="134"/>
        <v>72.696741698793659</v>
      </c>
      <c r="Z70" s="36">
        <f t="shared" si="135"/>
        <v>0.11974146451253039</v>
      </c>
      <c r="AA70" s="60">
        <f>SUM(D70-H70)/D70</f>
        <v>0.25248825682723763</v>
      </c>
      <c r="AB70" s="80"/>
      <c r="AD70" t="s">
        <v>96</v>
      </c>
      <c r="AE70" s="42">
        <v>0</v>
      </c>
      <c r="AH70" s="7">
        <f>SUM(T71-T70)</f>
        <v>0</v>
      </c>
      <c r="AI70" s="94">
        <f>SUM(K71-K70)</f>
        <v>0</v>
      </c>
    </row>
    <row r="71" spans="1:35">
      <c r="A71" s="7"/>
      <c r="B71" s="71"/>
      <c r="C71" s="93" t="s">
        <v>97</v>
      </c>
      <c r="D71" s="56">
        <v>46303.5</v>
      </c>
      <c r="E71" s="56">
        <v>6131.46</v>
      </c>
      <c r="F71" s="40">
        <f t="shared" si="136"/>
        <v>40172.04</v>
      </c>
      <c r="G71" s="36">
        <f t="shared" si="137"/>
        <v>0.86758106838575921</v>
      </c>
      <c r="H71" s="40">
        <v>34612.410000000003</v>
      </c>
      <c r="I71" s="40">
        <v>5397.27</v>
      </c>
      <c r="J71" s="56">
        <f>SUM(H71-O71)</f>
        <v>26584.530000000002</v>
      </c>
      <c r="K71" s="56">
        <f t="shared" si="138"/>
        <v>5397.27</v>
      </c>
      <c r="L71" s="40">
        <f t="shared" si="127"/>
        <v>21187.260000000002</v>
      </c>
      <c r="M71" s="36">
        <f t="shared" si="128"/>
        <v>0.79697703890194782</v>
      </c>
      <c r="N71" s="58"/>
      <c r="O71" s="56">
        <v>8027.88</v>
      </c>
      <c r="P71" s="56">
        <v>0</v>
      </c>
      <c r="Q71" s="40">
        <f t="shared" si="129"/>
        <v>8027.88</v>
      </c>
      <c r="R71" s="36">
        <f t="shared" si="130"/>
        <v>1</v>
      </c>
      <c r="S71" s="44">
        <v>160.82</v>
      </c>
      <c r="T71" s="44">
        <v>0</v>
      </c>
      <c r="U71" s="8">
        <f t="shared" si="131"/>
        <v>160.82</v>
      </c>
      <c r="V71" s="36">
        <f t="shared" si="132"/>
        <v>1</v>
      </c>
      <c r="W71" s="58"/>
      <c r="X71" s="95" t="e">
        <f t="shared" si="133"/>
        <v>#DIV/0!</v>
      </c>
      <c r="Y71" s="95">
        <f t="shared" si="134"/>
        <v>72.696741698793659</v>
      </c>
      <c r="Z71" s="36">
        <f t="shared" si="135"/>
        <v>0.11974146451253039</v>
      </c>
      <c r="AA71" s="60">
        <f t="shared" si="139"/>
        <v>0.25248825682723763</v>
      </c>
      <c r="AB71" s="80"/>
      <c r="AH71" s="7">
        <f>SUM(T72-T71)</f>
        <v>0</v>
      </c>
      <c r="AI71" s="94">
        <f>SUM(K72-K71)</f>
        <v>0</v>
      </c>
    </row>
    <row r="72" spans="1:35">
      <c r="A72" s="7"/>
      <c r="B72" s="71"/>
      <c r="C72" s="93" t="s">
        <v>98</v>
      </c>
      <c r="D72" s="56">
        <v>46303.5</v>
      </c>
      <c r="E72" s="56">
        <v>6131.46</v>
      </c>
      <c r="F72" s="40">
        <f>D72-E72</f>
        <v>40172.04</v>
      </c>
      <c r="G72" s="36">
        <f t="shared" si="137"/>
        <v>0.86758106838575921</v>
      </c>
      <c r="H72" s="40">
        <v>34612.410000000003</v>
      </c>
      <c r="I72" s="40">
        <v>5397.27</v>
      </c>
      <c r="J72" s="56">
        <f>SUM(H72-O72)</f>
        <v>26584.530000000002</v>
      </c>
      <c r="K72" s="56">
        <f t="shared" si="138"/>
        <v>5397.27</v>
      </c>
      <c r="L72" s="40">
        <f t="shared" si="127"/>
        <v>21187.260000000002</v>
      </c>
      <c r="M72" s="36">
        <f t="shared" si="128"/>
        <v>0.79697703890194782</v>
      </c>
      <c r="N72" s="58"/>
      <c r="O72" s="56">
        <v>8027.88</v>
      </c>
      <c r="P72" s="56">
        <v>0</v>
      </c>
      <c r="Q72" s="40">
        <f t="shared" si="129"/>
        <v>8027.88</v>
      </c>
      <c r="R72" s="36">
        <f t="shared" si="130"/>
        <v>1</v>
      </c>
      <c r="S72" s="44">
        <v>160.82</v>
      </c>
      <c r="T72" s="44">
        <v>0</v>
      </c>
      <c r="U72" s="8">
        <f t="shared" si="131"/>
        <v>160.82</v>
      </c>
      <c r="V72" s="36">
        <f t="shared" si="132"/>
        <v>1</v>
      </c>
      <c r="W72" s="58"/>
      <c r="X72" s="95" t="e">
        <f t="shared" si="133"/>
        <v>#DIV/0!</v>
      </c>
      <c r="Y72" s="95">
        <f t="shared" si="134"/>
        <v>72.696741698793659</v>
      </c>
      <c r="Z72" s="36">
        <f t="shared" si="135"/>
        <v>0.11974146451253039</v>
      </c>
      <c r="AA72" s="60">
        <f t="shared" si="139"/>
        <v>0.25248825682723763</v>
      </c>
      <c r="AB72" s="80"/>
      <c r="AH72" s="9">
        <f>SUM(AH67,AH68,AH69,AH70,AH71)</f>
        <v>0</v>
      </c>
      <c r="AI72" s="97">
        <f>SUM(AI67,AI68,AI69,AI70,AI71)</f>
        <v>0</v>
      </c>
    </row>
    <row r="73" spans="1:35" ht="9" customHeight="1">
      <c r="A73" s="274"/>
      <c r="B73" s="275"/>
      <c r="C73" s="275"/>
      <c r="D73" s="275"/>
      <c r="E73" s="275"/>
      <c r="F73" s="275"/>
      <c r="G73" s="275"/>
      <c r="H73" s="275"/>
      <c r="I73" s="275"/>
      <c r="J73" s="275"/>
      <c r="K73" s="275"/>
      <c r="L73" s="275"/>
      <c r="M73" s="275"/>
      <c r="N73" s="275"/>
      <c r="O73" s="275"/>
      <c r="P73" s="275"/>
      <c r="Q73" s="275"/>
      <c r="R73" s="275"/>
      <c r="S73" s="275"/>
      <c r="T73" s="275"/>
      <c r="U73" s="275"/>
      <c r="V73" s="275"/>
      <c r="W73" s="275"/>
      <c r="X73" s="275"/>
      <c r="Y73" s="275"/>
      <c r="Z73" s="275"/>
      <c r="AA73" s="276"/>
    </row>
    <row r="74" spans="1:35">
      <c r="A74" s="7">
        <f>'Main Sheet'!A24</f>
        <v>9259</v>
      </c>
      <c r="B74" s="71" t="str">
        <f>'Main Sheet'!B24</f>
        <v>Andrew Reeve Stage 2</v>
      </c>
      <c r="C74" s="93" t="s">
        <v>90</v>
      </c>
      <c r="D74" s="56"/>
      <c r="E74" s="56"/>
      <c r="F74" s="40">
        <f>D74-E74</f>
        <v>0</v>
      </c>
      <c r="G74" s="36" t="e">
        <f>F74/D74</f>
        <v>#DIV/0!</v>
      </c>
      <c r="H74" s="40"/>
      <c r="I74" s="40"/>
      <c r="J74" s="56">
        <f t="shared" ref="J74:K79" si="140">SUM(H74-O74)</f>
        <v>0</v>
      </c>
      <c r="K74" s="56">
        <f t="shared" si="138"/>
        <v>0</v>
      </c>
      <c r="L74" s="40">
        <f>J74-K74</f>
        <v>0</v>
      </c>
      <c r="M74" s="36" t="e">
        <f>L74/J74</f>
        <v>#DIV/0!</v>
      </c>
      <c r="N74" s="58"/>
      <c r="O74" s="56"/>
      <c r="P74" s="56"/>
      <c r="Q74" s="40">
        <f>O74-P74</f>
        <v>0</v>
      </c>
      <c r="R74" s="36" t="e">
        <f>Q74/O74</f>
        <v>#DIV/0!</v>
      </c>
      <c r="S74" s="44">
        <v>470.3</v>
      </c>
      <c r="T74" s="44"/>
      <c r="U74" s="8">
        <f>S74-T74</f>
        <v>470.3</v>
      </c>
      <c r="V74" s="36">
        <f>U74/S74</f>
        <v>1</v>
      </c>
      <c r="W74" s="58">
        <v>0</v>
      </c>
      <c r="X74" s="95" t="e">
        <f>(E74-K74-P74)/T74</f>
        <v>#DIV/0!</v>
      </c>
      <c r="Y74" s="95">
        <f>(D74-J74-O74)/S74</f>
        <v>0</v>
      </c>
      <c r="Z74" s="36" t="e">
        <f>(E74-K74-P74)/E74</f>
        <v>#DIV/0!</v>
      </c>
      <c r="AA74" s="60" t="e">
        <f>SUM(D74-H74)/D74</f>
        <v>#DIV/0!</v>
      </c>
      <c r="AB74" s="80"/>
      <c r="AD74" t="s">
        <v>91</v>
      </c>
      <c r="AE74">
        <f>AH79</f>
        <v>0</v>
      </c>
      <c r="AH74" s="7">
        <f>SUM(T75-T74)</f>
        <v>0</v>
      </c>
      <c r="AI74" s="94">
        <f>SUM(K75-K74)</f>
        <v>0</v>
      </c>
    </row>
    <row r="75" spans="1:35">
      <c r="A75" s="7"/>
      <c r="B75" s="71"/>
      <c r="C75" s="93" t="s">
        <v>92</v>
      </c>
      <c r="D75" s="56"/>
      <c r="E75" s="56"/>
      <c r="F75" s="40">
        <f t="shared" ref="F75:F79" si="141">D75-E75</f>
        <v>0</v>
      </c>
      <c r="G75" s="36" t="e">
        <f t="shared" ref="G75:G79" si="142">F75/D75</f>
        <v>#DIV/0!</v>
      </c>
      <c r="H75" s="40"/>
      <c r="I75" s="40"/>
      <c r="J75" s="56">
        <f t="shared" si="140"/>
        <v>0</v>
      </c>
      <c r="K75" s="56">
        <f t="shared" si="138"/>
        <v>0</v>
      </c>
      <c r="L75" s="40">
        <f t="shared" ref="L75:L79" si="143">J75-K75</f>
        <v>0</v>
      </c>
      <c r="M75" s="36" t="e">
        <f t="shared" ref="M75:M79" si="144">L75/J75</f>
        <v>#DIV/0!</v>
      </c>
      <c r="N75" s="58"/>
      <c r="O75" s="56"/>
      <c r="P75" s="56"/>
      <c r="Q75" s="40">
        <f t="shared" ref="Q75:Q79" si="145">O75-P75</f>
        <v>0</v>
      </c>
      <c r="R75" s="36" t="e">
        <f t="shared" ref="R75:R79" si="146">Q75/O75</f>
        <v>#DIV/0!</v>
      </c>
      <c r="S75" s="44"/>
      <c r="T75" s="44"/>
      <c r="U75" s="8">
        <f>S75-T75</f>
        <v>0</v>
      </c>
      <c r="V75" s="36" t="e">
        <f>U75/S75</f>
        <v>#DIV/0!</v>
      </c>
      <c r="W75" s="58">
        <v>0</v>
      </c>
      <c r="X75" s="95" t="e">
        <f t="shared" ref="X75:X79" si="147">(E75-K75-P75)/T75</f>
        <v>#DIV/0!</v>
      </c>
      <c r="Y75" s="95" t="e">
        <f>(D75-J75-O75)/S75</f>
        <v>#DIV/0!</v>
      </c>
      <c r="Z75" s="36" t="e">
        <f t="shared" ref="Z75:Z79" si="148">(E75-K75-P75)/E75</f>
        <v>#DIV/0!</v>
      </c>
      <c r="AA75" s="60" t="e">
        <f t="shared" ref="AA75:AA78" si="149">SUM(D75-H75)/D75</f>
        <v>#DIV/0!</v>
      </c>
      <c r="AB75" s="80"/>
      <c r="AD75" t="s">
        <v>93</v>
      </c>
      <c r="AE75" s="42">
        <f>AI79</f>
        <v>0</v>
      </c>
      <c r="AH75" s="7">
        <f>SUM(T76-T75)</f>
        <v>0</v>
      </c>
      <c r="AI75" s="94">
        <f>SUM(K76-K75)</f>
        <v>0</v>
      </c>
    </row>
    <row r="76" spans="1:35">
      <c r="A76" s="7"/>
      <c r="B76" s="71"/>
      <c r="C76" s="93" t="s">
        <v>94</v>
      </c>
      <c r="D76" s="56"/>
      <c r="E76" s="56"/>
      <c r="F76" s="40">
        <f t="shared" si="141"/>
        <v>0</v>
      </c>
      <c r="G76" s="36" t="e">
        <f t="shared" si="142"/>
        <v>#DIV/0!</v>
      </c>
      <c r="H76" s="40"/>
      <c r="I76" s="40"/>
      <c r="J76" s="56">
        <f t="shared" si="140"/>
        <v>0</v>
      </c>
      <c r="K76" s="56">
        <f t="shared" si="140"/>
        <v>0</v>
      </c>
      <c r="L76" s="40">
        <f t="shared" si="143"/>
        <v>0</v>
      </c>
      <c r="M76" s="36" t="e">
        <f t="shared" si="144"/>
        <v>#DIV/0!</v>
      </c>
      <c r="N76" s="58"/>
      <c r="O76" s="56"/>
      <c r="P76" s="56"/>
      <c r="Q76" s="40">
        <f t="shared" si="145"/>
        <v>0</v>
      </c>
      <c r="R76" s="36" t="e">
        <f t="shared" si="146"/>
        <v>#DIV/0!</v>
      </c>
      <c r="S76" s="44"/>
      <c r="T76" s="44"/>
      <c r="U76" s="8">
        <f t="shared" ref="U76:U79" si="150">S76-T76</f>
        <v>0</v>
      </c>
      <c r="V76" s="36" t="e">
        <f t="shared" ref="V76:V79" si="151">U76/S76</f>
        <v>#DIV/0!</v>
      </c>
      <c r="W76" s="58">
        <v>0</v>
      </c>
      <c r="X76" s="95" t="e">
        <f t="shared" si="147"/>
        <v>#DIV/0!</v>
      </c>
      <c r="Y76" s="95" t="e">
        <f t="shared" ref="Y76:Y79" si="152">(D76-J76-O76)/S76</f>
        <v>#DIV/0!</v>
      </c>
      <c r="Z76" s="36" t="e">
        <f t="shared" si="148"/>
        <v>#DIV/0!</v>
      </c>
      <c r="AA76" s="60" t="e">
        <f t="shared" si="149"/>
        <v>#DIV/0!</v>
      </c>
      <c r="AB76" s="80"/>
      <c r="AH76" s="7">
        <f>SUM(T77-T76)</f>
        <v>0</v>
      </c>
      <c r="AI76" s="94">
        <f>SUM(K77-K76)</f>
        <v>0</v>
      </c>
    </row>
    <row r="77" spans="1:35">
      <c r="A77" s="7"/>
      <c r="B77" s="71"/>
      <c r="C77" s="93" t="s">
        <v>95</v>
      </c>
      <c r="D77" s="56"/>
      <c r="E77" s="56"/>
      <c r="F77" s="40">
        <f t="shared" si="141"/>
        <v>0</v>
      </c>
      <c r="G77" s="36" t="e">
        <f t="shared" si="142"/>
        <v>#DIV/0!</v>
      </c>
      <c r="H77" s="40"/>
      <c r="I77" s="40"/>
      <c r="J77" s="56">
        <f t="shared" si="140"/>
        <v>0</v>
      </c>
      <c r="K77" s="56">
        <f t="shared" si="138"/>
        <v>0</v>
      </c>
      <c r="L77" s="40">
        <f t="shared" si="143"/>
        <v>0</v>
      </c>
      <c r="M77" s="36" t="e">
        <f t="shared" si="144"/>
        <v>#DIV/0!</v>
      </c>
      <c r="N77" s="58"/>
      <c r="O77" s="56"/>
      <c r="P77" s="56"/>
      <c r="Q77" s="40">
        <f t="shared" si="145"/>
        <v>0</v>
      </c>
      <c r="R77" s="36" t="e">
        <f t="shared" si="146"/>
        <v>#DIV/0!</v>
      </c>
      <c r="S77" s="44"/>
      <c r="T77" s="44"/>
      <c r="U77" s="8">
        <f t="shared" si="150"/>
        <v>0</v>
      </c>
      <c r="V77" s="36" t="e">
        <f t="shared" si="151"/>
        <v>#DIV/0!</v>
      </c>
      <c r="W77" s="58">
        <v>0</v>
      </c>
      <c r="X77" s="95" t="e">
        <f t="shared" si="147"/>
        <v>#DIV/0!</v>
      </c>
      <c r="Y77" s="95" t="e">
        <f t="shared" si="152"/>
        <v>#DIV/0!</v>
      </c>
      <c r="Z77" s="36" t="e">
        <f t="shared" si="148"/>
        <v>#DIV/0!</v>
      </c>
      <c r="AA77" s="60" t="e">
        <f t="shared" si="149"/>
        <v>#DIV/0!</v>
      </c>
      <c r="AB77" s="80"/>
      <c r="AD77" t="s">
        <v>96</v>
      </c>
      <c r="AE77" s="42">
        <v>0</v>
      </c>
      <c r="AH77" s="7">
        <f>SUM(T78-T77)</f>
        <v>0</v>
      </c>
      <c r="AI77" s="94">
        <f>SUM(K78-K77)</f>
        <v>0</v>
      </c>
    </row>
    <row r="78" spans="1:35">
      <c r="A78" s="7"/>
      <c r="B78" s="71"/>
      <c r="C78" s="93" t="s">
        <v>97</v>
      </c>
      <c r="D78" s="56"/>
      <c r="E78" s="56"/>
      <c r="F78" s="40">
        <f t="shared" si="141"/>
        <v>0</v>
      </c>
      <c r="G78" s="36" t="e">
        <f t="shared" si="142"/>
        <v>#DIV/0!</v>
      </c>
      <c r="H78" s="40"/>
      <c r="I78" s="40"/>
      <c r="J78" s="56">
        <f t="shared" si="140"/>
        <v>0</v>
      </c>
      <c r="K78" s="56">
        <f t="shared" si="138"/>
        <v>0</v>
      </c>
      <c r="L78" s="40">
        <f t="shared" si="143"/>
        <v>0</v>
      </c>
      <c r="M78" s="36" t="e">
        <f t="shared" si="144"/>
        <v>#DIV/0!</v>
      </c>
      <c r="N78" s="58"/>
      <c r="O78" s="56"/>
      <c r="P78" s="56"/>
      <c r="Q78" s="40">
        <f t="shared" si="145"/>
        <v>0</v>
      </c>
      <c r="R78" s="36" t="e">
        <f t="shared" si="146"/>
        <v>#DIV/0!</v>
      </c>
      <c r="S78" s="44"/>
      <c r="T78" s="44"/>
      <c r="U78" s="8">
        <f t="shared" si="150"/>
        <v>0</v>
      </c>
      <c r="V78" s="36" t="e">
        <f t="shared" si="151"/>
        <v>#DIV/0!</v>
      </c>
      <c r="W78" s="58">
        <v>0</v>
      </c>
      <c r="X78" s="95" t="e">
        <f t="shared" si="147"/>
        <v>#DIV/0!</v>
      </c>
      <c r="Y78" s="95" t="e">
        <f t="shared" si="152"/>
        <v>#DIV/0!</v>
      </c>
      <c r="Z78" s="36" t="e">
        <f t="shared" si="148"/>
        <v>#DIV/0!</v>
      </c>
      <c r="AA78" s="60" t="e">
        <f t="shared" si="149"/>
        <v>#DIV/0!</v>
      </c>
      <c r="AB78" s="80"/>
      <c r="AH78" s="7">
        <f>SUM(T79-T78)</f>
        <v>0</v>
      </c>
      <c r="AI78" s="94">
        <f>SUM(K79-K78)</f>
        <v>0</v>
      </c>
    </row>
    <row r="79" spans="1:35">
      <c r="A79" s="7"/>
      <c r="B79" s="71"/>
      <c r="C79" s="93" t="s">
        <v>98</v>
      </c>
      <c r="D79" s="56"/>
      <c r="E79" s="56"/>
      <c r="F79" s="40">
        <f t="shared" si="141"/>
        <v>0</v>
      </c>
      <c r="G79" s="36" t="e">
        <f t="shared" si="142"/>
        <v>#DIV/0!</v>
      </c>
      <c r="H79" s="40"/>
      <c r="I79" s="40"/>
      <c r="J79" s="56">
        <f t="shared" si="140"/>
        <v>0</v>
      </c>
      <c r="K79" s="56">
        <f t="shared" si="138"/>
        <v>0</v>
      </c>
      <c r="L79" s="40">
        <f t="shared" si="143"/>
        <v>0</v>
      </c>
      <c r="M79" s="36" t="e">
        <f t="shared" si="144"/>
        <v>#DIV/0!</v>
      </c>
      <c r="N79" s="58"/>
      <c r="O79" s="56"/>
      <c r="P79" s="56"/>
      <c r="Q79" s="40">
        <f t="shared" si="145"/>
        <v>0</v>
      </c>
      <c r="R79" s="36" t="e">
        <f t="shared" si="146"/>
        <v>#DIV/0!</v>
      </c>
      <c r="S79" s="44"/>
      <c r="T79" s="44"/>
      <c r="U79" s="8">
        <f t="shared" si="150"/>
        <v>0</v>
      </c>
      <c r="V79" s="36" t="e">
        <f t="shared" si="151"/>
        <v>#DIV/0!</v>
      </c>
      <c r="W79" s="58">
        <v>0</v>
      </c>
      <c r="X79" s="95" t="e">
        <f t="shared" si="147"/>
        <v>#DIV/0!</v>
      </c>
      <c r="Y79" s="95" t="e">
        <f t="shared" si="152"/>
        <v>#DIV/0!</v>
      </c>
      <c r="Z79" s="36" t="e">
        <f t="shared" si="148"/>
        <v>#DIV/0!</v>
      </c>
      <c r="AA79" s="60" t="e">
        <f>SUM(D79-H79)/D79</f>
        <v>#DIV/0!</v>
      </c>
      <c r="AB79" s="80"/>
      <c r="AH79" s="9">
        <f>SUM(AH74,AH75,AH76,AH77,AH78)</f>
        <v>0</v>
      </c>
      <c r="AI79" s="97">
        <f>SUM(AI74,AI75,AI76,AI77,AI78)</f>
        <v>0</v>
      </c>
    </row>
    <row r="80" spans="1:35" ht="9" customHeight="1">
      <c r="A80" s="279"/>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1"/>
    </row>
    <row r="81" spans="1:35">
      <c r="A81" s="7">
        <f>'Main Sheet'!A26</f>
        <v>8352</v>
      </c>
      <c r="B81" s="71" t="str">
        <f>'Main Sheet'!B26</f>
        <v>5 Sanscrit Place</v>
      </c>
      <c r="C81" s="93" t="s">
        <v>90</v>
      </c>
      <c r="D81" s="56">
        <v>25467.84</v>
      </c>
      <c r="E81" s="56">
        <v>13740.86</v>
      </c>
      <c r="F81" s="40">
        <f>D81-E81</f>
        <v>11726.98</v>
      </c>
      <c r="G81" s="36">
        <f>F81/D81</f>
        <v>0.46046229283676982</v>
      </c>
      <c r="H81" s="40">
        <v>16606.830000000002</v>
      </c>
      <c r="I81" s="40">
        <v>11056.14</v>
      </c>
      <c r="J81" s="56">
        <f>SUM(H81-O81)</f>
        <v>9659.9900000000016</v>
      </c>
      <c r="K81" s="56">
        <f>SUM(I81-P81)</f>
        <v>6525.8899999999994</v>
      </c>
      <c r="L81" s="40">
        <f>J81-K81</f>
        <v>3134.1000000000022</v>
      </c>
      <c r="M81" s="36">
        <f>L81/J81</f>
        <v>0.32444132964940975</v>
      </c>
      <c r="N81" s="58">
        <v>0</v>
      </c>
      <c r="O81" s="56">
        <v>6946.84</v>
      </c>
      <c r="P81" s="56">
        <v>4530.25</v>
      </c>
      <c r="Q81" s="40">
        <f>O81-P81</f>
        <v>2416.59</v>
      </c>
      <c r="R81" s="36">
        <f>Q81/O81</f>
        <v>0.34786895912386062</v>
      </c>
      <c r="S81" s="44">
        <v>139.07</v>
      </c>
      <c r="T81" s="44">
        <v>89</v>
      </c>
      <c r="U81" s="8">
        <f>S81-T81</f>
        <v>50.069999999999993</v>
      </c>
      <c r="V81" s="36">
        <f>U81/S81</f>
        <v>0.36003451499244982</v>
      </c>
      <c r="W81" s="58">
        <v>0</v>
      </c>
      <c r="X81" s="95">
        <f>(E81-K81-P81)/T81</f>
        <v>30.165393258426981</v>
      </c>
      <c r="Y81" s="95">
        <f>(D81-J81-O81)/S81</f>
        <v>63.716186093334287</v>
      </c>
      <c r="Z81" s="36">
        <f>(E81-K81-P81)/E81</f>
        <v>0.19538223953959222</v>
      </c>
      <c r="AA81" s="60">
        <f>SUM(D81-H81)/D81</f>
        <v>0.3479293885936145</v>
      </c>
      <c r="AB81" s="80"/>
      <c r="AD81" t="s">
        <v>91</v>
      </c>
      <c r="AE81">
        <f>AH86</f>
        <v>54.25</v>
      </c>
      <c r="AH81" s="7">
        <f>SUM(T82-T81)</f>
        <v>22.5</v>
      </c>
      <c r="AI81" s="94">
        <f>SUM(K82-K81)</f>
        <v>113.97000000000116</v>
      </c>
    </row>
    <row r="82" spans="1:35">
      <c r="A82" s="7"/>
      <c r="B82" s="71"/>
      <c r="C82" s="93" t="s">
        <v>92</v>
      </c>
      <c r="D82" s="56">
        <v>25467.84</v>
      </c>
      <c r="E82" s="56">
        <v>19598.41</v>
      </c>
      <c r="F82" s="40">
        <f t="shared" ref="F82:F86" si="153">D82-E82</f>
        <v>5869.43</v>
      </c>
      <c r="G82" s="36">
        <f t="shared" ref="G82:G86" si="154">F82/D82</f>
        <v>0.2304643817457625</v>
      </c>
      <c r="H82" s="40">
        <v>16606.830000000002</v>
      </c>
      <c r="I82" s="40">
        <v>12315.59</v>
      </c>
      <c r="J82" s="56">
        <f t="shared" ref="J82:K86" si="155">SUM(H82-O82)</f>
        <v>9659.9900000000016</v>
      </c>
      <c r="K82" s="56">
        <f t="shared" ref="K82:K86" si="156">SUM(I82-P82)</f>
        <v>6639.8600000000006</v>
      </c>
      <c r="L82" s="40">
        <f t="shared" ref="L82:L86" si="157">J82-K82</f>
        <v>3020.130000000001</v>
      </c>
      <c r="M82" s="36">
        <f t="shared" ref="M82:M86" si="158">L82/J82</f>
        <v>0.31264318079004227</v>
      </c>
      <c r="N82" s="58">
        <v>0</v>
      </c>
      <c r="O82" s="56">
        <v>6946.84</v>
      </c>
      <c r="P82" s="56">
        <v>5675.73</v>
      </c>
      <c r="Q82" s="40">
        <f t="shared" ref="Q82:Q86" si="159">O82-P82</f>
        <v>1271.1100000000006</v>
      </c>
      <c r="R82" s="36">
        <f t="shared" ref="R82:R86" si="160">Q82/O82</f>
        <v>0.18297672035054796</v>
      </c>
      <c r="S82" s="44">
        <v>139.07</v>
      </c>
      <c r="T82" s="44">
        <v>111.5</v>
      </c>
      <c r="U82" s="8">
        <f t="shared" ref="U82:U86" si="161">S82-T82</f>
        <v>27.569999999999993</v>
      </c>
      <c r="V82" s="36">
        <f t="shared" ref="V82:V86" si="162">U82/S82</f>
        <v>0.19824548788379948</v>
      </c>
      <c r="W82" s="58">
        <v>0</v>
      </c>
      <c r="X82" s="95">
        <f t="shared" ref="X82:X86" si="163">(E82-K82-P82)/T82</f>
        <v>65.316771300448423</v>
      </c>
      <c r="Y82" s="95">
        <f t="shared" ref="Y82:Y86" si="164">(D82-J82-O82)/S82</f>
        <v>63.716186093334287</v>
      </c>
      <c r="Z82" s="36">
        <f t="shared" ref="Z82:Z86" si="165">(E82-K82-P82)/E82</f>
        <v>0.37160259429208797</v>
      </c>
      <c r="AA82" s="60">
        <f t="shared" ref="AA82:AA85" si="166">SUM(D82-H82)/D82</f>
        <v>0.3479293885936145</v>
      </c>
      <c r="AB82" s="80"/>
      <c r="AD82" t="s">
        <v>93</v>
      </c>
      <c r="AE82" s="42">
        <f>AI86</f>
        <v>-956.40999999999985</v>
      </c>
      <c r="AH82" s="7">
        <f>SUM(T83-T82)</f>
        <v>23.5</v>
      </c>
      <c r="AI82" s="94">
        <f>SUM(K83-K82)</f>
        <v>-1113.1300000000001</v>
      </c>
    </row>
    <row r="83" spans="1:35">
      <c r="A83" s="7"/>
      <c r="B83" s="71"/>
      <c r="C83" s="93" t="s">
        <v>94</v>
      </c>
      <c r="D83" s="56">
        <v>25467.84</v>
      </c>
      <c r="E83" s="56">
        <v>19598.41</v>
      </c>
      <c r="F83" s="40">
        <f t="shared" si="153"/>
        <v>5869.43</v>
      </c>
      <c r="G83" s="36">
        <f t="shared" si="154"/>
        <v>0.2304643817457625</v>
      </c>
      <c r="H83" s="40">
        <v>16606.830000000002</v>
      </c>
      <c r="I83" s="40">
        <v>12459.77</v>
      </c>
      <c r="J83" s="56">
        <f t="shared" si="155"/>
        <v>9659.9900000000016</v>
      </c>
      <c r="K83" s="56">
        <f t="shared" si="155"/>
        <v>5526.7300000000005</v>
      </c>
      <c r="L83" s="40">
        <f t="shared" si="157"/>
        <v>4133.2600000000011</v>
      </c>
      <c r="M83" s="36">
        <f t="shared" si="158"/>
        <v>0.42787414893804243</v>
      </c>
      <c r="N83" s="58">
        <v>0</v>
      </c>
      <c r="O83" s="56">
        <v>6946.84</v>
      </c>
      <c r="P83" s="56">
        <v>6933.04</v>
      </c>
      <c r="Q83" s="40">
        <f t="shared" si="159"/>
        <v>13.800000000000182</v>
      </c>
      <c r="R83" s="36">
        <f t="shared" si="160"/>
        <v>1.9865147318781176E-3</v>
      </c>
      <c r="S83" s="44">
        <v>139.07</v>
      </c>
      <c r="T83" s="44">
        <v>135</v>
      </c>
      <c r="U83" s="8">
        <f t="shared" si="161"/>
        <v>4.0699999999999932</v>
      </c>
      <c r="V83" s="36">
        <f t="shared" si="162"/>
        <v>2.9265837348098032E-2</v>
      </c>
      <c r="W83" s="58">
        <v>0</v>
      </c>
      <c r="X83" s="95">
        <f t="shared" si="163"/>
        <v>52.878814814814817</v>
      </c>
      <c r="Y83" s="95">
        <f t="shared" si="164"/>
        <v>63.716186093334287</v>
      </c>
      <c r="Z83" s="36">
        <f t="shared" si="165"/>
        <v>0.36424587504802686</v>
      </c>
      <c r="AA83" s="60">
        <f t="shared" si="166"/>
        <v>0.3479293885936145</v>
      </c>
      <c r="AB83" s="80"/>
      <c r="AH83" s="7">
        <f>SUM(T84-T83)</f>
        <v>0</v>
      </c>
      <c r="AI83" s="94">
        <f>SUM(K84-K83)</f>
        <v>0</v>
      </c>
    </row>
    <row r="84" spans="1:35">
      <c r="A84" s="7"/>
      <c r="B84" s="71"/>
      <c r="C84" s="93" t="s">
        <v>95</v>
      </c>
      <c r="D84" s="56">
        <v>25467.84</v>
      </c>
      <c r="E84" s="56">
        <v>19598.41</v>
      </c>
      <c r="F84" s="40">
        <f t="shared" si="153"/>
        <v>5869.43</v>
      </c>
      <c r="G84" s="36">
        <f t="shared" si="154"/>
        <v>0.2304643817457625</v>
      </c>
      <c r="H84" s="40">
        <v>16606.830000000002</v>
      </c>
      <c r="I84" s="40">
        <v>12459.77</v>
      </c>
      <c r="J84" s="56">
        <f t="shared" si="155"/>
        <v>9659.9900000000016</v>
      </c>
      <c r="K84" s="56">
        <f t="shared" si="156"/>
        <v>5526.7300000000005</v>
      </c>
      <c r="L84" s="40">
        <f t="shared" si="157"/>
        <v>4133.2600000000011</v>
      </c>
      <c r="M84" s="36">
        <f t="shared" si="158"/>
        <v>0.42787414893804243</v>
      </c>
      <c r="N84" s="58">
        <v>0</v>
      </c>
      <c r="O84" s="56">
        <v>6946.84</v>
      </c>
      <c r="P84" s="56">
        <v>6933.04</v>
      </c>
      <c r="Q84" s="40">
        <f t="shared" si="159"/>
        <v>13.800000000000182</v>
      </c>
      <c r="R84" s="36">
        <f t="shared" si="160"/>
        <v>1.9865147318781176E-3</v>
      </c>
      <c r="S84" s="44">
        <v>139.07</v>
      </c>
      <c r="T84" s="44">
        <v>135</v>
      </c>
      <c r="U84" s="8">
        <f t="shared" si="161"/>
        <v>4.0699999999999932</v>
      </c>
      <c r="V84" s="36">
        <f t="shared" si="162"/>
        <v>2.9265837348098032E-2</v>
      </c>
      <c r="W84" s="58">
        <v>0</v>
      </c>
      <c r="X84" s="95">
        <f t="shared" si="163"/>
        <v>52.878814814814817</v>
      </c>
      <c r="Y84" s="95">
        <f t="shared" si="164"/>
        <v>63.716186093334287</v>
      </c>
      <c r="Z84" s="36">
        <f t="shared" si="165"/>
        <v>0.36424587504802686</v>
      </c>
      <c r="AA84" s="60">
        <f t="shared" si="166"/>
        <v>0.3479293885936145</v>
      </c>
      <c r="AB84" s="80"/>
      <c r="AD84" t="s">
        <v>96</v>
      </c>
      <c r="AE84" s="42">
        <v>0</v>
      </c>
      <c r="AH84" s="7">
        <f>SUM(T85-T84)</f>
        <v>0</v>
      </c>
      <c r="AI84" s="94">
        <f>SUM(K85-K84)</f>
        <v>0</v>
      </c>
    </row>
    <row r="85" spans="1:35">
      <c r="A85" s="7"/>
      <c r="B85" s="71"/>
      <c r="C85" s="93" t="s">
        <v>97</v>
      </c>
      <c r="D85" s="56">
        <v>25467.84</v>
      </c>
      <c r="E85" s="56">
        <v>19598.41</v>
      </c>
      <c r="F85" s="40">
        <f t="shared" si="153"/>
        <v>5869.43</v>
      </c>
      <c r="G85" s="36">
        <f t="shared" si="154"/>
        <v>0.2304643817457625</v>
      </c>
      <c r="H85" s="40">
        <v>16606.830000000002</v>
      </c>
      <c r="I85" s="40">
        <v>12459.77</v>
      </c>
      <c r="J85" s="56">
        <f t="shared" si="155"/>
        <v>9659.9900000000016</v>
      </c>
      <c r="K85" s="56">
        <f t="shared" si="156"/>
        <v>5526.7300000000005</v>
      </c>
      <c r="L85" s="40">
        <f t="shared" si="157"/>
        <v>4133.2600000000011</v>
      </c>
      <c r="M85" s="36">
        <f t="shared" si="158"/>
        <v>0.42787414893804243</v>
      </c>
      <c r="N85" s="58">
        <v>0</v>
      </c>
      <c r="O85" s="56">
        <v>6946.84</v>
      </c>
      <c r="P85" s="56">
        <v>6933.04</v>
      </c>
      <c r="Q85" s="40">
        <f t="shared" si="159"/>
        <v>13.800000000000182</v>
      </c>
      <c r="R85" s="36">
        <f t="shared" si="160"/>
        <v>1.9865147318781176E-3</v>
      </c>
      <c r="S85" s="44">
        <v>139.07</v>
      </c>
      <c r="T85" s="44">
        <v>135</v>
      </c>
      <c r="U85" s="8">
        <f t="shared" si="161"/>
        <v>4.0699999999999932</v>
      </c>
      <c r="V85" s="36">
        <f t="shared" si="162"/>
        <v>2.9265837348098032E-2</v>
      </c>
      <c r="W85" s="58"/>
      <c r="X85" s="95">
        <f t="shared" si="163"/>
        <v>52.878814814814817</v>
      </c>
      <c r="Y85" s="95">
        <f t="shared" si="164"/>
        <v>63.716186093334287</v>
      </c>
      <c r="Z85" s="36">
        <f t="shared" si="165"/>
        <v>0.36424587504802686</v>
      </c>
      <c r="AA85" s="60">
        <f t="shared" si="166"/>
        <v>0.3479293885936145</v>
      </c>
      <c r="AB85" s="80"/>
      <c r="AH85" s="7">
        <f>SUM(T86-T85)</f>
        <v>8.25</v>
      </c>
      <c r="AI85" s="94">
        <f>SUM(K86-K85)</f>
        <v>42.749999999999091</v>
      </c>
    </row>
    <row r="86" spans="1:35">
      <c r="A86" s="7"/>
      <c r="B86" s="71"/>
      <c r="C86" s="93" t="s">
        <v>98</v>
      </c>
      <c r="D86" s="56">
        <v>25467.84</v>
      </c>
      <c r="E86" s="56">
        <v>19598.41</v>
      </c>
      <c r="F86" s="40">
        <f t="shared" si="153"/>
        <v>5869.43</v>
      </c>
      <c r="G86" s="36">
        <f t="shared" si="154"/>
        <v>0.2304643817457625</v>
      </c>
      <c r="H86" s="40">
        <v>16606.830000000002</v>
      </c>
      <c r="I86" s="40">
        <v>12921.64</v>
      </c>
      <c r="J86" s="56">
        <f t="shared" si="155"/>
        <v>9659.9900000000016</v>
      </c>
      <c r="K86" s="56">
        <f t="shared" si="156"/>
        <v>5569.48</v>
      </c>
      <c r="L86" s="40">
        <f t="shared" si="157"/>
        <v>4090.510000000002</v>
      </c>
      <c r="M86" s="36">
        <f t="shared" si="158"/>
        <v>0.42344867851830087</v>
      </c>
      <c r="N86" s="58">
        <v>0</v>
      </c>
      <c r="O86" s="56">
        <v>6946.84</v>
      </c>
      <c r="P86" s="56">
        <v>7352.16</v>
      </c>
      <c r="Q86" s="40">
        <f t="shared" si="159"/>
        <v>-405.31999999999971</v>
      </c>
      <c r="R86" s="36">
        <f t="shared" si="160"/>
        <v>-5.8345952980059956E-2</v>
      </c>
      <c r="S86" s="44">
        <v>139.07</v>
      </c>
      <c r="T86" s="44">
        <v>143.25</v>
      </c>
      <c r="U86" s="8">
        <f t="shared" si="161"/>
        <v>-4.1800000000000068</v>
      </c>
      <c r="V86" s="36">
        <f t="shared" si="162"/>
        <v>-3.0056805925073756E-2</v>
      </c>
      <c r="W86" s="58"/>
      <c r="X86" s="95">
        <f t="shared" si="163"/>
        <v>46.609214659685868</v>
      </c>
      <c r="Y86" s="95">
        <f t="shared" si="164"/>
        <v>63.716186093334287</v>
      </c>
      <c r="Z86" s="36">
        <f t="shared" si="165"/>
        <v>0.34067916734061593</v>
      </c>
      <c r="AA86" s="60">
        <f>SUM(D86-H86)/D86</f>
        <v>0.3479293885936145</v>
      </c>
      <c r="AB86" s="80"/>
      <c r="AH86" s="9">
        <f>SUM(AH81,AH82,AH83,AH84,AH85)</f>
        <v>54.25</v>
      </c>
      <c r="AI86" s="97">
        <f>SUM(AI81,AI82,AI83,AI84,AI85)</f>
        <v>-956.40999999999985</v>
      </c>
    </row>
    <row r="87" spans="1:35" ht="9" customHeight="1">
      <c r="A87" s="274"/>
      <c r="B87" s="275"/>
      <c r="C87" s="275"/>
      <c r="D87" s="275"/>
      <c r="E87" s="275"/>
      <c r="F87" s="275"/>
      <c r="G87" s="275"/>
      <c r="H87" s="275"/>
      <c r="I87" s="275"/>
      <c r="J87" s="275"/>
      <c r="K87" s="275"/>
      <c r="L87" s="275"/>
      <c r="M87" s="275"/>
      <c r="N87" s="275"/>
      <c r="O87" s="275"/>
      <c r="P87" s="275"/>
      <c r="Q87" s="275"/>
      <c r="R87" s="275"/>
      <c r="S87" s="275"/>
      <c r="T87" s="275"/>
      <c r="U87" s="275"/>
      <c r="V87" s="275"/>
      <c r="W87" s="275"/>
      <c r="X87" s="275"/>
      <c r="Y87" s="275"/>
      <c r="Z87" s="275"/>
      <c r="AA87" s="276"/>
    </row>
    <row r="88" spans="1:35">
      <c r="A88" s="7">
        <f>'Main Sheet'!A28</f>
        <v>8234</v>
      </c>
      <c r="B88" s="71" t="str">
        <f>'Main Sheet'!B28</f>
        <v>Melhuish House</v>
      </c>
      <c r="C88" s="93" t="s">
        <v>90</v>
      </c>
      <c r="D88" s="100">
        <v>37083.03</v>
      </c>
      <c r="E88" s="100">
        <v>19660.400000000001</v>
      </c>
      <c r="F88" s="40">
        <f>D88-E88</f>
        <v>17422.629999999997</v>
      </c>
      <c r="G88" s="36">
        <f>F88/D88</f>
        <v>0.46982757342104997</v>
      </c>
      <c r="H88" s="40">
        <v>27002.93</v>
      </c>
      <c r="I88" s="40">
        <v>14076.05</v>
      </c>
      <c r="J88" s="56">
        <f>SUM(H88-O88)</f>
        <v>15440.32</v>
      </c>
      <c r="K88" s="56">
        <f>SUM(I88-P88)</f>
        <v>10218.129999999999</v>
      </c>
      <c r="L88" s="40">
        <f>J88-K88</f>
        <v>5222.1900000000005</v>
      </c>
      <c r="M88" s="36">
        <f>L88/J88</f>
        <v>0.33821773123873083</v>
      </c>
      <c r="N88" s="58">
        <v>0</v>
      </c>
      <c r="O88" s="56">
        <v>11562.61</v>
      </c>
      <c r="P88" s="56">
        <v>3857.92</v>
      </c>
      <c r="Q88" s="40">
        <f>O88-P88</f>
        <v>7704.6900000000005</v>
      </c>
      <c r="R88" s="36">
        <f>Q88/O88</f>
        <v>0.66634522828323361</v>
      </c>
      <c r="S88" s="114">
        <v>231.75</v>
      </c>
      <c r="T88" s="114">
        <v>78.5</v>
      </c>
      <c r="U88" s="8">
        <f>S88-T88</f>
        <v>153.25</v>
      </c>
      <c r="V88" s="36">
        <f>U88/S88</f>
        <v>0.66127292340884569</v>
      </c>
      <c r="W88" s="58">
        <v>0</v>
      </c>
      <c r="X88" s="95">
        <f>(E88-K88-P88)/T88</f>
        <v>71.138216560509576</v>
      </c>
      <c r="Y88" s="95">
        <f>(D88-J88-O88)/S88</f>
        <v>43.495577130528581</v>
      </c>
      <c r="Z88" s="36">
        <f>(E88-K88-P88)/E88</f>
        <v>0.28404050782283174</v>
      </c>
      <c r="AA88" s="60">
        <f>SUM(D88-H88)/D88</f>
        <v>0.27182514481691489</v>
      </c>
      <c r="AB88" s="80"/>
      <c r="AD88" t="s">
        <v>91</v>
      </c>
      <c r="AE88">
        <f>AH93</f>
        <v>70</v>
      </c>
      <c r="AH88" s="7">
        <f>SUM(T89-T88)</f>
        <v>32.25</v>
      </c>
      <c r="AI88" s="94">
        <f>SUM(K89-K88)</f>
        <v>1005.7500000000018</v>
      </c>
    </row>
    <row r="89" spans="1:35">
      <c r="A89" s="7"/>
      <c r="B89" s="71"/>
      <c r="C89" s="93" t="s">
        <v>92</v>
      </c>
      <c r="D89" s="100">
        <v>37083.03</v>
      </c>
      <c r="E89" s="100">
        <v>26341.73</v>
      </c>
      <c r="F89" s="40">
        <f t="shared" ref="F89:F93" si="167">D89-E89</f>
        <v>10741.3</v>
      </c>
      <c r="G89" s="36">
        <f t="shared" ref="G89:G93" si="168">F89/D89</f>
        <v>0.2896554030239708</v>
      </c>
      <c r="H89" s="40">
        <v>27002.93</v>
      </c>
      <c r="I89" s="40">
        <v>16757.060000000001</v>
      </c>
      <c r="J89" s="56">
        <f>SUM(H89-O89)</f>
        <v>15440.32</v>
      </c>
      <c r="K89" s="56">
        <f>SUM(I89-P89)</f>
        <v>11223.880000000001</v>
      </c>
      <c r="L89" s="40">
        <f t="shared" ref="L89:L93" si="169">J89-K89</f>
        <v>4216.4399999999987</v>
      </c>
      <c r="M89" s="36">
        <f t="shared" ref="M89:M93" si="170">L89/J89</f>
        <v>0.27307983254233065</v>
      </c>
      <c r="N89" s="58">
        <v>0</v>
      </c>
      <c r="O89" s="56">
        <v>11562.61</v>
      </c>
      <c r="P89" s="56">
        <v>5533.18</v>
      </c>
      <c r="Q89" s="40">
        <f t="shared" ref="Q89:Q93" si="171">O89-P89</f>
        <v>6029.43</v>
      </c>
      <c r="R89" s="36">
        <f t="shared" ref="R89:R93" si="172">Q89/O89</f>
        <v>0.52145925530654413</v>
      </c>
      <c r="S89" s="114">
        <v>231.75</v>
      </c>
      <c r="T89" s="114">
        <v>110.75</v>
      </c>
      <c r="U89" s="8">
        <f t="shared" ref="U89:U93" si="173">S89-T89</f>
        <v>121</v>
      </c>
      <c r="V89" s="36">
        <f t="shared" ref="V89:V93" si="174">U89/S89</f>
        <v>0.52211434735706586</v>
      </c>
      <c r="W89" s="58"/>
      <c r="X89" s="95">
        <f t="shared" ref="X89:X93" si="175">(E89-K89-P89)/T89</f>
        <v>86.543295711060935</v>
      </c>
      <c r="Y89" s="95">
        <f t="shared" ref="Y89:Y93" si="176">(D89-J89-O89)/S89</f>
        <v>43.495577130528581</v>
      </c>
      <c r="Z89" s="36">
        <f t="shared" ref="Z89:Z93" si="177">(E89-K89-P89)/E89</f>
        <v>0.36385878983650649</v>
      </c>
      <c r="AA89" s="60">
        <f t="shared" ref="AA89:AA92" si="178">SUM(D89-H89)/D89</f>
        <v>0.27182514481691489</v>
      </c>
      <c r="AB89" s="80"/>
      <c r="AD89" t="s">
        <v>93</v>
      </c>
      <c r="AE89" s="42">
        <f>AI93</f>
        <v>3925.0599999999995</v>
      </c>
      <c r="AH89" s="7">
        <f>SUM(T90-T89)</f>
        <v>29.75</v>
      </c>
      <c r="AI89" s="94">
        <f>SUM(K90-K89)</f>
        <v>2919.3099999999977</v>
      </c>
    </row>
    <row r="90" spans="1:35">
      <c r="A90" s="7"/>
      <c r="B90" s="71"/>
      <c r="C90" s="93" t="s">
        <v>94</v>
      </c>
      <c r="D90" s="100">
        <v>37083.03</v>
      </c>
      <c r="E90" s="100">
        <v>26341.73</v>
      </c>
      <c r="F90" s="40">
        <f t="shared" si="167"/>
        <v>10741.3</v>
      </c>
      <c r="G90" s="36">
        <f t="shared" si="168"/>
        <v>0.2896554030239708</v>
      </c>
      <c r="H90" s="40">
        <v>27002.93</v>
      </c>
      <c r="I90" s="40">
        <v>21120.62</v>
      </c>
      <c r="J90" s="56">
        <f t="shared" ref="J90" si="179">SUM(H90-O90)</f>
        <v>15440.32</v>
      </c>
      <c r="K90" s="56">
        <f>SUM(I90-P90)</f>
        <v>14143.189999999999</v>
      </c>
      <c r="L90" s="40">
        <f t="shared" si="169"/>
        <v>1297.130000000001</v>
      </c>
      <c r="M90" s="36">
        <f t="shared" si="170"/>
        <v>8.4009269237943329E-2</v>
      </c>
      <c r="N90" s="58">
        <v>0</v>
      </c>
      <c r="O90" s="56">
        <v>11562.61</v>
      </c>
      <c r="P90" s="56">
        <v>6977.43</v>
      </c>
      <c r="Q90" s="40">
        <f t="shared" si="171"/>
        <v>4585.18</v>
      </c>
      <c r="R90" s="36">
        <f t="shared" si="172"/>
        <v>0.3965523355021055</v>
      </c>
      <c r="S90" s="114">
        <v>231.75</v>
      </c>
      <c r="T90" s="114">
        <v>140.5</v>
      </c>
      <c r="U90" s="8">
        <f t="shared" si="173"/>
        <v>91.25</v>
      </c>
      <c r="V90" s="36">
        <f t="shared" si="174"/>
        <v>0.39374325782092773</v>
      </c>
      <c r="W90" s="58"/>
      <c r="X90" s="95">
        <f t="shared" si="175"/>
        <v>37.160925266903917</v>
      </c>
      <c r="Y90" s="95">
        <f t="shared" si="176"/>
        <v>43.495577130528581</v>
      </c>
      <c r="Z90" s="36">
        <f t="shared" si="177"/>
        <v>0.19820679962933341</v>
      </c>
      <c r="AA90" s="60">
        <f t="shared" si="178"/>
        <v>0.27182514481691489</v>
      </c>
      <c r="AB90" s="80"/>
      <c r="AH90" s="7">
        <f>SUM(T91-T90)</f>
        <v>0</v>
      </c>
      <c r="AI90" s="94">
        <f>SUM(K91-K90)</f>
        <v>0</v>
      </c>
    </row>
    <row r="91" spans="1:35">
      <c r="A91" s="7"/>
      <c r="B91" s="71"/>
      <c r="C91" s="93" t="s">
        <v>95</v>
      </c>
      <c r="D91" s="100">
        <v>37083.03</v>
      </c>
      <c r="E91" s="100">
        <v>26341.73</v>
      </c>
      <c r="F91" s="40">
        <f t="shared" si="167"/>
        <v>10741.3</v>
      </c>
      <c r="G91" s="36">
        <f t="shared" si="168"/>
        <v>0.2896554030239708</v>
      </c>
      <c r="H91" s="40">
        <v>27002.93</v>
      </c>
      <c r="I91" s="40">
        <v>21120.62</v>
      </c>
      <c r="J91" s="56">
        <f t="shared" ref="J90:J93" si="180">SUM(H91-O91)</f>
        <v>15440.32</v>
      </c>
      <c r="K91" s="56">
        <f t="shared" ref="K91:K93" si="181">SUM(I91-P91)</f>
        <v>14143.189999999999</v>
      </c>
      <c r="L91" s="40">
        <f t="shared" si="169"/>
        <v>1297.130000000001</v>
      </c>
      <c r="M91" s="36">
        <f t="shared" si="170"/>
        <v>8.4009269237943329E-2</v>
      </c>
      <c r="N91" s="58">
        <v>0</v>
      </c>
      <c r="O91" s="56">
        <v>11562.61</v>
      </c>
      <c r="P91" s="56">
        <v>6977.43</v>
      </c>
      <c r="Q91" s="40">
        <f t="shared" si="171"/>
        <v>4585.18</v>
      </c>
      <c r="R91" s="36">
        <f t="shared" si="172"/>
        <v>0.3965523355021055</v>
      </c>
      <c r="S91" s="114">
        <v>231.75</v>
      </c>
      <c r="T91" s="114">
        <v>140.5</v>
      </c>
      <c r="U91" s="8">
        <f t="shared" si="173"/>
        <v>91.25</v>
      </c>
      <c r="V91" s="36">
        <f t="shared" si="174"/>
        <v>0.39374325782092773</v>
      </c>
      <c r="W91" s="58"/>
      <c r="X91" s="95">
        <f t="shared" si="175"/>
        <v>37.160925266903917</v>
      </c>
      <c r="Y91" s="95">
        <f t="shared" si="176"/>
        <v>43.495577130528581</v>
      </c>
      <c r="Z91" s="36">
        <f t="shared" si="177"/>
        <v>0.19820679962933341</v>
      </c>
      <c r="AA91" s="60">
        <f t="shared" si="178"/>
        <v>0.27182514481691489</v>
      </c>
      <c r="AB91" s="80"/>
      <c r="AD91" t="s">
        <v>96</v>
      </c>
      <c r="AE91" s="42">
        <v>0</v>
      </c>
      <c r="AH91" s="7">
        <f>SUM(T92-T91)</f>
        <v>0</v>
      </c>
      <c r="AI91" s="94">
        <f>SUM(K92-K91)</f>
        <v>0</v>
      </c>
    </row>
    <row r="92" spans="1:35">
      <c r="A92" s="7"/>
      <c r="B92" s="71"/>
      <c r="C92" s="93" t="s">
        <v>97</v>
      </c>
      <c r="D92" s="100">
        <v>37083.03</v>
      </c>
      <c r="E92" s="100">
        <v>26341.73</v>
      </c>
      <c r="F92" s="40">
        <f t="shared" si="167"/>
        <v>10741.3</v>
      </c>
      <c r="G92" s="36">
        <f t="shared" si="168"/>
        <v>0.2896554030239708</v>
      </c>
      <c r="H92" s="40">
        <v>27002.93</v>
      </c>
      <c r="I92" s="40">
        <v>21120.62</v>
      </c>
      <c r="J92" s="56">
        <f t="shared" si="180"/>
        <v>15440.32</v>
      </c>
      <c r="K92" s="56">
        <f t="shared" si="181"/>
        <v>14143.189999999999</v>
      </c>
      <c r="L92" s="40">
        <f t="shared" si="169"/>
        <v>1297.130000000001</v>
      </c>
      <c r="M92" s="36">
        <f t="shared" si="170"/>
        <v>8.4009269237943329E-2</v>
      </c>
      <c r="N92" s="58">
        <v>0</v>
      </c>
      <c r="O92" s="56">
        <v>11562.61</v>
      </c>
      <c r="P92" s="56">
        <v>6977.43</v>
      </c>
      <c r="Q92" s="40">
        <f t="shared" si="171"/>
        <v>4585.18</v>
      </c>
      <c r="R92" s="36">
        <f t="shared" si="172"/>
        <v>0.3965523355021055</v>
      </c>
      <c r="S92" s="114">
        <v>231.75</v>
      </c>
      <c r="T92" s="114">
        <v>140.5</v>
      </c>
      <c r="U92" s="8">
        <f t="shared" si="173"/>
        <v>91.25</v>
      </c>
      <c r="V92" s="36">
        <f t="shared" si="174"/>
        <v>0.39374325782092773</v>
      </c>
      <c r="W92" s="58"/>
      <c r="X92" s="95">
        <f t="shared" si="175"/>
        <v>37.160925266903917</v>
      </c>
      <c r="Y92" s="95">
        <f t="shared" si="176"/>
        <v>43.495577130528581</v>
      </c>
      <c r="Z92" s="36">
        <f t="shared" si="177"/>
        <v>0.19820679962933341</v>
      </c>
      <c r="AA92" s="60">
        <f t="shared" si="178"/>
        <v>0.27182514481691489</v>
      </c>
      <c r="AB92" s="80"/>
      <c r="AH92" s="7">
        <f>SUM(T93-T92)</f>
        <v>8</v>
      </c>
      <c r="AI92" s="94">
        <f>SUM(K93-K92)</f>
        <v>0</v>
      </c>
    </row>
    <row r="93" spans="1:35">
      <c r="A93" s="7"/>
      <c r="B93" s="71"/>
      <c r="C93" s="93" t="s">
        <v>98</v>
      </c>
      <c r="D93" s="100">
        <v>37083.03</v>
      </c>
      <c r="E93" s="100">
        <v>33023.07</v>
      </c>
      <c r="F93" s="40">
        <f t="shared" si="167"/>
        <v>4059.9599999999991</v>
      </c>
      <c r="G93" s="36">
        <f t="shared" si="168"/>
        <v>0.10948296296176444</v>
      </c>
      <c r="H93" s="40">
        <v>27002.93</v>
      </c>
      <c r="I93" s="40">
        <v>21520.62</v>
      </c>
      <c r="J93" s="56">
        <f t="shared" si="180"/>
        <v>15440.32</v>
      </c>
      <c r="K93" s="56">
        <f t="shared" si="181"/>
        <v>14143.189999999999</v>
      </c>
      <c r="L93" s="40">
        <f t="shared" si="169"/>
        <v>1297.130000000001</v>
      </c>
      <c r="M93" s="36">
        <f t="shared" si="170"/>
        <v>8.4009269237943329E-2</v>
      </c>
      <c r="N93" s="58">
        <v>0</v>
      </c>
      <c r="O93" s="56">
        <v>11562.61</v>
      </c>
      <c r="P93" s="56">
        <v>7377.43</v>
      </c>
      <c r="Q93" s="40">
        <f t="shared" si="171"/>
        <v>4185.18</v>
      </c>
      <c r="R93" s="36">
        <f t="shared" si="172"/>
        <v>0.36195807002052305</v>
      </c>
      <c r="S93" s="114">
        <v>231.75</v>
      </c>
      <c r="T93" s="114">
        <v>148.5</v>
      </c>
      <c r="U93" s="8">
        <f>S93-T93</f>
        <v>83.25</v>
      </c>
      <c r="V93" s="36">
        <f t="shared" si="174"/>
        <v>0.35922330097087379</v>
      </c>
      <c r="W93" s="58"/>
      <c r="X93" s="95">
        <f t="shared" si="175"/>
        <v>77.457575757575768</v>
      </c>
      <c r="Y93" s="95">
        <f t="shared" si="176"/>
        <v>43.495577130528581</v>
      </c>
      <c r="Z93" s="36">
        <f t="shared" si="177"/>
        <v>0.34831558664897</v>
      </c>
      <c r="AA93" s="60">
        <f>SUM(D93-H93)/D93</f>
        <v>0.27182514481691489</v>
      </c>
      <c r="AB93" s="80"/>
      <c r="AH93" s="9">
        <f>SUM(AH88,AH89,AH90,AH91,AH92)</f>
        <v>70</v>
      </c>
      <c r="AI93" s="97">
        <f>SUM(AI88,AI89,AI90,AI91,AI92)</f>
        <v>3925.0599999999995</v>
      </c>
    </row>
    <row r="94" spans="1:35" ht="9" customHeight="1">
      <c r="A94" s="274"/>
      <c r="B94" s="275"/>
      <c r="C94" s="275"/>
      <c r="D94" s="275"/>
      <c r="E94" s="275"/>
      <c r="F94" s="275"/>
      <c r="G94" s="275"/>
      <c r="H94" s="275"/>
      <c r="I94" s="275"/>
      <c r="J94" s="275"/>
      <c r="K94" s="275"/>
      <c r="L94" s="275"/>
      <c r="M94" s="275"/>
      <c r="N94" s="275"/>
      <c r="O94" s="275"/>
      <c r="P94" s="275"/>
      <c r="Q94" s="275"/>
      <c r="R94" s="275"/>
      <c r="S94" s="275"/>
      <c r="T94" s="275"/>
      <c r="U94" s="275"/>
      <c r="V94" s="275"/>
      <c r="W94" s="275"/>
      <c r="X94" s="275"/>
      <c r="Y94" s="275"/>
      <c r="Z94" s="275"/>
      <c r="AA94" s="276"/>
    </row>
    <row r="95" spans="1:35">
      <c r="A95" s="7">
        <f>'Main Sheet'!A30</f>
        <v>8214</v>
      </c>
      <c r="B95" s="71" t="str">
        <f>'Main Sheet'!B30</f>
        <v>6 Tiroroa Lane</v>
      </c>
      <c r="C95" s="93" t="s">
        <v>90</v>
      </c>
      <c r="D95" s="56">
        <v>26186.14</v>
      </c>
      <c r="E95" s="56">
        <v>5762.27</v>
      </c>
      <c r="F95" s="40">
        <f>D95-E95</f>
        <v>20423.87</v>
      </c>
      <c r="G95" s="36">
        <f>F95/D95</f>
        <v>0.77994962220472352</v>
      </c>
      <c r="H95" s="40">
        <v>19428.98</v>
      </c>
      <c r="I95" s="40">
        <v>7925.81</v>
      </c>
      <c r="J95" s="56">
        <f>SUM(H95-O95)</f>
        <v>12051.349999999999</v>
      </c>
      <c r="K95" s="56">
        <f>SUM(I95-P95)</f>
        <v>7679.9100000000008</v>
      </c>
      <c r="L95" s="40">
        <f>J95-K95</f>
        <v>4371.4399999999978</v>
      </c>
      <c r="M95" s="36">
        <f>L95/J95</f>
        <v>0.36273446543333304</v>
      </c>
      <c r="N95" s="58">
        <v>0</v>
      </c>
      <c r="O95" s="56">
        <v>7377.63</v>
      </c>
      <c r="P95" s="56">
        <v>245.9</v>
      </c>
      <c r="Q95" s="40">
        <f>O95-P95</f>
        <v>7131.7300000000005</v>
      </c>
      <c r="R95" s="36">
        <f>Q95/O95</f>
        <v>0.96666951310922344</v>
      </c>
      <c r="S95" s="44">
        <v>147.9</v>
      </c>
      <c r="T95" s="44">
        <v>5</v>
      </c>
      <c r="U95" s="8">
        <f>S95-T95</f>
        <v>142.9</v>
      </c>
      <c r="V95" s="36">
        <f>U95/S95</f>
        <v>0.96619337390128468</v>
      </c>
      <c r="W95" s="58">
        <v>0</v>
      </c>
      <c r="X95" s="95">
        <f>(E95-K95-P95)/T95</f>
        <v>-432.70800000000008</v>
      </c>
      <c r="Y95" s="95">
        <f>(D95-J95-O95)/S95</f>
        <v>45.687356321839083</v>
      </c>
      <c r="Z95" s="36">
        <f>(E95-K95-P95)/E95</f>
        <v>-0.37546661298411915</v>
      </c>
      <c r="AA95" s="60">
        <f>SUM(D95-H95)/D95</f>
        <v>0.25804337714531428</v>
      </c>
      <c r="AB95" s="80"/>
      <c r="AD95" t="s">
        <v>91</v>
      </c>
      <c r="AE95">
        <f>AH100</f>
        <v>0</v>
      </c>
      <c r="AH95" s="7">
        <f>SUM(T96-T95)</f>
        <v>0</v>
      </c>
      <c r="AI95" s="94">
        <f>SUM(K96-K95)</f>
        <v>0</v>
      </c>
    </row>
    <row r="96" spans="1:35">
      <c r="A96" s="7"/>
      <c r="B96" s="71"/>
      <c r="C96" s="93" t="s">
        <v>92</v>
      </c>
      <c r="D96" s="56">
        <v>26186.14</v>
      </c>
      <c r="E96" s="56">
        <v>5762.27</v>
      </c>
      <c r="F96" s="40">
        <f t="shared" ref="F96:F100" si="182">D96-E96</f>
        <v>20423.87</v>
      </c>
      <c r="G96" s="36">
        <f t="shared" ref="G96:G100" si="183">F96/D96</f>
        <v>0.77994962220472352</v>
      </c>
      <c r="H96" s="40">
        <v>19428.98</v>
      </c>
      <c r="I96" s="40">
        <v>7925.81</v>
      </c>
      <c r="J96" s="56">
        <f t="shared" ref="J96:K100" si="184">SUM(H96-O96)</f>
        <v>12051.349999999999</v>
      </c>
      <c r="K96" s="56">
        <f t="shared" ref="K96:K100" si="185">SUM(I96-P96)</f>
        <v>7679.9100000000008</v>
      </c>
      <c r="L96" s="40">
        <f t="shared" ref="L96:L100" si="186">J96-K96</f>
        <v>4371.4399999999978</v>
      </c>
      <c r="M96" s="36">
        <f t="shared" ref="M96:M100" si="187">L96/J96</f>
        <v>0.36273446543333304</v>
      </c>
      <c r="N96" s="58">
        <v>0</v>
      </c>
      <c r="O96" s="56">
        <v>7377.63</v>
      </c>
      <c r="P96" s="56">
        <v>245.9</v>
      </c>
      <c r="Q96" s="40">
        <f t="shared" ref="Q96:Q100" si="188">O96-P96</f>
        <v>7131.7300000000005</v>
      </c>
      <c r="R96" s="36">
        <f t="shared" ref="R96:R100" si="189">Q96/O96</f>
        <v>0.96666951310922344</v>
      </c>
      <c r="S96" s="44">
        <v>147.9</v>
      </c>
      <c r="T96" s="44">
        <v>5</v>
      </c>
      <c r="U96" s="8">
        <f t="shared" ref="U96:U100" si="190">S96-T96</f>
        <v>142.9</v>
      </c>
      <c r="V96" s="36">
        <f t="shared" ref="V96:V100" si="191">U96/S96</f>
        <v>0.96619337390128468</v>
      </c>
      <c r="W96" s="58">
        <v>0</v>
      </c>
      <c r="X96" s="95">
        <f t="shared" ref="X96:X100" si="192">(E96-K96-P96)/T96</f>
        <v>-432.70800000000008</v>
      </c>
      <c r="Y96" s="95">
        <f t="shared" ref="Y96:Y100" si="193">(D96-J96-O96)/S96</f>
        <v>45.687356321839083</v>
      </c>
      <c r="Z96" s="36">
        <f t="shared" ref="Z96:Z100" si="194">(E96-K96-P96)/E96</f>
        <v>-0.37546661298411915</v>
      </c>
      <c r="AA96" s="60">
        <f t="shared" ref="AA96:AA99" si="195">SUM(D96-H96)/D96</f>
        <v>0.25804337714531428</v>
      </c>
      <c r="AB96" s="80"/>
      <c r="AD96" t="s">
        <v>93</v>
      </c>
      <c r="AE96" s="42">
        <f>AI100</f>
        <v>0</v>
      </c>
      <c r="AH96" s="7">
        <f>SUM(T97-T96)</f>
        <v>0</v>
      </c>
      <c r="AI96" s="94">
        <f>SUM(K97-K96)</f>
        <v>0</v>
      </c>
    </row>
    <row r="97" spans="1:35">
      <c r="A97" s="7"/>
      <c r="B97" s="71"/>
      <c r="C97" s="93" t="s">
        <v>94</v>
      </c>
      <c r="D97" s="56">
        <v>26186.14</v>
      </c>
      <c r="E97" s="56">
        <v>5762.27</v>
      </c>
      <c r="F97" s="40">
        <f t="shared" si="182"/>
        <v>20423.87</v>
      </c>
      <c r="G97" s="36">
        <f t="shared" si="183"/>
        <v>0.77994962220472352</v>
      </c>
      <c r="H97" s="40">
        <v>19428.98</v>
      </c>
      <c r="I97" s="40">
        <v>7925.81</v>
      </c>
      <c r="J97" s="56">
        <f t="shared" si="184"/>
        <v>12051.349999999999</v>
      </c>
      <c r="K97" s="56">
        <f t="shared" si="184"/>
        <v>7679.9100000000008</v>
      </c>
      <c r="L97" s="40">
        <f t="shared" si="186"/>
        <v>4371.4399999999978</v>
      </c>
      <c r="M97" s="36">
        <f t="shared" si="187"/>
        <v>0.36273446543333304</v>
      </c>
      <c r="N97" s="58">
        <v>0</v>
      </c>
      <c r="O97" s="56">
        <v>7377.63</v>
      </c>
      <c r="P97" s="56">
        <v>245.9</v>
      </c>
      <c r="Q97" s="40">
        <f t="shared" si="188"/>
        <v>7131.7300000000005</v>
      </c>
      <c r="R97" s="36">
        <f t="shared" si="189"/>
        <v>0.96666951310922344</v>
      </c>
      <c r="S97" s="44">
        <v>147.9</v>
      </c>
      <c r="T97" s="44">
        <v>5</v>
      </c>
      <c r="U97" s="8">
        <f t="shared" si="190"/>
        <v>142.9</v>
      </c>
      <c r="V97" s="36">
        <f t="shared" si="191"/>
        <v>0.96619337390128468</v>
      </c>
      <c r="W97" s="58">
        <v>0.2</v>
      </c>
      <c r="X97" s="95">
        <f t="shared" si="192"/>
        <v>-432.70800000000008</v>
      </c>
      <c r="Y97" s="95">
        <f t="shared" si="193"/>
        <v>45.687356321839083</v>
      </c>
      <c r="Z97" s="36">
        <f t="shared" si="194"/>
        <v>-0.37546661298411915</v>
      </c>
      <c r="AA97" s="60">
        <f t="shared" si="195"/>
        <v>0.25804337714531428</v>
      </c>
      <c r="AB97" s="80"/>
      <c r="AH97" s="7">
        <f>SUM(T98-T97)</f>
        <v>0</v>
      </c>
      <c r="AI97" s="94">
        <f>SUM(K98-K97)</f>
        <v>0</v>
      </c>
    </row>
    <row r="98" spans="1:35">
      <c r="A98" s="7"/>
      <c r="B98" s="71"/>
      <c r="C98" s="93" t="s">
        <v>95</v>
      </c>
      <c r="D98" s="56">
        <v>26186.14</v>
      </c>
      <c r="E98" s="56">
        <v>5762.27</v>
      </c>
      <c r="F98" s="40">
        <f t="shared" si="182"/>
        <v>20423.87</v>
      </c>
      <c r="G98" s="36">
        <f t="shared" si="183"/>
        <v>0.77994962220472352</v>
      </c>
      <c r="H98" s="40">
        <v>19428.98</v>
      </c>
      <c r="I98" s="40">
        <v>7925.81</v>
      </c>
      <c r="J98" s="56">
        <f t="shared" si="184"/>
        <v>12051.349999999999</v>
      </c>
      <c r="K98" s="56">
        <f t="shared" si="185"/>
        <v>7679.9100000000008</v>
      </c>
      <c r="L98" s="40">
        <f t="shared" si="186"/>
        <v>4371.4399999999978</v>
      </c>
      <c r="M98" s="36">
        <f t="shared" si="187"/>
        <v>0.36273446543333304</v>
      </c>
      <c r="N98" s="58">
        <v>0</v>
      </c>
      <c r="O98" s="56">
        <v>7377.63</v>
      </c>
      <c r="P98" s="56">
        <v>245.9</v>
      </c>
      <c r="Q98" s="40">
        <f t="shared" si="188"/>
        <v>7131.7300000000005</v>
      </c>
      <c r="R98" s="36">
        <f t="shared" si="189"/>
        <v>0.96666951310922344</v>
      </c>
      <c r="S98" s="44">
        <v>147.9</v>
      </c>
      <c r="T98" s="44">
        <v>5</v>
      </c>
      <c r="U98" s="8">
        <f t="shared" si="190"/>
        <v>142.9</v>
      </c>
      <c r="V98" s="36">
        <f t="shared" si="191"/>
        <v>0.96619337390128468</v>
      </c>
      <c r="W98" s="58">
        <v>0.25</v>
      </c>
      <c r="X98" s="95">
        <f t="shared" si="192"/>
        <v>-432.70800000000008</v>
      </c>
      <c r="Y98" s="95">
        <f t="shared" si="193"/>
        <v>45.687356321839083</v>
      </c>
      <c r="Z98" s="36">
        <f t="shared" si="194"/>
        <v>-0.37546661298411915</v>
      </c>
      <c r="AA98" s="60">
        <f t="shared" si="195"/>
        <v>0.25804337714531428</v>
      </c>
      <c r="AB98" s="80"/>
      <c r="AD98" t="s">
        <v>96</v>
      </c>
      <c r="AE98" s="42">
        <v>0</v>
      </c>
      <c r="AH98" s="7">
        <f>SUM(T99-T98)</f>
        <v>0</v>
      </c>
      <c r="AI98" s="94">
        <f>SUM(K99-K98)</f>
        <v>0</v>
      </c>
    </row>
    <row r="99" spans="1:35">
      <c r="A99" s="7"/>
      <c r="B99" s="71"/>
      <c r="C99" s="93" t="s">
        <v>97</v>
      </c>
      <c r="D99" s="56">
        <v>26186.14</v>
      </c>
      <c r="E99" s="56">
        <v>5762.27</v>
      </c>
      <c r="F99" s="40">
        <f t="shared" si="182"/>
        <v>20423.87</v>
      </c>
      <c r="G99" s="36">
        <f t="shared" si="183"/>
        <v>0.77994962220472352</v>
      </c>
      <c r="H99" s="40">
        <v>19428.98</v>
      </c>
      <c r="I99" s="40">
        <v>7925.81</v>
      </c>
      <c r="J99" s="56">
        <f t="shared" si="184"/>
        <v>12051.349999999999</v>
      </c>
      <c r="K99" s="56">
        <f t="shared" si="185"/>
        <v>7679.9100000000008</v>
      </c>
      <c r="L99" s="40">
        <f t="shared" si="186"/>
        <v>4371.4399999999978</v>
      </c>
      <c r="M99" s="36">
        <f t="shared" si="187"/>
        <v>0.36273446543333304</v>
      </c>
      <c r="N99" s="58">
        <v>0</v>
      </c>
      <c r="O99" s="56">
        <v>7377.63</v>
      </c>
      <c r="P99" s="56">
        <v>245.9</v>
      </c>
      <c r="Q99" s="40">
        <f t="shared" si="188"/>
        <v>7131.7300000000005</v>
      </c>
      <c r="R99" s="36">
        <f t="shared" si="189"/>
        <v>0.96666951310922344</v>
      </c>
      <c r="S99" s="44">
        <v>147.9</v>
      </c>
      <c r="T99" s="44">
        <v>5</v>
      </c>
      <c r="U99" s="8">
        <f t="shared" si="190"/>
        <v>142.9</v>
      </c>
      <c r="V99" s="36">
        <f t="shared" si="191"/>
        <v>0.96619337390128468</v>
      </c>
      <c r="W99" s="58"/>
      <c r="X99" s="95">
        <f t="shared" si="192"/>
        <v>-432.70800000000008</v>
      </c>
      <c r="Y99" s="95">
        <f t="shared" si="193"/>
        <v>45.687356321839083</v>
      </c>
      <c r="Z99" s="36">
        <f t="shared" si="194"/>
        <v>-0.37546661298411915</v>
      </c>
      <c r="AA99" s="60">
        <f t="shared" si="195"/>
        <v>0.25804337714531428</v>
      </c>
      <c r="AB99" s="80"/>
      <c r="AH99" s="7">
        <f>SUM(T100-T99)</f>
        <v>0</v>
      </c>
      <c r="AI99" s="94">
        <f>SUM(K100-K99)</f>
        <v>0</v>
      </c>
    </row>
    <row r="100" spans="1:35">
      <c r="A100" s="7"/>
      <c r="B100" s="71"/>
      <c r="C100" s="93" t="s">
        <v>98</v>
      </c>
      <c r="D100" s="56">
        <v>26186.14</v>
      </c>
      <c r="E100" s="56">
        <v>5762.27</v>
      </c>
      <c r="F100" s="40">
        <f t="shared" si="182"/>
        <v>20423.87</v>
      </c>
      <c r="G100" s="36">
        <f t="shared" si="183"/>
        <v>0.77994962220472352</v>
      </c>
      <c r="H100" s="40">
        <v>19428.98</v>
      </c>
      <c r="I100" s="40">
        <v>7925.81</v>
      </c>
      <c r="J100" s="56">
        <f t="shared" si="184"/>
        <v>12051.32</v>
      </c>
      <c r="K100" s="56">
        <f t="shared" si="185"/>
        <v>7679.9100000000008</v>
      </c>
      <c r="L100" s="40">
        <f t="shared" si="186"/>
        <v>4371.4099999999989</v>
      </c>
      <c r="M100" s="36">
        <f t="shared" si="187"/>
        <v>0.36273287905391266</v>
      </c>
      <c r="N100" s="58">
        <v>0</v>
      </c>
      <c r="O100" s="56">
        <v>7377.66</v>
      </c>
      <c r="P100" s="56">
        <v>245.9</v>
      </c>
      <c r="Q100" s="40">
        <f t="shared" si="188"/>
        <v>7131.76</v>
      </c>
      <c r="R100" s="36">
        <f t="shared" si="189"/>
        <v>0.96666964864198135</v>
      </c>
      <c r="S100" s="44">
        <v>147.9</v>
      </c>
      <c r="T100" s="44">
        <v>5</v>
      </c>
      <c r="U100" s="8">
        <f t="shared" si="190"/>
        <v>142.9</v>
      </c>
      <c r="V100" s="36">
        <f t="shared" si="191"/>
        <v>0.96619337390128468</v>
      </c>
      <c r="W100" s="58"/>
      <c r="X100" s="95">
        <f t="shared" si="192"/>
        <v>-432.70800000000008</v>
      </c>
      <c r="Y100" s="95">
        <f t="shared" si="193"/>
        <v>45.687356321839076</v>
      </c>
      <c r="Z100" s="36">
        <f t="shared" si="194"/>
        <v>-0.37546661298411915</v>
      </c>
      <c r="AA100" s="60">
        <f>SUM(D100-H100)/D100</f>
        <v>0.25804337714531428</v>
      </c>
      <c r="AB100" s="80"/>
      <c r="AH100" s="9">
        <f>SUM(AH95,AH96,AH97,AH98,AH99)</f>
        <v>0</v>
      </c>
      <c r="AI100" s="97">
        <f>SUM(AI95,AI96,AI97,AI98,AI99)</f>
        <v>0</v>
      </c>
    </row>
    <row r="101" spans="1:35" ht="9" customHeight="1">
      <c r="A101" s="274"/>
      <c r="B101" s="275"/>
      <c r="C101" s="275"/>
      <c r="D101" s="275"/>
      <c r="E101" s="275"/>
      <c r="F101" s="275"/>
      <c r="G101" s="275"/>
      <c r="H101" s="275"/>
      <c r="I101" s="275"/>
      <c r="J101" s="275"/>
      <c r="K101" s="275"/>
      <c r="L101" s="275"/>
      <c r="M101" s="275"/>
      <c r="N101" s="275"/>
      <c r="O101" s="275"/>
      <c r="P101" s="275"/>
      <c r="Q101" s="275"/>
      <c r="R101" s="275"/>
      <c r="S101" s="275"/>
      <c r="T101" s="275"/>
      <c r="U101" s="275"/>
      <c r="V101" s="275"/>
      <c r="W101" s="275"/>
      <c r="X101" s="275"/>
      <c r="Y101" s="275"/>
      <c r="Z101" s="275"/>
      <c r="AA101" s="276"/>
    </row>
    <row r="102" spans="1:35">
      <c r="A102" s="7">
        <f>'Main Sheet'!A32</f>
        <v>6792</v>
      </c>
      <c r="B102" s="71" t="str">
        <f>'Main Sheet'!B32</f>
        <v xml:space="preserve">Major Hornbrook </v>
      </c>
      <c r="C102" s="93" t="s">
        <v>90</v>
      </c>
      <c r="D102" s="56">
        <v>33188.019999999997</v>
      </c>
      <c r="E102" s="56">
        <v>32192.38</v>
      </c>
      <c r="F102" s="40">
        <f>D102-E102</f>
        <v>995.63999999999578</v>
      </c>
      <c r="G102" s="36">
        <f>F102/D102</f>
        <v>2.9999981921187101E-2</v>
      </c>
      <c r="H102" s="40">
        <v>23790.07</v>
      </c>
      <c r="I102" s="40">
        <v>28358.52</v>
      </c>
      <c r="J102" s="56">
        <f>SUM(H102-O102)</f>
        <v>13406.21</v>
      </c>
      <c r="K102" s="56">
        <f>SUM(I102-P102)</f>
        <v>15975.390000000001</v>
      </c>
      <c r="L102" s="40">
        <f>J102-K102</f>
        <v>-2569.1800000000021</v>
      </c>
      <c r="M102" s="36">
        <f>L102/J102</f>
        <v>-0.19164103799657042</v>
      </c>
      <c r="N102" s="58">
        <v>0</v>
      </c>
      <c r="O102" s="56">
        <v>10383.86</v>
      </c>
      <c r="P102" s="56">
        <v>12383.13</v>
      </c>
      <c r="Q102" s="40">
        <f>O102-P102</f>
        <v>-1999.2699999999986</v>
      </c>
      <c r="R102" s="36">
        <f>Q102/O102</f>
        <v>-0.19253630152948889</v>
      </c>
      <c r="S102" s="44">
        <v>208.2</v>
      </c>
      <c r="T102" s="44">
        <v>248.75</v>
      </c>
      <c r="U102" s="8">
        <f>S102-T102</f>
        <v>-40.550000000000011</v>
      </c>
      <c r="V102" s="36">
        <f>U102/S102</f>
        <v>-0.19476464937560045</v>
      </c>
      <c r="W102" s="58"/>
      <c r="X102" s="95">
        <f>(E102-K102-P102)/T102</f>
        <v>15.412502512562817</v>
      </c>
      <c r="Y102" s="95">
        <f>(D102-J102-O102)/S102</f>
        <v>45.139048991354457</v>
      </c>
      <c r="Z102" s="36">
        <f>(E102-K102-P102)/E102</f>
        <v>0.11909215783362399</v>
      </c>
      <c r="AA102" s="60">
        <f>SUM(D102-H102)/D102</f>
        <v>0.28317296422022159</v>
      </c>
      <c r="AB102" s="80"/>
      <c r="AD102" t="s">
        <v>91</v>
      </c>
      <c r="AE102">
        <f>AH107</f>
        <v>68.5</v>
      </c>
      <c r="AH102" s="7">
        <f>SUM(T103-T102)</f>
        <v>0</v>
      </c>
      <c r="AI102" s="94">
        <f>SUM(K103-K102)</f>
        <v>0</v>
      </c>
    </row>
    <row r="103" spans="1:35">
      <c r="A103" s="7"/>
      <c r="B103" s="71"/>
      <c r="C103" s="93" t="s">
        <v>92</v>
      </c>
      <c r="D103" s="56">
        <v>33188.019999999997</v>
      </c>
      <c r="E103" s="116">
        <v>32192.38</v>
      </c>
      <c r="F103" s="40">
        <f>D103-E103</f>
        <v>995.63999999999578</v>
      </c>
      <c r="G103" s="36">
        <f t="shared" ref="G103:G107" si="196">F103/D103</f>
        <v>2.9999981921187101E-2</v>
      </c>
      <c r="H103" s="40">
        <v>23790.07</v>
      </c>
      <c r="I103" s="40">
        <v>28358.52</v>
      </c>
      <c r="J103" s="56">
        <f t="shared" ref="J103:K107" si="197">SUM(H103-O103)</f>
        <v>13406.21</v>
      </c>
      <c r="K103" s="56">
        <f t="shared" ref="K103:K107" si="198">SUM(I103-P103)</f>
        <v>15975.390000000001</v>
      </c>
      <c r="L103" s="40">
        <f t="shared" ref="L103:L107" si="199">J103-K103</f>
        <v>-2569.1800000000021</v>
      </c>
      <c r="M103" s="36">
        <f t="shared" ref="M103:M107" si="200">L103/J103</f>
        <v>-0.19164103799657042</v>
      </c>
      <c r="N103" s="58">
        <v>0</v>
      </c>
      <c r="O103" s="56">
        <v>10383.86</v>
      </c>
      <c r="P103" s="56">
        <v>12383.13</v>
      </c>
      <c r="Q103" s="40">
        <f t="shared" ref="Q103:Q107" si="201">O103-P103</f>
        <v>-1999.2699999999986</v>
      </c>
      <c r="R103" s="36">
        <f t="shared" ref="R103:R107" si="202">Q103/O103</f>
        <v>-0.19253630152948889</v>
      </c>
      <c r="S103" s="44">
        <v>208.2</v>
      </c>
      <c r="T103" s="44">
        <v>248.75</v>
      </c>
      <c r="U103" s="8">
        <f t="shared" ref="U103:U107" si="203">S103-T103</f>
        <v>-40.550000000000011</v>
      </c>
      <c r="V103" s="36">
        <f t="shared" ref="V103:V107" si="204">U103/S103</f>
        <v>-0.19476464937560045</v>
      </c>
      <c r="W103" s="58"/>
      <c r="X103" s="95">
        <f t="shared" ref="X103:X107" si="205">(E103-K103-P103)/T103</f>
        <v>15.412502512562817</v>
      </c>
      <c r="Y103" s="95">
        <f t="shared" ref="Y103:Y107" si="206">(D103-J103-O103)/S103</f>
        <v>45.139048991354457</v>
      </c>
      <c r="Z103" s="36">
        <f t="shared" ref="Z103:Z107" si="207">(E103-K103-P103)/E103</f>
        <v>0.11909215783362399</v>
      </c>
      <c r="AA103" s="60">
        <f t="shared" ref="AA103:AA106" si="208">SUM(D103-H103)/D103</f>
        <v>0.28317296422022159</v>
      </c>
      <c r="AB103" s="80"/>
      <c r="AD103" t="s">
        <v>93</v>
      </c>
      <c r="AE103" s="42">
        <f>AI107</f>
        <v>587.12999999999556</v>
      </c>
      <c r="AH103" s="7">
        <f>SUM(T104-T103)</f>
        <v>40.5</v>
      </c>
      <c r="AI103" s="94">
        <f>SUM(K104-K103)</f>
        <v>587.1299999999992</v>
      </c>
    </row>
    <row r="104" spans="1:35">
      <c r="A104" s="7"/>
      <c r="B104" s="71"/>
      <c r="C104" s="93" t="s">
        <v>94</v>
      </c>
      <c r="D104" s="56">
        <v>33188.019999999997</v>
      </c>
      <c r="E104" s="116">
        <v>32192.38</v>
      </c>
      <c r="F104" s="40">
        <f t="shared" ref="F103:F107" si="209">D104-E104</f>
        <v>995.63999999999578</v>
      </c>
      <c r="G104" s="36">
        <f t="shared" si="196"/>
        <v>2.9999981921187101E-2</v>
      </c>
      <c r="H104" s="40">
        <v>23790.07</v>
      </c>
      <c r="I104" s="40">
        <v>30917.81</v>
      </c>
      <c r="J104" s="56">
        <f t="shared" si="197"/>
        <v>13406.21</v>
      </c>
      <c r="K104" s="56">
        <f t="shared" si="197"/>
        <v>16562.52</v>
      </c>
      <c r="L104" s="40">
        <f t="shared" si="199"/>
        <v>-3156.3100000000013</v>
      </c>
      <c r="M104" s="36">
        <f t="shared" si="200"/>
        <v>-0.23543641342333155</v>
      </c>
      <c r="N104" s="58">
        <v>0</v>
      </c>
      <c r="O104" s="56">
        <v>10383.86</v>
      </c>
      <c r="P104" s="56">
        <v>14355.29</v>
      </c>
      <c r="Q104" s="40">
        <f t="shared" si="201"/>
        <v>-3971.4300000000003</v>
      </c>
      <c r="R104" s="36">
        <f t="shared" si="202"/>
        <v>-0.38246182055613231</v>
      </c>
      <c r="S104" s="44">
        <v>208.2</v>
      </c>
      <c r="T104" s="44">
        <v>289.25</v>
      </c>
      <c r="U104" s="8">
        <f t="shared" si="203"/>
        <v>-81.050000000000011</v>
      </c>
      <c r="V104" s="36">
        <f t="shared" si="204"/>
        <v>-0.38928914505283391</v>
      </c>
      <c r="W104" s="58"/>
      <c r="X104" s="95">
        <f t="shared" si="205"/>
        <v>4.406464995678478</v>
      </c>
      <c r="Y104" s="95">
        <f t="shared" si="206"/>
        <v>45.139048991354457</v>
      </c>
      <c r="Z104" s="36">
        <f t="shared" si="207"/>
        <v>3.9592288609913269E-2</v>
      </c>
      <c r="AA104" s="60">
        <f t="shared" si="208"/>
        <v>0.28317296422022159</v>
      </c>
      <c r="AB104" s="80"/>
      <c r="AH104" s="7">
        <f>SUM(T105-T104)</f>
        <v>0</v>
      </c>
      <c r="AI104" s="94">
        <f>SUM(K105-K104)</f>
        <v>0</v>
      </c>
    </row>
    <row r="105" spans="1:35">
      <c r="A105" s="7"/>
      <c r="B105" s="71"/>
      <c r="C105" s="93" t="s">
        <v>95</v>
      </c>
      <c r="D105" s="56">
        <v>33188.019999999997</v>
      </c>
      <c r="E105" s="116">
        <v>32192.38</v>
      </c>
      <c r="F105" s="40">
        <f t="shared" si="209"/>
        <v>995.63999999999578</v>
      </c>
      <c r="G105" s="36">
        <f t="shared" si="196"/>
        <v>2.9999981921187101E-2</v>
      </c>
      <c r="H105" s="40">
        <v>23790.07</v>
      </c>
      <c r="I105" s="40">
        <v>30917.81</v>
      </c>
      <c r="J105" s="56">
        <f t="shared" si="197"/>
        <v>13406.21</v>
      </c>
      <c r="K105" s="56">
        <f t="shared" si="198"/>
        <v>16562.52</v>
      </c>
      <c r="L105" s="40">
        <f t="shared" si="199"/>
        <v>-3156.3100000000013</v>
      </c>
      <c r="M105" s="36">
        <f t="shared" si="200"/>
        <v>-0.23543641342333155</v>
      </c>
      <c r="N105" s="58">
        <v>0</v>
      </c>
      <c r="O105" s="56">
        <v>10383.86</v>
      </c>
      <c r="P105" s="56">
        <v>14355.29</v>
      </c>
      <c r="Q105" s="40">
        <f t="shared" si="201"/>
        <v>-3971.4300000000003</v>
      </c>
      <c r="R105" s="36">
        <f t="shared" si="202"/>
        <v>-0.38246182055613231</v>
      </c>
      <c r="S105" s="44">
        <v>208.2</v>
      </c>
      <c r="T105" s="44">
        <v>289.25</v>
      </c>
      <c r="U105" s="8">
        <f t="shared" si="203"/>
        <v>-81.050000000000011</v>
      </c>
      <c r="V105" s="36">
        <f t="shared" si="204"/>
        <v>-0.38928914505283391</v>
      </c>
      <c r="W105" s="58"/>
      <c r="X105" s="95">
        <f t="shared" si="205"/>
        <v>4.406464995678478</v>
      </c>
      <c r="Y105" s="95">
        <f t="shared" si="206"/>
        <v>45.139048991354457</v>
      </c>
      <c r="Z105" s="36">
        <f t="shared" si="207"/>
        <v>3.9592288609913269E-2</v>
      </c>
      <c r="AA105" s="60">
        <f t="shared" si="208"/>
        <v>0.28317296422022159</v>
      </c>
      <c r="AB105" s="80"/>
      <c r="AD105" t="s">
        <v>96</v>
      </c>
      <c r="AE105" s="42">
        <v>0</v>
      </c>
      <c r="AH105" s="7">
        <f>SUM(T106-T105)</f>
        <v>0</v>
      </c>
      <c r="AI105" s="94">
        <f>SUM(K106-K105)</f>
        <v>0</v>
      </c>
    </row>
    <row r="106" spans="1:35">
      <c r="A106" s="7"/>
      <c r="B106" s="71"/>
      <c r="C106" s="93" t="s">
        <v>97</v>
      </c>
      <c r="D106" s="56">
        <v>33188.019999999997</v>
      </c>
      <c r="E106" s="116">
        <v>32192.38</v>
      </c>
      <c r="F106" s="40">
        <f t="shared" si="209"/>
        <v>995.63999999999578</v>
      </c>
      <c r="G106" s="36">
        <f t="shared" si="196"/>
        <v>2.9999981921187101E-2</v>
      </c>
      <c r="H106" s="40">
        <v>23790.07</v>
      </c>
      <c r="I106" s="40">
        <v>30917.81</v>
      </c>
      <c r="J106" s="56">
        <f t="shared" si="197"/>
        <v>13406.21</v>
      </c>
      <c r="K106" s="56">
        <f t="shared" si="198"/>
        <v>16562.52</v>
      </c>
      <c r="L106" s="40">
        <f t="shared" si="199"/>
        <v>-3156.3100000000013</v>
      </c>
      <c r="M106" s="36">
        <f t="shared" si="200"/>
        <v>-0.23543641342333155</v>
      </c>
      <c r="N106" s="58">
        <v>0</v>
      </c>
      <c r="O106" s="56">
        <v>10383.86</v>
      </c>
      <c r="P106" s="56">
        <v>14355.29</v>
      </c>
      <c r="Q106" s="40">
        <f t="shared" si="201"/>
        <v>-3971.4300000000003</v>
      </c>
      <c r="R106" s="36">
        <f t="shared" si="202"/>
        <v>-0.38246182055613231</v>
      </c>
      <c r="S106" s="44">
        <v>208.2</v>
      </c>
      <c r="T106" s="44">
        <v>289.25</v>
      </c>
      <c r="U106" s="8">
        <f t="shared" si="203"/>
        <v>-81.050000000000011</v>
      </c>
      <c r="V106" s="36">
        <f t="shared" si="204"/>
        <v>-0.38928914505283391</v>
      </c>
      <c r="W106" s="58"/>
      <c r="X106" s="95">
        <f t="shared" si="205"/>
        <v>4.406464995678478</v>
      </c>
      <c r="Y106" s="95">
        <f t="shared" si="206"/>
        <v>45.139048991354457</v>
      </c>
      <c r="Z106" s="36">
        <f t="shared" si="207"/>
        <v>3.9592288609913269E-2</v>
      </c>
      <c r="AA106" s="60">
        <f t="shared" si="208"/>
        <v>0.28317296422022159</v>
      </c>
      <c r="AB106" s="80"/>
      <c r="AH106" s="7">
        <f>SUM(T107-T106)</f>
        <v>28</v>
      </c>
      <c r="AI106" s="94">
        <f>SUM(K107-K106)</f>
        <v>-3.637978807091713E-12</v>
      </c>
    </row>
    <row r="107" spans="1:35">
      <c r="A107" s="7"/>
      <c r="B107" s="71"/>
      <c r="C107" s="93" t="s">
        <v>98</v>
      </c>
      <c r="D107" s="56">
        <v>33188.019999999997</v>
      </c>
      <c r="E107" s="100">
        <v>33188.03</v>
      </c>
      <c r="F107" s="40">
        <f t="shared" si="209"/>
        <v>-1.0000000002037268E-2</v>
      </c>
      <c r="G107" s="36">
        <f t="shared" si="196"/>
        <v>-3.0131354633501094E-7</v>
      </c>
      <c r="H107" s="40">
        <v>23790.07</v>
      </c>
      <c r="I107" s="40">
        <v>32303.46</v>
      </c>
      <c r="J107" s="56">
        <f t="shared" si="197"/>
        <v>13406.21</v>
      </c>
      <c r="K107" s="56">
        <f t="shared" si="198"/>
        <v>16562.519999999997</v>
      </c>
      <c r="L107" s="40">
        <f t="shared" si="199"/>
        <v>-3156.3099999999977</v>
      </c>
      <c r="M107" s="36">
        <f t="shared" si="200"/>
        <v>-0.23543641342333127</v>
      </c>
      <c r="N107" s="58">
        <v>0</v>
      </c>
      <c r="O107" s="56">
        <v>10383.86</v>
      </c>
      <c r="P107" s="56">
        <v>15740.94</v>
      </c>
      <c r="Q107" s="40">
        <f t="shared" si="201"/>
        <v>-5357.08</v>
      </c>
      <c r="R107" s="36">
        <f t="shared" si="202"/>
        <v>-0.51590449023773433</v>
      </c>
      <c r="S107" s="44">
        <v>208.2</v>
      </c>
      <c r="T107" s="44">
        <v>317.25</v>
      </c>
      <c r="U107" s="8">
        <f t="shared" si="203"/>
        <v>-109.05000000000001</v>
      </c>
      <c r="V107" s="36">
        <f t="shared" si="204"/>
        <v>-0.52377521613832856</v>
      </c>
      <c r="W107" s="58"/>
      <c r="X107" s="95">
        <f t="shared" si="205"/>
        <v>2.7882427107959069</v>
      </c>
      <c r="Y107" s="95">
        <f t="shared" si="206"/>
        <v>45.139048991354457</v>
      </c>
      <c r="Z107" s="36">
        <f t="shared" si="207"/>
        <v>2.6653284331730493E-2</v>
      </c>
      <c r="AA107" s="60">
        <f>SUM(D107-H107)/D107</f>
        <v>0.28317296422022159</v>
      </c>
      <c r="AB107" s="80"/>
      <c r="AH107" s="9">
        <f>SUM(AH102,AH103,AH104,AH105,AH106)</f>
        <v>68.5</v>
      </c>
      <c r="AI107" s="97">
        <f>SUM(AI102,AI103,AI104,AI105,AI106)</f>
        <v>587.12999999999556</v>
      </c>
    </row>
    <row r="108" spans="1:35" ht="9" customHeight="1">
      <c r="A108" s="282"/>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4"/>
    </row>
    <row r="109" spans="1:35">
      <c r="A109" s="7">
        <f>'Main Sheet'!A34</f>
        <v>8840</v>
      </c>
      <c r="B109" s="71" t="str">
        <f>'Main Sheet'!B34</f>
        <v>Inline Architecture</v>
      </c>
      <c r="C109" s="93" t="s">
        <v>90</v>
      </c>
      <c r="D109" s="56">
        <v>54687.94</v>
      </c>
      <c r="E109" s="56">
        <v>6042.41</v>
      </c>
      <c r="F109" s="40">
        <f>D109-E109</f>
        <v>48645.53</v>
      </c>
      <c r="G109" s="36">
        <f>F109/D109</f>
        <v>0.88951110610492912</v>
      </c>
      <c r="H109" s="40">
        <v>34464.78</v>
      </c>
      <c r="I109" s="40">
        <v>9939.86</v>
      </c>
      <c r="J109" s="56">
        <f>SUM(H109-O109)</f>
        <v>18667.449999999997</v>
      </c>
      <c r="K109" s="56">
        <f>SUM(I109-P109)</f>
        <v>4193.3100000000004</v>
      </c>
      <c r="L109" s="40">
        <f>J109-K109</f>
        <v>14474.139999999996</v>
      </c>
      <c r="M109" s="36">
        <f>L109/J109</f>
        <v>0.77536781938615063</v>
      </c>
      <c r="N109" s="58">
        <v>1</v>
      </c>
      <c r="O109" s="56">
        <v>15797.33</v>
      </c>
      <c r="P109" s="56">
        <v>5746.55</v>
      </c>
      <c r="Q109" s="40">
        <f>O109-P109</f>
        <v>10050.779999999999</v>
      </c>
      <c r="R109" s="36">
        <f>Q109/O109</f>
        <v>0.63623283175068179</v>
      </c>
      <c r="S109" s="44">
        <v>316.33999999999997</v>
      </c>
      <c r="T109" s="44">
        <v>127.25</v>
      </c>
      <c r="U109" s="8">
        <f>S109-T109</f>
        <v>189.08999999999997</v>
      </c>
      <c r="V109" s="36">
        <f>U109/S109</f>
        <v>0.59774293481696905</v>
      </c>
      <c r="W109" s="58">
        <v>1</v>
      </c>
      <c r="X109" s="95">
        <f>(E109-K109-P109)/T109</f>
        <v>-30.628290766208256</v>
      </c>
      <c r="Y109" s="95">
        <f>(D109-J109-O109)/S109</f>
        <v>63.928557880761225</v>
      </c>
      <c r="Z109" s="36">
        <f>(E109-K109-P109)/E109</f>
        <v>-0.64501581322684176</v>
      </c>
      <c r="AA109" s="60">
        <f>SUM(D109-H109)/D109</f>
        <v>0.36979195047390712</v>
      </c>
      <c r="AB109" s="80"/>
      <c r="AD109" t="s">
        <v>91</v>
      </c>
      <c r="AE109">
        <f>AH114</f>
        <v>77.5</v>
      </c>
      <c r="AH109" s="7">
        <f>SUM(T110-T109)</f>
        <v>45</v>
      </c>
      <c r="AI109" s="94">
        <f>SUM(K110-K109)</f>
        <v>4993.3599999999979</v>
      </c>
    </row>
    <row r="110" spans="1:35">
      <c r="A110" s="7"/>
      <c r="B110" s="71"/>
      <c r="C110" s="93" t="s">
        <v>92</v>
      </c>
      <c r="D110" s="56">
        <v>54687.94</v>
      </c>
      <c r="E110" s="56">
        <v>25591.11</v>
      </c>
      <c r="F110" s="40">
        <f t="shared" ref="F110:F114" si="210">D110-E110</f>
        <v>29096.83</v>
      </c>
      <c r="G110" s="36">
        <f t="shared" ref="G110:G114" si="211">F110/D110</f>
        <v>0.53205203926130695</v>
      </c>
      <c r="H110" s="40">
        <v>34464.78</v>
      </c>
      <c r="I110" s="40">
        <v>17182.919999999998</v>
      </c>
      <c r="J110" s="56">
        <f t="shared" ref="J110:K114" si="212">SUM(H110-O110)</f>
        <v>18667.449999999997</v>
      </c>
      <c r="K110" s="56">
        <f t="shared" ref="K110:K114" si="213">SUM(I110-P110)</f>
        <v>9186.6699999999983</v>
      </c>
      <c r="L110" s="40">
        <f t="shared" ref="L110:L114" si="214">J110-K110</f>
        <v>9480.7799999999988</v>
      </c>
      <c r="M110" s="36">
        <f t="shared" ref="M110:M114" si="215">L110/J110</f>
        <v>0.5078776158500492</v>
      </c>
      <c r="N110" s="58">
        <v>1</v>
      </c>
      <c r="O110" s="56">
        <v>15797.33</v>
      </c>
      <c r="P110" s="56">
        <v>7996.25</v>
      </c>
      <c r="Q110" s="40">
        <f t="shared" ref="Q110:Q114" si="216">O110-P110</f>
        <v>7801.08</v>
      </c>
      <c r="R110" s="36">
        <f t="shared" ref="R110:R114" si="217">Q110/O110</f>
        <v>0.49382269029006798</v>
      </c>
      <c r="S110" s="44">
        <v>316.33999999999997</v>
      </c>
      <c r="T110" s="44">
        <v>172.25</v>
      </c>
      <c r="U110" s="8">
        <f t="shared" ref="U110:U114" si="218">S110-T110</f>
        <v>144.08999999999997</v>
      </c>
      <c r="V110" s="36">
        <f t="shared" ref="V110:V114" si="219">U110/S110</f>
        <v>0.45549092748308778</v>
      </c>
      <c r="W110" s="58">
        <v>1</v>
      </c>
      <c r="X110" s="95">
        <f t="shared" ref="X110:X114" si="220">(E110-K110-P110)/T110</f>
        <v>48.813875181422368</v>
      </c>
      <c r="Y110" s="95">
        <f t="shared" ref="Y110:Y114" si="221">(D110-J110-O110)/S110</f>
        <v>63.928557880761225</v>
      </c>
      <c r="Z110" s="36">
        <f t="shared" ref="Z110:Z114" si="222">(E110-K110-P110)/E110</f>
        <v>0.32855901912812702</v>
      </c>
      <c r="AA110" s="60">
        <f t="shared" ref="AA110:AA113" si="223">SUM(D110-H110)/D110</f>
        <v>0.36979195047390712</v>
      </c>
      <c r="AB110" s="80"/>
      <c r="AD110" t="s">
        <v>93</v>
      </c>
      <c r="AE110" s="42">
        <f>AI114</f>
        <v>7961.96</v>
      </c>
      <c r="AH110" s="7">
        <f>SUM(T111-T110)</f>
        <v>13.25</v>
      </c>
      <c r="AI110" s="94">
        <f>SUM(K111-K110)</f>
        <v>2633.1100000000024</v>
      </c>
    </row>
    <row r="111" spans="1:35">
      <c r="A111" s="7"/>
      <c r="B111" s="71"/>
      <c r="C111" s="93" t="s">
        <v>94</v>
      </c>
      <c r="D111" s="56">
        <v>56556.55</v>
      </c>
      <c r="E111" s="56">
        <v>25591.11</v>
      </c>
      <c r="F111" s="40">
        <f t="shared" si="210"/>
        <v>30965.440000000002</v>
      </c>
      <c r="G111" s="36">
        <f t="shared" si="211"/>
        <v>0.54751288754352945</v>
      </c>
      <c r="H111" s="40">
        <v>35959.67</v>
      </c>
      <c r="I111" s="40">
        <v>20682.54</v>
      </c>
      <c r="J111" s="56">
        <f t="shared" si="212"/>
        <v>20162.339999999997</v>
      </c>
      <c r="K111" s="56">
        <f t="shared" si="212"/>
        <v>11819.78</v>
      </c>
      <c r="L111" s="40">
        <f t="shared" si="214"/>
        <v>8342.5599999999959</v>
      </c>
      <c r="M111" s="36">
        <f t="shared" si="215"/>
        <v>0.41376943350821371</v>
      </c>
      <c r="N111" s="58">
        <v>1</v>
      </c>
      <c r="O111" s="56">
        <v>15797.33</v>
      </c>
      <c r="P111" s="56">
        <v>8862.76</v>
      </c>
      <c r="Q111" s="40">
        <f t="shared" si="216"/>
        <v>6934.57</v>
      </c>
      <c r="R111" s="36">
        <f t="shared" si="217"/>
        <v>0.43897101598814481</v>
      </c>
      <c r="S111" s="44">
        <v>316.33999999999997</v>
      </c>
      <c r="T111" s="44">
        <v>185.5</v>
      </c>
      <c r="U111" s="8">
        <f t="shared" si="218"/>
        <v>130.83999999999997</v>
      </c>
      <c r="V111" s="36">
        <f t="shared" si="219"/>
        <v>0.41360561421255604</v>
      </c>
      <c r="W111" s="58">
        <v>1</v>
      </c>
      <c r="X111" s="95">
        <f t="shared" si="220"/>
        <v>26.461293800539082</v>
      </c>
      <c r="Y111" s="95">
        <f t="shared" si="221"/>
        <v>65.109944995890515</v>
      </c>
      <c r="Z111" s="36">
        <f t="shared" si="222"/>
        <v>0.19180762381936539</v>
      </c>
      <c r="AA111" s="60">
        <f t="shared" si="223"/>
        <v>0.36418204434322821</v>
      </c>
      <c r="AB111" s="80"/>
      <c r="AH111" s="7">
        <f>SUM(T112-T111)</f>
        <v>0</v>
      </c>
      <c r="AI111" s="94">
        <f>SUM(K112-K111)</f>
        <v>0</v>
      </c>
    </row>
    <row r="112" spans="1:35">
      <c r="A112" s="7"/>
      <c r="B112" s="71"/>
      <c r="C112" s="93" t="s">
        <v>95</v>
      </c>
      <c r="D112" s="56">
        <v>56556.55</v>
      </c>
      <c r="E112" s="56">
        <v>25591.11</v>
      </c>
      <c r="F112" s="40">
        <f t="shared" si="210"/>
        <v>30965.440000000002</v>
      </c>
      <c r="G112" s="36">
        <f t="shared" si="211"/>
        <v>0.54751288754352945</v>
      </c>
      <c r="H112" s="40">
        <v>35959.67</v>
      </c>
      <c r="I112" s="40">
        <v>20682.54</v>
      </c>
      <c r="J112" s="56">
        <f t="shared" si="212"/>
        <v>20162.339999999997</v>
      </c>
      <c r="K112" s="56">
        <f t="shared" si="213"/>
        <v>11819.78</v>
      </c>
      <c r="L112" s="40">
        <f t="shared" si="214"/>
        <v>8342.5599999999959</v>
      </c>
      <c r="M112" s="36">
        <f t="shared" si="215"/>
        <v>0.41376943350821371</v>
      </c>
      <c r="N112" s="58">
        <v>0</v>
      </c>
      <c r="O112" s="56">
        <v>15797.33</v>
      </c>
      <c r="P112" s="56">
        <v>8862.76</v>
      </c>
      <c r="Q112" s="40">
        <f t="shared" si="216"/>
        <v>6934.57</v>
      </c>
      <c r="R112" s="36">
        <f t="shared" si="217"/>
        <v>0.43897101598814481</v>
      </c>
      <c r="S112" s="44">
        <v>316.33999999999997</v>
      </c>
      <c r="T112" s="44">
        <v>185.5</v>
      </c>
      <c r="U112" s="8">
        <f t="shared" si="218"/>
        <v>130.83999999999997</v>
      </c>
      <c r="V112" s="36">
        <f t="shared" si="219"/>
        <v>0.41360561421255604</v>
      </c>
      <c r="W112" s="58">
        <v>0</v>
      </c>
      <c r="X112" s="95">
        <f t="shared" si="220"/>
        <v>26.461293800539082</v>
      </c>
      <c r="Y112" s="95">
        <f t="shared" si="221"/>
        <v>65.109944995890515</v>
      </c>
      <c r="Z112" s="36">
        <f t="shared" si="222"/>
        <v>0.19180762381936539</v>
      </c>
      <c r="AA112" s="60">
        <f t="shared" si="223"/>
        <v>0.36418204434322821</v>
      </c>
      <c r="AB112" s="80"/>
      <c r="AD112" t="s">
        <v>96</v>
      </c>
      <c r="AE112" s="42">
        <v>0</v>
      </c>
      <c r="AH112" s="7">
        <f>SUM(T113-T112)</f>
        <v>0</v>
      </c>
      <c r="AI112" s="94">
        <f>SUM(K113-K112)</f>
        <v>0</v>
      </c>
    </row>
    <row r="113" spans="1:35">
      <c r="A113" s="7"/>
      <c r="B113" s="71"/>
      <c r="C113" s="93" t="s">
        <v>97</v>
      </c>
      <c r="D113" s="56">
        <v>56556.55</v>
      </c>
      <c r="E113" s="56">
        <v>25591.11</v>
      </c>
      <c r="F113" s="40">
        <f t="shared" si="210"/>
        <v>30965.440000000002</v>
      </c>
      <c r="G113" s="36">
        <f t="shared" si="211"/>
        <v>0.54751288754352945</v>
      </c>
      <c r="H113" s="40">
        <v>35959.67</v>
      </c>
      <c r="I113" s="40">
        <v>20682.54</v>
      </c>
      <c r="J113" s="56">
        <f t="shared" si="212"/>
        <v>20162.339999999997</v>
      </c>
      <c r="K113" s="56">
        <f t="shared" si="213"/>
        <v>11819.78</v>
      </c>
      <c r="L113" s="40">
        <f t="shared" si="214"/>
        <v>8342.5599999999959</v>
      </c>
      <c r="M113" s="36">
        <f t="shared" si="215"/>
        <v>0.41376943350821371</v>
      </c>
      <c r="N113" s="58">
        <v>0</v>
      </c>
      <c r="O113" s="56">
        <v>15797.33</v>
      </c>
      <c r="P113" s="56">
        <v>8862.76</v>
      </c>
      <c r="Q113" s="40">
        <f t="shared" si="216"/>
        <v>6934.57</v>
      </c>
      <c r="R113" s="36">
        <f t="shared" si="217"/>
        <v>0.43897101598814481</v>
      </c>
      <c r="S113" s="44">
        <v>316.33999999999997</v>
      </c>
      <c r="T113" s="44">
        <v>185.5</v>
      </c>
      <c r="U113" s="8">
        <f t="shared" si="218"/>
        <v>130.83999999999997</v>
      </c>
      <c r="V113" s="36">
        <f t="shared" si="219"/>
        <v>0.41360561421255604</v>
      </c>
      <c r="W113" s="58">
        <v>0</v>
      </c>
      <c r="X113" s="95">
        <f t="shared" si="220"/>
        <v>26.461293800539082</v>
      </c>
      <c r="Y113" s="95">
        <f t="shared" si="221"/>
        <v>65.109944995890515</v>
      </c>
      <c r="Z113" s="36">
        <f t="shared" si="222"/>
        <v>0.19180762381936539</v>
      </c>
      <c r="AA113" s="60">
        <f t="shared" si="223"/>
        <v>0.36418204434322821</v>
      </c>
      <c r="AB113" s="80"/>
      <c r="AH113" s="7">
        <f>SUM(T114-T113)</f>
        <v>19.25</v>
      </c>
      <c r="AI113" s="94">
        <f>SUM(K114-K113)</f>
        <v>335.48999999999978</v>
      </c>
    </row>
    <row r="114" spans="1:35">
      <c r="A114" s="7"/>
      <c r="B114" s="71"/>
      <c r="C114" s="93" t="s">
        <v>98</v>
      </c>
      <c r="D114" s="56">
        <v>56556.55</v>
      </c>
      <c r="E114" s="56">
        <v>35454.43</v>
      </c>
      <c r="F114" s="40">
        <f t="shared" si="210"/>
        <v>21102.120000000003</v>
      </c>
      <c r="G114" s="36">
        <f t="shared" si="211"/>
        <v>0.37311540396293624</v>
      </c>
      <c r="H114" s="40">
        <v>35959.67</v>
      </c>
      <c r="I114" s="40">
        <v>21861.72</v>
      </c>
      <c r="J114" s="56">
        <f t="shared" si="212"/>
        <v>20162.339999999997</v>
      </c>
      <c r="K114" s="56">
        <f t="shared" si="213"/>
        <v>12155.27</v>
      </c>
      <c r="L114" s="40">
        <f t="shared" si="214"/>
        <v>8007.0699999999961</v>
      </c>
      <c r="M114" s="36">
        <f t="shared" si="215"/>
        <v>0.3971299958238973</v>
      </c>
      <c r="N114" s="58">
        <v>0</v>
      </c>
      <c r="O114" s="56">
        <v>15797.33</v>
      </c>
      <c r="P114" s="56">
        <v>9706.4500000000007</v>
      </c>
      <c r="Q114" s="40">
        <f t="shared" si="216"/>
        <v>6090.8799999999992</v>
      </c>
      <c r="R114" s="36">
        <f t="shared" si="217"/>
        <v>0.38556388959400095</v>
      </c>
      <c r="S114" s="44">
        <v>316.33999999999997</v>
      </c>
      <c r="T114" s="44">
        <v>204.75</v>
      </c>
      <c r="U114" s="8">
        <f t="shared" si="218"/>
        <v>111.58999999999997</v>
      </c>
      <c r="V114" s="36">
        <f t="shared" si="219"/>
        <v>0.35275336663084017</v>
      </c>
      <c r="W114" s="58">
        <v>0</v>
      </c>
      <c r="X114" s="95">
        <f t="shared" si="220"/>
        <v>66.386862026862019</v>
      </c>
      <c r="Y114" s="95">
        <f t="shared" si="221"/>
        <v>65.109944995890515</v>
      </c>
      <c r="Z114" s="36">
        <f t="shared" si="222"/>
        <v>0.38338537666520089</v>
      </c>
      <c r="AA114" s="60">
        <f>SUM(D114-H114)/D114</f>
        <v>0.36418204434322821</v>
      </c>
      <c r="AB114" s="80"/>
      <c r="AH114" s="9">
        <f>SUM(AH109,AH110,AH111,AH112,AH113)</f>
        <v>77.5</v>
      </c>
      <c r="AI114" s="97">
        <f>SUM(AI109,AI110,AI111,AI112,AI113)</f>
        <v>7961.96</v>
      </c>
    </row>
    <row r="115" spans="1:35" ht="9" customHeight="1">
      <c r="A115" s="108"/>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10"/>
    </row>
    <row r="116" spans="1:35">
      <c r="A116" s="7">
        <f>'Main Sheet'!A36</f>
        <v>8769</v>
      </c>
      <c r="B116" s="71" t="str">
        <f>'Main Sheet'!B36</f>
        <v>Percival Bach</v>
      </c>
      <c r="C116" s="93" t="s">
        <v>90</v>
      </c>
      <c r="D116" s="56">
        <v>21404.82</v>
      </c>
      <c r="E116" s="56">
        <v>0</v>
      </c>
      <c r="F116" s="40">
        <v>0</v>
      </c>
      <c r="G116" s="36">
        <f>F116/D116</f>
        <v>0</v>
      </c>
      <c r="H116" s="40">
        <v>17424.66</v>
      </c>
      <c r="I116" s="40">
        <v>0</v>
      </c>
      <c r="J116" s="56">
        <f>SUM(H116-O116)</f>
        <v>13229.5</v>
      </c>
      <c r="K116" s="56">
        <f>SUM(I116-P116)</f>
        <v>0</v>
      </c>
      <c r="L116" s="40">
        <f>J116-K116</f>
        <v>13229.5</v>
      </c>
      <c r="M116" s="36">
        <f>L116/J116</f>
        <v>1</v>
      </c>
      <c r="N116" s="58">
        <v>0</v>
      </c>
      <c r="O116" s="56">
        <v>4195.16</v>
      </c>
      <c r="P116" s="56">
        <v>0</v>
      </c>
      <c r="Q116" s="40">
        <f>O116-P116</f>
        <v>4195.16</v>
      </c>
      <c r="R116" s="36">
        <f>Q116/O116</f>
        <v>1</v>
      </c>
      <c r="S116" s="44">
        <v>84.03</v>
      </c>
      <c r="T116" s="44">
        <v>0</v>
      </c>
      <c r="U116" s="8">
        <f>S116-T116</f>
        <v>84.03</v>
      </c>
      <c r="V116" s="36">
        <f>U116/S116</f>
        <v>1</v>
      </c>
      <c r="W116" s="58">
        <v>0</v>
      </c>
      <c r="X116" s="95" t="e">
        <f>(E116-K116-P116)/T116</f>
        <v>#DIV/0!</v>
      </c>
      <c r="Y116" s="95">
        <f>(D116-J116-O116)/S116</f>
        <v>47.365940735451623</v>
      </c>
      <c r="Z116" s="36" t="e">
        <f>(E116-K116-P116)/E116</f>
        <v>#DIV/0!</v>
      </c>
      <c r="AA116" s="60">
        <f>SUM(D116-H116)/D116</f>
        <v>0.18594690354789248</v>
      </c>
      <c r="AB116" s="80"/>
      <c r="AD116" t="s">
        <v>91</v>
      </c>
      <c r="AE116">
        <f>AH121</f>
        <v>0</v>
      </c>
      <c r="AH116" s="7">
        <f>SUM(T117-T116)</f>
        <v>0</v>
      </c>
      <c r="AI116" s="94">
        <f>SUM(K117-K116)</f>
        <v>0</v>
      </c>
    </row>
    <row r="117" spans="1:35">
      <c r="A117" s="7"/>
      <c r="B117" s="71"/>
      <c r="C117" s="93" t="s">
        <v>92</v>
      </c>
      <c r="D117" s="56">
        <v>21404.82</v>
      </c>
      <c r="E117" s="56">
        <v>0</v>
      </c>
      <c r="F117" s="40">
        <f t="shared" ref="F117:F121" si="224">D117-E117</f>
        <v>21404.82</v>
      </c>
      <c r="G117" s="36">
        <f t="shared" ref="G117:G121" si="225">F117/D117</f>
        <v>1</v>
      </c>
      <c r="H117" s="40">
        <v>17424.66</v>
      </c>
      <c r="I117" s="40">
        <v>0</v>
      </c>
      <c r="J117" s="56">
        <f t="shared" ref="J117:J121" si="226">SUM(H117-O117)</f>
        <v>13229.5</v>
      </c>
      <c r="K117" s="56">
        <f t="shared" ref="K117:K121" si="227">SUM(I117-P117)</f>
        <v>0</v>
      </c>
      <c r="L117" s="40">
        <f t="shared" ref="L117:L121" si="228">J117-K117</f>
        <v>13229.5</v>
      </c>
      <c r="M117" s="36">
        <f t="shared" ref="M117:M121" si="229">L117/J117</f>
        <v>1</v>
      </c>
      <c r="N117" s="58">
        <v>0</v>
      </c>
      <c r="O117" s="56">
        <v>4195.16</v>
      </c>
      <c r="P117" s="56">
        <v>0</v>
      </c>
      <c r="Q117" s="40">
        <f t="shared" ref="Q117:Q121" si="230">O117-P117</f>
        <v>4195.16</v>
      </c>
      <c r="R117" s="36">
        <f t="shared" ref="R117:R121" si="231">Q117/O117</f>
        <v>1</v>
      </c>
      <c r="S117" s="44">
        <v>84.03</v>
      </c>
      <c r="T117" s="44">
        <v>0</v>
      </c>
      <c r="U117" s="8">
        <f t="shared" ref="U117:U121" si="232">S117-T117</f>
        <v>84.03</v>
      </c>
      <c r="V117" s="36">
        <f t="shared" ref="V117:V121" si="233">U117/S117</f>
        <v>1</v>
      </c>
      <c r="W117" s="58">
        <v>0</v>
      </c>
      <c r="X117" s="95" t="e">
        <f t="shared" ref="X117:X121" si="234">(E117-K117-P117)/T117</f>
        <v>#DIV/0!</v>
      </c>
      <c r="Y117" s="95">
        <f t="shared" ref="Y117:Y121" si="235">(D117-J117-O117)/S117</f>
        <v>47.365940735451623</v>
      </c>
      <c r="Z117" s="36" t="e">
        <f t="shared" ref="Z117:Z121" si="236">(E117-K117-P117)/E117</f>
        <v>#DIV/0!</v>
      </c>
      <c r="AA117" s="60">
        <f t="shared" ref="AA117:AA120" si="237">SUM(D117-H117)/D117</f>
        <v>0.18594690354789248</v>
      </c>
      <c r="AB117" s="80"/>
      <c r="AD117" t="s">
        <v>93</v>
      </c>
      <c r="AE117" s="42">
        <f>AI121</f>
        <v>0</v>
      </c>
      <c r="AH117" s="7">
        <f>SUM(T118-T117)</f>
        <v>0</v>
      </c>
      <c r="AI117" s="94">
        <f>SUM(K118-K117)</f>
        <v>0</v>
      </c>
    </row>
    <row r="118" spans="1:35">
      <c r="A118" s="7"/>
      <c r="B118" s="71"/>
      <c r="C118" s="93" t="s">
        <v>94</v>
      </c>
      <c r="D118" s="56">
        <v>0</v>
      </c>
      <c r="E118" s="56">
        <v>0</v>
      </c>
      <c r="F118" s="40">
        <f t="shared" si="224"/>
        <v>0</v>
      </c>
      <c r="G118" s="36" t="e">
        <f t="shared" si="225"/>
        <v>#DIV/0!</v>
      </c>
      <c r="H118" s="40">
        <v>0</v>
      </c>
      <c r="I118" s="40">
        <v>0</v>
      </c>
      <c r="J118" s="56">
        <f>SUM(H118-O118)</f>
        <v>0</v>
      </c>
      <c r="K118" s="56">
        <f t="shared" si="227"/>
        <v>0</v>
      </c>
      <c r="L118" s="40">
        <f t="shared" si="228"/>
        <v>0</v>
      </c>
      <c r="M118" s="36" t="e">
        <f t="shared" si="229"/>
        <v>#DIV/0!</v>
      </c>
      <c r="N118" s="58">
        <v>0</v>
      </c>
      <c r="O118" s="56">
        <v>0</v>
      </c>
      <c r="P118" s="56">
        <v>0</v>
      </c>
      <c r="Q118" s="40">
        <f t="shared" si="230"/>
        <v>0</v>
      </c>
      <c r="R118" s="36" t="e">
        <f t="shared" si="231"/>
        <v>#DIV/0!</v>
      </c>
      <c r="S118" s="44">
        <v>0</v>
      </c>
      <c r="T118" s="44">
        <v>0</v>
      </c>
      <c r="U118" s="8">
        <f t="shared" si="232"/>
        <v>0</v>
      </c>
      <c r="V118" s="36" t="e">
        <f t="shared" si="233"/>
        <v>#DIV/0!</v>
      </c>
      <c r="W118" s="58">
        <v>0</v>
      </c>
      <c r="X118" s="95" t="e">
        <f t="shared" si="234"/>
        <v>#DIV/0!</v>
      </c>
      <c r="Y118" s="95" t="e">
        <f t="shared" si="235"/>
        <v>#DIV/0!</v>
      </c>
      <c r="Z118" s="36" t="e">
        <f t="shared" si="236"/>
        <v>#DIV/0!</v>
      </c>
      <c r="AA118" s="60" t="e">
        <f>SUM(D118-H118)/D118</f>
        <v>#DIV/0!</v>
      </c>
      <c r="AB118" s="80"/>
      <c r="AH118" s="7">
        <f>SUM(T119-T118)</f>
        <v>0</v>
      </c>
      <c r="AI118" s="94">
        <f>SUM(K119-K118)</f>
        <v>0</v>
      </c>
    </row>
    <row r="119" spans="1:35">
      <c r="A119" s="7"/>
      <c r="B119" s="71"/>
      <c r="C119" s="93" t="s">
        <v>95</v>
      </c>
      <c r="D119" s="56">
        <v>0</v>
      </c>
      <c r="E119" s="56">
        <v>0</v>
      </c>
      <c r="F119" s="40">
        <f t="shared" si="224"/>
        <v>0</v>
      </c>
      <c r="G119" s="36" t="e">
        <f t="shared" si="225"/>
        <v>#DIV/0!</v>
      </c>
      <c r="H119" s="40">
        <v>0</v>
      </c>
      <c r="I119" s="40">
        <v>0</v>
      </c>
      <c r="J119" s="56">
        <f>SUM(H119-O119)</f>
        <v>0</v>
      </c>
      <c r="K119" s="56">
        <f t="shared" si="227"/>
        <v>0</v>
      </c>
      <c r="L119" s="40">
        <f t="shared" si="228"/>
        <v>0</v>
      </c>
      <c r="M119" s="36" t="e">
        <f t="shared" si="229"/>
        <v>#DIV/0!</v>
      </c>
      <c r="N119" s="58">
        <v>0</v>
      </c>
      <c r="O119" s="56">
        <v>0</v>
      </c>
      <c r="P119" s="56">
        <v>0</v>
      </c>
      <c r="Q119" s="40">
        <f t="shared" si="230"/>
        <v>0</v>
      </c>
      <c r="R119" s="36" t="e">
        <f t="shared" si="231"/>
        <v>#DIV/0!</v>
      </c>
      <c r="S119" s="44">
        <v>0</v>
      </c>
      <c r="T119" s="44">
        <v>0</v>
      </c>
      <c r="U119" s="8">
        <f t="shared" si="232"/>
        <v>0</v>
      </c>
      <c r="V119" s="36" t="e">
        <f t="shared" si="233"/>
        <v>#DIV/0!</v>
      </c>
      <c r="W119" s="58">
        <v>0</v>
      </c>
      <c r="X119" s="95" t="e">
        <f t="shared" si="234"/>
        <v>#DIV/0!</v>
      </c>
      <c r="Y119" s="95" t="e">
        <f t="shared" si="235"/>
        <v>#DIV/0!</v>
      </c>
      <c r="Z119" s="36" t="e">
        <f t="shared" si="236"/>
        <v>#DIV/0!</v>
      </c>
      <c r="AA119" s="60" t="e">
        <f>SUM(D119-H119)/D119</f>
        <v>#DIV/0!</v>
      </c>
      <c r="AB119" s="80"/>
      <c r="AD119" t="s">
        <v>96</v>
      </c>
      <c r="AE119" s="42">
        <v>0</v>
      </c>
      <c r="AH119" s="7">
        <f>SUM(T120-T119)</f>
        <v>0</v>
      </c>
      <c r="AI119" s="94">
        <f>SUM(K120-K119)</f>
        <v>0</v>
      </c>
    </row>
    <row r="120" spans="1:35">
      <c r="A120" s="7"/>
      <c r="B120" s="71"/>
      <c r="C120" s="93" t="s">
        <v>97</v>
      </c>
      <c r="D120" s="56">
        <v>0</v>
      </c>
      <c r="E120" s="56">
        <v>0</v>
      </c>
      <c r="F120" s="40">
        <f t="shared" si="224"/>
        <v>0</v>
      </c>
      <c r="G120" s="36" t="e">
        <f t="shared" si="225"/>
        <v>#DIV/0!</v>
      </c>
      <c r="H120" s="40">
        <v>0</v>
      </c>
      <c r="I120" s="40">
        <v>0</v>
      </c>
      <c r="J120" s="56">
        <f t="shared" si="226"/>
        <v>0</v>
      </c>
      <c r="K120" s="56">
        <f t="shared" si="227"/>
        <v>0</v>
      </c>
      <c r="L120" s="40">
        <f t="shared" si="228"/>
        <v>0</v>
      </c>
      <c r="M120" s="36" t="e">
        <f t="shared" si="229"/>
        <v>#DIV/0!</v>
      </c>
      <c r="N120" s="58">
        <v>0</v>
      </c>
      <c r="O120" s="56">
        <v>0</v>
      </c>
      <c r="P120" s="56">
        <v>0</v>
      </c>
      <c r="Q120" s="40">
        <f t="shared" si="230"/>
        <v>0</v>
      </c>
      <c r="R120" s="36" t="e">
        <f t="shared" si="231"/>
        <v>#DIV/0!</v>
      </c>
      <c r="S120" s="44">
        <v>0</v>
      </c>
      <c r="T120" s="44">
        <v>0</v>
      </c>
      <c r="U120" s="8">
        <f t="shared" si="232"/>
        <v>0</v>
      </c>
      <c r="V120" s="36" t="e">
        <f t="shared" si="233"/>
        <v>#DIV/0!</v>
      </c>
      <c r="W120" s="58">
        <v>0</v>
      </c>
      <c r="X120" s="95" t="e">
        <f t="shared" si="234"/>
        <v>#DIV/0!</v>
      </c>
      <c r="Y120" s="95" t="e">
        <f t="shared" si="235"/>
        <v>#DIV/0!</v>
      </c>
      <c r="Z120" s="36" t="e">
        <f t="shared" si="236"/>
        <v>#DIV/0!</v>
      </c>
      <c r="AA120" s="60" t="e">
        <f t="shared" si="237"/>
        <v>#DIV/0!</v>
      </c>
      <c r="AB120" s="80"/>
      <c r="AH120" s="7">
        <f>SUM(T121-T120)</f>
        <v>0</v>
      </c>
      <c r="AI120" s="94">
        <f>SUM(K121-K120)</f>
        <v>0</v>
      </c>
    </row>
    <row r="121" spans="1:35">
      <c r="A121" s="7"/>
      <c r="B121" s="71"/>
      <c r="C121" s="93" t="s">
        <v>98</v>
      </c>
      <c r="D121" s="56">
        <v>0</v>
      </c>
      <c r="E121" s="56">
        <v>0</v>
      </c>
      <c r="F121" s="40">
        <f t="shared" si="224"/>
        <v>0</v>
      </c>
      <c r="G121" s="36" t="e">
        <f t="shared" si="225"/>
        <v>#DIV/0!</v>
      </c>
      <c r="H121" s="40">
        <v>0</v>
      </c>
      <c r="I121" s="40">
        <v>0</v>
      </c>
      <c r="J121" s="56">
        <f t="shared" si="226"/>
        <v>0</v>
      </c>
      <c r="K121" s="56">
        <f t="shared" si="227"/>
        <v>0</v>
      </c>
      <c r="L121" s="40">
        <f t="shared" si="228"/>
        <v>0</v>
      </c>
      <c r="M121" s="36" t="e">
        <f t="shared" si="229"/>
        <v>#DIV/0!</v>
      </c>
      <c r="N121" s="58">
        <v>0</v>
      </c>
      <c r="O121" s="56">
        <v>0</v>
      </c>
      <c r="P121" s="56">
        <v>0</v>
      </c>
      <c r="Q121" s="40">
        <f t="shared" si="230"/>
        <v>0</v>
      </c>
      <c r="R121" s="36" t="e">
        <f t="shared" si="231"/>
        <v>#DIV/0!</v>
      </c>
      <c r="S121" s="44">
        <v>0</v>
      </c>
      <c r="T121" s="44">
        <v>0</v>
      </c>
      <c r="U121" s="8">
        <f t="shared" si="232"/>
        <v>0</v>
      </c>
      <c r="V121" s="36" t="e">
        <f t="shared" si="233"/>
        <v>#DIV/0!</v>
      </c>
      <c r="W121" s="58">
        <v>0</v>
      </c>
      <c r="X121" s="95" t="e">
        <f t="shared" si="234"/>
        <v>#DIV/0!</v>
      </c>
      <c r="Y121" s="95" t="e">
        <f t="shared" si="235"/>
        <v>#DIV/0!</v>
      </c>
      <c r="Z121" s="36" t="e">
        <f t="shared" si="236"/>
        <v>#DIV/0!</v>
      </c>
      <c r="AA121" s="60" t="e">
        <f>SUM(D121-H121)/D121</f>
        <v>#DIV/0!</v>
      </c>
      <c r="AB121" s="80"/>
      <c r="AH121" s="9">
        <f>SUM(AH116,AH117,AH118,AH119,AH120)</f>
        <v>0</v>
      </c>
      <c r="AI121" s="97">
        <f>SUM(AI116,AI117,AI118,AI119,AI120)</f>
        <v>0</v>
      </c>
    </row>
    <row r="122" spans="1:35" ht="9" customHeight="1">
      <c r="A122" s="274"/>
      <c r="B122" s="275"/>
      <c r="C122" s="275"/>
      <c r="D122" s="275"/>
      <c r="E122" s="275"/>
      <c r="F122" s="275"/>
      <c r="G122" s="275"/>
      <c r="H122" s="275"/>
      <c r="I122" s="275"/>
      <c r="J122" s="275"/>
      <c r="K122" s="275"/>
      <c r="L122" s="275"/>
      <c r="M122" s="275"/>
      <c r="N122" s="275"/>
      <c r="O122" s="275"/>
      <c r="P122" s="275"/>
      <c r="Q122" s="275"/>
      <c r="R122" s="275"/>
      <c r="S122" s="275"/>
      <c r="T122" s="275"/>
      <c r="U122" s="275"/>
      <c r="V122" s="275"/>
      <c r="W122" s="275"/>
      <c r="X122" s="275"/>
      <c r="Y122" s="275"/>
      <c r="Z122" s="275"/>
      <c r="AA122" s="276"/>
    </row>
    <row r="123" spans="1:35">
      <c r="A123" s="7">
        <f>'Main Sheet'!A38</f>
        <v>7901</v>
      </c>
      <c r="B123" s="71" t="str">
        <f>'Main Sheet'!B38</f>
        <v>St Albans Street</v>
      </c>
      <c r="C123" s="93" t="s">
        <v>90</v>
      </c>
      <c r="D123" s="56">
        <v>96573.02</v>
      </c>
      <c r="E123" s="56">
        <v>11044.85</v>
      </c>
      <c r="F123" s="40">
        <v>0</v>
      </c>
      <c r="G123" s="36">
        <f>F123/D123</f>
        <v>0</v>
      </c>
      <c r="H123" s="40">
        <v>79663.86</v>
      </c>
      <c r="I123" s="40">
        <v>9198.1200000000008</v>
      </c>
      <c r="J123" s="56">
        <f>SUM(H123-O123)</f>
        <v>66022</v>
      </c>
      <c r="K123" s="56">
        <f>SUM(I123-P123)</f>
        <v>9198.1200000000008</v>
      </c>
      <c r="L123" s="40">
        <f t="shared" ref="L123:L128" si="238">J123-K123</f>
        <v>56823.88</v>
      </c>
      <c r="M123" s="36">
        <f t="shared" ref="M123:M128" si="239">L123/J123</f>
        <v>0.86068098512616997</v>
      </c>
      <c r="N123" s="58">
        <v>0</v>
      </c>
      <c r="O123" s="56">
        <v>13641.86</v>
      </c>
      <c r="P123" s="56">
        <v>0</v>
      </c>
      <c r="Q123" s="40">
        <f>O123-P123</f>
        <v>13641.86</v>
      </c>
      <c r="R123" s="36">
        <f>Q123/O123</f>
        <v>1</v>
      </c>
      <c r="S123" s="44">
        <v>273.37</v>
      </c>
      <c r="T123" s="44">
        <v>0</v>
      </c>
      <c r="U123" s="8">
        <f>S123-T123</f>
        <v>273.37</v>
      </c>
      <c r="V123" s="36">
        <f>U123/S123</f>
        <v>1</v>
      </c>
      <c r="W123" s="58">
        <v>0</v>
      </c>
      <c r="X123" s="95" t="e">
        <f>(E123-K123-P123)/T123</f>
        <v>#DIV/0!</v>
      </c>
      <c r="Y123" s="95">
        <f>(D123-J123-O123)/S123</f>
        <v>61.854482935216019</v>
      </c>
      <c r="Z123" s="36">
        <f>(E123-K123-P123)/E123</f>
        <v>0.1672028139811767</v>
      </c>
      <c r="AA123" s="60">
        <f>SUM(D123-H123)/D123</f>
        <v>0.17509196667972071</v>
      </c>
      <c r="AB123" s="80"/>
      <c r="AD123" t="s">
        <v>91</v>
      </c>
      <c r="AE123">
        <f>AH128</f>
        <v>0</v>
      </c>
      <c r="AH123" s="7">
        <f>SUM(T124-T123)</f>
        <v>0</v>
      </c>
      <c r="AI123" s="94">
        <f>SUM(K124-K123)</f>
        <v>0</v>
      </c>
    </row>
    <row r="124" spans="1:35">
      <c r="A124" s="7"/>
      <c r="B124" s="71"/>
      <c r="C124" s="93" t="s">
        <v>92</v>
      </c>
      <c r="D124" s="56">
        <v>96573.02</v>
      </c>
      <c r="E124" s="56">
        <v>11044.85</v>
      </c>
      <c r="F124" s="40">
        <f t="shared" ref="F124:F128" si="240">D124-E124</f>
        <v>85528.17</v>
      </c>
      <c r="G124" s="36">
        <f t="shared" ref="G124:G128" si="241">F124/D124</f>
        <v>0.88563213618047765</v>
      </c>
      <c r="H124" s="40">
        <v>79663.86</v>
      </c>
      <c r="I124" s="40">
        <v>9198.1200000000008</v>
      </c>
      <c r="J124" s="56">
        <f t="shared" ref="J124:K128" si="242">SUM(H124-O124)</f>
        <v>66022</v>
      </c>
      <c r="K124" s="56">
        <f t="shared" ref="K124:K128" si="243">SUM(I124-P124)</f>
        <v>9198.1200000000008</v>
      </c>
      <c r="L124" s="40">
        <f t="shared" si="238"/>
        <v>56823.88</v>
      </c>
      <c r="M124" s="36">
        <f t="shared" si="239"/>
        <v>0.86068098512616997</v>
      </c>
      <c r="N124" s="58">
        <v>0</v>
      </c>
      <c r="O124" s="56">
        <v>13641.86</v>
      </c>
      <c r="P124" s="56">
        <v>0</v>
      </c>
      <c r="Q124" s="40">
        <f t="shared" ref="Q124:Q128" si="244">O124-P124</f>
        <v>13641.86</v>
      </c>
      <c r="R124" s="36">
        <f t="shared" ref="R124:R128" si="245">Q124/O124</f>
        <v>1</v>
      </c>
      <c r="S124" s="44">
        <v>273.37</v>
      </c>
      <c r="T124" s="44">
        <v>0</v>
      </c>
      <c r="U124" s="8">
        <f t="shared" ref="U124:U128" si="246">S124-T124</f>
        <v>273.37</v>
      </c>
      <c r="V124" s="36">
        <f t="shared" ref="V124:V128" si="247">U124/S124</f>
        <v>1</v>
      </c>
      <c r="W124" s="58">
        <v>0</v>
      </c>
      <c r="X124" s="95" t="e">
        <f t="shared" ref="X124:X128" si="248">(E124-K124-P124)/T124</f>
        <v>#DIV/0!</v>
      </c>
      <c r="Y124" s="95">
        <f t="shared" ref="Y124:Y128" si="249">(D124-J124-O124)/S124</f>
        <v>61.854482935216019</v>
      </c>
      <c r="Z124" s="36">
        <f t="shared" ref="Z124:Z128" si="250">(E124-K124-P124)/E124</f>
        <v>0.1672028139811767</v>
      </c>
      <c r="AA124" s="60">
        <f t="shared" ref="AA124:AA127" si="251">SUM(D124-H124)/D124</f>
        <v>0.17509196667972071</v>
      </c>
      <c r="AB124" s="80"/>
      <c r="AD124" t="s">
        <v>93</v>
      </c>
      <c r="AE124" s="42">
        <f>AI128</f>
        <v>2987.9599999999991</v>
      </c>
      <c r="AH124" s="7">
        <f>SUM(T125-T124)</f>
        <v>0</v>
      </c>
      <c r="AI124" s="94">
        <f>SUM(K125-K124)</f>
        <v>2987.9599999999991</v>
      </c>
    </row>
    <row r="125" spans="1:35">
      <c r="A125" s="7"/>
      <c r="B125" s="71"/>
      <c r="C125" s="93" t="s">
        <v>94</v>
      </c>
      <c r="D125" s="56">
        <v>96573.02</v>
      </c>
      <c r="E125" s="56">
        <v>11044.85</v>
      </c>
      <c r="F125" s="40">
        <f t="shared" si="240"/>
        <v>85528.17</v>
      </c>
      <c r="G125" s="36">
        <f t="shared" si="241"/>
        <v>0.88563213618047765</v>
      </c>
      <c r="H125" s="40">
        <v>79663.86</v>
      </c>
      <c r="I125" s="40">
        <v>12186.08</v>
      </c>
      <c r="J125" s="56">
        <f t="shared" si="242"/>
        <v>66022</v>
      </c>
      <c r="K125" s="56">
        <f t="shared" si="242"/>
        <v>12186.08</v>
      </c>
      <c r="L125" s="40">
        <f>J125-K125</f>
        <v>53835.92</v>
      </c>
      <c r="M125" s="36">
        <f>L125/J125</f>
        <v>0.81542394959256004</v>
      </c>
      <c r="N125" s="58">
        <v>0</v>
      </c>
      <c r="O125" s="56">
        <v>13641.86</v>
      </c>
      <c r="P125" s="56">
        <v>0</v>
      </c>
      <c r="Q125" s="40">
        <f t="shared" si="244"/>
        <v>13641.86</v>
      </c>
      <c r="R125" s="36">
        <f t="shared" si="245"/>
        <v>1</v>
      </c>
      <c r="S125" s="44">
        <v>273.37</v>
      </c>
      <c r="T125" s="44">
        <v>0</v>
      </c>
      <c r="U125" s="8">
        <f t="shared" si="246"/>
        <v>273.37</v>
      </c>
      <c r="V125" s="36">
        <f t="shared" si="247"/>
        <v>1</v>
      </c>
      <c r="W125" s="58"/>
      <c r="X125" s="95" t="e">
        <f t="shared" si="248"/>
        <v>#DIV/0!</v>
      </c>
      <c r="Y125" s="95">
        <f t="shared" si="249"/>
        <v>61.854482935216019</v>
      </c>
      <c r="Z125" s="36">
        <f t="shared" si="250"/>
        <v>-0.10332688990796611</v>
      </c>
      <c r="AA125" s="60">
        <f t="shared" si="251"/>
        <v>0.17509196667972071</v>
      </c>
      <c r="AB125" s="80"/>
      <c r="AH125" s="7">
        <f>SUM(T126-T125)</f>
        <v>0</v>
      </c>
      <c r="AI125" s="94">
        <f>SUM(K126-K125)</f>
        <v>0</v>
      </c>
    </row>
    <row r="126" spans="1:35">
      <c r="A126" s="7"/>
      <c r="B126" s="71"/>
      <c r="C126" s="93" t="s">
        <v>95</v>
      </c>
      <c r="D126" s="56">
        <v>96573.02</v>
      </c>
      <c r="E126" s="56">
        <v>11044.85</v>
      </c>
      <c r="F126" s="40">
        <f t="shared" si="240"/>
        <v>85528.17</v>
      </c>
      <c r="G126" s="36">
        <f t="shared" si="241"/>
        <v>0.88563213618047765</v>
      </c>
      <c r="H126" s="40">
        <v>79663.86</v>
      </c>
      <c r="I126" s="40">
        <v>12186.08</v>
      </c>
      <c r="J126" s="56">
        <f t="shared" si="242"/>
        <v>66022</v>
      </c>
      <c r="K126" s="56">
        <f t="shared" si="243"/>
        <v>12186.08</v>
      </c>
      <c r="L126" s="40">
        <f t="shared" si="238"/>
        <v>53835.92</v>
      </c>
      <c r="M126" s="36">
        <f t="shared" si="239"/>
        <v>0.81542394959256004</v>
      </c>
      <c r="N126" s="58"/>
      <c r="O126" s="56">
        <v>13641.86</v>
      </c>
      <c r="P126" s="56">
        <v>0</v>
      </c>
      <c r="Q126" s="40">
        <f t="shared" si="244"/>
        <v>13641.86</v>
      </c>
      <c r="R126" s="36">
        <f t="shared" si="245"/>
        <v>1</v>
      </c>
      <c r="S126" s="44">
        <v>273.37</v>
      </c>
      <c r="T126" s="44">
        <v>0</v>
      </c>
      <c r="U126" s="8">
        <f t="shared" si="246"/>
        <v>273.37</v>
      </c>
      <c r="V126" s="36">
        <f t="shared" si="247"/>
        <v>1</v>
      </c>
      <c r="W126" s="58"/>
      <c r="X126" s="95" t="e">
        <f t="shared" si="248"/>
        <v>#DIV/0!</v>
      </c>
      <c r="Y126" s="95">
        <f t="shared" si="249"/>
        <v>61.854482935216019</v>
      </c>
      <c r="Z126" s="36">
        <f t="shared" si="250"/>
        <v>-0.10332688990796611</v>
      </c>
      <c r="AA126" s="60">
        <f t="shared" si="251"/>
        <v>0.17509196667972071</v>
      </c>
      <c r="AB126" s="80"/>
      <c r="AD126" t="s">
        <v>96</v>
      </c>
      <c r="AE126" s="42">
        <v>0</v>
      </c>
      <c r="AH126" s="7">
        <f>SUM(T127-T126)</f>
        <v>0</v>
      </c>
      <c r="AI126" s="94">
        <f>SUM(K127-K126)</f>
        <v>0</v>
      </c>
    </row>
    <row r="127" spans="1:35">
      <c r="A127" s="7"/>
      <c r="B127" s="71"/>
      <c r="C127" s="93" t="s">
        <v>97</v>
      </c>
      <c r="D127" s="56">
        <v>96573.02</v>
      </c>
      <c r="E127" s="56">
        <v>11044.85</v>
      </c>
      <c r="F127" s="40">
        <f t="shared" si="240"/>
        <v>85528.17</v>
      </c>
      <c r="G127" s="36">
        <f t="shared" si="241"/>
        <v>0.88563213618047765</v>
      </c>
      <c r="H127" s="40">
        <v>79663.86</v>
      </c>
      <c r="I127" s="40">
        <v>12186.08</v>
      </c>
      <c r="J127" s="56">
        <f t="shared" si="242"/>
        <v>66022</v>
      </c>
      <c r="K127" s="56">
        <f t="shared" si="243"/>
        <v>12186.08</v>
      </c>
      <c r="L127" s="40">
        <f t="shared" si="238"/>
        <v>53835.92</v>
      </c>
      <c r="M127" s="36">
        <f t="shared" si="239"/>
        <v>0.81542394959256004</v>
      </c>
      <c r="N127" s="58"/>
      <c r="O127" s="56">
        <v>13641.86</v>
      </c>
      <c r="P127" s="56">
        <v>0</v>
      </c>
      <c r="Q127" s="40">
        <f t="shared" si="244"/>
        <v>13641.86</v>
      </c>
      <c r="R127" s="36">
        <f t="shared" si="245"/>
        <v>1</v>
      </c>
      <c r="S127" s="44">
        <v>273.37</v>
      </c>
      <c r="T127" s="44">
        <v>0</v>
      </c>
      <c r="U127" s="8">
        <f t="shared" si="246"/>
        <v>273.37</v>
      </c>
      <c r="V127" s="36">
        <f t="shared" si="247"/>
        <v>1</v>
      </c>
      <c r="W127" s="58"/>
      <c r="X127" s="95" t="e">
        <f t="shared" si="248"/>
        <v>#DIV/0!</v>
      </c>
      <c r="Y127" s="95">
        <f t="shared" si="249"/>
        <v>61.854482935216019</v>
      </c>
      <c r="Z127" s="36">
        <f t="shared" si="250"/>
        <v>-0.10332688990796611</v>
      </c>
      <c r="AA127" s="60">
        <f t="shared" si="251"/>
        <v>0.17509196667972071</v>
      </c>
      <c r="AB127" s="80"/>
      <c r="AH127" s="7">
        <f>SUM(T128-T127)</f>
        <v>0</v>
      </c>
      <c r="AI127" s="94">
        <f>SUM(K128-K127)</f>
        <v>0</v>
      </c>
    </row>
    <row r="128" spans="1:35">
      <c r="A128" s="7"/>
      <c r="B128" s="71"/>
      <c r="C128" s="93" t="s">
        <v>98</v>
      </c>
      <c r="D128" s="56">
        <v>96573.02</v>
      </c>
      <c r="E128" s="56">
        <v>15366.74</v>
      </c>
      <c r="F128" s="40">
        <f t="shared" si="240"/>
        <v>81206.28</v>
      </c>
      <c r="G128" s="36">
        <f t="shared" si="241"/>
        <v>0.84087957485434328</v>
      </c>
      <c r="H128" s="40">
        <v>79663.839999999997</v>
      </c>
      <c r="I128" s="40">
        <v>12186.08</v>
      </c>
      <c r="J128" s="56">
        <f t="shared" si="242"/>
        <v>66021.95</v>
      </c>
      <c r="K128" s="56">
        <f t="shared" si="243"/>
        <v>12186.08</v>
      </c>
      <c r="L128" s="40">
        <f t="shared" si="238"/>
        <v>53835.869999999995</v>
      </c>
      <c r="M128" s="36">
        <f t="shared" si="239"/>
        <v>0.81542380980870754</v>
      </c>
      <c r="N128" s="58"/>
      <c r="O128" s="56">
        <v>13641.89</v>
      </c>
      <c r="P128" s="56">
        <v>0</v>
      </c>
      <c r="Q128" s="40">
        <f t="shared" si="244"/>
        <v>13641.89</v>
      </c>
      <c r="R128" s="36">
        <f t="shared" si="245"/>
        <v>1</v>
      </c>
      <c r="S128" s="44">
        <v>273.37</v>
      </c>
      <c r="T128" s="44">
        <v>0</v>
      </c>
      <c r="U128" s="8">
        <f t="shared" si="246"/>
        <v>273.37</v>
      </c>
      <c r="V128" s="36">
        <f t="shared" si="247"/>
        <v>1</v>
      </c>
      <c r="W128" s="58"/>
      <c r="X128" s="95" t="e">
        <f t="shared" si="248"/>
        <v>#DIV/0!</v>
      </c>
      <c r="Y128" s="95">
        <f t="shared" si="249"/>
        <v>61.854556096133471</v>
      </c>
      <c r="Z128" s="36">
        <f t="shared" si="250"/>
        <v>0.20698339400549498</v>
      </c>
      <c r="AA128" s="60">
        <f>SUM(D128-H128)/D128</f>
        <v>0.17509217377689967</v>
      </c>
      <c r="AB128" s="80"/>
      <c r="AH128" s="9">
        <f>SUM(AH123,AH124,AH125,AH126,AH127)</f>
        <v>0</v>
      </c>
      <c r="AI128" s="97">
        <f>SUM(AI123,AI124,AI125,AI126,AI127)</f>
        <v>2987.9599999999991</v>
      </c>
    </row>
    <row r="129" spans="1:35" ht="9" customHeight="1">
      <c r="A129" s="274"/>
      <c r="B129" s="275"/>
      <c r="C129" s="275"/>
      <c r="D129" s="275"/>
      <c r="E129" s="275"/>
      <c r="F129" s="275"/>
      <c r="G129" s="275"/>
      <c r="H129" s="275"/>
      <c r="I129" s="275"/>
      <c r="J129" s="275"/>
      <c r="K129" s="275"/>
      <c r="L129" s="275"/>
      <c r="M129" s="275"/>
      <c r="N129" s="275"/>
      <c r="O129" s="275"/>
      <c r="P129" s="275"/>
      <c r="Q129" s="275"/>
      <c r="R129" s="275"/>
      <c r="S129" s="275"/>
      <c r="T129" s="275"/>
      <c r="U129" s="275"/>
      <c r="V129" s="275"/>
      <c r="W129" s="275"/>
      <c r="X129" s="275"/>
      <c r="Y129" s="275"/>
      <c r="Z129" s="275"/>
      <c r="AA129" s="276"/>
    </row>
    <row r="130" spans="1:35">
      <c r="A130" s="7">
        <f>'Main Sheet'!A40</f>
        <v>8923</v>
      </c>
      <c r="B130" s="71" t="str">
        <f>'Main Sheet'!B40</f>
        <v>4 Perry St</v>
      </c>
      <c r="C130" s="93" t="s">
        <v>90</v>
      </c>
      <c r="D130" s="56">
        <v>31802.41</v>
      </c>
      <c r="E130" s="56">
        <v>14370.83</v>
      </c>
      <c r="F130" s="40">
        <f>D130-E130</f>
        <v>17431.580000000002</v>
      </c>
      <c r="G130" s="36">
        <f>F130/D130</f>
        <v>0.54812135306726761</v>
      </c>
      <c r="H130" s="40">
        <v>23448.14</v>
      </c>
      <c r="I130" s="40">
        <v>11232.72</v>
      </c>
      <c r="J130" s="56">
        <f>SUM(H130-O130)</f>
        <v>15632.029999999999</v>
      </c>
      <c r="K130" s="56">
        <f>SUM(I130-P130)</f>
        <v>11154.51</v>
      </c>
      <c r="L130" s="40">
        <f>J130-K130</f>
        <v>4477.5199999999986</v>
      </c>
      <c r="M130" s="36">
        <f>L130/J130</f>
        <v>0.28643240833084371</v>
      </c>
      <c r="N130" s="58">
        <v>0</v>
      </c>
      <c r="O130" s="56">
        <v>7816.11</v>
      </c>
      <c r="P130" s="56">
        <v>78.209999999999994</v>
      </c>
      <c r="Q130" s="40">
        <f>O130-P130</f>
        <v>7737.9</v>
      </c>
      <c r="R130" s="36">
        <f>Q130/O130</f>
        <v>0.98999374369091531</v>
      </c>
      <c r="S130" s="44">
        <v>157</v>
      </c>
      <c r="T130" s="44">
        <v>2</v>
      </c>
      <c r="U130" s="8">
        <f>S130-T130</f>
        <v>155</v>
      </c>
      <c r="V130" s="36">
        <f>U130/S130</f>
        <v>0.98726114649681529</v>
      </c>
      <c r="W130" s="58">
        <v>0</v>
      </c>
      <c r="X130" s="95">
        <f>(E130-K130-P130)/T130</f>
        <v>1569.0549999999998</v>
      </c>
      <c r="Y130" s="95">
        <f>(D130-J130-O130)/S130</f>
        <v>53.211910828025481</v>
      </c>
      <c r="Z130" s="36">
        <f>(E130-K130-P130)/E130</f>
        <v>0.21836664966463312</v>
      </c>
      <c r="AA130" s="60">
        <f>SUM(D130-H130)/D130</f>
        <v>0.26269298458827495</v>
      </c>
      <c r="AB130" s="80"/>
      <c r="AD130" t="s">
        <v>91</v>
      </c>
      <c r="AE130">
        <f>AH135</f>
        <v>0</v>
      </c>
      <c r="AH130" s="7">
        <f>SUM(T131-T130)</f>
        <v>0</v>
      </c>
      <c r="AI130" s="94">
        <f>SUM(K131-K130)</f>
        <v>0</v>
      </c>
    </row>
    <row r="131" spans="1:35">
      <c r="A131" s="7"/>
      <c r="B131" s="71"/>
      <c r="C131" s="93" t="s">
        <v>92</v>
      </c>
      <c r="D131" s="56">
        <v>31802.41</v>
      </c>
      <c r="E131" s="56">
        <v>14370.83</v>
      </c>
      <c r="F131" s="40">
        <f t="shared" ref="F131:F135" si="252">D131-E131</f>
        <v>17431.580000000002</v>
      </c>
      <c r="G131" s="36">
        <f t="shared" ref="G131:G135" si="253">F131/D131</f>
        <v>0.54812135306726761</v>
      </c>
      <c r="H131" s="40">
        <v>23448.14</v>
      </c>
      <c r="I131" s="40">
        <v>11232.72</v>
      </c>
      <c r="J131" s="56">
        <f t="shared" ref="J131:K135" si="254">SUM(H131-O131)</f>
        <v>15632.029999999999</v>
      </c>
      <c r="K131" s="56">
        <f t="shared" ref="K131:K135" si="255">SUM(I131-P131)</f>
        <v>11154.51</v>
      </c>
      <c r="L131" s="40">
        <f>J131-K131</f>
        <v>4477.5199999999986</v>
      </c>
      <c r="M131" s="36">
        <f>L131/J131</f>
        <v>0.28643240833084371</v>
      </c>
      <c r="N131" s="58">
        <v>0</v>
      </c>
      <c r="O131" s="56">
        <v>7816.11</v>
      </c>
      <c r="P131" s="56">
        <v>78.209999999999994</v>
      </c>
      <c r="Q131" s="40">
        <f t="shared" ref="Q131:Q135" si="256">O131-P131</f>
        <v>7737.9</v>
      </c>
      <c r="R131" s="36">
        <f t="shared" ref="R131:R135" si="257">Q131/O131</f>
        <v>0.98999374369091531</v>
      </c>
      <c r="S131" s="44">
        <v>157</v>
      </c>
      <c r="T131" s="44">
        <v>2</v>
      </c>
      <c r="U131" s="8">
        <f t="shared" ref="U131:U135" si="258">S131-T131</f>
        <v>155</v>
      </c>
      <c r="V131" s="36">
        <f t="shared" ref="V131:V135" si="259">U131/S131</f>
        <v>0.98726114649681529</v>
      </c>
      <c r="W131" s="58">
        <v>0</v>
      </c>
      <c r="X131" s="95">
        <f t="shared" ref="X131:X135" si="260">(E131-K131-P131)/T131</f>
        <v>1569.0549999999998</v>
      </c>
      <c r="Y131" s="95">
        <f t="shared" ref="Y131:Y135" si="261">(D131-J131-O131)/S131</f>
        <v>53.211910828025481</v>
      </c>
      <c r="Z131" s="36">
        <f t="shared" ref="Z131:Z135" si="262">(E131-K131-P131)/E131</f>
        <v>0.21836664966463312</v>
      </c>
      <c r="AA131" s="60">
        <f t="shared" ref="AA131:AA134" si="263">SUM(D131-H131)/D131</f>
        <v>0.26269298458827495</v>
      </c>
      <c r="AB131" s="80"/>
      <c r="AD131" t="s">
        <v>93</v>
      </c>
      <c r="AE131" s="42">
        <f>AI135</f>
        <v>0</v>
      </c>
      <c r="AH131" s="7">
        <f>SUM(T132-T131)</f>
        <v>0</v>
      </c>
      <c r="AI131" s="94">
        <f>SUM(K132-K131)</f>
        <v>-5.9000000000014552</v>
      </c>
    </row>
    <row r="132" spans="1:35">
      <c r="A132" s="7"/>
      <c r="B132" s="71"/>
      <c r="C132" s="93" t="s">
        <v>94</v>
      </c>
      <c r="D132" s="56">
        <v>31802.41</v>
      </c>
      <c r="E132" s="56">
        <v>14370.83</v>
      </c>
      <c r="F132" s="40">
        <f t="shared" si="252"/>
        <v>17431.580000000002</v>
      </c>
      <c r="G132" s="36">
        <f t="shared" si="253"/>
        <v>0.54812135306726761</v>
      </c>
      <c r="H132" s="40">
        <v>23448.14</v>
      </c>
      <c r="I132" s="40">
        <v>11232.72</v>
      </c>
      <c r="J132" s="56">
        <f t="shared" si="254"/>
        <v>15632.029999999999</v>
      </c>
      <c r="K132" s="56">
        <f t="shared" si="254"/>
        <v>11148.609999999999</v>
      </c>
      <c r="L132" s="40">
        <f t="shared" ref="L132" si="264">J132-K132</f>
        <v>4483.42</v>
      </c>
      <c r="M132" s="36">
        <f t="shared" ref="M132" si="265">L132/J132</f>
        <v>0.28680983851745423</v>
      </c>
      <c r="N132" s="58"/>
      <c r="O132" s="56">
        <v>7816.11</v>
      </c>
      <c r="P132" s="56">
        <v>84.11</v>
      </c>
      <c r="Q132" s="40">
        <f t="shared" si="256"/>
        <v>7732</v>
      </c>
      <c r="R132" s="36">
        <f t="shared" si="257"/>
        <v>0.98923889249255703</v>
      </c>
      <c r="S132" s="44">
        <v>157</v>
      </c>
      <c r="T132" s="44">
        <v>2</v>
      </c>
      <c r="U132" s="8">
        <f t="shared" si="258"/>
        <v>155</v>
      </c>
      <c r="V132" s="36">
        <f t="shared" si="259"/>
        <v>0.98726114649681529</v>
      </c>
      <c r="W132" s="58">
        <v>0</v>
      </c>
      <c r="X132" s="95">
        <f t="shared" si="260"/>
        <v>1569.0550000000005</v>
      </c>
      <c r="Y132" s="95">
        <f t="shared" si="261"/>
        <v>53.211910828025481</v>
      </c>
      <c r="Z132" s="36">
        <f t="shared" si="262"/>
        <v>0.21836664966463323</v>
      </c>
      <c r="AA132" s="60">
        <f t="shared" si="263"/>
        <v>0.26269298458827495</v>
      </c>
      <c r="AB132" s="80"/>
      <c r="AH132" s="7">
        <f>SUM(T133-T132)</f>
        <v>0</v>
      </c>
      <c r="AI132" s="94">
        <f>SUM(K133-K132)</f>
        <v>0</v>
      </c>
    </row>
    <row r="133" spans="1:35">
      <c r="B133" s="71"/>
      <c r="C133" s="93" t="s">
        <v>95</v>
      </c>
      <c r="D133" s="56">
        <v>31802.41</v>
      </c>
      <c r="E133" s="56">
        <v>14370.83</v>
      </c>
      <c r="F133" s="40">
        <f t="shared" si="252"/>
        <v>17431.580000000002</v>
      </c>
      <c r="G133" s="36">
        <f t="shared" si="253"/>
        <v>0.54812135306726761</v>
      </c>
      <c r="H133" s="40">
        <v>23448.14</v>
      </c>
      <c r="I133" s="40">
        <v>11232.72</v>
      </c>
      <c r="J133" s="56">
        <f t="shared" si="254"/>
        <v>15632.029999999999</v>
      </c>
      <c r="K133" s="56">
        <f t="shared" si="255"/>
        <v>11148.609999999999</v>
      </c>
      <c r="L133" s="40">
        <f t="shared" ref="L132:L135" si="266">J133-K133</f>
        <v>4483.42</v>
      </c>
      <c r="M133" s="36">
        <f t="shared" ref="M132:M135" si="267">L133/J133</f>
        <v>0.28680983851745423</v>
      </c>
      <c r="N133" s="58"/>
      <c r="O133" s="56">
        <v>7816.11</v>
      </c>
      <c r="P133" s="56">
        <v>84.11</v>
      </c>
      <c r="Q133" s="40">
        <f t="shared" si="256"/>
        <v>7732</v>
      </c>
      <c r="R133" s="36">
        <f t="shared" si="257"/>
        <v>0.98923889249255703</v>
      </c>
      <c r="S133" s="44">
        <v>157</v>
      </c>
      <c r="T133" s="44">
        <v>2</v>
      </c>
      <c r="U133" s="8">
        <f t="shared" si="258"/>
        <v>155</v>
      </c>
      <c r="V133" s="36">
        <f t="shared" si="259"/>
        <v>0.98726114649681529</v>
      </c>
      <c r="W133" s="58">
        <v>0</v>
      </c>
      <c r="X133" s="95">
        <f t="shared" si="260"/>
        <v>1569.0550000000005</v>
      </c>
      <c r="Y133" s="95">
        <f t="shared" si="261"/>
        <v>53.211910828025481</v>
      </c>
      <c r="Z133" s="36">
        <f t="shared" si="262"/>
        <v>0.21836664966463323</v>
      </c>
      <c r="AA133" s="60">
        <f t="shared" si="263"/>
        <v>0.26269298458827495</v>
      </c>
      <c r="AB133" s="80"/>
      <c r="AD133" t="s">
        <v>96</v>
      </c>
      <c r="AE133" s="42">
        <v>0</v>
      </c>
      <c r="AH133" s="7">
        <f>SUM(T134-T133)</f>
        <v>0</v>
      </c>
      <c r="AI133" s="94">
        <f>SUM(K134-K133)</f>
        <v>0</v>
      </c>
    </row>
    <row r="134" spans="1:35">
      <c r="A134" s="7"/>
      <c r="B134" s="71"/>
      <c r="C134" s="93" t="s">
        <v>97</v>
      </c>
      <c r="D134" s="56">
        <v>31802.41</v>
      </c>
      <c r="E134" s="56">
        <v>14370.83</v>
      </c>
      <c r="F134" s="40">
        <f t="shared" si="252"/>
        <v>17431.580000000002</v>
      </c>
      <c r="G134" s="36">
        <f t="shared" si="253"/>
        <v>0.54812135306726761</v>
      </c>
      <c r="H134" s="40">
        <v>23448.14</v>
      </c>
      <c r="I134" s="40">
        <v>11232.72</v>
      </c>
      <c r="J134" s="56">
        <f t="shared" si="254"/>
        <v>15632.029999999999</v>
      </c>
      <c r="K134" s="56">
        <f t="shared" si="255"/>
        <v>11148.609999999999</v>
      </c>
      <c r="L134" s="40">
        <f t="shared" si="266"/>
        <v>4483.42</v>
      </c>
      <c r="M134" s="36">
        <f t="shared" si="267"/>
        <v>0.28680983851745423</v>
      </c>
      <c r="N134" s="58"/>
      <c r="O134" s="56">
        <v>7816.11</v>
      </c>
      <c r="P134" s="56">
        <v>84.11</v>
      </c>
      <c r="Q134" s="40">
        <f t="shared" si="256"/>
        <v>7732</v>
      </c>
      <c r="R134" s="36">
        <f t="shared" si="257"/>
        <v>0.98923889249255703</v>
      </c>
      <c r="S134" s="44">
        <v>157</v>
      </c>
      <c r="T134" s="44">
        <v>2</v>
      </c>
      <c r="U134" s="8">
        <f t="shared" si="258"/>
        <v>155</v>
      </c>
      <c r="V134" s="36">
        <f t="shared" si="259"/>
        <v>0.98726114649681529</v>
      </c>
      <c r="W134" s="58">
        <v>0</v>
      </c>
      <c r="X134" s="95">
        <f t="shared" si="260"/>
        <v>1569.0550000000005</v>
      </c>
      <c r="Y134" s="95">
        <f t="shared" si="261"/>
        <v>53.211910828025481</v>
      </c>
      <c r="Z134" s="36">
        <f t="shared" si="262"/>
        <v>0.21836664966463323</v>
      </c>
      <c r="AA134" s="60">
        <f t="shared" si="263"/>
        <v>0.26269298458827495</v>
      </c>
      <c r="AB134" s="80"/>
      <c r="AH134" s="7">
        <f>SUM(T135-T134)</f>
        <v>0</v>
      </c>
      <c r="AI134" s="94">
        <f>SUM(K135-K134)</f>
        <v>5.9000000000014552</v>
      </c>
    </row>
    <row r="135" spans="1:35">
      <c r="A135" s="7"/>
      <c r="B135" s="71"/>
      <c r="C135" s="93" t="s">
        <v>98</v>
      </c>
      <c r="D135" s="56">
        <v>31802.41</v>
      </c>
      <c r="E135" s="56">
        <v>14370.83</v>
      </c>
      <c r="F135" s="40">
        <f t="shared" si="252"/>
        <v>17431.580000000002</v>
      </c>
      <c r="G135" s="36">
        <f t="shared" si="253"/>
        <v>0.54812135306726761</v>
      </c>
      <c r="H135" s="40">
        <v>23448.14</v>
      </c>
      <c r="I135" s="40">
        <v>11238.62</v>
      </c>
      <c r="J135" s="56">
        <f t="shared" si="254"/>
        <v>15632.029999999999</v>
      </c>
      <c r="K135" s="56">
        <f t="shared" si="255"/>
        <v>11154.51</v>
      </c>
      <c r="L135" s="40">
        <f t="shared" si="266"/>
        <v>4477.5199999999986</v>
      </c>
      <c r="M135" s="36">
        <f t="shared" si="267"/>
        <v>0.28643240833084371</v>
      </c>
      <c r="N135" s="58"/>
      <c r="O135" s="56">
        <v>7816.11</v>
      </c>
      <c r="P135" s="56">
        <v>84.11</v>
      </c>
      <c r="Q135" s="40">
        <f t="shared" si="256"/>
        <v>7732</v>
      </c>
      <c r="R135" s="36">
        <f t="shared" si="257"/>
        <v>0.98923889249255703</v>
      </c>
      <c r="S135" s="44">
        <v>157</v>
      </c>
      <c r="T135" s="44">
        <v>2</v>
      </c>
      <c r="U135" s="8">
        <f t="shared" si="258"/>
        <v>155</v>
      </c>
      <c r="V135" s="36">
        <f t="shared" si="259"/>
        <v>0.98726114649681529</v>
      </c>
      <c r="W135" s="58">
        <v>0</v>
      </c>
      <c r="X135" s="95">
        <f t="shared" si="260"/>
        <v>1566.1049999999998</v>
      </c>
      <c r="Y135" s="95">
        <f t="shared" si="261"/>
        <v>53.211910828025481</v>
      </c>
      <c r="Z135" s="36">
        <f t="shared" si="262"/>
        <v>0.21795609578569919</v>
      </c>
      <c r="AA135" s="60">
        <f>SUM(D135-H135)/D135</f>
        <v>0.26269298458827495</v>
      </c>
      <c r="AB135" s="80"/>
      <c r="AH135" s="9">
        <f>SUM(AH130,AH131,AH132,AH133,AH134)</f>
        <v>0</v>
      </c>
      <c r="AI135" s="97">
        <f>SUM(AI130,AI131,AI132,AI133,AI134)</f>
        <v>0</v>
      </c>
    </row>
    <row r="136" spans="1:35" ht="9" customHeight="1">
      <c r="A136" s="274"/>
      <c r="B136" s="275"/>
      <c r="C136" s="275"/>
      <c r="D136" s="275"/>
      <c r="E136" s="275"/>
      <c r="F136" s="275"/>
      <c r="G136" s="275"/>
      <c r="H136" s="275"/>
      <c r="I136" s="275"/>
      <c r="J136" s="275"/>
      <c r="K136" s="275"/>
      <c r="L136" s="275"/>
      <c r="M136" s="275"/>
      <c r="N136" s="275"/>
      <c r="O136" s="275"/>
      <c r="P136" s="275"/>
      <c r="Q136" s="275"/>
      <c r="R136" s="275"/>
      <c r="S136" s="275"/>
      <c r="T136" s="275"/>
      <c r="U136" s="275"/>
      <c r="V136" s="275"/>
      <c r="W136" s="275"/>
      <c r="X136" s="275"/>
      <c r="Y136" s="275"/>
      <c r="Z136" s="275"/>
      <c r="AA136" s="276"/>
    </row>
    <row r="137" spans="1:35">
      <c r="A137" s="7">
        <f>'Main Sheet'!A42</f>
        <v>7864</v>
      </c>
      <c r="B137" s="71" t="str">
        <f>'Main Sheet'!B42</f>
        <v>Ryans House</v>
      </c>
      <c r="C137" s="93" t="s">
        <v>90</v>
      </c>
      <c r="D137" s="56">
        <v>28626.25</v>
      </c>
      <c r="E137" s="56">
        <v>20486.240000000002</v>
      </c>
      <c r="F137" s="40">
        <f>D137-E137</f>
        <v>8140.0099999999984</v>
      </c>
      <c r="G137" s="36">
        <f>F137/D137</f>
        <v>0.28435474433430846</v>
      </c>
      <c r="H137" s="40">
        <v>21262.27</v>
      </c>
      <c r="I137" s="40">
        <v>21984.81</v>
      </c>
      <c r="J137" s="56">
        <f>SUM(H137-O137)</f>
        <v>11588.800000000001</v>
      </c>
      <c r="K137" s="56">
        <f>SUM(I137-P137)</f>
        <v>12933.62</v>
      </c>
      <c r="L137" s="40">
        <f>J137-K137</f>
        <v>-1344.8199999999997</v>
      </c>
      <c r="M137" s="36">
        <f>L137/J137</f>
        <v>-0.11604480187767496</v>
      </c>
      <c r="N137" s="58">
        <v>0</v>
      </c>
      <c r="O137" s="56">
        <v>9673.4699999999993</v>
      </c>
      <c r="P137" s="56">
        <v>9051.19</v>
      </c>
      <c r="Q137" s="40">
        <f>O137-P137</f>
        <v>622.27999999999884</v>
      </c>
      <c r="R137" s="36">
        <f>Q137/O137</f>
        <v>6.4328519135325682E-2</v>
      </c>
      <c r="S137" s="44">
        <v>193.82</v>
      </c>
      <c r="T137" s="44">
        <v>185</v>
      </c>
      <c r="U137" s="8">
        <f>S137-T137</f>
        <v>8.8199999999999932</v>
      </c>
      <c r="V137" s="36">
        <f>U137/S137</f>
        <v>4.5506139717263409E-2</v>
      </c>
      <c r="W137" s="58">
        <v>0</v>
      </c>
      <c r="X137" s="95">
        <f>(E137-K137-P137)/T137</f>
        <v>-8.1003783783783767</v>
      </c>
      <c r="Y137" s="95">
        <f>(D137-J137-O137)/S137</f>
        <v>37.99391187699927</v>
      </c>
      <c r="Z137" s="36">
        <f>(E137-K137-P137)/E137</f>
        <v>-7.3150075367661396E-2</v>
      </c>
      <c r="AA137" s="60">
        <f>SUM(D137-H137)/D137</f>
        <v>0.25724570979433209</v>
      </c>
      <c r="AB137" s="80"/>
      <c r="AD137" t="s">
        <v>91</v>
      </c>
      <c r="AE137">
        <f>AH142</f>
        <v>81.75</v>
      </c>
      <c r="AH137" s="7">
        <f>SUM(T138-T137)</f>
        <v>4</v>
      </c>
      <c r="AI137" s="94">
        <f>SUM(K138-K137)</f>
        <v>462.71999999999935</v>
      </c>
    </row>
    <row r="138" spans="1:35">
      <c r="A138" s="7"/>
      <c r="B138" s="71"/>
      <c r="C138" s="93" t="s">
        <v>92</v>
      </c>
      <c r="D138" s="56">
        <v>28626.25</v>
      </c>
      <c r="E138" s="56">
        <v>27194.94</v>
      </c>
      <c r="F138" s="40">
        <f t="shared" ref="F138:F142" si="268">D138-E138</f>
        <v>1431.3100000000013</v>
      </c>
      <c r="G138" s="36">
        <f t="shared" ref="G138:G142" si="269">F138/D138</f>
        <v>4.9999912667569146E-2</v>
      </c>
      <c r="H138" s="40">
        <v>21262.27</v>
      </c>
      <c r="I138" s="40">
        <v>22665.93</v>
      </c>
      <c r="J138" s="56">
        <f t="shared" ref="J138:J142" si="270">SUM(H138-O138)</f>
        <v>11588.800000000001</v>
      </c>
      <c r="K138" s="56">
        <f t="shared" ref="K138:K142" si="271">SUM(I138-P138)</f>
        <v>13396.34</v>
      </c>
      <c r="L138" s="40">
        <f t="shared" ref="L138:L142" si="272">J138-K138</f>
        <v>-1807.5399999999991</v>
      </c>
      <c r="M138" s="36">
        <f t="shared" ref="M138:M142" si="273">L138/J138</f>
        <v>-0.15597300842192452</v>
      </c>
      <c r="N138" s="58">
        <v>0</v>
      </c>
      <c r="O138" s="56">
        <v>9673.4699999999993</v>
      </c>
      <c r="P138" s="56">
        <v>9269.59</v>
      </c>
      <c r="Q138" s="40">
        <f t="shared" ref="Q138:Q142" si="274">O138-P138</f>
        <v>403.8799999999992</v>
      </c>
      <c r="R138" s="36">
        <f t="shared" ref="R138:R142" si="275">Q138/O138</f>
        <v>4.1751305374389876E-2</v>
      </c>
      <c r="S138" s="44">
        <v>193.82</v>
      </c>
      <c r="T138" s="44">
        <v>189</v>
      </c>
      <c r="U138" s="8">
        <f t="shared" ref="U138:U142" si="276">S138-T138</f>
        <v>4.8199999999999932</v>
      </c>
      <c r="V138" s="36">
        <f t="shared" ref="V138:V142" si="277">U138/S138</f>
        <v>2.4868434630069103E-2</v>
      </c>
      <c r="W138" s="58"/>
      <c r="X138" s="95">
        <f t="shared" ref="X138:X142" si="278">(E138-K138-P138)/T138</f>
        <v>23.963015873015866</v>
      </c>
      <c r="Y138" s="95">
        <f t="shared" ref="Y138:Y142" si="279">(D138-J138-O138)/S138</f>
        <v>37.99391187699927</v>
      </c>
      <c r="Z138" s="36">
        <f t="shared" ref="Z138:Z142" si="280">(E138-K138-P138)/E138</f>
        <v>0.16653870168494575</v>
      </c>
      <c r="AA138" s="60">
        <f t="shared" ref="AA138:AA141" si="281">SUM(D138-H138)/D138</f>
        <v>0.25724570979433209</v>
      </c>
      <c r="AB138" s="80"/>
      <c r="AD138" t="s">
        <v>93</v>
      </c>
      <c r="AE138" s="42">
        <f>AI142</f>
        <v>-1231.3000000000029</v>
      </c>
      <c r="AH138" s="7">
        <f>SUM(T139-T138)</f>
        <v>77.75</v>
      </c>
      <c r="AI138" s="94">
        <f>SUM(K139-K138)</f>
        <v>-1694.0200000000023</v>
      </c>
    </row>
    <row r="139" spans="1:35">
      <c r="A139" s="7"/>
      <c r="B139" s="71"/>
      <c r="C139" s="93" t="s">
        <v>94</v>
      </c>
      <c r="D139" s="56">
        <v>28626.25</v>
      </c>
      <c r="E139" s="56">
        <v>27194.94</v>
      </c>
      <c r="F139" s="40">
        <f t="shared" si="268"/>
        <v>1431.3100000000013</v>
      </c>
      <c r="G139" s="36">
        <f t="shared" si="269"/>
        <v>4.9999912667569146E-2</v>
      </c>
      <c r="H139" s="40">
        <v>21262.27</v>
      </c>
      <c r="I139" s="40">
        <v>24965.42</v>
      </c>
      <c r="J139" s="56">
        <f t="shared" si="270"/>
        <v>11588.800000000001</v>
      </c>
      <c r="K139" s="56">
        <f t="shared" si="271"/>
        <v>11702.319999999998</v>
      </c>
      <c r="L139" s="40">
        <f t="shared" si="272"/>
        <v>-113.5199999999968</v>
      </c>
      <c r="M139" s="36">
        <f t="shared" si="273"/>
        <v>-9.7956647797871037E-3</v>
      </c>
      <c r="N139" s="58">
        <v>0</v>
      </c>
      <c r="O139" s="56">
        <v>9673.4699999999993</v>
      </c>
      <c r="P139" s="56">
        <v>13263.1</v>
      </c>
      <c r="Q139" s="40">
        <f t="shared" si="274"/>
        <v>-3589.630000000001</v>
      </c>
      <c r="R139" s="36">
        <f t="shared" si="275"/>
        <v>-0.37107987102870027</v>
      </c>
      <c r="S139" s="44">
        <v>193.82</v>
      </c>
      <c r="T139" s="44">
        <v>266.75</v>
      </c>
      <c r="U139" s="8">
        <f t="shared" si="276"/>
        <v>-72.930000000000007</v>
      </c>
      <c r="V139" s="36">
        <f t="shared" si="277"/>
        <v>-0.37627695800227018</v>
      </c>
      <c r="W139" s="58"/>
      <c r="X139" s="95">
        <f t="shared" si="278"/>
        <v>8.3580880974695422</v>
      </c>
      <c r="Y139" s="95">
        <f t="shared" si="279"/>
        <v>37.99391187699927</v>
      </c>
      <c r="Z139" s="36">
        <f t="shared" si="280"/>
        <v>8.198289828916705E-2</v>
      </c>
      <c r="AA139" s="60">
        <f t="shared" si="281"/>
        <v>0.25724570979433209</v>
      </c>
      <c r="AB139" s="80"/>
      <c r="AH139" s="7">
        <f>SUM(T140-T139)</f>
        <v>0</v>
      </c>
      <c r="AI139" s="94">
        <f>SUM(K140-K139)</f>
        <v>0</v>
      </c>
    </row>
    <row r="140" spans="1:35">
      <c r="A140" s="7"/>
      <c r="B140" s="71"/>
      <c r="C140" s="93" t="s">
        <v>95</v>
      </c>
      <c r="D140" s="56">
        <v>28626.25</v>
      </c>
      <c r="E140" s="56">
        <v>27194.94</v>
      </c>
      <c r="F140" s="40">
        <f t="shared" si="268"/>
        <v>1431.3100000000013</v>
      </c>
      <c r="G140" s="36">
        <f t="shared" si="269"/>
        <v>4.9999912667569146E-2</v>
      </c>
      <c r="H140" s="40">
        <v>21262.27</v>
      </c>
      <c r="I140" s="40">
        <v>24965.42</v>
      </c>
      <c r="J140" s="56">
        <f t="shared" si="270"/>
        <v>11588.800000000001</v>
      </c>
      <c r="K140" s="56">
        <f t="shared" si="271"/>
        <v>11702.319999999998</v>
      </c>
      <c r="L140" s="40">
        <f t="shared" si="272"/>
        <v>-113.5199999999968</v>
      </c>
      <c r="M140" s="36">
        <f t="shared" si="273"/>
        <v>-9.7956647797871037E-3</v>
      </c>
      <c r="N140" s="58">
        <v>0</v>
      </c>
      <c r="O140" s="56">
        <v>9673.4699999999993</v>
      </c>
      <c r="P140" s="56">
        <v>13263.1</v>
      </c>
      <c r="Q140" s="40">
        <f t="shared" si="274"/>
        <v>-3589.630000000001</v>
      </c>
      <c r="R140" s="36">
        <f t="shared" si="275"/>
        <v>-0.37107987102870027</v>
      </c>
      <c r="S140" s="44">
        <v>193.82</v>
      </c>
      <c r="T140" s="44">
        <v>266.75</v>
      </c>
      <c r="U140" s="8">
        <f t="shared" si="276"/>
        <v>-72.930000000000007</v>
      </c>
      <c r="V140" s="36">
        <f t="shared" si="277"/>
        <v>-0.37627695800227018</v>
      </c>
      <c r="W140" s="58"/>
      <c r="X140" s="95">
        <f t="shared" si="278"/>
        <v>8.3580880974695422</v>
      </c>
      <c r="Y140" s="95">
        <f t="shared" si="279"/>
        <v>37.99391187699927</v>
      </c>
      <c r="Z140" s="36">
        <f t="shared" si="280"/>
        <v>8.198289828916705E-2</v>
      </c>
      <c r="AA140" s="60">
        <f t="shared" si="281"/>
        <v>0.25724570979433209</v>
      </c>
      <c r="AB140" s="80"/>
      <c r="AD140" t="s">
        <v>96</v>
      </c>
      <c r="AE140" s="42">
        <v>0</v>
      </c>
      <c r="AH140" s="7">
        <f>SUM(T141-T140)</f>
        <v>0</v>
      </c>
      <c r="AI140" s="94">
        <f>SUM(K141-K140)</f>
        <v>0</v>
      </c>
    </row>
    <row r="141" spans="1:35">
      <c r="A141" s="7"/>
      <c r="B141" s="71"/>
      <c r="C141" s="93" t="s">
        <v>97</v>
      </c>
      <c r="D141" s="56">
        <v>28626.25</v>
      </c>
      <c r="E141" s="56">
        <v>27194.94</v>
      </c>
      <c r="F141" s="40">
        <f t="shared" si="268"/>
        <v>1431.3100000000013</v>
      </c>
      <c r="G141" s="36">
        <f t="shared" si="269"/>
        <v>4.9999912667569146E-2</v>
      </c>
      <c r="H141" s="40">
        <v>21262.27</v>
      </c>
      <c r="I141" s="40">
        <v>24965.42</v>
      </c>
      <c r="J141" s="56">
        <f t="shared" si="270"/>
        <v>11588.800000000001</v>
      </c>
      <c r="K141" s="56">
        <f t="shared" si="271"/>
        <v>11702.319999999998</v>
      </c>
      <c r="L141" s="40">
        <f t="shared" si="272"/>
        <v>-113.5199999999968</v>
      </c>
      <c r="M141" s="36">
        <f t="shared" si="273"/>
        <v>-9.7956647797871037E-3</v>
      </c>
      <c r="N141" s="58">
        <v>0</v>
      </c>
      <c r="O141" s="56">
        <v>9673.4699999999993</v>
      </c>
      <c r="P141" s="56">
        <v>13263.1</v>
      </c>
      <c r="Q141" s="40">
        <f t="shared" si="274"/>
        <v>-3589.630000000001</v>
      </c>
      <c r="R141" s="36">
        <f t="shared" si="275"/>
        <v>-0.37107987102870027</v>
      </c>
      <c r="S141" s="44">
        <v>193.82</v>
      </c>
      <c r="T141" s="44">
        <v>266.75</v>
      </c>
      <c r="U141" s="8">
        <f t="shared" si="276"/>
        <v>-72.930000000000007</v>
      </c>
      <c r="V141" s="36">
        <f t="shared" si="277"/>
        <v>-0.37627695800227018</v>
      </c>
      <c r="W141" s="58"/>
      <c r="X141" s="95">
        <f t="shared" si="278"/>
        <v>8.3580880974695422</v>
      </c>
      <c r="Y141" s="95">
        <f t="shared" si="279"/>
        <v>37.99391187699927</v>
      </c>
      <c r="Z141" s="36">
        <f t="shared" si="280"/>
        <v>8.198289828916705E-2</v>
      </c>
      <c r="AA141" s="60">
        <f t="shared" si="281"/>
        <v>0.25724570979433209</v>
      </c>
      <c r="AB141" s="80"/>
      <c r="AH141" s="7">
        <f>SUM(T142-T141)</f>
        <v>0</v>
      </c>
      <c r="AI141" s="94">
        <f>SUM(K142-K141)</f>
        <v>0</v>
      </c>
    </row>
    <row r="142" spans="1:35">
      <c r="A142" s="7"/>
      <c r="B142" s="71"/>
      <c r="C142" s="93" t="s">
        <v>98</v>
      </c>
      <c r="D142" s="56">
        <v>28626.25</v>
      </c>
      <c r="E142" s="56">
        <v>27194.94</v>
      </c>
      <c r="F142" s="40">
        <f t="shared" si="268"/>
        <v>1431.3100000000013</v>
      </c>
      <c r="G142" s="36">
        <f t="shared" si="269"/>
        <v>4.9999912667569146E-2</v>
      </c>
      <c r="H142" s="40">
        <v>21262.27</v>
      </c>
      <c r="I142" s="40">
        <v>24965.42</v>
      </c>
      <c r="J142" s="56">
        <f t="shared" si="270"/>
        <v>11588.800000000001</v>
      </c>
      <c r="K142" s="56">
        <f t="shared" si="271"/>
        <v>11702.319999999998</v>
      </c>
      <c r="L142" s="40">
        <f t="shared" si="272"/>
        <v>-113.5199999999968</v>
      </c>
      <c r="M142" s="36">
        <f t="shared" si="273"/>
        <v>-9.7956647797871037E-3</v>
      </c>
      <c r="N142" s="58">
        <v>0</v>
      </c>
      <c r="O142" s="56">
        <v>9673.4699999999993</v>
      </c>
      <c r="P142" s="56">
        <v>13263.1</v>
      </c>
      <c r="Q142" s="40">
        <f t="shared" si="274"/>
        <v>-3589.630000000001</v>
      </c>
      <c r="R142" s="36">
        <f t="shared" si="275"/>
        <v>-0.37107987102870027</v>
      </c>
      <c r="S142" s="44">
        <v>193.82</v>
      </c>
      <c r="T142" s="44">
        <v>266.75</v>
      </c>
      <c r="U142" s="8">
        <f t="shared" si="276"/>
        <v>-72.930000000000007</v>
      </c>
      <c r="V142" s="36">
        <f t="shared" si="277"/>
        <v>-0.37627695800227018</v>
      </c>
      <c r="W142" s="58"/>
      <c r="X142" s="95">
        <f t="shared" si="278"/>
        <v>8.3580880974695422</v>
      </c>
      <c r="Y142" s="95">
        <f t="shared" si="279"/>
        <v>37.99391187699927</v>
      </c>
      <c r="Z142" s="36">
        <f t="shared" si="280"/>
        <v>8.198289828916705E-2</v>
      </c>
      <c r="AA142" s="60">
        <f>SUM(D142-H142)/D142</f>
        <v>0.25724570979433209</v>
      </c>
      <c r="AB142" s="80"/>
      <c r="AH142" s="9">
        <f>SUM(AH137,AH138,AH139,AH140,AH141)</f>
        <v>81.75</v>
      </c>
      <c r="AI142" s="97">
        <f>SUM(AI137,AI138,AI139,AI140,AI141)</f>
        <v>-1231.3000000000029</v>
      </c>
    </row>
    <row r="143" spans="1:35" ht="9" customHeight="1">
      <c r="A143" s="274"/>
      <c r="B143" s="275"/>
      <c r="C143" s="275"/>
      <c r="D143" s="275"/>
      <c r="E143" s="275"/>
      <c r="F143" s="275"/>
      <c r="G143" s="275"/>
      <c r="H143" s="275"/>
      <c r="I143" s="275"/>
      <c r="J143" s="275"/>
      <c r="K143" s="275"/>
      <c r="L143" s="275"/>
      <c r="M143" s="275"/>
      <c r="N143" s="275"/>
      <c r="O143" s="275"/>
      <c r="P143" s="275"/>
      <c r="Q143" s="275"/>
      <c r="R143" s="275"/>
      <c r="S143" s="275"/>
      <c r="T143" s="275"/>
      <c r="U143" s="275"/>
      <c r="V143" s="275"/>
      <c r="W143" s="275"/>
      <c r="X143" s="275"/>
      <c r="Y143" s="275"/>
      <c r="Z143" s="275"/>
      <c r="AA143" s="276"/>
    </row>
    <row r="144" spans="1:35">
      <c r="A144" s="7">
        <f>'Main Sheet'!A44</f>
        <v>7912</v>
      </c>
      <c r="B144" s="71" t="str">
        <f>'Main Sheet'!B44</f>
        <v xml:space="preserve">71A Fendalton Road </v>
      </c>
      <c r="C144" s="93" t="s">
        <v>90</v>
      </c>
      <c r="D144" s="56">
        <v>268228.26</v>
      </c>
      <c r="E144" s="56">
        <v>9034.5300000000007</v>
      </c>
      <c r="F144" s="40">
        <f>D144-E144</f>
        <v>259193.73</v>
      </c>
      <c r="G144" s="36">
        <f>F144/D144</f>
        <v>0.96631775488533533</v>
      </c>
      <c r="H144" s="40">
        <v>238611.58</v>
      </c>
      <c r="I144" s="40">
        <v>6362.08</v>
      </c>
      <c r="J144" s="56">
        <f>SUM(H144-O144)</f>
        <v>214154.25999999998</v>
      </c>
      <c r="K144" s="56">
        <f>SUM(I144-P144)</f>
        <v>3465.35</v>
      </c>
      <c r="L144" s="40">
        <f>J144-K144</f>
        <v>210688.90999999997</v>
      </c>
      <c r="M144" s="36">
        <f>L144/J144</f>
        <v>0.98381844003476748</v>
      </c>
      <c r="N144" s="58"/>
      <c r="O144" s="56">
        <v>24457.32</v>
      </c>
      <c r="P144" s="56">
        <v>2896.73</v>
      </c>
      <c r="Q144" s="40">
        <f>O144-P144</f>
        <v>21560.59</v>
      </c>
      <c r="R144" s="36">
        <f>Q144/O144</f>
        <v>0.88155979477718738</v>
      </c>
      <c r="S144" s="44">
        <v>497.55</v>
      </c>
      <c r="T144" s="44">
        <v>49.25</v>
      </c>
      <c r="U144" s="8">
        <f>S144-T144</f>
        <v>448.3</v>
      </c>
      <c r="V144" s="36">
        <f>U144/S144</f>
        <v>0.90101497336951064</v>
      </c>
      <c r="W144" s="58"/>
      <c r="X144" s="95">
        <f>(E144-K144-P144)/T144</f>
        <v>54.262944162436554</v>
      </c>
      <c r="Y144" s="95">
        <f>(D144-J144-O144)/S144</f>
        <v>59.525032660034228</v>
      </c>
      <c r="Z144" s="36">
        <f>(E144-K144-P144)/E144</f>
        <v>0.29580398758983589</v>
      </c>
      <c r="AA144" s="60">
        <f>SUM(D144-H144)/D144</f>
        <v>0.11041595691669484</v>
      </c>
      <c r="AB144" s="80"/>
      <c r="AD144" t="s">
        <v>91</v>
      </c>
      <c r="AE144">
        <f>AH149</f>
        <v>-49.25</v>
      </c>
      <c r="AH144" s="7">
        <f>SUM(T145-T144)</f>
        <v>9</v>
      </c>
      <c r="AI144" s="94">
        <f>SUM(K145-K144)</f>
        <v>0</v>
      </c>
    </row>
    <row r="145" spans="1:35">
      <c r="A145" s="7"/>
      <c r="B145" s="71"/>
      <c r="C145" s="93" t="s">
        <v>92</v>
      </c>
      <c r="D145" s="56">
        <v>268228.26</v>
      </c>
      <c r="E145" s="56">
        <v>9034.5300000000007</v>
      </c>
      <c r="F145" s="40">
        <f t="shared" ref="F145:F149" si="282">D145-E145</f>
        <v>259193.73</v>
      </c>
      <c r="G145" s="36">
        <f t="shared" ref="G145:G149" si="283">F145/D145</f>
        <v>0.96631775488533533</v>
      </c>
      <c r="H145" s="40">
        <v>238611.58</v>
      </c>
      <c r="I145" s="40">
        <v>6362.08</v>
      </c>
      <c r="J145" s="56">
        <f t="shared" ref="J145:K149" si="284">SUM(H145-O145)</f>
        <v>214154.25</v>
      </c>
      <c r="K145" s="56">
        <f t="shared" ref="K145:K149" si="285">SUM(I145-P145)</f>
        <v>3465.35</v>
      </c>
      <c r="L145" s="40">
        <f t="shared" ref="L145:L149" si="286">J145-K145</f>
        <v>210688.9</v>
      </c>
      <c r="M145" s="36">
        <f t="shared" ref="M145:M149" si="287">L145/J145</f>
        <v>0.98381843927916446</v>
      </c>
      <c r="N145" s="58"/>
      <c r="O145" s="56">
        <v>24457.33</v>
      </c>
      <c r="P145" s="56">
        <v>2896.73</v>
      </c>
      <c r="Q145" s="40">
        <f t="shared" ref="Q145:Q149" si="288">O145-P145</f>
        <v>21560.600000000002</v>
      </c>
      <c r="R145" s="36">
        <f t="shared" ref="R145:R149" si="289">Q145/O145</f>
        <v>0.88155984320447078</v>
      </c>
      <c r="S145" s="44">
        <v>497.55</v>
      </c>
      <c r="T145" s="44">
        <v>58.25</v>
      </c>
      <c r="U145" s="8">
        <f t="shared" ref="U145:U149" si="290">S145-T145</f>
        <v>439.3</v>
      </c>
      <c r="V145" s="36">
        <f t="shared" ref="V145:V149" si="291">U145/S145</f>
        <v>0.88292633906140083</v>
      </c>
      <c r="W145" s="58"/>
      <c r="X145" s="95">
        <f t="shared" ref="X145:X149" si="292">(E145-K145-P145)/T145</f>
        <v>45.878969957081551</v>
      </c>
      <c r="Y145" s="95">
        <f t="shared" ref="Y145:Y149" si="293">(D145-J145-O145)/S145</f>
        <v>59.525032660034178</v>
      </c>
      <c r="Z145" s="36">
        <f t="shared" ref="Z145:Z149" si="294">(E145-K145-P145)/E145</f>
        <v>0.29580398758983589</v>
      </c>
      <c r="AA145" s="60">
        <f t="shared" ref="AA145:AA148" si="295">SUM(D145-H145)/D145</f>
        <v>0.11041595691669484</v>
      </c>
      <c r="AB145" s="80"/>
      <c r="AD145" t="s">
        <v>93</v>
      </c>
      <c r="AE145" s="42">
        <f>AI149</f>
        <v>-3465.35</v>
      </c>
      <c r="AH145" s="7">
        <f>SUM(T146-T145)</f>
        <v>-58.25</v>
      </c>
      <c r="AI145" s="94">
        <f>SUM(K146-K145)</f>
        <v>-3465.35</v>
      </c>
    </row>
    <row r="146" spans="1:35">
      <c r="A146" s="7"/>
      <c r="B146" s="71"/>
      <c r="C146" s="93" t="s">
        <v>94</v>
      </c>
      <c r="D146" s="56">
        <v>0</v>
      </c>
      <c r="E146" s="56">
        <v>0</v>
      </c>
      <c r="F146" s="40">
        <f t="shared" si="282"/>
        <v>0</v>
      </c>
      <c r="G146" s="36" t="e">
        <f t="shared" si="283"/>
        <v>#DIV/0!</v>
      </c>
      <c r="H146" s="40">
        <v>0</v>
      </c>
      <c r="I146" s="40">
        <v>0</v>
      </c>
      <c r="J146" s="56">
        <f t="shared" si="284"/>
        <v>0</v>
      </c>
      <c r="K146" s="56">
        <f t="shared" si="284"/>
        <v>0</v>
      </c>
      <c r="L146" s="40">
        <f t="shared" si="286"/>
        <v>0</v>
      </c>
      <c r="M146" s="36" t="e">
        <f t="shared" si="287"/>
        <v>#DIV/0!</v>
      </c>
      <c r="N146" s="58"/>
      <c r="O146" s="56">
        <v>0</v>
      </c>
      <c r="P146" s="56">
        <v>0</v>
      </c>
      <c r="Q146" s="40">
        <f t="shared" si="288"/>
        <v>0</v>
      </c>
      <c r="R146" s="36" t="e">
        <f t="shared" si="289"/>
        <v>#DIV/0!</v>
      </c>
      <c r="S146" s="44">
        <v>0</v>
      </c>
      <c r="T146" s="44">
        <v>0</v>
      </c>
      <c r="U146" s="8">
        <f t="shared" si="290"/>
        <v>0</v>
      </c>
      <c r="V146" s="36" t="e">
        <f t="shared" si="291"/>
        <v>#DIV/0!</v>
      </c>
      <c r="W146" s="58"/>
      <c r="X146" s="95" t="e">
        <f t="shared" si="292"/>
        <v>#DIV/0!</v>
      </c>
      <c r="Y146" s="95" t="e">
        <f t="shared" si="293"/>
        <v>#DIV/0!</v>
      </c>
      <c r="Z146" s="36" t="e">
        <f t="shared" si="294"/>
        <v>#DIV/0!</v>
      </c>
      <c r="AA146" s="60" t="e">
        <f t="shared" si="295"/>
        <v>#DIV/0!</v>
      </c>
      <c r="AB146" s="80"/>
      <c r="AH146" s="7">
        <f>SUM(T147-T146)</f>
        <v>0</v>
      </c>
      <c r="AI146" s="94">
        <f>SUM(K147-K146)</f>
        <v>0</v>
      </c>
    </row>
    <row r="147" spans="1:35">
      <c r="A147" s="7"/>
      <c r="B147" s="71"/>
      <c r="C147" s="93" t="s">
        <v>95</v>
      </c>
      <c r="D147" s="56">
        <v>0</v>
      </c>
      <c r="E147" s="56">
        <v>0</v>
      </c>
      <c r="F147" s="40">
        <f t="shared" si="282"/>
        <v>0</v>
      </c>
      <c r="G147" s="36" t="e">
        <f t="shared" si="283"/>
        <v>#DIV/0!</v>
      </c>
      <c r="H147" s="40">
        <v>0</v>
      </c>
      <c r="I147" s="40"/>
      <c r="J147" s="56">
        <f t="shared" si="284"/>
        <v>0</v>
      </c>
      <c r="K147" s="56">
        <f t="shared" si="285"/>
        <v>0</v>
      </c>
      <c r="L147" s="40">
        <f t="shared" si="286"/>
        <v>0</v>
      </c>
      <c r="M147" s="36" t="e">
        <f t="shared" si="287"/>
        <v>#DIV/0!</v>
      </c>
      <c r="N147" s="58"/>
      <c r="O147" s="56">
        <v>0</v>
      </c>
      <c r="P147" s="56">
        <v>0</v>
      </c>
      <c r="Q147" s="40">
        <f t="shared" si="288"/>
        <v>0</v>
      </c>
      <c r="R147" s="36" t="e">
        <f t="shared" si="289"/>
        <v>#DIV/0!</v>
      </c>
      <c r="S147" s="44">
        <v>0</v>
      </c>
      <c r="T147" s="44">
        <v>0</v>
      </c>
      <c r="U147" s="8">
        <f t="shared" si="290"/>
        <v>0</v>
      </c>
      <c r="V147" s="36" t="e">
        <f t="shared" si="291"/>
        <v>#DIV/0!</v>
      </c>
      <c r="W147" s="58"/>
      <c r="X147" s="95" t="e">
        <f t="shared" si="292"/>
        <v>#DIV/0!</v>
      </c>
      <c r="Y147" s="95" t="e">
        <f t="shared" si="293"/>
        <v>#DIV/0!</v>
      </c>
      <c r="Z147" s="36" t="e">
        <f t="shared" si="294"/>
        <v>#DIV/0!</v>
      </c>
      <c r="AA147" s="60" t="e">
        <f t="shared" si="295"/>
        <v>#DIV/0!</v>
      </c>
      <c r="AB147" s="80"/>
      <c r="AD147" t="s">
        <v>96</v>
      </c>
      <c r="AE147" s="42">
        <v>0</v>
      </c>
      <c r="AH147" s="7">
        <f>SUM(T148-T147)</f>
        <v>0</v>
      </c>
      <c r="AI147" s="94">
        <f>SUM(K148-K147)</f>
        <v>0</v>
      </c>
    </row>
    <row r="148" spans="1:35">
      <c r="A148" s="7"/>
      <c r="B148" s="71"/>
      <c r="C148" s="93" t="s">
        <v>97</v>
      </c>
      <c r="D148" s="56">
        <v>0</v>
      </c>
      <c r="E148" s="56">
        <v>0</v>
      </c>
      <c r="F148" s="40">
        <f t="shared" si="282"/>
        <v>0</v>
      </c>
      <c r="G148" s="36" t="e">
        <f t="shared" si="283"/>
        <v>#DIV/0!</v>
      </c>
      <c r="H148" s="40">
        <v>0</v>
      </c>
      <c r="I148" s="40"/>
      <c r="J148" s="56">
        <f t="shared" si="284"/>
        <v>0</v>
      </c>
      <c r="K148" s="56">
        <f t="shared" si="285"/>
        <v>0</v>
      </c>
      <c r="L148" s="40">
        <f t="shared" si="286"/>
        <v>0</v>
      </c>
      <c r="M148" s="36" t="e">
        <f t="shared" si="287"/>
        <v>#DIV/0!</v>
      </c>
      <c r="N148" s="58"/>
      <c r="O148" s="56">
        <v>0</v>
      </c>
      <c r="P148" s="56"/>
      <c r="Q148" s="40">
        <f t="shared" si="288"/>
        <v>0</v>
      </c>
      <c r="R148" s="36" t="e">
        <f t="shared" si="289"/>
        <v>#DIV/0!</v>
      </c>
      <c r="S148" s="44">
        <v>0</v>
      </c>
      <c r="T148" s="44">
        <v>0</v>
      </c>
      <c r="U148" s="8">
        <f t="shared" si="290"/>
        <v>0</v>
      </c>
      <c r="V148" s="36" t="e">
        <f t="shared" si="291"/>
        <v>#DIV/0!</v>
      </c>
      <c r="W148" s="58"/>
      <c r="X148" s="95" t="e">
        <f t="shared" si="292"/>
        <v>#DIV/0!</v>
      </c>
      <c r="Y148" s="95" t="e">
        <f t="shared" si="293"/>
        <v>#DIV/0!</v>
      </c>
      <c r="Z148" s="36" t="e">
        <f t="shared" si="294"/>
        <v>#DIV/0!</v>
      </c>
      <c r="AA148" s="60" t="e">
        <f t="shared" si="295"/>
        <v>#DIV/0!</v>
      </c>
      <c r="AB148" s="80"/>
      <c r="AH148" s="7">
        <f>SUM(T149-T148)</f>
        <v>0</v>
      </c>
      <c r="AI148" s="94">
        <f>SUM(K149-K148)</f>
        <v>0</v>
      </c>
    </row>
    <row r="149" spans="1:35">
      <c r="A149" s="7"/>
      <c r="B149" s="71"/>
      <c r="C149" s="93" t="s">
        <v>98</v>
      </c>
      <c r="D149" s="56">
        <v>0</v>
      </c>
      <c r="E149" s="56">
        <v>0</v>
      </c>
      <c r="F149" s="40">
        <f t="shared" si="282"/>
        <v>0</v>
      </c>
      <c r="G149" s="36" t="e">
        <f t="shared" si="283"/>
        <v>#DIV/0!</v>
      </c>
      <c r="H149" s="40">
        <v>0</v>
      </c>
      <c r="I149" s="40"/>
      <c r="J149" s="56">
        <f t="shared" si="284"/>
        <v>0</v>
      </c>
      <c r="K149" s="56">
        <f t="shared" si="285"/>
        <v>0</v>
      </c>
      <c r="L149" s="40">
        <f t="shared" si="286"/>
        <v>0</v>
      </c>
      <c r="M149" s="36" t="e">
        <f t="shared" si="287"/>
        <v>#DIV/0!</v>
      </c>
      <c r="N149" s="58"/>
      <c r="O149" s="56">
        <v>0</v>
      </c>
      <c r="P149" s="56"/>
      <c r="Q149" s="40">
        <f t="shared" si="288"/>
        <v>0</v>
      </c>
      <c r="R149" s="36" t="e">
        <f t="shared" si="289"/>
        <v>#DIV/0!</v>
      </c>
      <c r="S149" s="44">
        <v>0</v>
      </c>
      <c r="T149" s="44">
        <v>0</v>
      </c>
      <c r="U149" s="8">
        <f t="shared" si="290"/>
        <v>0</v>
      </c>
      <c r="V149" s="36" t="e">
        <f t="shared" si="291"/>
        <v>#DIV/0!</v>
      </c>
      <c r="W149" s="58"/>
      <c r="X149" s="95" t="e">
        <f t="shared" si="292"/>
        <v>#DIV/0!</v>
      </c>
      <c r="Y149" s="95" t="e">
        <f t="shared" si="293"/>
        <v>#DIV/0!</v>
      </c>
      <c r="Z149" s="36" t="e">
        <f t="shared" si="294"/>
        <v>#DIV/0!</v>
      </c>
      <c r="AA149" s="60" t="e">
        <f>SUM(D149-H149)/D149</f>
        <v>#DIV/0!</v>
      </c>
      <c r="AB149" s="80"/>
      <c r="AH149" s="9">
        <f>SUM(AH144,AH145,AH146,AH147,AH148)</f>
        <v>-49.25</v>
      </c>
      <c r="AI149" s="97">
        <f>SUM(AI144,AI145,AI146,AI147,AI148)</f>
        <v>-3465.35</v>
      </c>
    </row>
    <row r="150" spans="1:35" ht="9" customHeight="1">
      <c r="A150" s="274"/>
      <c r="B150" s="275"/>
      <c r="C150" s="275"/>
      <c r="D150" s="275"/>
      <c r="E150" s="275"/>
      <c r="F150" s="275"/>
      <c r="G150" s="275"/>
      <c r="H150" s="275"/>
      <c r="I150" s="275"/>
      <c r="J150" s="275"/>
      <c r="K150" s="275"/>
      <c r="L150" s="275"/>
      <c r="M150" s="275"/>
      <c r="N150" s="275"/>
      <c r="O150" s="275"/>
      <c r="P150" s="275"/>
      <c r="Q150" s="275"/>
      <c r="R150" s="275"/>
      <c r="S150" s="275"/>
      <c r="T150" s="275"/>
      <c r="U150" s="275"/>
      <c r="V150" s="275"/>
      <c r="W150" s="275"/>
      <c r="X150" s="275"/>
      <c r="Y150" s="275"/>
      <c r="Z150" s="275"/>
      <c r="AA150" s="276"/>
    </row>
    <row r="151" spans="1:35">
      <c r="A151" s="147">
        <f>'Main Sheet'!A46</f>
        <v>8360</v>
      </c>
      <c r="B151" s="148" t="str">
        <f>'Main Sheet'!B46</f>
        <v>Dixon House</v>
      </c>
      <c r="C151" s="93" t="s">
        <v>90</v>
      </c>
      <c r="D151" s="56">
        <v>32773.410000000003</v>
      </c>
      <c r="E151" s="56">
        <v>25502.959999999999</v>
      </c>
      <c r="F151" s="40">
        <f>D151-E151</f>
        <v>7270.4500000000044</v>
      </c>
      <c r="G151" s="36">
        <f>F151/D151</f>
        <v>0.2218399000897375</v>
      </c>
      <c r="H151" s="40">
        <v>22750.99</v>
      </c>
      <c r="I151" s="40">
        <v>21846.04</v>
      </c>
      <c r="J151" s="56">
        <f>SUM(H151-O151)</f>
        <v>12243.410000000002</v>
      </c>
      <c r="K151" s="56">
        <f>SUM(I151-P151)</f>
        <v>10619.900000000001</v>
      </c>
      <c r="L151" s="40">
        <f>J151-K151</f>
        <v>1623.5100000000002</v>
      </c>
      <c r="M151" s="36">
        <f>L151/J151</f>
        <v>0.13260276344580471</v>
      </c>
      <c r="N151" s="58"/>
      <c r="O151" s="56">
        <v>10507.58</v>
      </c>
      <c r="P151" s="56">
        <v>11226.14</v>
      </c>
      <c r="Q151" s="40">
        <f>O151-P151</f>
        <v>-718.55999999999949</v>
      </c>
      <c r="R151" s="36">
        <f>Q151/O151</f>
        <v>-6.8384918316110793E-2</v>
      </c>
      <c r="S151" s="44">
        <v>210.6</v>
      </c>
      <c r="T151" s="44">
        <v>226.5</v>
      </c>
      <c r="U151" s="8">
        <f>S151-T151</f>
        <v>-15.900000000000006</v>
      </c>
      <c r="V151" s="36">
        <f>U151/S151</f>
        <v>-7.5498575498575526E-2</v>
      </c>
      <c r="W151" s="58"/>
      <c r="X151" s="95">
        <f>(E151-K151-P151)/T151</f>
        <v>16.145342163355402</v>
      </c>
      <c r="Y151" s="95">
        <f>(D151-J151-O151)/S151</f>
        <v>47.589838556505228</v>
      </c>
      <c r="Z151" s="36">
        <f>(E151-K151-P151)/E151</f>
        <v>0.14339198273455311</v>
      </c>
      <c r="AA151" s="60">
        <f>SUM(D151-H151)/D151</f>
        <v>0.30580949617388004</v>
      </c>
      <c r="AB151" s="80"/>
      <c r="AD151" t="s">
        <v>91</v>
      </c>
      <c r="AE151">
        <f>AH156</f>
        <v>34.25</v>
      </c>
      <c r="AH151" s="7">
        <f>SUM(T152-T151)</f>
        <v>0</v>
      </c>
      <c r="AI151" s="94">
        <f>SUM(K152-K151)</f>
        <v>0</v>
      </c>
    </row>
    <row r="152" spans="1:35">
      <c r="A152" s="7"/>
      <c r="B152" s="71"/>
      <c r="C152" s="93" t="s">
        <v>92</v>
      </c>
      <c r="D152" s="56">
        <v>32773.410000000003</v>
      </c>
      <c r="E152" s="56">
        <v>30592.27</v>
      </c>
      <c r="F152" s="40">
        <f t="shared" ref="F152:F156" si="296">D152-E152</f>
        <v>2181.1400000000031</v>
      </c>
      <c r="G152" s="36">
        <f t="shared" ref="G152:G156" si="297">F152/D152</f>
        <v>6.6552122589623813E-2</v>
      </c>
      <c r="H152" s="40">
        <v>22750.99</v>
      </c>
      <c r="I152" s="40">
        <v>21846.04</v>
      </c>
      <c r="J152" s="56">
        <f t="shared" ref="J152:K156" si="298">SUM(H152-O152)</f>
        <v>12243.410000000002</v>
      </c>
      <c r="K152" s="56">
        <f t="shared" ref="K152:K156" si="299">SUM(I152-P152)</f>
        <v>10619.900000000001</v>
      </c>
      <c r="L152" s="40">
        <f t="shared" ref="L152:L156" si="300">J152-K152</f>
        <v>1623.5100000000002</v>
      </c>
      <c r="M152" s="36">
        <f t="shared" ref="M152:M156" si="301">L152/J152</f>
        <v>0.13260276344580471</v>
      </c>
      <c r="N152" s="58"/>
      <c r="O152" s="56">
        <v>10507.58</v>
      </c>
      <c r="P152" s="56">
        <v>11226.14</v>
      </c>
      <c r="Q152" s="40">
        <f t="shared" ref="Q152:Q156" si="302">O152-P152</f>
        <v>-718.55999999999949</v>
      </c>
      <c r="R152" s="36">
        <f t="shared" ref="R152:R156" si="303">Q152/O152</f>
        <v>-6.8384918316110793E-2</v>
      </c>
      <c r="S152" s="44">
        <v>210.6</v>
      </c>
      <c r="T152" s="44">
        <v>226.5</v>
      </c>
      <c r="U152" s="8">
        <f t="shared" ref="U152:U156" si="304">S152-T152</f>
        <v>-15.900000000000006</v>
      </c>
      <c r="V152" s="36">
        <f t="shared" ref="V152:V156" si="305">U152/S152</f>
        <v>-7.5498575498575526E-2</v>
      </c>
      <c r="W152" s="58"/>
      <c r="X152" s="95">
        <f t="shared" ref="X152:X156" si="306">(E152-K152-P152)/T152</f>
        <v>38.614701986754966</v>
      </c>
      <c r="Y152" s="95">
        <f t="shared" ref="Y152:Y156" si="307">(D152-J152-O152)/S152</f>
        <v>47.589838556505228</v>
      </c>
      <c r="Z152" s="36">
        <f t="shared" ref="Z152:Z156" si="308">(E152-K152-P152)/E152</f>
        <v>0.28589673142921396</v>
      </c>
      <c r="AA152" s="60">
        <f t="shared" ref="AA152:AA155" si="309">SUM(D152-H152)/D152</f>
        <v>0.30580949617388004</v>
      </c>
      <c r="AB152" s="80"/>
      <c r="AD152" t="s">
        <v>93</v>
      </c>
      <c r="AE152" s="42">
        <f>AI156</f>
        <v>-1295.4900000000016</v>
      </c>
      <c r="AH152" s="7">
        <f>SUM(T153-T152)</f>
        <v>34.25</v>
      </c>
      <c r="AI152" s="94">
        <f>SUM(K153-K152)</f>
        <v>-1295.4900000000016</v>
      </c>
    </row>
    <row r="153" spans="1:35">
      <c r="A153" s="7"/>
      <c r="B153" s="71"/>
      <c r="C153" s="93" t="s">
        <v>94</v>
      </c>
      <c r="D153" s="56">
        <v>32773.410000000003</v>
      </c>
      <c r="E153" s="56">
        <v>32773.410000000003</v>
      </c>
      <c r="F153" s="40">
        <f t="shared" si="296"/>
        <v>0</v>
      </c>
      <c r="G153" s="36">
        <f t="shared" si="297"/>
        <v>0</v>
      </c>
      <c r="H153" s="40">
        <v>22750.99</v>
      </c>
      <c r="I153" s="40">
        <v>22238.62</v>
      </c>
      <c r="J153" s="56">
        <f t="shared" si="298"/>
        <v>12243.410000000002</v>
      </c>
      <c r="K153" s="56">
        <f t="shared" si="298"/>
        <v>9324.41</v>
      </c>
      <c r="L153" s="40">
        <f t="shared" si="300"/>
        <v>2919.0000000000018</v>
      </c>
      <c r="M153" s="36">
        <f t="shared" si="301"/>
        <v>0.23841397127107575</v>
      </c>
      <c r="N153" s="58"/>
      <c r="O153" s="56">
        <v>10507.58</v>
      </c>
      <c r="P153" s="56">
        <v>12914.21</v>
      </c>
      <c r="Q153" s="40">
        <f t="shared" si="302"/>
        <v>-2406.6299999999992</v>
      </c>
      <c r="R153" s="36">
        <f t="shared" si="303"/>
        <v>-0.22903751387093882</v>
      </c>
      <c r="S153" s="44">
        <v>210.6</v>
      </c>
      <c r="T153" s="44">
        <v>260.75</v>
      </c>
      <c r="U153" s="8">
        <f t="shared" si="304"/>
        <v>-50.150000000000006</v>
      </c>
      <c r="V153" s="36">
        <f t="shared" si="305"/>
        <v>-0.2381291547958215</v>
      </c>
      <c r="W153" s="58"/>
      <c r="X153" s="95">
        <f t="shared" si="306"/>
        <v>40.401879194630887</v>
      </c>
      <c r="Y153" s="95">
        <f t="shared" si="307"/>
        <v>47.589838556505228</v>
      </c>
      <c r="Z153" s="36">
        <f t="shared" si="308"/>
        <v>0.32144320655067637</v>
      </c>
      <c r="AA153" s="60">
        <f t="shared" si="309"/>
        <v>0.30580949617388004</v>
      </c>
      <c r="AB153" s="80"/>
      <c r="AH153" s="7">
        <f>SUM(T154-T153)</f>
        <v>0</v>
      </c>
      <c r="AI153" s="94">
        <f>SUM(K154-K153)</f>
        <v>0</v>
      </c>
    </row>
    <row r="154" spans="1:35">
      <c r="A154" s="7"/>
      <c r="B154" s="71"/>
      <c r="C154" s="93" t="s">
        <v>95</v>
      </c>
      <c r="D154" s="56">
        <v>32773.410000000003</v>
      </c>
      <c r="E154" s="56">
        <v>32773.410000000003</v>
      </c>
      <c r="F154" s="40">
        <f t="shared" si="296"/>
        <v>0</v>
      </c>
      <c r="G154" s="36">
        <f t="shared" si="297"/>
        <v>0</v>
      </c>
      <c r="H154" s="40">
        <v>22750.99</v>
      </c>
      <c r="I154" s="40">
        <v>22238.62</v>
      </c>
      <c r="J154" s="56">
        <f t="shared" si="298"/>
        <v>12243.410000000002</v>
      </c>
      <c r="K154" s="56">
        <f t="shared" si="299"/>
        <v>9324.41</v>
      </c>
      <c r="L154" s="40">
        <f t="shared" si="300"/>
        <v>2919.0000000000018</v>
      </c>
      <c r="M154" s="36">
        <f t="shared" si="301"/>
        <v>0.23841397127107575</v>
      </c>
      <c r="N154" s="58"/>
      <c r="O154" s="56">
        <v>10507.58</v>
      </c>
      <c r="P154" s="56">
        <v>12914.21</v>
      </c>
      <c r="Q154" s="40">
        <f t="shared" si="302"/>
        <v>-2406.6299999999992</v>
      </c>
      <c r="R154" s="36">
        <f t="shared" si="303"/>
        <v>-0.22903751387093882</v>
      </c>
      <c r="S154" s="44">
        <v>210.6</v>
      </c>
      <c r="T154" s="44">
        <v>260.75</v>
      </c>
      <c r="U154" s="8">
        <f>S154-T154</f>
        <v>-50.150000000000006</v>
      </c>
      <c r="V154" s="36">
        <f>U154/S154</f>
        <v>-0.2381291547958215</v>
      </c>
      <c r="W154" s="58"/>
      <c r="X154" s="95">
        <f t="shared" si="306"/>
        <v>40.401879194630887</v>
      </c>
      <c r="Y154" s="95">
        <f>(D154-J154-O154)/S154</f>
        <v>47.589838556505228</v>
      </c>
      <c r="Z154" s="36">
        <f t="shared" si="308"/>
        <v>0.32144320655067637</v>
      </c>
      <c r="AA154" s="60">
        <f t="shared" si="309"/>
        <v>0.30580949617388004</v>
      </c>
      <c r="AB154" s="80"/>
      <c r="AD154" t="s">
        <v>96</v>
      </c>
      <c r="AE154" s="42">
        <v>0</v>
      </c>
      <c r="AH154" s="7">
        <f>SUM(T155-T154)</f>
        <v>0</v>
      </c>
      <c r="AI154" s="94">
        <f>SUM(K155-K154)</f>
        <v>0</v>
      </c>
    </row>
    <row r="155" spans="1:35">
      <c r="A155" s="7"/>
      <c r="B155" s="71"/>
      <c r="C155" s="93" t="s">
        <v>97</v>
      </c>
      <c r="D155" s="56">
        <v>32773.410000000003</v>
      </c>
      <c r="E155" s="56">
        <v>32773.410000000003</v>
      </c>
      <c r="F155" s="40">
        <f t="shared" si="296"/>
        <v>0</v>
      </c>
      <c r="G155" s="36">
        <f t="shared" si="297"/>
        <v>0</v>
      </c>
      <c r="H155" s="40">
        <v>22750.99</v>
      </c>
      <c r="I155" s="40">
        <v>22238.62</v>
      </c>
      <c r="J155" s="56">
        <f t="shared" si="298"/>
        <v>12243.410000000002</v>
      </c>
      <c r="K155" s="56">
        <f t="shared" si="299"/>
        <v>9324.41</v>
      </c>
      <c r="L155" s="40">
        <f t="shared" si="300"/>
        <v>2919.0000000000018</v>
      </c>
      <c r="M155" s="36">
        <f t="shared" si="301"/>
        <v>0.23841397127107575</v>
      </c>
      <c r="N155" s="58"/>
      <c r="O155" s="56">
        <v>10507.58</v>
      </c>
      <c r="P155" s="56">
        <v>12914.21</v>
      </c>
      <c r="Q155" s="40">
        <f t="shared" si="302"/>
        <v>-2406.6299999999992</v>
      </c>
      <c r="R155" s="36">
        <f t="shared" si="303"/>
        <v>-0.22903751387093882</v>
      </c>
      <c r="S155" s="44">
        <v>210.6</v>
      </c>
      <c r="T155" s="44">
        <v>260.75</v>
      </c>
      <c r="U155" s="8">
        <f>S155-T155</f>
        <v>-50.150000000000006</v>
      </c>
      <c r="V155" s="36">
        <f>U155/S155</f>
        <v>-0.2381291547958215</v>
      </c>
      <c r="W155" s="58"/>
      <c r="X155" s="95">
        <f t="shared" si="306"/>
        <v>40.401879194630887</v>
      </c>
      <c r="Y155" s="95">
        <f>(D155-J155-O155)/S155</f>
        <v>47.589838556505228</v>
      </c>
      <c r="Z155" s="36">
        <f t="shared" si="308"/>
        <v>0.32144320655067637</v>
      </c>
      <c r="AA155" s="60">
        <f t="shared" si="309"/>
        <v>0.30580949617388004</v>
      </c>
      <c r="AB155" s="80"/>
      <c r="AH155" s="7">
        <f>SUM(T156-T155)</f>
        <v>0</v>
      </c>
      <c r="AI155" s="94">
        <f>SUM(K156-K155)</f>
        <v>0</v>
      </c>
    </row>
    <row r="156" spans="1:35" ht="15.75" thickBot="1">
      <c r="A156" s="9"/>
      <c r="B156" s="72"/>
      <c r="C156" s="98" t="s">
        <v>98</v>
      </c>
      <c r="D156" s="56">
        <v>32773.410000000003</v>
      </c>
      <c r="E156" s="56">
        <v>32773.410000000003</v>
      </c>
      <c r="F156" s="40">
        <f t="shared" si="296"/>
        <v>0</v>
      </c>
      <c r="G156" s="36">
        <f t="shared" si="297"/>
        <v>0</v>
      </c>
      <c r="H156" s="40">
        <v>22750.99</v>
      </c>
      <c r="I156" s="40">
        <v>22238.62</v>
      </c>
      <c r="J156" s="56">
        <f t="shared" si="298"/>
        <v>12243.410000000002</v>
      </c>
      <c r="K156" s="56">
        <f t="shared" si="299"/>
        <v>9324.41</v>
      </c>
      <c r="L156" s="40">
        <f t="shared" si="300"/>
        <v>2919.0000000000018</v>
      </c>
      <c r="M156" s="36">
        <f t="shared" si="301"/>
        <v>0.23841397127107575</v>
      </c>
      <c r="N156" s="58"/>
      <c r="O156" s="56">
        <v>10507.58</v>
      </c>
      <c r="P156" s="56">
        <v>12914.21</v>
      </c>
      <c r="Q156" s="40">
        <f t="shared" si="302"/>
        <v>-2406.6299999999992</v>
      </c>
      <c r="R156" s="36">
        <f t="shared" si="303"/>
        <v>-0.22903751387093882</v>
      </c>
      <c r="S156" s="44">
        <v>210.6</v>
      </c>
      <c r="T156" s="44">
        <v>260.75</v>
      </c>
      <c r="U156" s="8">
        <f t="shared" si="304"/>
        <v>-50.150000000000006</v>
      </c>
      <c r="V156" s="36">
        <f t="shared" si="305"/>
        <v>-0.2381291547958215</v>
      </c>
      <c r="W156" s="58"/>
      <c r="X156" s="95">
        <f t="shared" si="306"/>
        <v>40.401879194630887</v>
      </c>
      <c r="Y156" s="95">
        <f t="shared" si="307"/>
        <v>47.589838556505228</v>
      </c>
      <c r="Z156" s="36">
        <f t="shared" si="308"/>
        <v>0.32144320655067637</v>
      </c>
      <c r="AA156" s="60">
        <f>SUM(D156-H156)/D156</f>
        <v>0.30580949617388004</v>
      </c>
      <c r="AB156" s="80"/>
      <c r="AH156" s="9">
        <f>SUM(AH151,AH152,AH153,AH154,AH155)</f>
        <v>34.25</v>
      </c>
      <c r="AI156" s="97">
        <f>SUM(AI151,AI152,AI153,AI154,AI155)</f>
        <v>-1295.4900000000016</v>
      </c>
    </row>
    <row r="157" spans="1:35" ht="26.25" customHeight="1">
      <c r="A157" s="274"/>
      <c r="B157" s="275"/>
      <c r="C157" s="275"/>
      <c r="D157" s="275"/>
      <c r="E157" s="275"/>
      <c r="F157" s="275"/>
      <c r="G157" s="275"/>
      <c r="H157" s="275"/>
      <c r="I157" s="275"/>
      <c r="J157" s="275"/>
      <c r="K157" s="275"/>
      <c r="L157" s="275"/>
      <c r="M157" s="275"/>
      <c r="N157" s="275"/>
      <c r="O157" s="275"/>
      <c r="P157" s="275"/>
      <c r="Q157" s="275"/>
      <c r="R157" s="275"/>
      <c r="S157" s="275"/>
      <c r="T157" s="275"/>
      <c r="U157" s="275"/>
      <c r="V157" s="275"/>
      <c r="W157" s="275"/>
      <c r="X157" s="275"/>
      <c r="Y157" s="275"/>
      <c r="Z157" s="275"/>
      <c r="AA157" s="276"/>
    </row>
    <row r="158" spans="1:35">
      <c r="A158" s="7">
        <f>'Main Sheet'!A48</f>
        <v>8337</v>
      </c>
      <c r="B158" s="71" t="str">
        <f>'Main Sheet'!B48</f>
        <v xml:space="preserve">Waimak Dairys </v>
      </c>
      <c r="C158" s="93" t="s">
        <v>90</v>
      </c>
      <c r="D158" s="56">
        <v>17899.330000000002</v>
      </c>
      <c r="E158" s="56">
        <v>0</v>
      </c>
      <c r="F158" s="40">
        <f>D158-E158</f>
        <v>17899.330000000002</v>
      </c>
      <c r="G158" s="36">
        <f>F158/D158</f>
        <v>1</v>
      </c>
      <c r="H158" s="40">
        <v>13691.44</v>
      </c>
      <c r="I158" s="40">
        <v>7562.12</v>
      </c>
      <c r="J158" s="56">
        <v>0</v>
      </c>
      <c r="K158" s="56">
        <v>0</v>
      </c>
      <c r="L158" s="40">
        <f>J158-K158</f>
        <v>0</v>
      </c>
      <c r="M158" s="36" t="e">
        <f>L158/J158</f>
        <v>#DIV/0!</v>
      </c>
      <c r="N158" s="58"/>
      <c r="O158" s="56">
        <v>5458.47</v>
      </c>
      <c r="P158" s="56">
        <v>2298.36</v>
      </c>
      <c r="Q158" s="40">
        <f>O158-P158</f>
        <v>3160.11</v>
      </c>
      <c r="R158" s="36">
        <f>Q158/O158</f>
        <v>0.57893695486097752</v>
      </c>
      <c r="S158" s="44">
        <v>109</v>
      </c>
      <c r="T158" s="44">
        <v>0</v>
      </c>
      <c r="U158" s="8">
        <f>S158-T158</f>
        <v>109</v>
      </c>
      <c r="V158" s="36">
        <f>U158/S158</f>
        <v>1</v>
      </c>
      <c r="W158" s="58"/>
      <c r="X158" s="95" t="e">
        <f>(E158-K158-P158)/T158</f>
        <v>#DIV/0!</v>
      </c>
      <c r="Y158" s="95">
        <f>(D158-J158-O158)/S158</f>
        <v>114.13633027522937</v>
      </c>
      <c r="Z158" s="36" t="e">
        <f>(E158-K158-P158)/E158</f>
        <v>#DIV/0!</v>
      </c>
      <c r="AA158" s="60">
        <f>SUM(D158-H158)/D158</f>
        <v>0.23508645295661909</v>
      </c>
      <c r="AB158" s="80"/>
      <c r="AD158" t="s">
        <v>91</v>
      </c>
      <c r="AE158">
        <f>AH163</f>
        <v>44.75</v>
      </c>
      <c r="AH158" s="7">
        <f>SUM(T159-T158)</f>
        <v>0</v>
      </c>
      <c r="AI158" s="94">
        <f>SUM(K159-K158)</f>
        <v>0</v>
      </c>
    </row>
    <row r="159" spans="1:35">
      <c r="A159" s="7"/>
      <c r="B159" s="71"/>
      <c r="C159" s="93" t="s">
        <v>92</v>
      </c>
      <c r="D159" s="56">
        <v>17899.330000000002</v>
      </c>
      <c r="E159" s="56">
        <v>0</v>
      </c>
      <c r="F159" s="40">
        <f t="shared" ref="F159:F160" si="310">D159-E159</f>
        <v>17899.330000000002</v>
      </c>
      <c r="G159" s="36">
        <f t="shared" ref="G159:G163" si="311">F159/D159</f>
        <v>1</v>
      </c>
      <c r="H159" s="40">
        <v>13691.44</v>
      </c>
      <c r="I159" s="40">
        <v>7562.12</v>
      </c>
      <c r="J159" s="56">
        <v>0</v>
      </c>
      <c r="K159" s="56">
        <v>0</v>
      </c>
      <c r="L159" s="40">
        <f t="shared" ref="L159:L163" si="312">J159-K159</f>
        <v>0</v>
      </c>
      <c r="M159" s="36" t="e">
        <f t="shared" ref="M159:M163" si="313">L159/J159</f>
        <v>#DIV/0!</v>
      </c>
      <c r="N159" s="58"/>
      <c r="O159" s="56">
        <v>5508.47</v>
      </c>
      <c r="P159" s="56">
        <v>2298.36</v>
      </c>
      <c r="Q159" s="40">
        <f t="shared" ref="Q159:Q163" si="314">O159-P159</f>
        <v>3210.11</v>
      </c>
      <c r="R159" s="36">
        <f t="shared" ref="R159:R163" si="315">Q159/O159</f>
        <v>0.58275891490740628</v>
      </c>
      <c r="S159" s="44">
        <v>110.44</v>
      </c>
      <c r="T159" s="44">
        <v>0</v>
      </c>
      <c r="U159" s="8">
        <f t="shared" ref="U159:U163" si="316">S159-T159</f>
        <v>110.44</v>
      </c>
      <c r="V159" s="36">
        <f t="shared" ref="V159:V163" si="317">U159/S159</f>
        <v>1</v>
      </c>
      <c r="W159" s="58"/>
      <c r="X159" s="95" t="e">
        <f t="shared" ref="X159:X163" si="318">(E159-K159-P159)/T159</f>
        <v>#DIV/0!</v>
      </c>
      <c r="Y159" s="95">
        <f t="shared" ref="Y159:Y163" si="319">(D159-J159-O159)/S159</f>
        <v>112.19540021731258</v>
      </c>
      <c r="Z159" s="36" t="e">
        <f t="shared" ref="Z159:Z163" si="320">(E159-K159-P159)/E159</f>
        <v>#DIV/0!</v>
      </c>
      <c r="AA159" s="60">
        <f t="shared" ref="AA159:AA162" si="321">SUM(D159-H159)/D159</f>
        <v>0.23508645295661909</v>
      </c>
      <c r="AB159" s="80"/>
      <c r="AD159" t="s">
        <v>93</v>
      </c>
      <c r="AE159" s="42">
        <f>AI163</f>
        <v>5263.76</v>
      </c>
      <c r="AH159" s="7">
        <f>SUM(T160-T159)</f>
        <v>0</v>
      </c>
      <c r="AI159" s="94">
        <f>SUM(K160-K159)</f>
        <v>5263.76</v>
      </c>
    </row>
    <row r="160" spans="1:35">
      <c r="A160" s="7"/>
      <c r="B160" s="71"/>
      <c r="C160" s="93" t="s">
        <v>94</v>
      </c>
      <c r="D160" s="56">
        <v>17899.330000000002</v>
      </c>
      <c r="E160" s="56">
        <v>0</v>
      </c>
      <c r="F160" s="40">
        <f t="shared" si="310"/>
        <v>17899.330000000002</v>
      </c>
      <c r="G160" s="36">
        <f t="shared" si="311"/>
        <v>1</v>
      </c>
      <c r="H160" s="40">
        <v>13919.4</v>
      </c>
      <c r="I160" s="40">
        <v>7562.12</v>
      </c>
      <c r="J160" s="56">
        <f t="shared" ref="J159:J163" si="322">SUM(H160-O160)</f>
        <v>8410.93</v>
      </c>
      <c r="K160" s="56">
        <f t="shared" ref="K159:K163" si="323">SUM(I160-P160)</f>
        <v>5263.76</v>
      </c>
      <c r="L160" s="40">
        <f t="shared" si="312"/>
        <v>3147.17</v>
      </c>
      <c r="M160" s="36">
        <f t="shared" si="313"/>
        <v>0.37417622070329914</v>
      </c>
      <c r="N160" s="58"/>
      <c r="O160" s="56">
        <v>5508.47</v>
      </c>
      <c r="P160" s="56">
        <v>2298.36</v>
      </c>
      <c r="Q160" s="40">
        <f t="shared" si="314"/>
        <v>3210.11</v>
      </c>
      <c r="R160" s="36">
        <f t="shared" si="315"/>
        <v>0.58275891490740628</v>
      </c>
      <c r="S160" s="44">
        <v>110.44</v>
      </c>
      <c r="T160" s="44">
        <v>0</v>
      </c>
      <c r="U160" s="8">
        <f t="shared" si="316"/>
        <v>110.44</v>
      </c>
      <c r="V160" s="36">
        <f t="shared" si="317"/>
        <v>1</v>
      </c>
      <c r="W160" s="58"/>
      <c r="X160" s="95" t="e">
        <f t="shared" si="318"/>
        <v>#DIV/0!</v>
      </c>
      <c r="Y160" s="95">
        <f t="shared" si="319"/>
        <v>36.037033683448037</v>
      </c>
      <c r="Z160" s="36" t="e">
        <f t="shared" si="320"/>
        <v>#DIV/0!</v>
      </c>
      <c r="AA160" s="60">
        <f t="shared" si="321"/>
        <v>0.22235078072754688</v>
      </c>
      <c r="AB160" s="80"/>
      <c r="AH160" s="7">
        <f>SUM(T161-T160)</f>
        <v>44.75</v>
      </c>
      <c r="AI160" s="94">
        <f>SUM(K161-K160)</f>
        <v>0</v>
      </c>
    </row>
    <row r="161" spans="1:35">
      <c r="A161" s="7"/>
      <c r="B161" s="71"/>
      <c r="C161" s="93" t="s">
        <v>95</v>
      </c>
      <c r="D161" s="56">
        <v>17899.330000000002</v>
      </c>
      <c r="E161" s="56">
        <v>0</v>
      </c>
      <c r="F161" s="40">
        <f t="shared" ref="F159:F163" si="324">D161-E161</f>
        <v>17899.330000000002</v>
      </c>
      <c r="G161" s="36">
        <f t="shared" si="311"/>
        <v>1</v>
      </c>
      <c r="H161" s="40">
        <v>13919.4</v>
      </c>
      <c r="I161" s="40">
        <v>7562.12</v>
      </c>
      <c r="J161" s="56">
        <f t="shared" si="322"/>
        <v>8410.93</v>
      </c>
      <c r="K161" s="56">
        <f t="shared" si="323"/>
        <v>5263.76</v>
      </c>
      <c r="L161" s="40">
        <f t="shared" si="312"/>
        <v>3147.17</v>
      </c>
      <c r="M161" s="36">
        <f t="shared" si="313"/>
        <v>0.37417622070329914</v>
      </c>
      <c r="N161" s="58"/>
      <c r="O161" s="56">
        <v>5508.47</v>
      </c>
      <c r="P161" s="56">
        <v>2298.36</v>
      </c>
      <c r="Q161" s="40">
        <f t="shared" si="314"/>
        <v>3210.11</v>
      </c>
      <c r="R161" s="36">
        <f t="shared" si="315"/>
        <v>0.58275891490740628</v>
      </c>
      <c r="S161" s="44">
        <v>110.44</v>
      </c>
      <c r="T161" s="44">
        <v>44.75</v>
      </c>
      <c r="U161" s="8">
        <f t="shared" si="316"/>
        <v>65.69</v>
      </c>
      <c r="V161" s="36">
        <f t="shared" si="317"/>
        <v>0.59480260775081495</v>
      </c>
      <c r="W161" s="58"/>
      <c r="X161" s="95">
        <f t="shared" si="318"/>
        <v>-168.98592178770951</v>
      </c>
      <c r="Y161" s="95">
        <f t="shared" si="319"/>
        <v>36.037033683448037</v>
      </c>
      <c r="Z161" s="36" t="e">
        <f t="shared" si="320"/>
        <v>#DIV/0!</v>
      </c>
      <c r="AA161" s="60">
        <f t="shared" si="321"/>
        <v>0.22235078072754688</v>
      </c>
      <c r="AB161" s="80"/>
      <c r="AD161" t="s">
        <v>96</v>
      </c>
      <c r="AE161" s="42">
        <v>0</v>
      </c>
      <c r="AH161" s="7">
        <f>SUM(T162-T161)</f>
        <v>0</v>
      </c>
      <c r="AI161" s="94">
        <f>SUM(K162-K161)</f>
        <v>0</v>
      </c>
    </row>
    <row r="162" spans="1:35">
      <c r="A162" s="7"/>
      <c r="B162" s="71"/>
      <c r="C162" s="93" t="s">
        <v>97</v>
      </c>
      <c r="D162" s="56">
        <v>17899.330000000002</v>
      </c>
      <c r="E162" s="56">
        <v>0</v>
      </c>
      <c r="F162" s="40">
        <f t="shared" si="324"/>
        <v>17899.330000000002</v>
      </c>
      <c r="G162" s="36">
        <f t="shared" si="311"/>
        <v>1</v>
      </c>
      <c r="H162" s="40">
        <v>13919.4</v>
      </c>
      <c r="I162" s="40">
        <v>7562.12</v>
      </c>
      <c r="J162" s="56">
        <f t="shared" si="322"/>
        <v>8410.93</v>
      </c>
      <c r="K162" s="56">
        <f t="shared" si="323"/>
        <v>5263.76</v>
      </c>
      <c r="L162" s="40">
        <f t="shared" si="312"/>
        <v>3147.17</v>
      </c>
      <c r="M162" s="36">
        <f t="shared" si="313"/>
        <v>0.37417622070329914</v>
      </c>
      <c r="N162" s="58"/>
      <c r="O162" s="56">
        <v>5508.47</v>
      </c>
      <c r="P162" s="56">
        <v>2298.36</v>
      </c>
      <c r="Q162" s="40">
        <f t="shared" si="314"/>
        <v>3210.11</v>
      </c>
      <c r="R162" s="36">
        <f t="shared" si="315"/>
        <v>0.58275891490740628</v>
      </c>
      <c r="S162" s="44">
        <v>110.44</v>
      </c>
      <c r="T162" s="44">
        <v>44.75</v>
      </c>
      <c r="U162" s="8">
        <f t="shared" si="316"/>
        <v>65.69</v>
      </c>
      <c r="V162" s="36">
        <f t="shared" si="317"/>
        <v>0.59480260775081495</v>
      </c>
      <c r="W162" s="58"/>
      <c r="X162" s="95">
        <f t="shared" si="318"/>
        <v>-168.98592178770951</v>
      </c>
      <c r="Y162" s="95">
        <f t="shared" si="319"/>
        <v>36.037033683448037</v>
      </c>
      <c r="Z162" s="36" t="e">
        <f t="shared" si="320"/>
        <v>#DIV/0!</v>
      </c>
      <c r="AA162" s="60">
        <f t="shared" si="321"/>
        <v>0.22235078072754688</v>
      </c>
      <c r="AB162" s="80"/>
      <c r="AH162" s="7">
        <f>SUM(T163-T162)</f>
        <v>0</v>
      </c>
      <c r="AI162" s="94">
        <f>SUM(K163-K162)</f>
        <v>0</v>
      </c>
    </row>
    <row r="163" spans="1:35" ht="15.75" thickBot="1">
      <c r="A163" s="9"/>
      <c r="B163" s="72"/>
      <c r="C163" s="98" t="s">
        <v>98</v>
      </c>
      <c r="D163" s="56">
        <v>17899.330000000002</v>
      </c>
      <c r="E163" s="56">
        <v>0</v>
      </c>
      <c r="F163" s="40">
        <f t="shared" si="324"/>
        <v>17899.330000000002</v>
      </c>
      <c r="G163" s="36">
        <f t="shared" si="311"/>
        <v>1</v>
      </c>
      <c r="H163" s="40">
        <v>13919.4</v>
      </c>
      <c r="I163" s="40">
        <v>7562.12</v>
      </c>
      <c r="J163" s="56">
        <f t="shared" si="322"/>
        <v>8410.93</v>
      </c>
      <c r="K163" s="56">
        <f t="shared" si="323"/>
        <v>5263.76</v>
      </c>
      <c r="L163" s="40">
        <f t="shared" si="312"/>
        <v>3147.17</v>
      </c>
      <c r="M163" s="36">
        <f t="shared" si="313"/>
        <v>0.37417622070329914</v>
      </c>
      <c r="N163" s="58"/>
      <c r="O163" s="56">
        <v>5508.47</v>
      </c>
      <c r="P163" s="56">
        <v>2298.36</v>
      </c>
      <c r="Q163" s="40">
        <f t="shared" si="314"/>
        <v>3210.11</v>
      </c>
      <c r="R163" s="36">
        <f t="shared" si="315"/>
        <v>0.58275891490740628</v>
      </c>
      <c r="S163" s="44">
        <v>110.44</v>
      </c>
      <c r="T163" s="44">
        <v>44.75</v>
      </c>
      <c r="U163" s="8">
        <f t="shared" si="316"/>
        <v>65.69</v>
      </c>
      <c r="V163" s="36">
        <f t="shared" si="317"/>
        <v>0.59480260775081495</v>
      </c>
      <c r="W163" s="58"/>
      <c r="X163" s="95">
        <f t="shared" si="318"/>
        <v>-168.98592178770951</v>
      </c>
      <c r="Y163" s="95">
        <f t="shared" si="319"/>
        <v>36.037033683448037</v>
      </c>
      <c r="Z163" s="36" t="e">
        <f t="shared" si="320"/>
        <v>#DIV/0!</v>
      </c>
      <c r="AA163" s="60">
        <f>SUM(D163-H163)/D163</f>
        <v>0.22235078072754688</v>
      </c>
      <c r="AB163" s="80"/>
      <c r="AH163" s="9">
        <f>SUM(AH158,AH159,AH160,AH161,AH162)</f>
        <v>44.75</v>
      </c>
      <c r="AI163" s="97">
        <f>SUM(AI158,AI159,AI160,AI161,AI162)</f>
        <v>5263.76</v>
      </c>
    </row>
    <row r="164" spans="1:35" ht="9" customHeight="1">
      <c r="A164" s="274"/>
      <c r="B164" s="275"/>
      <c r="C164" s="275"/>
      <c r="D164" s="275"/>
      <c r="E164" s="275"/>
      <c r="F164" s="275"/>
      <c r="G164" s="275"/>
      <c r="H164" s="275"/>
      <c r="I164" s="275"/>
      <c r="J164" s="275"/>
      <c r="K164" s="275"/>
      <c r="L164" s="275"/>
      <c r="M164" s="275"/>
      <c r="N164" s="275"/>
      <c r="O164" s="275"/>
      <c r="P164" s="275"/>
      <c r="Q164" s="275"/>
      <c r="R164" s="275"/>
      <c r="S164" s="275"/>
      <c r="T164" s="275"/>
      <c r="U164" s="275"/>
      <c r="V164" s="275"/>
      <c r="W164" s="275"/>
      <c r="X164" s="275"/>
      <c r="Y164" s="275"/>
      <c r="Z164" s="275"/>
      <c r="AA164" s="276"/>
    </row>
    <row r="165" spans="1:35">
      <c r="A165" s="7">
        <f>'Main Sheet'!A50</f>
        <v>9240</v>
      </c>
      <c r="B165" s="71" t="str">
        <f>'Main Sheet'!B50</f>
        <v>Daves Twizel Shack</v>
      </c>
      <c r="C165" s="93" t="s">
        <v>90</v>
      </c>
      <c r="D165" s="56">
        <v>10827.2</v>
      </c>
      <c r="E165" s="56"/>
      <c r="F165" s="40">
        <f>D165-E165</f>
        <v>10827.2</v>
      </c>
      <c r="G165" s="36">
        <f>F165/D165</f>
        <v>1</v>
      </c>
      <c r="H165" s="40">
        <v>7619.53</v>
      </c>
      <c r="I165" s="40"/>
      <c r="J165" s="56">
        <f>SUM(H165-O165)</f>
        <v>4388.87</v>
      </c>
      <c r="K165" s="56">
        <f>SUM(I165-P165)</f>
        <v>0</v>
      </c>
      <c r="L165" s="40">
        <f>J165-K165</f>
        <v>4388.87</v>
      </c>
      <c r="M165" s="36">
        <f>L165/J165</f>
        <v>1</v>
      </c>
      <c r="N165" s="58"/>
      <c r="O165" s="56">
        <v>3230.66</v>
      </c>
      <c r="P165" s="56"/>
      <c r="Q165" s="40">
        <f>O165-P165</f>
        <v>3230.66</v>
      </c>
      <c r="R165" s="36">
        <f>Q165/O165</f>
        <v>1</v>
      </c>
      <c r="S165" s="44">
        <v>64.709999999999994</v>
      </c>
      <c r="T165" s="44"/>
      <c r="U165" s="8">
        <f>S165-T165</f>
        <v>64.709999999999994</v>
      </c>
      <c r="V165" s="36">
        <f>U165/S165</f>
        <v>1</v>
      </c>
      <c r="W165" s="58"/>
      <c r="X165" s="95" t="e">
        <f>(E165-K165-P165)/T165</f>
        <v>#DIV/0!</v>
      </c>
      <c r="Y165" s="95">
        <f>(D165-J165-O165)/S165</f>
        <v>49.569927368258405</v>
      </c>
      <c r="Z165" s="36" t="e">
        <f>(E165-K165-P165)/E165</f>
        <v>#DIV/0!</v>
      </c>
      <c r="AA165" s="60">
        <f>SUM(D165-H165)/D165</f>
        <v>0.29626034431801396</v>
      </c>
      <c r="AB165" s="80"/>
      <c r="AD165" t="s">
        <v>91</v>
      </c>
      <c r="AE165">
        <f>AH170</f>
        <v>0</v>
      </c>
      <c r="AH165" s="7">
        <f>SUM(T166-T165)</f>
        <v>0</v>
      </c>
      <c r="AI165" s="94">
        <f>SUM(K166-K165)</f>
        <v>0</v>
      </c>
    </row>
    <row r="166" spans="1:35">
      <c r="A166" s="7"/>
      <c r="B166" s="71"/>
      <c r="C166" s="93" t="s">
        <v>92</v>
      </c>
      <c r="D166" s="56">
        <v>10827.2</v>
      </c>
      <c r="E166" s="56"/>
      <c r="F166" s="40">
        <f>D166-E166</f>
        <v>10827.2</v>
      </c>
      <c r="G166" s="36">
        <f t="shared" ref="G166:G170" si="325">F166/D166</f>
        <v>1</v>
      </c>
      <c r="H166" s="40">
        <v>7619.53</v>
      </c>
      <c r="I166" s="40"/>
      <c r="J166" s="56">
        <f>SUM(H166-O166)</f>
        <v>4388.87</v>
      </c>
      <c r="K166" s="56">
        <f>SUM(I166-P166)</f>
        <v>0</v>
      </c>
      <c r="L166" s="40">
        <f t="shared" ref="L166:L170" si="326">J166-K166</f>
        <v>4388.87</v>
      </c>
      <c r="M166" s="36">
        <f t="shared" ref="M166:M170" si="327">L166/J166</f>
        <v>1</v>
      </c>
      <c r="N166" s="58"/>
      <c r="O166" s="56">
        <v>3230.66</v>
      </c>
      <c r="P166" s="56"/>
      <c r="Q166" s="40">
        <f t="shared" ref="Q166:Q170" si="328">O166-P166</f>
        <v>3230.66</v>
      </c>
      <c r="R166" s="36">
        <f t="shared" ref="R166:R170" si="329">Q166/O166</f>
        <v>1</v>
      </c>
      <c r="S166" s="44">
        <v>64.709999999999994</v>
      </c>
      <c r="T166" s="44"/>
      <c r="U166" s="8">
        <f t="shared" ref="U166:U170" si="330">S166-T166</f>
        <v>64.709999999999994</v>
      </c>
      <c r="V166" s="36">
        <f t="shared" ref="V166:V170" si="331">U166/S166</f>
        <v>1</v>
      </c>
      <c r="W166" s="58"/>
      <c r="X166" s="95" t="e">
        <f t="shared" ref="X166:X170" si="332">(E166-K166-P166)/T166</f>
        <v>#DIV/0!</v>
      </c>
      <c r="Y166" s="95">
        <f t="shared" ref="Y166:Y170" si="333">(D166-J166-O166)/S166</f>
        <v>49.569927368258405</v>
      </c>
      <c r="Z166" s="36" t="e">
        <f t="shared" ref="Z166:Z170" si="334">(E166-K166-P166)/E166</f>
        <v>#DIV/0!</v>
      </c>
      <c r="AA166" s="60">
        <f t="shared" ref="AA166:AA169" si="335">SUM(D166-H166)/D166</f>
        <v>0.29626034431801396</v>
      </c>
      <c r="AB166" s="80"/>
      <c r="AD166" t="s">
        <v>93</v>
      </c>
      <c r="AE166" s="42">
        <f>AI170</f>
        <v>0</v>
      </c>
      <c r="AH166" s="7">
        <f>SUM(T167-T166)</f>
        <v>0</v>
      </c>
      <c r="AI166" s="94">
        <f>SUM(K167-K166)</f>
        <v>0</v>
      </c>
    </row>
    <row r="167" spans="1:35">
      <c r="A167" s="7"/>
      <c r="B167" s="71"/>
      <c r="C167" s="93" t="s">
        <v>94</v>
      </c>
      <c r="D167" s="56"/>
      <c r="E167" s="56"/>
      <c r="F167" s="40">
        <f t="shared" ref="F167:F170" si="336">D167-E167</f>
        <v>0</v>
      </c>
      <c r="G167" s="36" t="e">
        <f t="shared" si="325"/>
        <v>#DIV/0!</v>
      </c>
      <c r="H167" s="40"/>
      <c r="I167" s="40"/>
      <c r="J167" s="56">
        <f t="shared" ref="J167:J170" si="337">SUM(H167-O167)</f>
        <v>0</v>
      </c>
      <c r="K167" s="56">
        <f t="shared" ref="K167:K170" si="338">SUM(I167-P167)</f>
        <v>0</v>
      </c>
      <c r="L167" s="40">
        <f t="shared" si="326"/>
        <v>0</v>
      </c>
      <c r="M167" s="36" t="e">
        <f t="shared" si="327"/>
        <v>#DIV/0!</v>
      </c>
      <c r="N167" s="58"/>
      <c r="O167" s="56"/>
      <c r="P167" s="56"/>
      <c r="Q167" s="40">
        <f t="shared" si="328"/>
        <v>0</v>
      </c>
      <c r="R167" s="36" t="e">
        <f t="shared" si="329"/>
        <v>#DIV/0!</v>
      </c>
      <c r="S167" s="44"/>
      <c r="T167" s="44"/>
      <c r="U167" s="8">
        <f t="shared" si="330"/>
        <v>0</v>
      </c>
      <c r="V167" s="36" t="e">
        <f t="shared" si="331"/>
        <v>#DIV/0!</v>
      </c>
      <c r="W167" s="58"/>
      <c r="X167" s="95" t="e">
        <f t="shared" si="332"/>
        <v>#DIV/0!</v>
      </c>
      <c r="Y167" s="95" t="e">
        <f t="shared" si="333"/>
        <v>#DIV/0!</v>
      </c>
      <c r="Z167" s="36" t="e">
        <f t="shared" si="334"/>
        <v>#DIV/0!</v>
      </c>
      <c r="AA167" s="60" t="e">
        <f t="shared" si="335"/>
        <v>#DIV/0!</v>
      </c>
      <c r="AB167" s="80"/>
      <c r="AH167" s="7">
        <f>SUM(T168-T167)</f>
        <v>0</v>
      </c>
      <c r="AI167" s="94">
        <f>SUM(K168-K167)</f>
        <v>0</v>
      </c>
    </row>
    <row r="168" spans="1:35">
      <c r="A168" s="7"/>
      <c r="B168" s="71"/>
      <c r="C168" s="93" t="s">
        <v>95</v>
      </c>
      <c r="D168" s="56"/>
      <c r="E168" s="56"/>
      <c r="F168" s="40">
        <f t="shared" si="336"/>
        <v>0</v>
      </c>
      <c r="G168" s="36" t="e">
        <f t="shared" si="325"/>
        <v>#DIV/0!</v>
      </c>
      <c r="H168" s="40"/>
      <c r="I168" s="40"/>
      <c r="J168" s="56">
        <f t="shared" si="337"/>
        <v>0</v>
      </c>
      <c r="K168" s="56">
        <f t="shared" si="338"/>
        <v>0</v>
      </c>
      <c r="L168" s="40">
        <f t="shared" si="326"/>
        <v>0</v>
      </c>
      <c r="M168" s="36" t="e">
        <f t="shared" si="327"/>
        <v>#DIV/0!</v>
      </c>
      <c r="N168" s="58"/>
      <c r="O168" s="56"/>
      <c r="P168" s="56"/>
      <c r="Q168" s="40">
        <f t="shared" si="328"/>
        <v>0</v>
      </c>
      <c r="R168" s="36" t="e">
        <f t="shared" si="329"/>
        <v>#DIV/0!</v>
      </c>
      <c r="S168" s="44"/>
      <c r="T168" s="44"/>
      <c r="U168" s="8">
        <f t="shared" si="330"/>
        <v>0</v>
      </c>
      <c r="V168" s="36" t="e">
        <f t="shared" si="331"/>
        <v>#DIV/0!</v>
      </c>
      <c r="W168" s="58"/>
      <c r="X168" s="95" t="e">
        <f t="shared" si="332"/>
        <v>#DIV/0!</v>
      </c>
      <c r="Y168" s="95" t="e">
        <f t="shared" si="333"/>
        <v>#DIV/0!</v>
      </c>
      <c r="Z168" s="36" t="e">
        <f t="shared" si="334"/>
        <v>#DIV/0!</v>
      </c>
      <c r="AA168" s="60" t="e">
        <f t="shared" si="335"/>
        <v>#DIV/0!</v>
      </c>
      <c r="AB168" s="80"/>
      <c r="AD168" t="s">
        <v>96</v>
      </c>
      <c r="AE168" s="42">
        <v>0</v>
      </c>
      <c r="AH168" s="7">
        <f>SUM(T169-T168)</f>
        <v>0</v>
      </c>
      <c r="AI168" s="94">
        <f>SUM(K169-K168)</f>
        <v>0</v>
      </c>
    </row>
    <row r="169" spans="1:35">
      <c r="A169" s="7"/>
      <c r="B169" s="71"/>
      <c r="C169" s="93" t="s">
        <v>97</v>
      </c>
      <c r="D169" s="56"/>
      <c r="E169" s="56"/>
      <c r="F169" s="40">
        <f t="shared" si="336"/>
        <v>0</v>
      </c>
      <c r="G169" s="36" t="e">
        <f t="shared" si="325"/>
        <v>#DIV/0!</v>
      </c>
      <c r="H169" s="40"/>
      <c r="I169" s="40"/>
      <c r="J169" s="56">
        <f t="shared" si="337"/>
        <v>0</v>
      </c>
      <c r="K169" s="56">
        <f t="shared" si="338"/>
        <v>0</v>
      </c>
      <c r="L169" s="40">
        <f t="shared" si="326"/>
        <v>0</v>
      </c>
      <c r="M169" s="36" t="e">
        <f t="shared" si="327"/>
        <v>#DIV/0!</v>
      </c>
      <c r="N169" s="58"/>
      <c r="O169" s="56"/>
      <c r="P169" s="56"/>
      <c r="Q169" s="40">
        <f t="shared" si="328"/>
        <v>0</v>
      </c>
      <c r="R169" s="36" t="e">
        <f t="shared" si="329"/>
        <v>#DIV/0!</v>
      </c>
      <c r="S169" s="44"/>
      <c r="T169" s="44"/>
      <c r="U169" s="8">
        <f t="shared" si="330"/>
        <v>0</v>
      </c>
      <c r="V169" s="36" t="e">
        <f t="shared" si="331"/>
        <v>#DIV/0!</v>
      </c>
      <c r="W169" s="58"/>
      <c r="X169" s="95" t="e">
        <f t="shared" si="332"/>
        <v>#DIV/0!</v>
      </c>
      <c r="Y169" s="95" t="e">
        <f t="shared" si="333"/>
        <v>#DIV/0!</v>
      </c>
      <c r="Z169" s="36" t="e">
        <f t="shared" si="334"/>
        <v>#DIV/0!</v>
      </c>
      <c r="AA169" s="60" t="e">
        <f t="shared" si="335"/>
        <v>#DIV/0!</v>
      </c>
      <c r="AB169" s="80"/>
      <c r="AH169" s="7">
        <f>SUM(T170-T169)</f>
        <v>0</v>
      </c>
      <c r="AI169" s="94">
        <f>SUM(K170-K169)</f>
        <v>0</v>
      </c>
    </row>
    <row r="170" spans="1:35" ht="15.75" thickBot="1">
      <c r="A170" s="9"/>
      <c r="B170" s="72"/>
      <c r="C170" s="98" t="s">
        <v>98</v>
      </c>
      <c r="D170" s="56"/>
      <c r="E170" s="56"/>
      <c r="F170" s="40">
        <f t="shared" si="336"/>
        <v>0</v>
      </c>
      <c r="G170" s="36" t="e">
        <f t="shared" si="325"/>
        <v>#DIV/0!</v>
      </c>
      <c r="H170" s="40"/>
      <c r="I170" s="40"/>
      <c r="J170" s="56">
        <f t="shared" si="337"/>
        <v>0</v>
      </c>
      <c r="K170" s="56">
        <f>SUM(I170-P170)</f>
        <v>0</v>
      </c>
      <c r="L170" s="40">
        <f t="shared" si="326"/>
        <v>0</v>
      </c>
      <c r="M170" s="36" t="e">
        <f t="shared" si="327"/>
        <v>#DIV/0!</v>
      </c>
      <c r="N170" s="58"/>
      <c r="O170" s="56"/>
      <c r="P170" s="56"/>
      <c r="Q170" s="40">
        <f t="shared" si="328"/>
        <v>0</v>
      </c>
      <c r="R170" s="36" t="e">
        <f t="shared" si="329"/>
        <v>#DIV/0!</v>
      </c>
      <c r="S170" s="44"/>
      <c r="T170" s="44"/>
      <c r="U170" s="8">
        <f t="shared" si="330"/>
        <v>0</v>
      </c>
      <c r="V170" s="36" t="e">
        <f t="shared" si="331"/>
        <v>#DIV/0!</v>
      </c>
      <c r="W170" s="58"/>
      <c r="X170" s="95" t="e">
        <f t="shared" si="332"/>
        <v>#DIV/0!</v>
      </c>
      <c r="Y170" s="95" t="e">
        <f t="shared" si="333"/>
        <v>#DIV/0!</v>
      </c>
      <c r="Z170" s="36" t="e">
        <f t="shared" si="334"/>
        <v>#DIV/0!</v>
      </c>
      <c r="AA170" s="60" t="e">
        <f>SUM(D170-H170)/D170</f>
        <v>#DIV/0!</v>
      </c>
      <c r="AB170" s="80"/>
      <c r="AH170" s="9">
        <f>SUM(AH165,AH166,AH167,AH168,AH169)</f>
        <v>0</v>
      </c>
      <c r="AI170" s="97">
        <f>SUM(AI165,AI166,AI167,AI168,AI169)</f>
        <v>0</v>
      </c>
    </row>
    <row r="171" spans="1:35" ht="9" customHeight="1">
      <c r="A171" s="274"/>
      <c r="B171" s="275"/>
      <c r="C171" s="275"/>
      <c r="D171" s="275"/>
      <c r="E171" s="275"/>
      <c r="F171" s="275"/>
      <c r="G171" s="275"/>
      <c r="H171" s="275"/>
      <c r="I171" s="275"/>
      <c r="J171" s="275"/>
      <c r="K171" s="275"/>
      <c r="L171" s="275"/>
      <c r="M171" s="275"/>
      <c r="N171" s="275"/>
      <c r="O171" s="275"/>
      <c r="P171" s="275"/>
      <c r="Q171" s="275"/>
      <c r="R171" s="275"/>
      <c r="S171" s="275"/>
      <c r="T171" s="275"/>
      <c r="U171" s="275"/>
      <c r="V171" s="275"/>
      <c r="W171" s="275"/>
      <c r="X171" s="275"/>
      <c r="Y171" s="275"/>
      <c r="Z171" s="275"/>
      <c r="AA171" s="276"/>
    </row>
    <row r="172" spans="1:35">
      <c r="A172" s="7">
        <f>'Main Sheet'!A52</f>
        <v>7428</v>
      </c>
      <c r="B172" s="7" t="str">
        <f>'Main Sheet'!B52</f>
        <v>FAB Pegasus Lakeside</v>
      </c>
      <c r="C172" s="93" t="s">
        <v>90</v>
      </c>
      <c r="D172" s="56">
        <v>146237.10999999999</v>
      </c>
      <c r="E172" s="56">
        <v>70638.78</v>
      </c>
      <c r="F172" s="40">
        <f>D172-E172</f>
        <v>75598.329999999987</v>
      </c>
      <c r="G172" s="36">
        <f>F172/D172</f>
        <v>0.5169572210501151</v>
      </c>
      <c r="H172" s="40">
        <v>114651.89</v>
      </c>
      <c r="I172" s="40">
        <v>71934.44</v>
      </c>
      <c r="J172" s="56">
        <f t="shared" ref="J172:J177" si="339">SUM(H172-O172)</f>
        <v>82888.160000000003</v>
      </c>
      <c r="K172" s="56">
        <v>0</v>
      </c>
      <c r="L172" s="40">
        <f>J172-K172</f>
        <v>82888.160000000003</v>
      </c>
      <c r="M172" s="36">
        <f>L172/J172</f>
        <v>1</v>
      </c>
      <c r="N172" s="58"/>
      <c r="O172" s="56">
        <v>31763.73</v>
      </c>
      <c r="P172" s="56">
        <v>12578.31</v>
      </c>
      <c r="Q172" s="40">
        <f>O172-P172</f>
        <v>19185.419999999998</v>
      </c>
      <c r="R172" s="36">
        <f>Q172/O172</f>
        <v>0.60400400078957972</v>
      </c>
      <c r="S172" s="44">
        <v>659.73</v>
      </c>
      <c r="T172" s="44">
        <v>245.25</v>
      </c>
      <c r="U172" s="8">
        <f>S172-T172</f>
        <v>414.48</v>
      </c>
      <c r="V172" s="36">
        <f>U172/S172</f>
        <v>0.62825701423309532</v>
      </c>
      <c r="W172" s="58"/>
      <c r="X172" s="95">
        <f>(E172-K172-P172)/T172</f>
        <v>236.7399388379205</v>
      </c>
      <c r="Y172" s="95">
        <f>(D172-J172-O172)/S172</f>
        <v>47.875979567398758</v>
      </c>
      <c r="Z172" s="36">
        <f>(E172-K172-P172)/E172</f>
        <v>0.82193477860178221</v>
      </c>
      <c r="AA172" s="60">
        <f>SUM(D172-H172)/D172</f>
        <v>0.21598635257493798</v>
      </c>
      <c r="AB172" s="80"/>
      <c r="AD172" t="s">
        <v>91</v>
      </c>
      <c r="AE172">
        <f>AH177</f>
        <v>59.5</v>
      </c>
      <c r="AH172" s="7">
        <f>SUM(T173-T172)</f>
        <v>32</v>
      </c>
      <c r="AI172" s="94">
        <f>SUM(K173-K172)</f>
        <v>0</v>
      </c>
    </row>
    <row r="173" spans="1:35">
      <c r="A173" s="7"/>
      <c r="B173" s="71"/>
      <c r="C173" s="93" t="s">
        <v>92</v>
      </c>
      <c r="D173" s="56">
        <v>146237.10999999999</v>
      </c>
      <c r="E173" s="56">
        <v>89564.3</v>
      </c>
      <c r="F173" s="40">
        <v>0</v>
      </c>
      <c r="G173" s="36">
        <f t="shared" ref="G173:G177" si="340">F173/D173</f>
        <v>0</v>
      </c>
      <c r="H173" s="40">
        <v>114651.89</v>
      </c>
      <c r="I173" s="40">
        <v>73564.17</v>
      </c>
      <c r="J173" s="56">
        <f t="shared" si="339"/>
        <v>82888.160000000003</v>
      </c>
      <c r="K173" s="56">
        <v>0</v>
      </c>
      <c r="L173" s="40">
        <f t="shared" ref="L173:L177" si="341">J173-K173</f>
        <v>82888.160000000003</v>
      </c>
      <c r="M173" s="36">
        <f t="shared" ref="M173:M177" si="342">L173/J173</f>
        <v>1</v>
      </c>
      <c r="N173" s="58"/>
      <c r="O173" s="56">
        <v>31763.73</v>
      </c>
      <c r="P173" s="56">
        <v>13766.73</v>
      </c>
      <c r="Q173" s="40">
        <f t="shared" ref="Q173:Q177" si="343">O173-P173</f>
        <v>17997</v>
      </c>
      <c r="R173" s="36">
        <f t="shared" ref="R173:R177" si="344">Q173/O173</f>
        <v>0.56658962911471666</v>
      </c>
      <c r="S173" s="44">
        <v>659.73</v>
      </c>
      <c r="T173" s="44">
        <v>277.25</v>
      </c>
      <c r="U173" s="8">
        <f t="shared" ref="U173:U177" si="345">S173-T173</f>
        <v>382.48</v>
      </c>
      <c r="V173" s="36">
        <f t="shared" ref="V173:V177" si="346">U173/S173</f>
        <v>0.57975232291998247</v>
      </c>
      <c r="W173" s="58"/>
      <c r="X173" s="95">
        <f t="shared" ref="X173:X177" si="347">(E173-K173-P173)/T173</f>
        <v>273.39069431920655</v>
      </c>
      <c r="Y173" s="95">
        <f t="shared" ref="Y173:Y177" si="348">(D173-J173-O173)/S173</f>
        <v>47.875979567398758</v>
      </c>
      <c r="Z173" s="36">
        <f t="shared" ref="Z173:Z177" si="349">(E173-K173-P173)/E173</f>
        <v>0.8462922168765904</v>
      </c>
      <c r="AA173" s="60">
        <f t="shared" ref="AA173:AA176" si="350">SUM(D173-H173)/D173</f>
        <v>0.21598635257493798</v>
      </c>
      <c r="AB173" s="80"/>
      <c r="AD173" t="s">
        <v>93</v>
      </c>
      <c r="AE173" s="42">
        <f>AI177</f>
        <v>60408.100000000006</v>
      </c>
      <c r="AH173" s="7">
        <f>SUM(T174-T173)</f>
        <v>0.5</v>
      </c>
      <c r="AI173" s="94">
        <f>SUM(K174-K173)</f>
        <v>59720.630000000005</v>
      </c>
    </row>
    <row r="174" spans="1:35">
      <c r="A174" s="7"/>
      <c r="B174" s="71"/>
      <c r="C174" s="93" t="s">
        <v>94</v>
      </c>
      <c r="D174" s="56">
        <v>146237.10999999999</v>
      </c>
      <c r="E174" s="56">
        <v>89564.3</v>
      </c>
      <c r="F174" s="40">
        <f t="shared" ref="F174:F177" si="351">D174-E174</f>
        <v>56672.809999999983</v>
      </c>
      <c r="G174" s="36">
        <f t="shared" si="340"/>
        <v>0.38754054972776736</v>
      </c>
      <c r="H174" s="40">
        <v>114651.89</v>
      </c>
      <c r="I174" s="40">
        <v>73523.83</v>
      </c>
      <c r="J174" s="56">
        <f t="shared" si="339"/>
        <v>82888.160000000003</v>
      </c>
      <c r="K174" s="56">
        <f t="shared" ref="K174:K177" si="352">SUM(I174-P174)</f>
        <v>59720.630000000005</v>
      </c>
      <c r="L174" s="40">
        <f t="shared" si="341"/>
        <v>23167.53</v>
      </c>
      <c r="M174" s="36">
        <f t="shared" si="342"/>
        <v>0.27950349000387992</v>
      </c>
      <c r="N174" s="58"/>
      <c r="O174" s="56">
        <v>31763.73</v>
      </c>
      <c r="P174" s="56">
        <v>13803.2</v>
      </c>
      <c r="Q174" s="40">
        <f t="shared" si="343"/>
        <v>17960.53</v>
      </c>
      <c r="R174" s="36">
        <f t="shared" si="344"/>
        <v>0.56544146421090968</v>
      </c>
      <c r="S174" s="44">
        <v>659.73</v>
      </c>
      <c r="T174" s="44">
        <v>277.75</v>
      </c>
      <c r="U174" s="8">
        <f t="shared" si="345"/>
        <v>381.98</v>
      </c>
      <c r="V174" s="36">
        <f t="shared" si="346"/>
        <v>0.57899443711821508</v>
      </c>
      <c r="W174" s="58"/>
      <c r="X174" s="95">
        <f t="shared" si="347"/>
        <v>57.75146714671466</v>
      </c>
      <c r="Y174" s="95">
        <f t="shared" si="348"/>
        <v>47.875979567398758</v>
      </c>
      <c r="Z174" s="36">
        <f t="shared" si="349"/>
        <v>0.17909446062772774</v>
      </c>
      <c r="AA174" s="60">
        <f t="shared" si="350"/>
        <v>0.21598635257493798</v>
      </c>
      <c r="AB174" s="80"/>
      <c r="AH174" s="7">
        <f>SUM(T175-T174)</f>
        <v>0</v>
      </c>
      <c r="AI174" s="94">
        <f>SUM(K175-K174)</f>
        <v>0</v>
      </c>
    </row>
    <row r="175" spans="1:35">
      <c r="A175" s="7"/>
      <c r="B175" s="71"/>
      <c r="C175" s="93" t="s">
        <v>95</v>
      </c>
      <c r="D175" s="56">
        <v>146237.10999999999</v>
      </c>
      <c r="E175" s="56">
        <v>89564.3</v>
      </c>
      <c r="F175" s="40">
        <f t="shared" si="351"/>
        <v>56672.809999999983</v>
      </c>
      <c r="G175" s="36">
        <f t="shared" si="340"/>
        <v>0.38754054972776736</v>
      </c>
      <c r="H175" s="40">
        <v>114651.89</v>
      </c>
      <c r="I175" s="40">
        <v>73523.83</v>
      </c>
      <c r="J175" s="56">
        <f t="shared" si="339"/>
        <v>82888.160000000003</v>
      </c>
      <c r="K175" s="56">
        <f t="shared" si="352"/>
        <v>59720.630000000005</v>
      </c>
      <c r="L175" s="40">
        <f t="shared" si="341"/>
        <v>23167.53</v>
      </c>
      <c r="M175" s="36">
        <f t="shared" si="342"/>
        <v>0.27950349000387992</v>
      </c>
      <c r="N175" s="58"/>
      <c r="O175" s="56">
        <v>31763.73</v>
      </c>
      <c r="P175" s="56">
        <v>13803.2</v>
      </c>
      <c r="Q175" s="40">
        <f t="shared" si="343"/>
        <v>17960.53</v>
      </c>
      <c r="R175" s="36">
        <f t="shared" si="344"/>
        <v>0.56544146421090968</v>
      </c>
      <c r="S175" s="44">
        <v>659.73</v>
      </c>
      <c r="T175" s="44">
        <v>277.75</v>
      </c>
      <c r="U175" s="8">
        <f t="shared" si="345"/>
        <v>381.98</v>
      </c>
      <c r="V175" s="36">
        <f t="shared" si="346"/>
        <v>0.57899443711821508</v>
      </c>
      <c r="W175" s="58"/>
      <c r="X175" s="95">
        <f t="shared" si="347"/>
        <v>57.75146714671466</v>
      </c>
      <c r="Y175" s="95">
        <f t="shared" si="348"/>
        <v>47.875979567398758</v>
      </c>
      <c r="Z175" s="36">
        <f t="shared" si="349"/>
        <v>0.17909446062772774</v>
      </c>
      <c r="AA175" s="60">
        <f t="shared" si="350"/>
        <v>0.21598635257493798</v>
      </c>
      <c r="AB175" s="80"/>
      <c r="AD175" t="s">
        <v>96</v>
      </c>
      <c r="AE175" s="42">
        <v>0</v>
      </c>
      <c r="AH175" s="7">
        <f>SUM(T176-T175)</f>
        <v>0</v>
      </c>
      <c r="AI175" s="94">
        <f>SUM(K176-K175)</f>
        <v>0</v>
      </c>
    </row>
    <row r="176" spans="1:35">
      <c r="A176" s="7"/>
      <c r="B176" s="71"/>
      <c r="C176" s="93" t="s">
        <v>97</v>
      </c>
      <c r="D176" s="56">
        <v>146237.10999999999</v>
      </c>
      <c r="E176" s="56">
        <v>89564.3</v>
      </c>
      <c r="F176" s="40">
        <f t="shared" si="351"/>
        <v>56672.809999999983</v>
      </c>
      <c r="G176" s="36">
        <f t="shared" si="340"/>
        <v>0.38754054972776736</v>
      </c>
      <c r="H176" s="40">
        <v>114651.89</v>
      </c>
      <c r="I176" s="40">
        <v>73523.83</v>
      </c>
      <c r="J176" s="56">
        <f t="shared" si="339"/>
        <v>82888.160000000003</v>
      </c>
      <c r="K176" s="56">
        <f t="shared" si="352"/>
        <v>59720.630000000005</v>
      </c>
      <c r="L176" s="40">
        <f t="shared" si="341"/>
        <v>23167.53</v>
      </c>
      <c r="M176" s="36">
        <f t="shared" si="342"/>
        <v>0.27950349000387992</v>
      </c>
      <c r="N176" s="58"/>
      <c r="O176" s="56">
        <v>31763.73</v>
      </c>
      <c r="P176" s="56">
        <v>13803.2</v>
      </c>
      <c r="Q176" s="40">
        <f t="shared" si="343"/>
        <v>17960.53</v>
      </c>
      <c r="R176" s="36">
        <f t="shared" si="344"/>
        <v>0.56544146421090968</v>
      </c>
      <c r="S176" s="44">
        <v>659.73</v>
      </c>
      <c r="T176" s="44">
        <v>277.75</v>
      </c>
      <c r="U176" s="8">
        <f t="shared" si="345"/>
        <v>381.98</v>
      </c>
      <c r="V176" s="36">
        <f t="shared" si="346"/>
        <v>0.57899443711821508</v>
      </c>
      <c r="W176" s="58"/>
      <c r="X176" s="95">
        <f t="shared" si="347"/>
        <v>57.75146714671466</v>
      </c>
      <c r="Y176" s="95">
        <f t="shared" si="348"/>
        <v>47.875979567398758</v>
      </c>
      <c r="Z176" s="36">
        <f t="shared" si="349"/>
        <v>0.17909446062772774</v>
      </c>
      <c r="AA176" s="60">
        <f t="shared" si="350"/>
        <v>0.21598635257493798</v>
      </c>
      <c r="AB176" s="80"/>
      <c r="AH176" s="7">
        <f>SUM(T177-T176)</f>
        <v>27</v>
      </c>
      <c r="AI176" s="94">
        <f>SUM(K177-K176)</f>
        <v>687.47000000000116</v>
      </c>
    </row>
    <row r="177" spans="1:35" ht="15.75" thickBot="1">
      <c r="A177" s="9"/>
      <c r="B177" s="72"/>
      <c r="C177" s="98" t="s">
        <v>98</v>
      </c>
      <c r="D177" s="56">
        <v>146237.10999999999</v>
      </c>
      <c r="E177" s="56">
        <v>94266.45</v>
      </c>
      <c r="F177" s="40">
        <f t="shared" si="351"/>
        <v>51970.659999999989</v>
      </c>
      <c r="G177" s="36">
        <f t="shared" si="340"/>
        <v>0.355386262761894</v>
      </c>
      <c r="H177" s="40">
        <v>114651.87</v>
      </c>
      <c r="I177" s="40">
        <v>75526.070000000007</v>
      </c>
      <c r="J177" s="56">
        <f t="shared" si="339"/>
        <v>82888.079999999987</v>
      </c>
      <c r="K177" s="56">
        <f t="shared" si="352"/>
        <v>60408.100000000006</v>
      </c>
      <c r="L177" s="40">
        <f t="shared" si="341"/>
        <v>22479.979999999981</v>
      </c>
      <c r="M177" s="36">
        <f t="shared" si="342"/>
        <v>0.27120883967875703</v>
      </c>
      <c r="N177" s="58"/>
      <c r="O177" s="56">
        <v>31763.79</v>
      </c>
      <c r="P177" s="56">
        <v>15117.97</v>
      </c>
      <c r="Q177" s="40">
        <f t="shared" si="343"/>
        <v>16645.82</v>
      </c>
      <c r="R177" s="36">
        <f t="shared" si="344"/>
        <v>0.52405018418771809</v>
      </c>
      <c r="S177" s="44">
        <v>659.73</v>
      </c>
      <c r="T177" s="44">
        <v>304.75</v>
      </c>
      <c r="U177" s="8">
        <f t="shared" si="345"/>
        <v>354.98</v>
      </c>
      <c r="V177" s="36">
        <f t="shared" si="346"/>
        <v>0.53806860382277599</v>
      </c>
      <c r="W177" s="58"/>
      <c r="X177" s="95">
        <f t="shared" si="347"/>
        <v>61.494273995077897</v>
      </c>
      <c r="Y177" s="95">
        <f t="shared" si="348"/>
        <v>47.87600988283085</v>
      </c>
      <c r="Z177" s="36">
        <f t="shared" si="349"/>
        <v>0.19880222496975319</v>
      </c>
      <c r="AA177" s="60">
        <f>SUM(D177-H177)/D177</f>
        <v>0.21598648933912873</v>
      </c>
      <c r="AB177" s="80"/>
      <c r="AH177" s="9">
        <f>SUM(AH172,AH173,AH174,AH175,AH176)</f>
        <v>59.5</v>
      </c>
      <c r="AI177" s="97">
        <f>SUM(AI172,AI173,AI174,AI175,AI176)</f>
        <v>60408.100000000006</v>
      </c>
    </row>
    <row r="178" spans="1:35" ht="9" customHeight="1">
      <c r="A178" s="274">
        <v>0</v>
      </c>
      <c r="B178" s="275"/>
      <c r="C178" s="275"/>
      <c r="D178" s="275"/>
      <c r="E178" s="275"/>
      <c r="F178" s="275"/>
      <c r="G178" s="275"/>
      <c r="H178" s="275"/>
      <c r="I178" s="275"/>
      <c r="J178" s="275"/>
      <c r="K178" s="275"/>
      <c r="L178" s="275"/>
      <c r="M178" s="275"/>
      <c r="N178" s="275"/>
      <c r="O178" s="275"/>
      <c r="P178" s="275"/>
      <c r="Q178" s="275"/>
      <c r="R178" s="275"/>
      <c r="S178" s="275"/>
      <c r="T178" s="275"/>
      <c r="U178" s="275"/>
      <c r="V178" s="275"/>
      <c r="W178" s="275"/>
      <c r="X178" s="275"/>
      <c r="Y178" s="275"/>
      <c r="Z178" s="275"/>
      <c r="AA178" s="276"/>
    </row>
    <row r="179" spans="1:35">
      <c r="A179" s="7">
        <f>'Main Sheet'!A54</f>
        <v>9351</v>
      </c>
      <c r="B179" s="7" t="str">
        <f>'Main Sheet'!B54</f>
        <v>Harewood Golf Club</v>
      </c>
      <c r="C179" s="93" t="s">
        <v>90</v>
      </c>
      <c r="D179" s="56">
        <v>22013.439999999999</v>
      </c>
      <c r="E179" s="56">
        <v>0</v>
      </c>
      <c r="F179" s="40">
        <f>D179-E179</f>
        <v>22013.439999999999</v>
      </c>
      <c r="G179" s="36">
        <f>F179/D179</f>
        <v>1</v>
      </c>
      <c r="H179" s="40">
        <v>11868.76</v>
      </c>
      <c r="I179" s="40">
        <v>2282.63</v>
      </c>
      <c r="J179" s="56">
        <f t="shared" ref="J179:J184" si="353">SUM(H179-O179)</f>
        <v>3458.6000000000004</v>
      </c>
      <c r="K179" s="56">
        <f t="shared" ref="K179:K184" si="354">SUM(I179-P179)</f>
        <v>2282.63</v>
      </c>
      <c r="L179" s="40">
        <f>J179-K179</f>
        <v>1175.9700000000003</v>
      </c>
      <c r="M179" s="36">
        <f>L179/J179</f>
        <v>0.34001330017926334</v>
      </c>
      <c r="N179" s="58"/>
      <c r="O179" s="56">
        <v>8410.16</v>
      </c>
      <c r="P179" s="56">
        <v>0</v>
      </c>
      <c r="Q179" s="40">
        <f>O179-P179</f>
        <v>8410.16</v>
      </c>
      <c r="R179" s="36">
        <f>Q179/O179</f>
        <v>1</v>
      </c>
      <c r="S179" s="44">
        <v>168.44</v>
      </c>
      <c r="T179" s="44">
        <v>0</v>
      </c>
      <c r="U179" s="8">
        <f>S179-T179</f>
        <v>168.44</v>
      </c>
      <c r="V179" s="36">
        <f>U179/S179</f>
        <v>1</v>
      </c>
      <c r="W179" s="58"/>
      <c r="X179" s="95" t="e">
        <f>(E179-K179-P179)/T179</f>
        <v>#DIV/0!</v>
      </c>
      <c r="Y179" s="95">
        <f>(D179-J179-O179)/S179</f>
        <v>60.227261933032516</v>
      </c>
      <c r="Z179" s="36" t="e">
        <f>(E179-K179-P179)/E179</f>
        <v>#DIV/0!</v>
      </c>
      <c r="AA179" s="60">
        <f>SUM(D179-H179)/D179</f>
        <v>0.46084028666123966</v>
      </c>
      <c r="AB179" s="80"/>
      <c r="AD179" t="s">
        <v>91</v>
      </c>
      <c r="AE179">
        <f>AH184</f>
        <v>11.25</v>
      </c>
      <c r="AH179" s="7">
        <f>SUM(T180-T179)</f>
        <v>11.25</v>
      </c>
      <c r="AI179" s="94">
        <f>SUM(K180-K179)</f>
        <v>16.079999999999927</v>
      </c>
    </row>
    <row r="180" spans="1:35">
      <c r="A180" s="7"/>
      <c r="B180" s="71"/>
      <c r="C180" s="93" t="s">
        <v>92</v>
      </c>
      <c r="D180" s="56">
        <v>22013.439999999999</v>
      </c>
      <c r="E180" s="56">
        <v>4953.0200000000004</v>
      </c>
      <c r="F180" s="40">
        <f t="shared" ref="F180:F181" si="355">D180-E180</f>
        <v>17060.419999999998</v>
      </c>
      <c r="G180" s="36">
        <f t="shared" ref="G180:G184" si="356">F180/D180</f>
        <v>0.77500018170717522</v>
      </c>
      <c r="H180" s="40">
        <v>11868.76</v>
      </c>
      <c r="I180" s="40">
        <v>2946.15</v>
      </c>
      <c r="J180" s="56">
        <f t="shared" si="353"/>
        <v>3458.6000000000004</v>
      </c>
      <c r="K180" s="56">
        <f t="shared" si="354"/>
        <v>2298.71</v>
      </c>
      <c r="L180" s="40">
        <f t="shared" ref="L180:L184" si="357">J180-K180</f>
        <v>1159.8900000000003</v>
      </c>
      <c r="M180" s="36">
        <f t="shared" ref="M180:M184" si="358">L180/J180</f>
        <v>0.33536402012374955</v>
      </c>
      <c r="N180" s="58"/>
      <c r="O180" s="56">
        <v>8410.16</v>
      </c>
      <c r="P180" s="56">
        <v>647.44000000000005</v>
      </c>
      <c r="Q180" s="40">
        <f t="shared" ref="Q180:Q184" si="359">O180-P180</f>
        <v>7762.7199999999993</v>
      </c>
      <c r="R180" s="36">
        <f t="shared" ref="R180:R184" si="360">Q180/O180</f>
        <v>0.92301692238911026</v>
      </c>
      <c r="S180" s="44">
        <v>168.44</v>
      </c>
      <c r="T180" s="44">
        <v>11.25</v>
      </c>
      <c r="U180" s="8">
        <f t="shared" ref="U180:U184" si="361">S180-T180</f>
        <v>157.19</v>
      </c>
      <c r="V180" s="36">
        <f t="shared" ref="V180:V184" si="362">U180/S180</f>
        <v>0.9332106388031346</v>
      </c>
      <c r="W180" s="58"/>
      <c r="X180" s="95">
        <f t="shared" ref="X180:X184" si="363">(E180-K180-P180)/T180</f>
        <v>178.38844444444447</v>
      </c>
      <c r="Y180" s="95">
        <f t="shared" ref="Y180:Y184" si="364">(D180-J180-O180)/S180</f>
        <v>60.227261933032516</v>
      </c>
      <c r="Z180" s="36">
        <f t="shared" ref="Z180:Z184" si="365">(E180-K180-P180)/E180</f>
        <v>0.40518108144122178</v>
      </c>
      <c r="AA180" s="60">
        <f t="shared" ref="AA180:AA183" si="366">SUM(D180-H180)/D180</f>
        <v>0.46084028666123966</v>
      </c>
      <c r="AB180" s="80"/>
      <c r="AD180" t="s">
        <v>93</v>
      </c>
      <c r="AE180" s="42">
        <f>AI184</f>
        <v>16.079999999999927</v>
      </c>
      <c r="AH180" s="7">
        <f>SUM(T181-T180)</f>
        <v>0</v>
      </c>
      <c r="AI180" s="94">
        <f>SUM(K181-K180)</f>
        <v>0</v>
      </c>
    </row>
    <row r="181" spans="1:35">
      <c r="A181" s="7"/>
      <c r="B181" s="71"/>
      <c r="C181" s="93" t="s">
        <v>94</v>
      </c>
      <c r="D181" s="56">
        <v>16897.53</v>
      </c>
      <c r="E181" s="56">
        <v>0</v>
      </c>
      <c r="F181" s="40">
        <f t="shared" si="355"/>
        <v>16897.53</v>
      </c>
      <c r="G181" s="36">
        <f t="shared" si="356"/>
        <v>1</v>
      </c>
      <c r="H181" s="40">
        <v>9226.27</v>
      </c>
      <c r="I181" s="40">
        <v>2946.15</v>
      </c>
      <c r="J181" s="56">
        <f t="shared" si="353"/>
        <v>2977.1100000000006</v>
      </c>
      <c r="K181" s="56">
        <f t="shared" si="354"/>
        <v>2298.71</v>
      </c>
      <c r="L181" s="40">
        <f t="shared" si="357"/>
        <v>678.40000000000055</v>
      </c>
      <c r="M181" s="36">
        <f t="shared" si="358"/>
        <v>0.22787199666790961</v>
      </c>
      <c r="N181" s="58"/>
      <c r="O181" s="56">
        <v>6249.16</v>
      </c>
      <c r="P181" s="56">
        <v>647.44000000000005</v>
      </c>
      <c r="Q181" s="40">
        <f t="shared" si="359"/>
        <v>5601.7199999999993</v>
      </c>
      <c r="R181" s="36">
        <f t="shared" si="360"/>
        <v>0.89639567557879773</v>
      </c>
      <c r="S181" s="44">
        <v>125.17</v>
      </c>
      <c r="T181" s="44">
        <v>11.25</v>
      </c>
      <c r="U181" s="8">
        <f t="shared" si="361"/>
        <v>113.92</v>
      </c>
      <c r="V181" s="36">
        <f t="shared" si="362"/>
        <v>0.91012223376208357</v>
      </c>
      <c r="W181" s="58"/>
      <c r="X181" s="95">
        <f t="shared" si="363"/>
        <v>-261.88</v>
      </c>
      <c r="Y181" s="95">
        <f t="shared" si="364"/>
        <v>61.286730047135883</v>
      </c>
      <c r="Z181" s="36" t="e">
        <f t="shared" si="365"/>
        <v>#DIV/0!</v>
      </c>
      <c r="AA181" s="60">
        <f t="shared" si="366"/>
        <v>0.45398706201438904</v>
      </c>
      <c r="AB181" s="80"/>
      <c r="AH181" s="7">
        <f>SUM(T182-T181)</f>
        <v>0</v>
      </c>
      <c r="AI181" s="94">
        <f>SUM(K182-K181)</f>
        <v>0</v>
      </c>
    </row>
    <row r="182" spans="1:35">
      <c r="A182" s="7"/>
      <c r="B182" s="71"/>
      <c r="C182" s="93" t="s">
        <v>95</v>
      </c>
      <c r="D182" s="56">
        <v>16897.53</v>
      </c>
      <c r="E182" s="56">
        <v>0</v>
      </c>
      <c r="F182" s="40">
        <f t="shared" ref="F181:F184" si="367">D182-E182</f>
        <v>16897.53</v>
      </c>
      <c r="G182" s="36">
        <f t="shared" si="356"/>
        <v>1</v>
      </c>
      <c r="H182" s="40">
        <v>9226.27</v>
      </c>
      <c r="I182" s="40">
        <v>2946.15</v>
      </c>
      <c r="J182" s="56">
        <f t="shared" si="353"/>
        <v>2977.1100000000006</v>
      </c>
      <c r="K182" s="56">
        <f t="shared" si="354"/>
        <v>2298.71</v>
      </c>
      <c r="L182" s="40">
        <f t="shared" si="357"/>
        <v>678.40000000000055</v>
      </c>
      <c r="M182" s="36">
        <f t="shared" si="358"/>
        <v>0.22787199666790961</v>
      </c>
      <c r="N182" s="58"/>
      <c r="O182" s="56">
        <v>6249.16</v>
      </c>
      <c r="P182" s="56">
        <v>647.44000000000005</v>
      </c>
      <c r="Q182" s="40">
        <f t="shared" si="359"/>
        <v>5601.7199999999993</v>
      </c>
      <c r="R182" s="36">
        <f t="shared" si="360"/>
        <v>0.89639567557879773</v>
      </c>
      <c r="S182" s="44">
        <v>125.17</v>
      </c>
      <c r="T182" s="44">
        <v>11.25</v>
      </c>
      <c r="U182" s="8">
        <f t="shared" si="361"/>
        <v>113.92</v>
      </c>
      <c r="V182" s="36">
        <f t="shared" si="362"/>
        <v>0.91012223376208357</v>
      </c>
      <c r="W182" s="58"/>
      <c r="X182" s="95">
        <f t="shared" si="363"/>
        <v>-261.88</v>
      </c>
      <c r="Y182" s="95">
        <f t="shared" si="364"/>
        <v>61.286730047135883</v>
      </c>
      <c r="Z182" s="36" t="e">
        <f t="shared" si="365"/>
        <v>#DIV/0!</v>
      </c>
      <c r="AA182" s="60">
        <f t="shared" si="366"/>
        <v>0.45398706201438904</v>
      </c>
      <c r="AB182" s="80"/>
      <c r="AD182" t="s">
        <v>96</v>
      </c>
      <c r="AE182" s="42">
        <v>0</v>
      </c>
      <c r="AH182" s="7">
        <f>SUM(T183-T182)</f>
        <v>0</v>
      </c>
      <c r="AI182" s="94">
        <f>SUM(K183-K182)</f>
        <v>0</v>
      </c>
    </row>
    <row r="183" spans="1:35">
      <c r="A183" s="7"/>
      <c r="B183" s="71"/>
      <c r="C183" s="93" t="s">
        <v>97</v>
      </c>
      <c r="D183" s="56">
        <v>16897.53</v>
      </c>
      <c r="E183" s="56">
        <v>0</v>
      </c>
      <c r="F183" s="40">
        <f t="shared" si="367"/>
        <v>16897.53</v>
      </c>
      <c r="G183" s="36">
        <f t="shared" si="356"/>
        <v>1</v>
      </c>
      <c r="H183" s="40">
        <v>9226.27</v>
      </c>
      <c r="I183" s="40">
        <v>2946.15</v>
      </c>
      <c r="J183" s="56">
        <f t="shared" si="353"/>
        <v>2977.1100000000006</v>
      </c>
      <c r="K183" s="56">
        <f t="shared" si="354"/>
        <v>2298.71</v>
      </c>
      <c r="L183" s="40">
        <f t="shared" si="357"/>
        <v>678.40000000000055</v>
      </c>
      <c r="M183" s="36">
        <f t="shared" si="358"/>
        <v>0.22787199666790961</v>
      </c>
      <c r="N183" s="58"/>
      <c r="O183" s="56">
        <v>6249.16</v>
      </c>
      <c r="P183" s="56">
        <v>647.44000000000005</v>
      </c>
      <c r="Q183" s="40">
        <f t="shared" si="359"/>
        <v>5601.7199999999993</v>
      </c>
      <c r="R183" s="36">
        <f t="shared" si="360"/>
        <v>0.89639567557879773</v>
      </c>
      <c r="S183" s="44">
        <v>125.17</v>
      </c>
      <c r="T183" s="44">
        <v>11.25</v>
      </c>
      <c r="U183" s="8">
        <f t="shared" si="361"/>
        <v>113.92</v>
      </c>
      <c r="V183" s="36">
        <f t="shared" si="362"/>
        <v>0.91012223376208357</v>
      </c>
      <c r="W183" s="58"/>
      <c r="X183" s="95">
        <f t="shared" si="363"/>
        <v>-261.88</v>
      </c>
      <c r="Y183" s="95">
        <f t="shared" si="364"/>
        <v>61.286730047135883</v>
      </c>
      <c r="Z183" s="36" t="e">
        <f t="shared" si="365"/>
        <v>#DIV/0!</v>
      </c>
      <c r="AA183" s="60">
        <f t="shared" si="366"/>
        <v>0.45398706201438904</v>
      </c>
      <c r="AB183" s="80"/>
      <c r="AH183" s="7">
        <f>SUM(T184-T183)</f>
        <v>0</v>
      </c>
      <c r="AI183" s="94">
        <f>SUM(K184-K183)</f>
        <v>0</v>
      </c>
    </row>
    <row r="184" spans="1:35" ht="15.75" thickBot="1">
      <c r="A184" s="9"/>
      <c r="B184" s="72"/>
      <c r="C184" s="98" t="s">
        <v>98</v>
      </c>
      <c r="D184" s="56">
        <v>16897.53</v>
      </c>
      <c r="E184" s="56">
        <v>0</v>
      </c>
      <c r="F184" s="40">
        <f t="shared" si="367"/>
        <v>16897.53</v>
      </c>
      <c r="G184" s="36">
        <f t="shared" si="356"/>
        <v>1</v>
      </c>
      <c r="H184" s="40">
        <v>9226.27</v>
      </c>
      <c r="I184" s="40">
        <v>2946.15</v>
      </c>
      <c r="J184" s="56">
        <f t="shared" si="353"/>
        <v>2977.1100000000006</v>
      </c>
      <c r="K184" s="56">
        <f t="shared" si="354"/>
        <v>2298.71</v>
      </c>
      <c r="L184" s="40">
        <f t="shared" si="357"/>
        <v>678.40000000000055</v>
      </c>
      <c r="M184" s="36">
        <f t="shared" si="358"/>
        <v>0.22787199666790961</v>
      </c>
      <c r="N184" s="58"/>
      <c r="O184" s="56">
        <v>6249.16</v>
      </c>
      <c r="P184" s="56">
        <v>647.44000000000005</v>
      </c>
      <c r="Q184" s="40">
        <f t="shared" si="359"/>
        <v>5601.7199999999993</v>
      </c>
      <c r="R184" s="36">
        <f t="shared" si="360"/>
        <v>0.89639567557879773</v>
      </c>
      <c r="S184" s="44">
        <v>125.17</v>
      </c>
      <c r="T184" s="44">
        <v>11.25</v>
      </c>
      <c r="U184" s="8">
        <f t="shared" si="361"/>
        <v>113.92</v>
      </c>
      <c r="V184" s="36">
        <f t="shared" si="362"/>
        <v>0.91012223376208357</v>
      </c>
      <c r="W184" s="58"/>
      <c r="X184" s="95">
        <f t="shared" si="363"/>
        <v>-261.88</v>
      </c>
      <c r="Y184" s="95">
        <f t="shared" si="364"/>
        <v>61.286730047135883</v>
      </c>
      <c r="Z184" s="36" t="e">
        <f t="shared" si="365"/>
        <v>#DIV/0!</v>
      </c>
      <c r="AA184" s="60">
        <f>SUM(D184-H184)/D184</f>
        <v>0.45398706201438904</v>
      </c>
      <c r="AB184" s="80"/>
      <c r="AH184" s="9">
        <f>SUM(AH179,AH180,AH181,AH182,AH183)</f>
        <v>11.25</v>
      </c>
      <c r="AI184" s="97">
        <f>SUM(AI179,AI180,AI181,AI182,AI183)</f>
        <v>16.079999999999927</v>
      </c>
    </row>
    <row r="185" spans="1:35" ht="9" customHeight="1">
      <c r="A185" s="274"/>
      <c r="B185" s="275"/>
      <c r="C185" s="275"/>
      <c r="D185" s="275"/>
      <c r="E185" s="275"/>
      <c r="F185" s="275"/>
      <c r="G185" s="275"/>
      <c r="H185" s="275"/>
      <c r="I185" s="275"/>
      <c r="J185" s="275"/>
      <c r="K185" s="275"/>
      <c r="L185" s="275"/>
      <c r="M185" s="275"/>
      <c r="N185" s="275"/>
      <c r="O185" s="275"/>
      <c r="P185" s="275"/>
      <c r="Q185" s="275"/>
      <c r="R185" s="275"/>
      <c r="S185" s="275"/>
      <c r="T185" s="275"/>
      <c r="U185" s="275"/>
      <c r="V185" s="275"/>
      <c r="W185" s="275"/>
      <c r="X185" s="275"/>
      <c r="Y185" s="275"/>
      <c r="Z185" s="275"/>
      <c r="AA185" s="276"/>
    </row>
    <row r="186" spans="1:35">
      <c r="A186" s="7">
        <f>'Main Sheet'!A56</f>
        <v>7429</v>
      </c>
      <c r="B186" s="7" t="str">
        <f>'Main Sheet'!B56</f>
        <v>Taggart House</v>
      </c>
      <c r="C186" s="93" t="s">
        <v>90</v>
      </c>
      <c r="D186" s="56">
        <v>17608.259999999998</v>
      </c>
      <c r="E186" s="56">
        <v>1232.58</v>
      </c>
      <c r="F186" s="40">
        <f>D186-E186</f>
        <v>16375.679999999998</v>
      </c>
      <c r="G186" s="36">
        <f>F186/D186</f>
        <v>0.92999989777524861</v>
      </c>
      <c r="H186" s="40">
        <v>14076.97</v>
      </c>
      <c r="I186" s="40">
        <v>1028</v>
      </c>
      <c r="J186" s="56">
        <f t="shared" ref="J186:J191" si="368">SUM(H186-O186)</f>
        <v>8286.4599999999991</v>
      </c>
      <c r="K186" s="56">
        <v>0</v>
      </c>
      <c r="L186" s="40">
        <f>J186-K186</f>
        <v>8286.4599999999991</v>
      </c>
      <c r="M186" s="36">
        <f>L186/J186</f>
        <v>1</v>
      </c>
      <c r="N186" s="58"/>
      <c r="O186" s="56">
        <v>5790.51</v>
      </c>
      <c r="P186" s="56">
        <v>0</v>
      </c>
      <c r="Q186" s="40">
        <f>O186-P186</f>
        <v>5790.51</v>
      </c>
      <c r="R186" s="36">
        <f>Q186/O186</f>
        <v>1</v>
      </c>
      <c r="S186" s="44">
        <v>116.13</v>
      </c>
      <c r="T186" s="44">
        <v>0</v>
      </c>
      <c r="U186" s="8">
        <f>S186-T186</f>
        <v>116.13</v>
      </c>
      <c r="V186" s="36">
        <f>U186/S186</f>
        <v>1</v>
      </c>
      <c r="W186" s="58"/>
      <c r="X186" s="95" t="e">
        <f>(E186-K186-P186)/T186</f>
        <v>#DIV/0!</v>
      </c>
      <c r="Y186" s="95">
        <f>(D186-J186-O186)/S186</f>
        <v>30.40807715491259</v>
      </c>
      <c r="Z186" s="36">
        <f>(E186-K186-P186)/E186</f>
        <v>1</v>
      </c>
      <c r="AA186" s="60">
        <f>SUM(D186-H186)/D186</f>
        <v>0.20054735675188801</v>
      </c>
      <c r="AB186" s="80"/>
      <c r="AD186" t="s">
        <v>91</v>
      </c>
      <c r="AE186">
        <f>AH191</f>
        <v>32.25</v>
      </c>
      <c r="AH186" s="7">
        <f>SUM(T187-T186)</f>
        <v>0</v>
      </c>
      <c r="AI186" s="94">
        <f>SUM(K187-K186)</f>
        <v>0</v>
      </c>
    </row>
    <row r="187" spans="1:35">
      <c r="A187" s="7"/>
      <c r="B187" s="71"/>
      <c r="C187" s="93" t="s">
        <v>92</v>
      </c>
      <c r="D187" s="56">
        <v>17608.259999999998</v>
      </c>
      <c r="E187" s="56">
        <v>1232.58</v>
      </c>
      <c r="F187" s="40">
        <f>D187-E187</f>
        <v>16375.679999999998</v>
      </c>
      <c r="G187" s="36">
        <f t="shared" ref="G187:G191" si="369">F187/D187</f>
        <v>0.92999989777524861</v>
      </c>
      <c r="H187" s="40">
        <v>14077.05</v>
      </c>
      <c r="I187" s="40">
        <v>1028</v>
      </c>
      <c r="J187" s="56">
        <f t="shared" si="368"/>
        <v>8286.5399999999991</v>
      </c>
      <c r="K187" s="56">
        <v>0</v>
      </c>
      <c r="L187" s="40">
        <f t="shared" ref="L187:L191" si="370">J187-K187</f>
        <v>8286.5399999999991</v>
      </c>
      <c r="M187" s="36">
        <f t="shared" ref="M187:M191" si="371">L187/J187</f>
        <v>1</v>
      </c>
      <c r="N187" s="58"/>
      <c r="O187" s="56">
        <v>5790.51</v>
      </c>
      <c r="P187" s="56">
        <v>0</v>
      </c>
      <c r="Q187" s="40">
        <f t="shared" ref="Q187:Q191" si="372">O187-P187</f>
        <v>5790.51</v>
      </c>
      <c r="R187" s="36">
        <f t="shared" ref="R187:R191" si="373">Q187/O187</f>
        <v>1</v>
      </c>
      <c r="S187" s="44">
        <v>116.13</v>
      </c>
      <c r="T187" s="44">
        <v>0</v>
      </c>
      <c r="U187" s="8">
        <f t="shared" ref="U187:U191" si="374">S187-T187</f>
        <v>116.13</v>
      </c>
      <c r="V187" s="36">
        <f t="shared" ref="V187:V191" si="375">U187/S187</f>
        <v>1</v>
      </c>
      <c r="W187" s="58"/>
      <c r="X187" s="95" t="e">
        <f t="shared" ref="X187:X191" si="376">(E187-K187-P187)/T187</f>
        <v>#DIV/0!</v>
      </c>
      <c r="Y187" s="95">
        <f t="shared" ref="Y187:Y191" si="377">(D187-J187-O187)/S187</f>
        <v>30.407388271764397</v>
      </c>
      <c r="Z187" s="36">
        <f t="shared" ref="Z187:Z191" si="378">(E187-K187-P187)/E187</f>
        <v>1</v>
      </c>
      <c r="AA187" s="60">
        <f t="shared" ref="AA187:AA190" si="379">SUM(D187-H187)/D187</f>
        <v>0.20054281342960631</v>
      </c>
      <c r="AB187" s="80"/>
      <c r="AD187" t="s">
        <v>93</v>
      </c>
      <c r="AE187" s="42">
        <f>AI191</f>
        <v>3461.1499999999996</v>
      </c>
      <c r="AH187" s="7">
        <f>SUM(T188-T187)</f>
        <v>32.25</v>
      </c>
      <c r="AI187" s="94">
        <f>SUM(K188-K187)</f>
        <v>3461.1499999999996</v>
      </c>
    </row>
    <row r="188" spans="1:35">
      <c r="A188" s="7"/>
      <c r="B188" s="71"/>
      <c r="C188" s="93" t="s">
        <v>94</v>
      </c>
      <c r="D188" s="56">
        <v>20992.12</v>
      </c>
      <c r="E188" s="56">
        <v>1232.58</v>
      </c>
      <c r="F188" s="40">
        <f t="shared" ref="F188:F191" si="380">D188-E188</f>
        <v>19759.54</v>
      </c>
      <c r="G188" s="36">
        <f t="shared" si="369"/>
        <v>0.94128368168627097</v>
      </c>
      <c r="H188" s="40">
        <v>16299.09</v>
      </c>
      <c r="I188" s="40">
        <v>4905.28</v>
      </c>
      <c r="J188" s="56">
        <f t="shared" si="368"/>
        <v>9784.33</v>
      </c>
      <c r="K188" s="56">
        <f t="shared" ref="K188:K191" si="381">SUM(I188-P188)</f>
        <v>3461.1499999999996</v>
      </c>
      <c r="L188" s="40">
        <f t="shared" si="370"/>
        <v>6323.18</v>
      </c>
      <c r="M188" s="36">
        <f t="shared" si="371"/>
        <v>0.64625579881299999</v>
      </c>
      <c r="N188" s="58"/>
      <c r="O188" s="56">
        <v>6514.76</v>
      </c>
      <c r="P188" s="56">
        <v>1444.13</v>
      </c>
      <c r="Q188" s="40">
        <f t="shared" si="372"/>
        <v>5070.63</v>
      </c>
      <c r="R188" s="36">
        <f t="shared" si="373"/>
        <v>0.77832951635977377</v>
      </c>
      <c r="S188" s="44">
        <v>130.62</v>
      </c>
      <c r="T188" s="44">
        <v>32.25</v>
      </c>
      <c r="U188" s="8">
        <f t="shared" si="374"/>
        <v>98.37</v>
      </c>
      <c r="V188" s="36">
        <f t="shared" si="375"/>
        <v>0.75310059715204414</v>
      </c>
      <c r="W188" s="58"/>
      <c r="X188" s="95">
        <f t="shared" si="376"/>
        <v>-113.88217054263565</v>
      </c>
      <c r="Y188" s="95">
        <f t="shared" si="377"/>
        <v>35.928877660388906</v>
      </c>
      <c r="Z188" s="36">
        <f t="shared" si="378"/>
        <v>-2.9796848886076361</v>
      </c>
      <c r="AA188" s="60">
        <f t="shared" si="379"/>
        <v>0.22356150784199019</v>
      </c>
      <c r="AB188" s="80"/>
      <c r="AH188" s="7">
        <f>SUM(T189-T188)</f>
        <v>0</v>
      </c>
      <c r="AI188" s="94">
        <f>SUM(K189-K188)</f>
        <v>0</v>
      </c>
    </row>
    <row r="189" spans="1:35">
      <c r="A189" s="7"/>
      <c r="B189" s="71"/>
      <c r="C189" s="93" t="s">
        <v>95</v>
      </c>
      <c r="D189" s="56">
        <v>20992.12</v>
      </c>
      <c r="E189" s="56">
        <v>1232.58</v>
      </c>
      <c r="F189" s="40">
        <f t="shared" si="380"/>
        <v>19759.54</v>
      </c>
      <c r="G189" s="36">
        <f t="shared" si="369"/>
        <v>0.94128368168627097</v>
      </c>
      <c r="H189" s="40">
        <v>16299.09</v>
      </c>
      <c r="I189" s="40">
        <v>4905.28</v>
      </c>
      <c r="J189" s="56">
        <f t="shared" si="368"/>
        <v>9784.33</v>
      </c>
      <c r="K189" s="56">
        <f t="shared" si="381"/>
        <v>3461.1499999999996</v>
      </c>
      <c r="L189" s="40">
        <f t="shared" si="370"/>
        <v>6323.18</v>
      </c>
      <c r="M189" s="36">
        <f t="shared" si="371"/>
        <v>0.64625579881299999</v>
      </c>
      <c r="N189" s="58"/>
      <c r="O189" s="56">
        <v>6514.76</v>
      </c>
      <c r="P189" s="56">
        <v>1444.13</v>
      </c>
      <c r="Q189" s="40">
        <f t="shared" si="372"/>
        <v>5070.63</v>
      </c>
      <c r="R189" s="36">
        <f t="shared" si="373"/>
        <v>0.77832951635977377</v>
      </c>
      <c r="S189" s="44">
        <v>130.62</v>
      </c>
      <c r="T189" s="44">
        <v>32.25</v>
      </c>
      <c r="U189" s="8">
        <f t="shared" si="374"/>
        <v>98.37</v>
      </c>
      <c r="V189" s="36">
        <f t="shared" si="375"/>
        <v>0.75310059715204414</v>
      </c>
      <c r="W189" s="58"/>
      <c r="X189" s="95">
        <f t="shared" si="376"/>
        <v>-113.88217054263565</v>
      </c>
      <c r="Y189" s="95">
        <f t="shared" si="377"/>
        <v>35.928877660388906</v>
      </c>
      <c r="Z189" s="36">
        <f t="shared" si="378"/>
        <v>-2.9796848886076361</v>
      </c>
      <c r="AA189" s="60">
        <f t="shared" si="379"/>
        <v>0.22356150784199019</v>
      </c>
      <c r="AB189" s="80"/>
      <c r="AD189" t="s">
        <v>96</v>
      </c>
      <c r="AE189" s="42">
        <v>0</v>
      </c>
      <c r="AH189" s="7">
        <f>SUM(T190-T189)</f>
        <v>0</v>
      </c>
      <c r="AI189" s="94">
        <f>SUM(K190-K189)</f>
        <v>0</v>
      </c>
    </row>
    <row r="190" spans="1:35">
      <c r="A190" s="7"/>
      <c r="B190" s="71"/>
      <c r="C190" s="93" t="s">
        <v>97</v>
      </c>
      <c r="D190" s="56">
        <v>20992.12</v>
      </c>
      <c r="E190" s="56">
        <v>1232.58</v>
      </c>
      <c r="F190" s="40">
        <f t="shared" si="380"/>
        <v>19759.54</v>
      </c>
      <c r="G190" s="36">
        <f t="shared" si="369"/>
        <v>0.94128368168627097</v>
      </c>
      <c r="H190" s="40">
        <v>16299.09</v>
      </c>
      <c r="I190" s="40">
        <v>4905.28</v>
      </c>
      <c r="J190" s="56">
        <f t="shared" si="368"/>
        <v>9784.33</v>
      </c>
      <c r="K190" s="56">
        <f t="shared" si="381"/>
        <v>3461.1499999999996</v>
      </c>
      <c r="L190" s="40">
        <f t="shared" si="370"/>
        <v>6323.18</v>
      </c>
      <c r="M190" s="36">
        <f t="shared" si="371"/>
        <v>0.64625579881299999</v>
      </c>
      <c r="N190" s="58"/>
      <c r="O190" s="56">
        <v>6514.76</v>
      </c>
      <c r="P190" s="56">
        <v>1444.13</v>
      </c>
      <c r="Q190" s="40">
        <f t="shared" si="372"/>
        <v>5070.63</v>
      </c>
      <c r="R190" s="36">
        <f t="shared" si="373"/>
        <v>0.77832951635977377</v>
      </c>
      <c r="S190" s="44">
        <v>130.62</v>
      </c>
      <c r="T190" s="44">
        <v>32.25</v>
      </c>
      <c r="U190" s="8">
        <f t="shared" si="374"/>
        <v>98.37</v>
      </c>
      <c r="V190" s="36">
        <f t="shared" si="375"/>
        <v>0.75310059715204414</v>
      </c>
      <c r="W190" s="58"/>
      <c r="X190" s="95">
        <f t="shared" si="376"/>
        <v>-113.88217054263565</v>
      </c>
      <c r="Y190" s="95">
        <f t="shared" si="377"/>
        <v>35.928877660388906</v>
      </c>
      <c r="Z190" s="36">
        <f t="shared" si="378"/>
        <v>-2.9796848886076361</v>
      </c>
      <c r="AA190" s="60">
        <f t="shared" si="379"/>
        <v>0.22356150784199019</v>
      </c>
      <c r="AB190" s="80"/>
      <c r="AH190" s="7">
        <f>SUM(T191-T190)</f>
        <v>0</v>
      </c>
      <c r="AI190" s="94">
        <f>SUM(K191-K190)</f>
        <v>0</v>
      </c>
    </row>
    <row r="191" spans="1:35" ht="15.75" thickBot="1">
      <c r="A191" s="9"/>
      <c r="B191" s="72"/>
      <c r="C191" s="98" t="s">
        <v>98</v>
      </c>
      <c r="D191" s="56">
        <v>20992.12</v>
      </c>
      <c r="E191" s="56">
        <v>1232.58</v>
      </c>
      <c r="F191" s="40">
        <f t="shared" si="380"/>
        <v>19759.54</v>
      </c>
      <c r="G191" s="36">
        <f t="shared" si="369"/>
        <v>0.94128368168627097</v>
      </c>
      <c r="H191" s="40">
        <v>16299.09</v>
      </c>
      <c r="I191" s="40">
        <v>4905.28</v>
      </c>
      <c r="J191" s="56">
        <f t="shared" si="368"/>
        <v>9784.33</v>
      </c>
      <c r="K191" s="56">
        <f t="shared" si="381"/>
        <v>3461.1499999999996</v>
      </c>
      <c r="L191" s="40">
        <f t="shared" si="370"/>
        <v>6323.18</v>
      </c>
      <c r="M191" s="36">
        <f t="shared" si="371"/>
        <v>0.64625579881299999</v>
      </c>
      <c r="N191" s="58"/>
      <c r="O191" s="56">
        <v>6514.76</v>
      </c>
      <c r="P191" s="56">
        <v>1444.13</v>
      </c>
      <c r="Q191" s="40">
        <f t="shared" si="372"/>
        <v>5070.63</v>
      </c>
      <c r="R191" s="36">
        <f t="shared" si="373"/>
        <v>0.77832951635977377</v>
      </c>
      <c r="S191" s="44">
        <v>130.62</v>
      </c>
      <c r="T191" s="44">
        <v>32.25</v>
      </c>
      <c r="U191" s="8">
        <f t="shared" si="374"/>
        <v>98.37</v>
      </c>
      <c r="V191" s="36">
        <f t="shared" si="375"/>
        <v>0.75310059715204414</v>
      </c>
      <c r="W191" s="58"/>
      <c r="X191" s="95">
        <f t="shared" si="376"/>
        <v>-113.88217054263565</v>
      </c>
      <c r="Y191" s="95">
        <f t="shared" si="377"/>
        <v>35.928877660388906</v>
      </c>
      <c r="Z191" s="36">
        <f t="shared" si="378"/>
        <v>-2.9796848886076361</v>
      </c>
      <c r="AA191" s="60">
        <f>SUM(D191-H191)/D191</f>
        <v>0.22356150784199019</v>
      </c>
      <c r="AB191" s="80"/>
      <c r="AH191" s="9">
        <f>SUM(AH186,AH187,AH188,AH189,AH190)</f>
        <v>32.25</v>
      </c>
      <c r="AI191" s="97">
        <f>SUM(AI186,AI187,AI188,AI189,AI190)</f>
        <v>3461.1499999999996</v>
      </c>
    </row>
    <row r="192" spans="1:35" ht="9" customHeight="1">
      <c r="A192" s="274"/>
      <c r="B192" s="275"/>
      <c r="C192" s="275"/>
      <c r="D192" s="275"/>
      <c r="E192" s="275"/>
      <c r="F192" s="275"/>
      <c r="G192" s="275"/>
      <c r="H192" s="275"/>
      <c r="I192" s="275"/>
      <c r="J192" s="275"/>
      <c r="K192" s="275"/>
      <c r="L192" s="275"/>
      <c r="M192" s="275"/>
      <c r="N192" s="275"/>
      <c r="O192" s="275"/>
      <c r="P192" s="275"/>
      <c r="Q192" s="275"/>
      <c r="R192" s="275"/>
      <c r="S192" s="275"/>
      <c r="T192" s="275"/>
      <c r="U192" s="275"/>
      <c r="V192" s="275"/>
      <c r="W192" s="275"/>
      <c r="X192" s="275"/>
      <c r="Y192" s="275"/>
      <c r="Z192" s="275"/>
      <c r="AA192" s="276"/>
    </row>
    <row r="193" spans="1:35">
      <c r="A193" s="7">
        <f>'Main Sheet'!A58</f>
        <v>9508</v>
      </c>
      <c r="B193" s="71" t="str">
        <f>'Main Sheet'!B58</f>
        <v>St Barnabas Church</v>
      </c>
      <c r="C193" s="93" t="s">
        <v>90</v>
      </c>
      <c r="D193" s="56">
        <v>39559.620000000003</v>
      </c>
      <c r="E193" s="56">
        <v>0</v>
      </c>
      <c r="F193" s="40">
        <f>D193-E193</f>
        <v>39559.620000000003</v>
      </c>
      <c r="G193" s="36">
        <f>F193/D193</f>
        <v>1</v>
      </c>
      <c r="H193" s="40">
        <v>29401.08</v>
      </c>
      <c r="I193" s="40">
        <v>0</v>
      </c>
      <c r="J193" s="56">
        <f t="shared" ref="J193:J198" si="382">SUM(H193-O193)</f>
        <v>22999.49</v>
      </c>
      <c r="K193" s="56">
        <v>0</v>
      </c>
      <c r="L193" s="40">
        <f>J193-K193</f>
        <v>22999.49</v>
      </c>
      <c r="M193" s="36">
        <f>L193/J193</f>
        <v>1</v>
      </c>
      <c r="N193" s="58">
        <v>0</v>
      </c>
      <c r="O193" s="56">
        <v>6401.59</v>
      </c>
      <c r="P193" s="56">
        <v>0</v>
      </c>
      <c r="Q193" s="40">
        <f>O193-P193</f>
        <v>6401.59</v>
      </c>
      <c r="R193" s="36">
        <f>Q193/O193</f>
        <v>1</v>
      </c>
      <c r="S193" s="44">
        <v>129.75</v>
      </c>
      <c r="T193" s="44">
        <v>0</v>
      </c>
      <c r="U193" s="8">
        <f>S193-T193</f>
        <v>129.75</v>
      </c>
      <c r="V193" s="36">
        <f>U193/S193</f>
        <v>1</v>
      </c>
      <c r="W193" s="58">
        <v>0</v>
      </c>
      <c r="X193" s="95" t="e">
        <f>(E193-K193-P193)/T193</f>
        <v>#DIV/0!</v>
      </c>
      <c r="Y193" s="95">
        <f>(D193-J193-O193)/S193</f>
        <v>78.293179190751445</v>
      </c>
      <c r="Z193" s="36" t="e">
        <f>(E193-K193-P193)/E193</f>
        <v>#DIV/0!</v>
      </c>
      <c r="AA193" s="60">
        <f>SUM(D193-H193)/D193</f>
        <v>0.25679063651268641</v>
      </c>
      <c r="AB193" s="80"/>
      <c r="AD193" t="s">
        <v>91</v>
      </c>
      <c r="AE193">
        <f>AH198</f>
        <v>0</v>
      </c>
      <c r="AH193" s="7">
        <f>SUM(T194-T193)</f>
        <v>0</v>
      </c>
      <c r="AI193" s="94">
        <f>SUM(K194-K193)</f>
        <v>0</v>
      </c>
    </row>
    <row r="194" spans="1:35">
      <c r="A194" s="7"/>
      <c r="B194" s="71"/>
      <c r="C194" s="93" t="s">
        <v>92</v>
      </c>
      <c r="D194" s="56">
        <v>39559.620000000003</v>
      </c>
      <c r="E194" s="56">
        <v>0</v>
      </c>
      <c r="F194" s="40">
        <f t="shared" ref="F194:F195" si="383">D194-E194</f>
        <v>39559.620000000003</v>
      </c>
      <c r="G194" s="36">
        <f t="shared" ref="G194:G198" si="384">F194/D194</f>
        <v>1</v>
      </c>
      <c r="H194" s="40">
        <v>29401.08</v>
      </c>
      <c r="I194" s="40">
        <v>0</v>
      </c>
      <c r="J194" s="56">
        <f t="shared" si="382"/>
        <v>22999.49</v>
      </c>
      <c r="K194" s="56">
        <v>0</v>
      </c>
      <c r="L194" s="40">
        <f t="shared" ref="L194:L198" si="385">J194-K194</f>
        <v>22999.49</v>
      </c>
      <c r="M194" s="36">
        <f t="shared" ref="M194:M198" si="386">L194/J194</f>
        <v>1</v>
      </c>
      <c r="N194" s="58"/>
      <c r="O194" s="56">
        <v>6401.59</v>
      </c>
      <c r="P194" s="56">
        <v>0</v>
      </c>
      <c r="Q194" s="40">
        <f t="shared" ref="Q194:Q198" si="387">O194-P194</f>
        <v>6401.59</v>
      </c>
      <c r="R194" s="36">
        <f t="shared" ref="R194:R198" si="388">Q194/O194</f>
        <v>1</v>
      </c>
      <c r="S194" s="44">
        <v>129.75</v>
      </c>
      <c r="T194" s="44">
        <v>0</v>
      </c>
      <c r="U194" s="8">
        <f t="shared" ref="U194:U198" si="389">S194-T194</f>
        <v>129.75</v>
      </c>
      <c r="V194" s="36">
        <f t="shared" ref="V194:V198" si="390">U194/S194</f>
        <v>1</v>
      </c>
      <c r="W194" s="58"/>
      <c r="X194" s="95" t="e">
        <f t="shared" ref="X194:X198" si="391">(E194-K194-P194)/T194</f>
        <v>#DIV/0!</v>
      </c>
      <c r="Y194" s="95">
        <f t="shared" ref="Y194:Y198" si="392">(D194-J194-O194)/S194</f>
        <v>78.293179190751445</v>
      </c>
      <c r="Z194" s="36" t="e">
        <f t="shared" ref="Z194:Z198" si="393">(E194-K194-P194)/E194</f>
        <v>#DIV/0!</v>
      </c>
      <c r="AA194" s="60">
        <f t="shared" ref="AA194:AA197" si="394">SUM(D194-H194)/D194</f>
        <v>0.25679063651268641</v>
      </c>
      <c r="AB194" s="80"/>
      <c r="AD194" t="s">
        <v>93</v>
      </c>
      <c r="AE194" s="42">
        <f>AI198</f>
        <v>0</v>
      </c>
      <c r="AH194" s="7">
        <f>SUM(T195-T194)</f>
        <v>5.75</v>
      </c>
      <c r="AI194" s="94">
        <f>SUM(K195-K194)</f>
        <v>0</v>
      </c>
    </row>
    <row r="195" spans="1:35">
      <c r="A195" s="7"/>
      <c r="B195" s="71"/>
      <c r="C195" s="93" t="s">
        <v>94</v>
      </c>
      <c r="D195" s="56">
        <v>23770.95</v>
      </c>
      <c r="E195" s="56">
        <v>0</v>
      </c>
      <c r="F195" s="40">
        <f t="shared" si="383"/>
        <v>23770.95</v>
      </c>
      <c r="G195" s="36">
        <f t="shared" si="384"/>
        <v>1</v>
      </c>
      <c r="H195" s="40">
        <v>14310.96</v>
      </c>
      <c r="I195" s="40">
        <v>330.91</v>
      </c>
      <c r="J195" s="56">
        <f t="shared" si="382"/>
        <v>7389.3399999999992</v>
      </c>
      <c r="K195" s="56">
        <f t="shared" ref="K195:K198" si="395">SUM(I195-P195)</f>
        <v>0</v>
      </c>
      <c r="L195" s="40">
        <f t="shared" si="385"/>
        <v>7389.3399999999992</v>
      </c>
      <c r="M195" s="36">
        <f t="shared" si="386"/>
        <v>1</v>
      </c>
      <c r="N195" s="58"/>
      <c r="O195" s="56">
        <v>6921.62</v>
      </c>
      <c r="P195" s="56">
        <v>330.91</v>
      </c>
      <c r="Q195" s="40">
        <f t="shared" si="387"/>
        <v>6590.71</v>
      </c>
      <c r="R195" s="36">
        <f t="shared" si="388"/>
        <v>0.9521918279246766</v>
      </c>
      <c r="S195" s="44">
        <v>140.15</v>
      </c>
      <c r="T195" s="44">
        <v>5.75</v>
      </c>
      <c r="U195" s="8">
        <f t="shared" si="389"/>
        <v>134.4</v>
      </c>
      <c r="V195" s="36">
        <f t="shared" si="390"/>
        <v>0.95897252943275058</v>
      </c>
      <c r="W195" s="58"/>
      <c r="X195" s="95">
        <f t="shared" si="391"/>
        <v>-57.549565217391311</v>
      </c>
      <c r="Y195" s="95">
        <f t="shared" si="392"/>
        <v>67.499036746343208</v>
      </c>
      <c r="Z195" s="36" t="e">
        <f t="shared" si="393"/>
        <v>#DIV/0!</v>
      </c>
      <c r="AA195" s="60">
        <f t="shared" si="394"/>
        <v>0.39796432199806914</v>
      </c>
      <c r="AB195" s="80"/>
      <c r="AH195" s="7">
        <f>SUM(T196-T195)</f>
        <v>0</v>
      </c>
      <c r="AI195" s="94">
        <f>SUM(K196-K195)</f>
        <v>0</v>
      </c>
    </row>
    <row r="196" spans="1:35">
      <c r="A196" s="7"/>
      <c r="B196" s="71"/>
      <c r="C196" s="93" t="s">
        <v>95</v>
      </c>
      <c r="D196" s="56">
        <v>23770.95</v>
      </c>
      <c r="E196" s="56">
        <v>0</v>
      </c>
      <c r="F196" s="40">
        <f t="shared" ref="F195:F198" si="396">D196-E196</f>
        <v>23770.95</v>
      </c>
      <c r="G196" s="36">
        <f t="shared" si="384"/>
        <v>1</v>
      </c>
      <c r="H196" s="40">
        <v>14310.96</v>
      </c>
      <c r="I196" s="40">
        <v>330.91</v>
      </c>
      <c r="J196" s="56">
        <f t="shared" si="382"/>
        <v>7389.3399999999992</v>
      </c>
      <c r="K196" s="56">
        <f t="shared" si="395"/>
        <v>0</v>
      </c>
      <c r="L196" s="40">
        <f t="shared" si="385"/>
        <v>7389.3399999999992</v>
      </c>
      <c r="M196" s="36">
        <f t="shared" si="386"/>
        <v>1</v>
      </c>
      <c r="N196" s="58"/>
      <c r="O196" s="56">
        <v>6921.62</v>
      </c>
      <c r="P196" s="56">
        <v>330.91</v>
      </c>
      <c r="Q196" s="40">
        <f t="shared" si="387"/>
        <v>6590.71</v>
      </c>
      <c r="R196" s="36">
        <f t="shared" si="388"/>
        <v>0.9521918279246766</v>
      </c>
      <c r="S196" s="44">
        <v>140.15</v>
      </c>
      <c r="T196" s="44">
        <v>5.75</v>
      </c>
      <c r="U196" s="8">
        <f t="shared" si="389"/>
        <v>134.4</v>
      </c>
      <c r="V196" s="36">
        <f t="shared" si="390"/>
        <v>0.95897252943275058</v>
      </c>
      <c r="W196" s="58"/>
      <c r="X196" s="95">
        <f t="shared" si="391"/>
        <v>-57.549565217391311</v>
      </c>
      <c r="Y196" s="95">
        <f t="shared" si="392"/>
        <v>67.499036746343208</v>
      </c>
      <c r="Z196" s="36" t="e">
        <f t="shared" si="393"/>
        <v>#DIV/0!</v>
      </c>
      <c r="AA196" s="60">
        <f t="shared" si="394"/>
        <v>0.39796432199806914</v>
      </c>
      <c r="AB196" s="80"/>
      <c r="AD196" t="s">
        <v>96</v>
      </c>
      <c r="AE196" s="42">
        <v>0</v>
      </c>
      <c r="AH196" s="7">
        <f>SUM(T197-T196)</f>
        <v>0</v>
      </c>
      <c r="AI196" s="94">
        <f>SUM(K197-K196)</f>
        <v>0</v>
      </c>
    </row>
    <row r="197" spans="1:35">
      <c r="A197" s="7"/>
      <c r="B197" s="71"/>
      <c r="C197" s="93" t="s">
        <v>97</v>
      </c>
      <c r="D197" s="56">
        <v>23770.95</v>
      </c>
      <c r="E197" s="56">
        <v>0</v>
      </c>
      <c r="F197" s="40">
        <f t="shared" si="396"/>
        <v>23770.95</v>
      </c>
      <c r="G197" s="36">
        <f t="shared" si="384"/>
        <v>1</v>
      </c>
      <c r="H197" s="40">
        <v>14310.96</v>
      </c>
      <c r="I197" s="40">
        <v>330.91</v>
      </c>
      <c r="J197" s="56">
        <f t="shared" si="382"/>
        <v>7389.3399999999992</v>
      </c>
      <c r="K197" s="56">
        <f t="shared" si="395"/>
        <v>0</v>
      </c>
      <c r="L197" s="40">
        <f t="shared" si="385"/>
        <v>7389.3399999999992</v>
      </c>
      <c r="M197" s="36">
        <f t="shared" si="386"/>
        <v>1</v>
      </c>
      <c r="N197" s="58"/>
      <c r="O197" s="56">
        <v>6921.62</v>
      </c>
      <c r="P197" s="56">
        <v>330.91</v>
      </c>
      <c r="Q197" s="40">
        <f t="shared" si="387"/>
        <v>6590.71</v>
      </c>
      <c r="R197" s="36">
        <f t="shared" si="388"/>
        <v>0.9521918279246766</v>
      </c>
      <c r="S197" s="44">
        <v>140.15</v>
      </c>
      <c r="T197" s="44">
        <v>5.75</v>
      </c>
      <c r="U197" s="8">
        <f t="shared" si="389"/>
        <v>134.4</v>
      </c>
      <c r="V197" s="36">
        <f t="shared" si="390"/>
        <v>0.95897252943275058</v>
      </c>
      <c r="W197" s="58"/>
      <c r="X197" s="95">
        <f t="shared" si="391"/>
        <v>-57.549565217391311</v>
      </c>
      <c r="Y197" s="95">
        <f t="shared" si="392"/>
        <v>67.499036746343208</v>
      </c>
      <c r="Z197" s="36" t="e">
        <f t="shared" si="393"/>
        <v>#DIV/0!</v>
      </c>
      <c r="AA197" s="60">
        <f t="shared" si="394"/>
        <v>0.39796432199806914</v>
      </c>
      <c r="AB197" s="80"/>
      <c r="AH197" s="7">
        <f>SUM(T198-T197)</f>
        <v>-5.75</v>
      </c>
      <c r="AI197" s="94">
        <f>SUM(K198-K197)</f>
        <v>0</v>
      </c>
    </row>
    <row r="198" spans="1:35" ht="15.75" thickBot="1">
      <c r="A198" s="9"/>
      <c r="B198" s="72"/>
      <c r="C198" s="98" t="s">
        <v>98</v>
      </c>
      <c r="D198" s="56">
        <v>0</v>
      </c>
      <c r="E198" s="56">
        <v>0</v>
      </c>
      <c r="F198" s="40">
        <f t="shared" si="396"/>
        <v>0</v>
      </c>
      <c r="G198" s="36" t="e">
        <f t="shared" si="384"/>
        <v>#DIV/0!</v>
      </c>
      <c r="H198" s="40">
        <v>0</v>
      </c>
      <c r="I198" s="40">
        <v>0</v>
      </c>
      <c r="J198" s="56">
        <f t="shared" si="382"/>
        <v>0</v>
      </c>
      <c r="K198" s="56">
        <f t="shared" si="395"/>
        <v>0</v>
      </c>
      <c r="L198" s="40">
        <f t="shared" si="385"/>
        <v>0</v>
      </c>
      <c r="M198" s="36" t="e">
        <f t="shared" si="386"/>
        <v>#DIV/0!</v>
      </c>
      <c r="N198" s="58"/>
      <c r="O198" s="56">
        <v>0</v>
      </c>
      <c r="P198" s="56">
        <v>0</v>
      </c>
      <c r="Q198" s="40">
        <f t="shared" si="387"/>
        <v>0</v>
      </c>
      <c r="R198" s="36" t="e">
        <f t="shared" si="388"/>
        <v>#DIV/0!</v>
      </c>
      <c r="S198" s="44">
        <v>0</v>
      </c>
      <c r="T198" s="44">
        <v>0</v>
      </c>
      <c r="U198" s="8">
        <f t="shared" si="389"/>
        <v>0</v>
      </c>
      <c r="V198" s="36" t="e">
        <f t="shared" si="390"/>
        <v>#DIV/0!</v>
      </c>
      <c r="W198" s="58"/>
      <c r="X198" s="95" t="e">
        <f t="shared" si="391"/>
        <v>#DIV/0!</v>
      </c>
      <c r="Y198" s="95" t="e">
        <f t="shared" si="392"/>
        <v>#DIV/0!</v>
      </c>
      <c r="Z198" s="36" t="e">
        <f t="shared" si="393"/>
        <v>#DIV/0!</v>
      </c>
      <c r="AA198" s="60" t="e">
        <f>SUM(D198-H198)/D198</f>
        <v>#DIV/0!</v>
      </c>
      <c r="AB198" s="80"/>
      <c r="AH198" s="9">
        <f>SUM(AH193,AH194,AH195,AH196,AH197)</f>
        <v>0</v>
      </c>
      <c r="AI198" s="97">
        <f>SUM(AI193,AI194,AI195,AI196,AI197)</f>
        <v>0</v>
      </c>
    </row>
    <row r="199" spans="1:35" ht="9" customHeight="1">
      <c r="A199" s="274"/>
      <c r="B199" s="275"/>
      <c r="C199" s="275"/>
      <c r="D199" s="275"/>
      <c r="E199" s="275"/>
      <c r="F199" s="275"/>
      <c r="G199" s="275"/>
      <c r="H199" s="275"/>
      <c r="I199" s="275"/>
      <c r="J199" s="275"/>
      <c r="K199" s="275"/>
      <c r="L199" s="275"/>
      <c r="M199" s="275"/>
      <c r="N199" s="275"/>
      <c r="O199" s="275"/>
      <c r="P199" s="275"/>
      <c r="Q199" s="275"/>
      <c r="R199" s="275"/>
      <c r="S199" s="275"/>
      <c r="T199" s="275"/>
      <c r="U199" s="275"/>
      <c r="V199" s="275"/>
      <c r="W199" s="275"/>
      <c r="X199" s="275"/>
      <c r="Y199" s="275"/>
      <c r="Z199" s="275"/>
      <c r="AA199" s="276"/>
    </row>
    <row r="200" spans="1:35">
      <c r="A200" s="7">
        <f>'Main Sheet'!A60</f>
        <v>0</v>
      </c>
      <c r="B200" s="7">
        <f>'Main Sheet'!B60</f>
        <v>0</v>
      </c>
      <c r="C200" s="93" t="s">
        <v>90</v>
      </c>
      <c r="D200" s="56">
        <v>0</v>
      </c>
      <c r="E200" s="56">
        <v>0</v>
      </c>
      <c r="F200" s="40">
        <f>D200-E200</f>
        <v>0</v>
      </c>
      <c r="G200" s="36" t="e">
        <f>F200/D200</f>
        <v>#DIV/0!</v>
      </c>
      <c r="H200" s="40">
        <v>0</v>
      </c>
      <c r="I200" s="40">
        <v>0</v>
      </c>
      <c r="J200" s="56">
        <v>0</v>
      </c>
      <c r="K200" s="56">
        <v>0</v>
      </c>
      <c r="L200" s="40">
        <f>J200-K200</f>
        <v>0</v>
      </c>
      <c r="M200" s="36" t="e">
        <f>L200/J200</f>
        <v>#DIV/0!</v>
      </c>
      <c r="N200" s="58"/>
      <c r="O200" s="56">
        <v>0</v>
      </c>
      <c r="P200" s="56">
        <v>0</v>
      </c>
      <c r="Q200" s="40">
        <f>O200-P200</f>
        <v>0</v>
      </c>
      <c r="R200" s="36" t="e">
        <f>Q200/O200</f>
        <v>#DIV/0!</v>
      </c>
      <c r="S200" s="44">
        <v>0</v>
      </c>
      <c r="T200" s="44">
        <v>0</v>
      </c>
      <c r="U200" s="8">
        <f>S200-T200</f>
        <v>0</v>
      </c>
      <c r="V200" s="36" t="e">
        <f>U200/S200</f>
        <v>#DIV/0!</v>
      </c>
      <c r="W200" s="58"/>
      <c r="X200" s="95" t="e">
        <f>(E200-K200-P200)/T200</f>
        <v>#DIV/0!</v>
      </c>
      <c r="Y200" s="95" t="e">
        <f>(D200-J200-O200)/S200</f>
        <v>#DIV/0!</v>
      </c>
      <c r="Z200" s="36" t="e">
        <f>(E200-K200-P200)/E200</f>
        <v>#DIV/0!</v>
      </c>
      <c r="AA200" s="60" t="e">
        <f>SUM(D200-H200)/D200</f>
        <v>#DIV/0!</v>
      </c>
      <c r="AB200" s="80"/>
      <c r="AD200" t="s">
        <v>91</v>
      </c>
      <c r="AE200">
        <f>AH205</f>
        <v>0</v>
      </c>
      <c r="AH200" s="7">
        <f>SUM(T201-T200)</f>
        <v>0</v>
      </c>
      <c r="AI200" s="94">
        <f>SUM(K201-K200)</f>
        <v>0</v>
      </c>
    </row>
    <row r="201" spans="1:35">
      <c r="A201" s="7"/>
      <c r="B201" s="71"/>
      <c r="C201" s="93" t="s">
        <v>92</v>
      </c>
      <c r="D201" s="56">
        <v>0</v>
      </c>
      <c r="E201" s="56">
        <v>0</v>
      </c>
      <c r="F201" s="40">
        <v>0</v>
      </c>
      <c r="G201" s="36" t="e">
        <f t="shared" ref="G201:G205" si="397">F201/D201</f>
        <v>#DIV/0!</v>
      </c>
      <c r="H201" s="40">
        <v>0</v>
      </c>
      <c r="I201" s="40">
        <v>0</v>
      </c>
      <c r="J201" s="56">
        <v>0</v>
      </c>
      <c r="K201" s="56">
        <v>0</v>
      </c>
      <c r="L201" s="40">
        <f t="shared" ref="L201:L205" si="398">J201-K201</f>
        <v>0</v>
      </c>
      <c r="M201" s="36" t="e">
        <f t="shared" ref="M201:M205" si="399">L201/J201</f>
        <v>#DIV/0!</v>
      </c>
      <c r="N201" s="58"/>
      <c r="O201" s="56">
        <v>0</v>
      </c>
      <c r="P201" s="56">
        <v>0</v>
      </c>
      <c r="Q201" s="40">
        <f t="shared" ref="Q201:Q205" si="400">O201-P201</f>
        <v>0</v>
      </c>
      <c r="R201" s="36" t="e">
        <f t="shared" ref="R201:R205" si="401">Q201/O201</f>
        <v>#DIV/0!</v>
      </c>
      <c r="S201" s="44">
        <v>0</v>
      </c>
      <c r="T201" s="44">
        <v>0</v>
      </c>
      <c r="U201" s="8">
        <f t="shared" ref="U201:U205" si="402">S201-T201</f>
        <v>0</v>
      </c>
      <c r="V201" s="36" t="e">
        <f t="shared" ref="V201:V205" si="403">U201/S201</f>
        <v>#DIV/0!</v>
      </c>
      <c r="W201" s="58"/>
      <c r="X201" s="95" t="e">
        <f t="shared" ref="X201:X205" si="404">(E201-K201-P201)/T201</f>
        <v>#DIV/0!</v>
      </c>
      <c r="Y201" s="95" t="e">
        <f t="shared" ref="Y201:Y205" si="405">(D201-J201-O201)/S201</f>
        <v>#DIV/0!</v>
      </c>
      <c r="Z201" s="36" t="e">
        <f t="shared" ref="Z201:Z205" si="406">(E201-K201-P201)/E201</f>
        <v>#DIV/0!</v>
      </c>
      <c r="AA201" s="60" t="e">
        <f t="shared" ref="AA201:AA204" si="407">SUM(D201-H201)/D201</f>
        <v>#DIV/0!</v>
      </c>
      <c r="AB201" s="80"/>
      <c r="AD201" t="s">
        <v>93</v>
      </c>
      <c r="AE201" s="42">
        <f>AI205</f>
        <v>0</v>
      </c>
      <c r="AH201" s="7">
        <f>SUM(T202-T201)</f>
        <v>0</v>
      </c>
      <c r="AI201" s="94">
        <f>SUM(K202-K201)</f>
        <v>0</v>
      </c>
    </row>
    <row r="202" spans="1:35">
      <c r="A202" s="7"/>
      <c r="B202" s="71"/>
      <c r="C202" s="93" t="s">
        <v>94</v>
      </c>
      <c r="D202" s="56">
        <v>0</v>
      </c>
      <c r="E202" s="56">
        <v>0</v>
      </c>
      <c r="F202" s="40">
        <f t="shared" ref="F202:F205" si="408">D202-E202</f>
        <v>0</v>
      </c>
      <c r="G202" s="36" t="e">
        <f t="shared" si="397"/>
        <v>#DIV/0!</v>
      </c>
      <c r="H202" s="40">
        <v>0</v>
      </c>
      <c r="I202" s="40">
        <v>0</v>
      </c>
      <c r="J202" s="56">
        <f t="shared" ref="J202:J205" si="409">SUM(H202-O202)</f>
        <v>0</v>
      </c>
      <c r="K202" s="56">
        <f t="shared" ref="K202:K205" si="410">SUM(I202-P202)</f>
        <v>0</v>
      </c>
      <c r="L202" s="40">
        <f t="shared" si="398"/>
        <v>0</v>
      </c>
      <c r="M202" s="36" t="e">
        <f t="shared" si="399"/>
        <v>#DIV/0!</v>
      </c>
      <c r="N202" s="58"/>
      <c r="O202" s="56">
        <v>0</v>
      </c>
      <c r="P202" s="56">
        <v>0</v>
      </c>
      <c r="Q202" s="40">
        <f t="shared" si="400"/>
        <v>0</v>
      </c>
      <c r="R202" s="36" t="e">
        <f t="shared" si="401"/>
        <v>#DIV/0!</v>
      </c>
      <c r="S202" s="44">
        <v>0</v>
      </c>
      <c r="T202" s="44">
        <v>0</v>
      </c>
      <c r="U202" s="8">
        <f t="shared" si="402"/>
        <v>0</v>
      </c>
      <c r="V202" s="36" t="e">
        <f t="shared" si="403"/>
        <v>#DIV/0!</v>
      </c>
      <c r="W202" s="58"/>
      <c r="X202" s="95" t="e">
        <f t="shared" si="404"/>
        <v>#DIV/0!</v>
      </c>
      <c r="Y202" s="95" t="e">
        <f t="shared" si="405"/>
        <v>#DIV/0!</v>
      </c>
      <c r="Z202" s="36" t="e">
        <f t="shared" si="406"/>
        <v>#DIV/0!</v>
      </c>
      <c r="AA202" s="60" t="e">
        <f t="shared" si="407"/>
        <v>#DIV/0!</v>
      </c>
      <c r="AB202" s="80"/>
      <c r="AH202" s="7">
        <f>SUM(T203-T202)</f>
        <v>0</v>
      </c>
      <c r="AI202" s="94">
        <f>SUM(K203-K202)</f>
        <v>0</v>
      </c>
    </row>
    <row r="203" spans="1:35">
      <c r="A203" s="7"/>
      <c r="B203" s="71"/>
      <c r="C203" s="93" t="s">
        <v>95</v>
      </c>
      <c r="D203" s="56">
        <v>0</v>
      </c>
      <c r="E203" s="56">
        <v>0</v>
      </c>
      <c r="F203" s="40">
        <f t="shared" si="408"/>
        <v>0</v>
      </c>
      <c r="G203" s="36" t="e">
        <f t="shared" si="397"/>
        <v>#DIV/0!</v>
      </c>
      <c r="H203" s="40">
        <v>0</v>
      </c>
      <c r="I203" s="40">
        <v>0</v>
      </c>
      <c r="J203" s="56">
        <f t="shared" si="409"/>
        <v>0</v>
      </c>
      <c r="K203" s="56">
        <f t="shared" si="410"/>
        <v>0</v>
      </c>
      <c r="L203" s="40">
        <f t="shared" si="398"/>
        <v>0</v>
      </c>
      <c r="M203" s="36" t="e">
        <f t="shared" si="399"/>
        <v>#DIV/0!</v>
      </c>
      <c r="N203" s="58"/>
      <c r="O203" s="56">
        <v>0</v>
      </c>
      <c r="P203" s="56">
        <v>0</v>
      </c>
      <c r="Q203" s="40">
        <f t="shared" si="400"/>
        <v>0</v>
      </c>
      <c r="R203" s="36" t="e">
        <f t="shared" si="401"/>
        <v>#DIV/0!</v>
      </c>
      <c r="S203" s="44">
        <v>0</v>
      </c>
      <c r="T203" s="44">
        <v>0</v>
      </c>
      <c r="U203" s="8">
        <f t="shared" si="402"/>
        <v>0</v>
      </c>
      <c r="V203" s="36" t="e">
        <f t="shared" si="403"/>
        <v>#DIV/0!</v>
      </c>
      <c r="W203" s="58"/>
      <c r="X203" s="95" t="e">
        <f t="shared" si="404"/>
        <v>#DIV/0!</v>
      </c>
      <c r="Y203" s="95" t="e">
        <f t="shared" si="405"/>
        <v>#DIV/0!</v>
      </c>
      <c r="Z203" s="36" t="e">
        <f t="shared" si="406"/>
        <v>#DIV/0!</v>
      </c>
      <c r="AA203" s="60" t="e">
        <f t="shared" si="407"/>
        <v>#DIV/0!</v>
      </c>
      <c r="AB203" s="80"/>
      <c r="AD203" t="s">
        <v>96</v>
      </c>
      <c r="AE203" s="42">
        <v>0</v>
      </c>
      <c r="AH203" s="7">
        <f>SUM(T204-T203)</f>
        <v>0</v>
      </c>
      <c r="AI203" s="94">
        <f>SUM(K204-K203)</f>
        <v>0</v>
      </c>
    </row>
    <row r="204" spans="1:35">
      <c r="A204" s="7"/>
      <c r="B204" s="71"/>
      <c r="C204" s="93" t="s">
        <v>97</v>
      </c>
      <c r="D204" s="56">
        <v>0</v>
      </c>
      <c r="E204" s="56">
        <v>0</v>
      </c>
      <c r="F204" s="40">
        <f t="shared" si="408"/>
        <v>0</v>
      </c>
      <c r="G204" s="36" t="e">
        <f t="shared" si="397"/>
        <v>#DIV/0!</v>
      </c>
      <c r="H204" s="40">
        <v>0</v>
      </c>
      <c r="I204" s="40">
        <v>0</v>
      </c>
      <c r="J204" s="56">
        <f t="shared" si="409"/>
        <v>0</v>
      </c>
      <c r="K204" s="56">
        <f t="shared" si="410"/>
        <v>0</v>
      </c>
      <c r="L204" s="40">
        <f t="shared" si="398"/>
        <v>0</v>
      </c>
      <c r="M204" s="36" t="e">
        <f t="shared" si="399"/>
        <v>#DIV/0!</v>
      </c>
      <c r="N204" s="58"/>
      <c r="O204" s="56">
        <v>0</v>
      </c>
      <c r="P204" s="56">
        <v>0</v>
      </c>
      <c r="Q204" s="40">
        <f t="shared" si="400"/>
        <v>0</v>
      </c>
      <c r="R204" s="36" t="e">
        <f t="shared" si="401"/>
        <v>#DIV/0!</v>
      </c>
      <c r="S204" s="44">
        <v>0</v>
      </c>
      <c r="T204" s="44">
        <v>0</v>
      </c>
      <c r="U204" s="8">
        <f t="shared" si="402"/>
        <v>0</v>
      </c>
      <c r="V204" s="36" t="e">
        <f t="shared" si="403"/>
        <v>#DIV/0!</v>
      </c>
      <c r="W204" s="58"/>
      <c r="X204" s="95" t="e">
        <f t="shared" si="404"/>
        <v>#DIV/0!</v>
      </c>
      <c r="Y204" s="95" t="e">
        <f t="shared" si="405"/>
        <v>#DIV/0!</v>
      </c>
      <c r="Z204" s="36" t="e">
        <f t="shared" si="406"/>
        <v>#DIV/0!</v>
      </c>
      <c r="AA204" s="60" t="e">
        <f t="shared" si="407"/>
        <v>#DIV/0!</v>
      </c>
      <c r="AB204" s="80"/>
      <c r="AH204" s="7">
        <f>SUM(T205-T204)</f>
        <v>0</v>
      </c>
      <c r="AI204" s="94">
        <f>SUM(K205-K204)</f>
        <v>0</v>
      </c>
    </row>
    <row r="205" spans="1:35" ht="15.75" thickBot="1">
      <c r="A205" s="9"/>
      <c r="B205" s="72"/>
      <c r="C205" s="98" t="s">
        <v>98</v>
      </c>
      <c r="D205" s="56">
        <v>0</v>
      </c>
      <c r="E205" s="56">
        <v>0</v>
      </c>
      <c r="F205" s="40">
        <f t="shared" si="408"/>
        <v>0</v>
      </c>
      <c r="G205" s="36" t="e">
        <f t="shared" si="397"/>
        <v>#DIV/0!</v>
      </c>
      <c r="H205" s="40">
        <v>0</v>
      </c>
      <c r="I205" s="40">
        <v>0</v>
      </c>
      <c r="J205" s="56">
        <f t="shared" si="409"/>
        <v>0</v>
      </c>
      <c r="K205" s="56">
        <f t="shared" si="410"/>
        <v>0</v>
      </c>
      <c r="L205" s="40">
        <f t="shared" si="398"/>
        <v>0</v>
      </c>
      <c r="M205" s="36" t="e">
        <f t="shared" si="399"/>
        <v>#DIV/0!</v>
      </c>
      <c r="N205" s="58"/>
      <c r="O205" s="56">
        <v>0</v>
      </c>
      <c r="P205" s="56">
        <v>0</v>
      </c>
      <c r="Q205" s="40">
        <f t="shared" si="400"/>
        <v>0</v>
      </c>
      <c r="R205" s="36" t="e">
        <f t="shared" si="401"/>
        <v>#DIV/0!</v>
      </c>
      <c r="S205" s="44">
        <v>0</v>
      </c>
      <c r="T205" s="44">
        <v>0</v>
      </c>
      <c r="U205" s="8">
        <f t="shared" si="402"/>
        <v>0</v>
      </c>
      <c r="V205" s="36" t="e">
        <f t="shared" si="403"/>
        <v>#DIV/0!</v>
      </c>
      <c r="W205" s="58"/>
      <c r="X205" s="95" t="e">
        <f t="shared" si="404"/>
        <v>#DIV/0!</v>
      </c>
      <c r="Y205" s="95" t="e">
        <f t="shared" si="405"/>
        <v>#DIV/0!</v>
      </c>
      <c r="Z205" s="36" t="e">
        <f t="shared" si="406"/>
        <v>#DIV/0!</v>
      </c>
      <c r="AA205" s="60" t="e">
        <f>SUM(D205-H205)/D205</f>
        <v>#DIV/0!</v>
      </c>
      <c r="AB205" s="80"/>
      <c r="AH205" s="9">
        <f>SUM(AH200,AH201,AH202,AH203,AH204)</f>
        <v>0</v>
      </c>
      <c r="AI205" s="97">
        <f>SUM(AI200,AI201,AI202,AI203,AI204)</f>
        <v>0</v>
      </c>
    </row>
    <row r="206" spans="1:35" ht="9" customHeight="1">
      <c r="A206" s="274"/>
      <c r="B206" s="275"/>
      <c r="C206" s="275"/>
      <c r="D206" s="275"/>
      <c r="E206" s="275"/>
      <c r="F206" s="275"/>
      <c r="G206" s="275"/>
      <c r="H206" s="275"/>
      <c r="I206" s="275"/>
      <c r="J206" s="275"/>
      <c r="K206" s="275"/>
      <c r="L206" s="275"/>
      <c r="M206" s="275"/>
      <c r="N206" s="275"/>
      <c r="O206" s="275"/>
      <c r="P206" s="275"/>
      <c r="Q206" s="275"/>
      <c r="R206" s="275"/>
      <c r="S206" s="275"/>
      <c r="T206" s="275"/>
      <c r="U206" s="275"/>
      <c r="V206" s="275"/>
      <c r="W206" s="275"/>
      <c r="X206" s="275"/>
      <c r="Y206" s="275"/>
      <c r="Z206" s="275"/>
      <c r="AA206" s="276"/>
    </row>
    <row r="207" spans="1:35">
      <c r="A207" s="7">
        <f>'Main Sheet'!A62</f>
        <v>0</v>
      </c>
      <c r="B207" s="7" t="str">
        <f>'Main Sheet'!B62</f>
        <v>Contracting</v>
      </c>
      <c r="C207" s="93" t="s">
        <v>90</v>
      </c>
      <c r="D207" s="56"/>
      <c r="E207" s="56"/>
      <c r="F207" s="40">
        <f>D207-E207</f>
        <v>0</v>
      </c>
      <c r="G207" s="36" t="e">
        <f>F207/D207</f>
        <v>#DIV/0!</v>
      </c>
      <c r="H207" s="40"/>
      <c r="I207" s="40"/>
      <c r="J207" s="56">
        <v>0</v>
      </c>
      <c r="K207" s="56">
        <v>0</v>
      </c>
      <c r="L207" s="40">
        <f>J207-K207</f>
        <v>0</v>
      </c>
      <c r="M207" s="36" t="e">
        <f>L207/J207</f>
        <v>#DIV/0!</v>
      </c>
      <c r="N207" s="58"/>
      <c r="O207" s="56"/>
      <c r="P207" s="56"/>
      <c r="Q207" s="40">
        <f>O207-P207</f>
        <v>0</v>
      </c>
      <c r="R207" s="36" t="e">
        <f>Q207/O207</f>
        <v>#DIV/0!</v>
      </c>
      <c r="S207" s="44"/>
      <c r="T207" s="44"/>
      <c r="U207" s="8">
        <f>S207-T207</f>
        <v>0</v>
      </c>
      <c r="V207" s="36" t="e">
        <f>U207/S207</f>
        <v>#DIV/0!</v>
      </c>
      <c r="W207" s="58"/>
      <c r="X207" s="95" t="e">
        <f>(E207-K207-P207)/T207</f>
        <v>#DIV/0!</v>
      </c>
      <c r="Y207" s="95" t="e">
        <f>(D207-J207-O207)/S207</f>
        <v>#DIV/0!</v>
      </c>
      <c r="Z207" s="36" t="e">
        <f>(E207-K207-P207)/E207</f>
        <v>#DIV/0!</v>
      </c>
      <c r="AA207" s="60" t="e">
        <f>SUM(D207-H207)/D207</f>
        <v>#DIV/0!</v>
      </c>
      <c r="AB207" s="80"/>
      <c r="AD207" t="s">
        <v>91</v>
      </c>
      <c r="AE207">
        <f>AH212</f>
        <v>0</v>
      </c>
      <c r="AH207" s="7">
        <f>SUM(T208-T207)</f>
        <v>0</v>
      </c>
      <c r="AI207" s="94">
        <f>SUM(K208-K207)</f>
        <v>0</v>
      </c>
    </row>
    <row r="208" spans="1:35">
      <c r="A208" s="7"/>
      <c r="B208" s="71"/>
      <c r="C208" s="93" t="s">
        <v>92</v>
      </c>
      <c r="D208" s="56"/>
      <c r="E208" s="56"/>
      <c r="F208" s="40">
        <f t="shared" ref="F208:F209" si="411">D208-E208</f>
        <v>0</v>
      </c>
      <c r="G208" s="36" t="e">
        <f t="shared" ref="G208:G212" si="412">F208/D208</f>
        <v>#DIV/0!</v>
      </c>
      <c r="H208" s="40"/>
      <c r="I208" s="40"/>
      <c r="J208" s="56">
        <v>0</v>
      </c>
      <c r="K208" s="56">
        <v>0</v>
      </c>
      <c r="L208" s="40">
        <f t="shared" ref="L208:L212" si="413">J208-K208</f>
        <v>0</v>
      </c>
      <c r="M208" s="36" t="e">
        <f t="shared" ref="M208:M212" si="414">L208/J208</f>
        <v>#DIV/0!</v>
      </c>
      <c r="N208" s="58"/>
      <c r="O208" s="56"/>
      <c r="P208" s="56"/>
      <c r="Q208" s="40">
        <f t="shared" ref="Q208:Q212" si="415">O208-P208</f>
        <v>0</v>
      </c>
      <c r="R208" s="36" t="e">
        <f t="shared" ref="R208:R212" si="416">Q208/O208</f>
        <v>#DIV/0!</v>
      </c>
      <c r="S208" s="44"/>
      <c r="T208" s="44"/>
      <c r="U208" s="8">
        <f t="shared" ref="U208:U212" si="417">S208-T208</f>
        <v>0</v>
      </c>
      <c r="V208" s="36" t="e">
        <f t="shared" ref="V208:V212" si="418">U208/S208</f>
        <v>#DIV/0!</v>
      </c>
      <c r="W208" s="58"/>
      <c r="X208" s="95" t="e">
        <f t="shared" ref="X208:X212" si="419">(E208-K208-P208)/T208</f>
        <v>#DIV/0!</v>
      </c>
      <c r="Y208" s="95" t="e">
        <f t="shared" ref="Y208:Y212" si="420">(D208-J208-O208)/S208</f>
        <v>#DIV/0!</v>
      </c>
      <c r="Z208" s="36" t="e">
        <f t="shared" ref="Z208:Z212" si="421">(E208-K208-P208)/E208</f>
        <v>#DIV/0!</v>
      </c>
      <c r="AA208" s="60" t="e">
        <f t="shared" ref="AA208:AA211" si="422">SUM(D208-H208)/D208</f>
        <v>#DIV/0!</v>
      </c>
      <c r="AB208" s="80"/>
      <c r="AD208" t="s">
        <v>93</v>
      </c>
      <c r="AE208" s="42">
        <f>AI212</f>
        <v>0</v>
      </c>
      <c r="AH208" s="7">
        <f>SUM(T209-T208)</f>
        <v>0</v>
      </c>
      <c r="AI208" s="94">
        <f>SUM(K209-K208)</f>
        <v>0</v>
      </c>
    </row>
    <row r="209" spans="1:35">
      <c r="A209" s="7"/>
      <c r="B209" s="71"/>
      <c r="C209" s="93" t="s">
        <v>94</v>
      </c>
      <c r="D209" s="56"/>
      <c r="E209" s="56"/>
      <c r="F209" s="40">
        <f t="shared" si="411"/>
        <v>0</v>
      </c>
      <c r="G209" s="36" t="e">
        <f t="shared" si="412"/>
        <v>#DIV/0!</v>
      </c>
      <c r="H209" s="40"/>
      <c r="I209" s="40"/>
      <c r="J209" s="56">
        <f t="shared" ref="J209:J212" si="423">SUM(H209-O209)</f>
        <v>0</v>
      </c>
      <c r="K209" s="56">
        <f t="shared" ref="K209:K212" si="424">SUM(I209-P209)</f>
        <v>0</v>
      </c>
      <c r="L209" s="40">
        <f t="shared" si="413"/>
        <v>0</v>
      </c>
      <c r="M209" s="36" t="e">
        <f t="shared" si="414"/>
        <v>#DIV/0!</v>
      </c>
      <c r="N209" s="58"/>
      <c r="O209" s="56"/>
      <c r="P209" s="56"/>
      <c r="Q209" s="40">
        <f t="shared" si="415"/>
        <v>0</v>
      </c>
      <c r="R209" s="36" t="e">
        <f t="shared" si="416"/>
        <v>#DIV/0!</v>
      </c>
      <c r="S209" s="44"/>
      <c r="T209" s="44"/>
      <c r="U209" s="8">
        <f t="shared" si="417"/>
        <v>0</v>
      </c>
      <c r="V209" s="36" t="e">
        <f t="shared" si="418"/>
        <v>#DIV/0!</v>
      </c>
      <c r="W209" s="58"/>
      <c r="X209" s="95" t="e">
        <f t="shared" si="419"/>
        <v>#DIV/0!</v>
      </c>
      <c r="Y209" s="95" t="e">
        <f t="shared" si="420"/>
        <v>#DIV/0!</v>
      </c>
      <c r="Z209" s="36" t="e">
        <f t="shared" si="421"/>
        <v>#DIV/0!</v>
      </c>
      <c r="AA209" s="60" t="e">
        <f t="shared" si="422"/>
        <v>#DIV/0!</v>
      </c>
      <c r="AB209" s="80"/>
      <c r="AH209" s="7">
        <f>SUM(T210-T209)</f>
        <v>0</v>
      </c>
      <c r="AI209" s="94">
        <f>SUM(K210-K209)</f>
        <v>0</v>
      </c>
    </row>
    <row r="210" spans="1:35">
      <c r="A210" s="7"/>
      <c r="B210" s="71"/>
      <c r="C210" s="93" t="s">
        <v>95</v>
      </c>
      <c r="D210" s="56"/>
      <c r="E210" s="56"/>
      <c r="F210" s="40">
        <f t="shared" ref="F209:F212" si="425">D210-E210</f>
        <v>0</v>
      </c>
      <c r="G210" s="36" t="e">
        <f t="shared" si="412"/>
        <v>#DIV/0!</v>
      </c>
      <c r="H210" s="40"/>
      <c r="I210" s="40"/>
      <c r="J210" s="56">
        <f t="shared" si="423"/>
        <v>0</v>
      </c>
      <c r="K210" s="56">
        <f t="shared" si="424"/>
        <v>0</v>
      </c>
      <c r="L210" s="40">
        <f t="shared" si="413"/>
        <v>0</v>
      </c>
      <c r="M210" s="36" t="e">
        <f t="shared" si="414"/>
        <v>#DIV/0!</v>
      </c>
      <c r="N210" s="58"/>
      <c r="O210" s="56"/>
      <c r="P210" s="56"/>
      <c r="Q210" s="40">
        <f t="shared" si="415"/>
        <v>0</v>
      </c>
      <c r="R210" s="36" t="e">
        <f t="shared" si="416"/>
        <v>#DIV/0!</v>
      </c>
      <c r="S210" s="44"/>
      <c r="T210" s="44"/>
      <c r="U210" s="8">
        <f t="shared" si="417"/>
        <v>0</v>
      </c>
      <c r="V210" s="36" t="e">
        <f t="shared" si="418"/>
        <v>#DIV/0!</v>
      </c>
      <c r="W210" s="58"/>
      <c r="X210" s="95" t="e">
        <f t="shared" si="419"/>
        <v>#DIV/0!</v>
      </c>
      <c r="Y210" s="95" t="e">
        <f t="shared" si="420"/>
        <v>#DIV/0!</v>
      </c>
      <c r="Z210" s="36" t="e">
        <f t="shared" si="421"/>
        <v>#DIV/0!</v>
      </c>
      <c r="AA210" s="60" t="e">
        <f t="shared" si="422"/>
        <v>#DIV/0!</v>
      </c>
      <c r="AB210" s="80"/>
      <c r="AD210" t="s">
        <v>96</v>
      </c>
      <c r="AE210" s="42">
        <v>0</v>
      </c>
      <c r="AH210" s="7">
        <f>SUM(T211-T210)</f>
        <v>0</v>
      </c>
      <c r="AI210" s="94">
        <f>SUM(K211-K210)</f>
        <v>0</v>
      </c>
    </row>
    <row r="211" spans="1:35">
      <c r="A211" s="7"/>
      <c r="B211" s="71"/>
      <c r="C211" s="93" t="s">
        <v>97</v>
      </c>
      <c r="D211" s="56"/>
      <c r="E211" s="56"/>
      <c r="F211" s="40">
        <f t="shared" si="425"/>
        <v>0</v>
      </c>
      <c r="G211" s="36" t="e">
        <f t="shared" si="412"/>
        <v>#DIV/0!</v>
      </c>
      <c r="H211" s="40"/>
      <c r="I211" s="40"/>
      <c r="J211" s="56">
        <f t="shared" si="423"/>
        <v>0</v>
      </c>
      <c r="K211" s="56">
        <f t="shared" si="424"/>
        <v>0</v>
      </c>
      <c r="L211" s="40">
        <f t="shared" si="413"/>
        <v>0</v>
      </c>
      <c r="M211" s="36" t="e">
        <f t="shared" si="414"/>
        <v>#DIV/0!</v>
      </c>
      <c r="N211" s="58"/>
      <c r="O211" s="56"/>
      <c r="P211" s="56"/>
      <c r="Q211" s="40">
        <f t="shared" si="415"/>
        <v>0</v>
      </c>
      <c r="R211" s="36" t="e">
        <f t="shared" si="416"/>
        <v>#DIV/0!</v>
      </c>
      <c r="S211" s="44"/>
      <c r="T211" s="44"/>
      <c r="U211" s="8">
        <f t="shared" si="417"/>
        <v>0</v>
      </c>
      <c r="V211" s="36" t="e">
        <f t="shared" si="418"/>
        <v>#DIV/0!</v>
      </c>
      <c r="W211" s="58"/>
      <c r="X211" s="95" t="e">
        <f t="shared" si="419"/>
        <v>#DIV/0!</v>
      </c>
      <c r="Y211" s="95" t="e">
        <f t="shared" si="420"/>
        <v>#DIV/0!</v>
      </c>
      <c r="Z211" s="36" t="e">
        <f t="shared" si="421"/>
        <v>#DIV/0!</v>
      </c>
      <c r="AA211" s="60" t="e">
        <f t="shared" si="422"/>
        <v>#DIV/0!</v>
      </c>
      <c r="AB211" s="80"/>
      <c r="AH211" s="7">
        <f>SUM(T212-T211)</f>
        <v>0</v>
      </c>
      <c r="AI211" s="94">
        <f>SUM(K212-K211)</f>
        <v>0</v>
      </c>
    </row>
    <row r="212" spans="1:35" ht="15.75" thickBot="1">
      <c r="A212" s="9"/>
      <c r="B212" s="72"/>
      <c r="C212" s="98" t="s">
        <v>98</v>
      </c>
      <c r="D212" s="56"/>
      <c r="E212" s="56"/>
      <c r="F212" s="40">
        <f t="shared" si="425"/>
        <v>0</v>
      </c>
      <c r="G212" s="36" t="e">
        <f t="shared" si="412"/>
        <v>#DIV/0!</v>
      </c>
      <c r="H212" s="40"/>
      <c r="I212" s="40"/>
      <c r="J212" s="56">
        <f t="shared" si="423"/>
        <v>0</v>
      </c>
      <c r="K212" s="56">
        <f t="shared" si="424"/>
        <v>0</v>
      </c>
      <c r="L212" s="40">
        <f t="shared" si="413"/>
        <v>0</v>
      </c>
      <c r="M212" s="36" t="e">
        <f t="shared" si="414"/>
        <v>#DIV/0!</v>
      </c>
      <c r="N212" s="58"/>
      <c r="O212" s="56"/>
      <c r="P212" s="56"/>
      <c r="Q212" s="40">
        <f t="shared" si="415"/>
        <v>0</v>
      </c>
      <c r="R212" s="36" t="e">
        <f t="shared" si="416"/>
        <v>#DIV/0!</v>
      </c>
      <c r="S212" s="44"/>
      <c r="T212" s="44"/>
      <c r="U212" s="8">
        <f t="shared" si="417"/>
        <v>0</v>
      </c>
      <c r="V212" s="36" t="e">
        <f t="shared" si="418"/>
        <v>#DIV/0!</v>
      </c>
      <c r="W212" s="58"/>
      <c r="X212" s="95" t="e">
        <f t="shared" si="419"/>
        <v>#DIV/0!</v>
      </c>
      <c r="Y212" s="95" t="e">
        <f t="shared" si="420"/>
        <v>#DIV/0!</v>
      </c>
      <c r="Z212" s="36" t="e">
        <f t="shared" si="421"/>
        <v>#DIV/0!</v>
      </c>
      <c r="AA212" s="60" t="e">
        <f>SUM(D212-H212)/D212</f>
        <v>#DIV/0!</v>
      </c>
      <c r="AB212" s="80"/>
      <c r="AH212" s="9">
        <f>SUM(AH207,AH208,AH209,AH210,AH211)</f>
        <v>0</v>
      </c>
      <c r="AI212" s="97">
        <f>SUM(AI207,AI208,AI209,AI210,AI211)</f>
        <v>0</v>
      </c>
    </row>
    <row r="213" spans="1:35" ht="9" customHeight="1">
      <c r="A213" s="274"/>
      <c r="B213" s="275"/>
      <c r="C213" s="275"/>
      <c r="D213" s="275"/>
      <c r="E213" s="275"/>
      <c r="F213" s="275"/>
      <c r="G213" s="275"/>
      <c r="H213" s="275"/>
      <c r="I213" s="275"/>
      <c r="J213" s="275"/>
      <c r="K213" s="275"/>
      <c r="L213" s="275"/>
      <c r="M213" s="275"/>
      <c r="N213" s="275"/>
      <c r="O213" s="275"/>
      <c r="P213" s="275"/>
      <c r="Q213" s="275"/>
      <c r="R213" s="275"/>
      <c r="S213" s="275"/>
      <c r="T213" s="275"/>
      <c r="U213" s="275"/>
      <c r="V213" s="275"/>
      <c r="W213" s="275"/>
      <c r="X213" s="275"/>
      <c r="Y213" s="275"/>
      <c r="Z213" s="275"/>
      <c r="AA213" s="276"/>
    </row>
    <row r="214" spans="1:35">
      <c r="A214" s="7">
        <f>'Main Sheet'!A64</f>
        <v>8946</v>
      </c>
      <c r="B214" s="75" t="str">
        <f>'Main Sheet'!B64</f>
        <v>Westcoast Vaults</v>
      </c>
      <c r="C214" s="93" t="s">
        <v>90</v>
      </c>
      <c r="D214" s="56">
        <v>137109.56</v>
      </c>
      <c r="E214" s="56">
        <v>0</v>
      </c>
      <c r="F214" s="40">
        <f>D214-E214</f>
        <v>137109.56</v>
      </c>
      <c r="G214" s="36">
        <f>F214/D214</f>
        <v>1</v>
      </c>
      <c r="H214" s="40">
        <v>117394.57</v>
      </c>
      <c r="I214" s="40">
        <v>0</v>
      </c>
      <c r="J214" s="56">
        <f t="shared" ref="J214:J219" si="426">SUM(H214-O214)</f>
        <v>99479.62000000001</v>
      </c>
      <c r="K214" s="56">
        <f t="shared" ref="K214:K219" si="427">SUM(I214-P214)</f>
        <v>0</v>
      </c>
      <c r="L214" s="40">
        <f>J214-K214</f>
        <v>99479.62000000001</v>
      </c>
      <c r="M214" s="36">
        <f>L214/J214</f>
        <v>1</v>
      </c>
      <c r="N214" s="58"/>
      <c r="O214" s="56">
        <v>17914.95</v>
      </c>
      <c r="P214" s="56">
        <v>0</v>
      </c>
      <c r="Q214" s="40">
        <f>O214-P214</f>
        <v>17914.95</v>
      </c>
      <c r="R214" s="36">
        <f>Q214/O214</f>
        <v>1</v>
      </c>
      <c r="S214" s="44">
        <v>358.86</v>
      </c>
      <c r="T214" s="44">
        <v>0</v>
      </c>
      <c r="U214" s="8">
        <f>S214-T214</f>
        <v>358.86</v>
      </c>
      <c r="V214" s="36">
        <f>U214/S214</f>
        <v>1</v>
      </c>
      <c r="W214" s="58"/>
      <c r="X214" s="95" t="e">
        <f>(E214-K214-P214)/T214</f>
        <v>#DIV/0!</v>
      </c>
      <c r="Y214" s="95">
        <f>(D214-J214-O214)/S214</f>
        <v>54.93783090898954</v>
      </c>
      <c r="Z214" s="36" t="e">
        <f>(E214-K214-P214)/E214</f>
        <v>#DIV/0!</v>
      </c>
      <c r="AA214" s="60">
        <f>SUM(D214-H214)/D214</f>
        <v>0.14379004644169227</v>
      </c>
      <c r="AB214" s="80"/>
      <c r="AD214" t="s">
        <v>91</v>
      </c>
      <c r="AE214">
        <f>AH219</f>
        <v>0</v>
      </c>
      <c r="AH214" s="7">
        <f>SUM(T215-T214)</f>
        <v>0</v>
      </c>
      <c r="AI214" s="94">
        <f>SUM(K215-K214)</f>
        <v>0</v>
      </c>
    </row>
    <row r="215" spans="1:35">
      <c r="A215" s="7"/>
      <c r="B215" s="71"/>
      <c r="C215" s="93" t="s">
        <v>92</v>
      </c>
      <c r="D215" s="56">
        <v>137109.56</v>
      </c>
      <c r="E215" s="56">
        <v>0</v>
      </c>
      <c r="F215" s="40">
        <f t="shared" ref="F215:F216" si="428">D215-E215</f>
        <v>137109.56</v>
      </c>
      <c r="G215" s="36">
        <f t="shared" ref="G215:G219" si="429">F215/D215</f>
        <v>1</v>
      </c>
      <c r="H215" s="40">
        <v>117394.57</v>
      </c>
      <c r="I215" s="40">
        <v>0</v>
      </c>
      <c r="J215" s="56">
        <f t="shared" si="426"/>
        <v>99479.62000000001</v>
      </c>
      <c r="K215" s="56">
        <f t="shared" si="427"/>
        <v>0</v>
      </c>
      <c r="L215" s="40">
        <f t="shared" ref="L215:L219" si="430">J215-K215</f>
        <v>99479.62000000001</v>
      </c>
      <c r="M215" s="36">
        <f t="shared" ref="M215:M219" si="431">L215/J215</f>
        <v>1</v>
      </c>
      <c r="N215" s="58"/>
      <c r="O215" s="56">
        <v>17914.95</v>
      </c>
      <c r="P215" s="56">
        <v>0</v>
      </c>
      <c r="Q215" s="40">
        <f t="shared" ref="Q215:Q219" si="432">O215-P215</f>
        <v>17914.95</v>
      </c>
      <c r="R215" s="36">
        <f t="shared" ref="R215:R219" si="433">Q215/O215</f>
        <v>1</v>
      </c>
      <c r="S215" s="44">
        <v>358.86</v>
      </c>
      <c r="T215" s="44">
        <v>0</v>
      </c>
      <c r="U215" s="8">
        <f t="shared" ref="U215:U219" si="434">S215-T215</f>
        <v>358.86</v>
      </c>
      <c r="V215" s="36">
        <f t="shared" ref="V215:V219" si="435">U215/S215</f>
        <v>1</v>
      </c>
      <c r="W215" s="58"/>
      <c r="X215" s="95" t="e">
        <f t="shared" ref="X215:X219" si="436">(E215-K215-P215)/T215</f>
        <v>#DIV/0!</v>
      </c>
      <c r="Y215" s="95">
        <f t="shared" ref="Y215:Y219" si="437">(D215-J215-O215)/S215</f>
        <v>54.93783090898954</v>
      </c>
      <c r="Z215" s="36" t="e">
        <f t="shared" ref="Z215:Z219" si="438">(E215-K215-P215)/E215</f>
        <v>#DIV/0!</v>
      </c>
      <c r="AA215" s="60">
        <f t="shared" ref="AA215:AA218" si="439">SUM(D215-H215)/D215</f>
        <v>0.14379004644169227</v>
      </c>
      <c r="AB215" s="80"/>
      <c r="AD215" t="s">
        <v>93</v>
      </c>
      <c r="AE215" s="42">
        <f>AI219</f>
        <v>0</v>
      </c>
      <c r="AH215" s="7">
        <f>SUM(T216-T215)</f>
        <v>0</v>
      </c>
      <c r="AI215" s="94">
        <f>SUM(K216-K215)</f>
        <v>0</v>
      </c>
    </row>
    <row r="216" spans="1:35">
      <c r="A216" s="7"/>
      <c r="B216" s="71"/>
      <c r="C216" s="93" t="s">
        <v>94</v>
      </c>
      <c r="D216" s="56">
        <v>137109.56</v>
      </c>
      <c r="E216" s="56">
        <v>0</v>
      </c>
      <c r="F216" s="40">
        <f t="shared" si="428"/>
        <v>137109.56</v>
      </c>
      <c r="G216" s="36">
        <f t="shared" si="429"/>
        <v>1</v>
      </c>
      <c r="H216" s="40">
        <v>117394.57</v>
      </c>
      <c r="I216" s="40">
        <v>0</v>
      </c>
      <c r="J216" s="56">
        <f t="shared" si="426"/>
        <v>99479.62000000001</v>
      </c>
      <c r="K216" s="56">
        <f t="shared" si="427"/>
        <v>0</v>
      </c>
      <c r="L216" s="40">
        <f t="shared" si="430"/>
        <v>99479.62000000001</v>
      </c>
      <c r="M216" s="36">
        <f t="shared" si="431"/>
        <v>1</v>
      </c>
      <c r="N216" s="58"/>
      <c r="O216" s="56">
        <v>17914.95</v>
      </c>
      <c r="P216" s="56">
        <v>0</v>
      </c>
      <c r="Q216" s="40">
        <f t="shared" si="432"/>
        <v>17914.95</v>
      </c>
      <c r="R216" s="36">
        <f t="shared" si="433"/>
        <v>1</v>
      </c>
      <c r="S216" s="44">
        <v>358.86</v>
      </c>
      <c r="T216" s="44">
        <v>0</v>
      </c>
      <c r="U216" s="8">
        <f t="shared" si="434"/>
        <v>358.86</v>
      </c>
      <c r="V216" s="36">
        <f t="shared" si="435"/>
        <v>1</v>
      </c>
      <c r="W216" s="58"/>
      <c r="X216" s="95" t="e">
        <f t="shared" si="436"/>
        <v>#DIV/0!</v>
      </c>
      <c r="Y216" s="95">
        <f t="shared" si="437"/>
        <v>54.93783090898954</v>
      </c>
      <c r="Z216" s="36" t="e">
        <f t="shared" si="438"/>
        <v>#DIV/0!</v>
      </c>
      <c r="AA216" s="60">
        <f t="shared" si="439"/>
        <v>0.14379004644169227</v>
      </c>
      <c r="AB216" s="80"/>
      <c r="AH216" s="7">
        <f>SUM(T217-T216)</f>
        <v>0</v>
      </c>
      <c r="AI216" s="94">
        <f>SUM(K217-K216)</f>
        <v>0</v>
      </c>
    </row>
    <row r="217" spans="1:35">
      <c r="A217" s="7"/>
      <c r="B217" s="71"/>
      <c r="C217" s="93" t="s">
        <v>95</v>
      </c>
      <c r="D217" s="56">
        <v>137109.56</v>
      </c>
      <c r="E217" s="56">
        <v>0</v>
      </c>
      <c r="F217" s="40">
        <f t="shared" ref="F216:F219" si="440">D217-E217</f>
        <v>137109.56</v>
      </c>
      <c r="G217" s="36">
        <f t="shared" si="429"/>
        <v>1</v>
      </c>
      <c r="H217" s="40">
        <v>117394.57</v>
      </c>
      <c r="I217" s="40">
        <v>0</v>
      </c>
      <c r="J217" s="56">
        <f t="shared" si="426"/>
        <v>99479.62000000001</v>
      </c>
      <c r="K217" s="56">
        <f t="shared" si="427"/>
        <v>0</v>
      </c>
      <c r="L217" s="40">
        <f t="shared" si="430"/>
        <v>99479.62000000001</v>
      </c>
      <c r="M217" s="36">
        <f t="shared" si="431"/>
        <v>1</v>
      </c>
      <c r="N217" s="58"/>
      <c r="O217" s="56">
        <v>17914.95</v>
      </c>
      <c r="P217" s="56">
        <v>0</v>
      </c>
      <c r="Q217" s="40">
        <f t="shared" si="432"/>
        <v>17914.95</v>
      </c>
      <c r="R217" s="36">
        <f t="shared" si="433"/>
        <v>1</v>
      </c>
      <c r="S217" s="44">
        <v>358.86</v>
      </c>
      <c r="T217" s="44">
        <v>0</v>
      </c>
      <c r="U217" s="8">
        <f t="shared" si="434"/>
        <v>358.86</v>
      </c>
      <c r="V217" s="36">
        <f t="shared" si="435"/>
        <v>1</v>
      </c>
      <c r="W217" s="58"/>
      <c r="X217" s="95" t="e">
        <f t="shared" si="436"/>
        <v>#DIV/0!</v>
      </c>
      <c r="Y217" s="95">
        <f t="shared" si="437"/>
        <v>54.93783090898954</v>
      </c>
      <c r="Z217" s="36" t="e">
        <f t="shared" si="438"/>
        <v>#DIV/0!</v>
      </c>
      <c r="AA217" s="60">
        <f t="shared" si="439"/>
        <v>0.14379004644169227</v>
      </c>
      <c r="AB217" s="80"/>
      <c r="AD217" t="s">
        <v>96</v>
      </c>
      <c r="AE217" s="42">
        <v>0</v>
      </c>
      <c r="AH217" s="7">
        <f>SUM(T218-T217)</f>
        <v>0</v>
      </c>
      <c r="AI217" s="94">
        <f>SUM(K218-K217)</f>
        <v>0</v>
      </c>
    </row>
    <row r="218" spans="1:35">
      <c r="A218" s="7"/>
      <c r="B218" s="71"/>
      <c r="C218" s="93" t="s">
        <v>97</v>
      </c>
      <c r="D218" s="56">
        <v>137109.56</v>
      </c>
      <c r="E218" s="56">
        <v>0</v>
      </c>
      <c r="F218" s="40">
        <f t="shared" si="440"/>
        <v>137109.56</v>
      </c>
      <c r="G218" s="36">
        <f t="shared" si="429"/>
        <v>1</v>
      </c>
      <c r="H218" s="40">
        <v>117394.57</v>
      </c>
      <c r="I218" s="40">
        <v>0</v>
      </c>
      <c r="J218" s="56">
        <f t="shared" si="426"/>
        <v>99479.62000000001</v>
      </c>
      <c r="K218" s="56">
        <f t="shared" si="427"/>
        <v>0</v>
      </c>
      <c r="L218" s="40">
        <f t="shared" si="430"/>
        <v>99479.62000000001</v>
      </c>
      <c r="M218" s="36">
        <f t="shared" si="431"/>
        <v>1</v>
      </c>
      <c r="N218" s="58"/>
      <c r="O218" s="56">
        <v>17914.95</v>
      </c>
      <c r="P218" s="56">
        <v>0</v>
      </c>
      <c r="Q218" s="40">
        <f t="shared" si="432"/>
        <v>17914.95</v>
      </c>
      <c r="R218" s="36">
        <f t="shared" si="433"/>
        <v>1</v>
      </c>
      <c r="S218" s="44">
        <v>358.86</v>
      </c>
      <c r="T218" s="44">
        <v>0</v>
      </c>
      <c r="U218" s="8">
        <f t="shared" si="434"/>
        <v>358.86</v>
      </c>
      <c r="V218" s="36">
        <f t="shared" si="435"/>
        <v>1</v>
      </c>
      <c r="W218" s="58"/>
      <c r="X218" s="95" t="e">
        <f t="shared" si="436"/>
        <v>#DIV/0!</v>
      </c>
      <c r="Y218" s="95">
        <f t="shared" si="437"/>
        <v>54.93783090898954</v>
      </c>
      <c r="Z218" s="36" t="e">
        <f t="shared" si="438"/>
        <v>#DIV/0!</v>
      </c>
      <c r="AA218" s="60">
        <f t="shared" si="439"/>
        <v>0.14379004644169227</v>
      </c>
      <c r="AB218" s="80"/>
      <c r="AH218" s="7">
        <f>SUM(T219-T218)</f>
        <v>0</v>
      </c>
      <c r="AI218" s="94">
        <f>SUM(K219-K218)</f>
        <v>0</v>
      </c>
    </row>
    <row r="219" spans="1:35" ht="15.75" thickBot="1">
      <c r="A219" s="9"/>
      <c r="B219" s="72"/>
      <c r="C219" s="98" t="s">
        <v>98</v>
      </c>
      <c r="D219" s="56">
        <v>137109.56</v>
      </c>
      <c r="E219" s="56">
        <v>0</v>
      </c>
      <c r="F219" s="40">
        <f t="shared" si="440"/>
        <v>137109.56</v>
      </c>
      <c r="G219" s="36">
        <f t="shared" si="429"/>
        <v>1</v>
      </c>
      <c r="H219" s="40">
        <v>117394.57</v>
      </c>
      <c r="I219" s="40">
        <v>0</v>
      </c>
      <c r="J219" s="56">
        <f t="shared" si="426"/>
        <v>99479.62000000001</v>
      </c>
      <c r="K219" s="56">
        <f t="shared" si="427"/>
        <v>0</v>
      </c>
      <c r="L219" s="40">
        <f t="shared" si="430"/>
        <v>99479.62000000001</v>
      </c>
      <c r="M219" s="36">
        <f t="shared" si="431"/>
        <v>1</v>
      </c>
      <c r="N219" s="58"/>
      <c r="O219" s="56">
        <v>17914.95</v>
      </c>
      <c r="P219" s="56">
        <v>0</v>
      </c>
      <c r="Q219" s="40">
        <f t="shared" si="432"/>
        <v>17914.95</v>
      </c>
      <c r="R219" s="36">
        <f t="shared" si="433"/>
        <v>1</v>
      </c>
      <c r="S219" s="44">
        <v>358.86</v>
      </c>
      <c r="T219" s="44">
        <v>0</v>
      </c>
      <c r="U219" s="8">
        <f t="shared" si="434"/>
        <v>358.86</v>
      </c>
      <c r="V219" s="36">
        <f t="shared" si="435"/>
        <v>1</v>
      </c>
      <c r="W219" s="58"/>
      <c r="X219" s="95" t="e">
        <f t="shared" si="436"/>
        <v>#DIV/0!</v>
      </c>
      <c r="Y219" s="95">
        <f t="shared" si="437"/>
        <v>54.93783090898954</v>
      </c>
      <c r="Z219" s="36" t="e">
        <f t="shared" si="438"/>
        <v>#DIV/0!</v>
      </c>
      <c r="AA219" s="60">
        <f>SUM(D219-H219)/D219</f>
        <v>0.14379004644169227</v>
      </c>
      <c r="AB219" s="80"/>
      <c r="AH219" s="9">
        <f>SUM(AH214,AH215,AH216,AH217,AH218)</f>
        <v>0</v>
      </c>
      <c r="AI219" s="97">
        <f>SUM(AI214,AI215,AI216,AI217,AI218)</f>
        <v>0</v>
      </c>
    </row>
    <row r="220" spans="1:35" ht="9" customHeight="1">
      <c r="A220" s="274"/>
      <c r="B220" s="275"/>
      <c r="C220" s="275"/>
      <c r="D220" s="275"/>
      <c r="E220" s="275"/>
      <c r="F220" s="275"/>
      <c r="G220" s="275"/>
      <c r="H220" s="275"/>
      <c r="I220" s="275"/>
      <c r="J220" s="275"/>
      <c r="K220" s="275"/>
      <c r="L220" s="275"/>
      <c r="M220" s="275"/>
      <c r="N220" s="275"/>
      <c r="O220" s="275"/>
      <c r="P220" s="275"/>
      <c r="Q220" s="275"/>
      <c r="R220" s="275"/>
      <c r="S220" s="275"/>
      <c r="T220" s="275"/>
      <c r="U220" s="275"/>
      <c r="V220" s="275"/>
      <c r="W220" s="275"/>
      <c r="X220" s="275"/>
      <c r="Y220" s="275"/>
      <c r="Z220" s="275"/>
      <c r="AA220" s="276"/>
    </row>
    <row r="221" spans="1:35">
      <c r="A221" s="7">
        <f>'Main Sheet'!A66</f>
        <v>8308</v>
      </c>
      <c r="B221" s="7" t="str">
        <f>'Main Sheet'!B66</f>
        <v>Roydvale</v>
      </c>
      <c r="C221" s="93" t="s">
        <v>90</v>
      </c>
      <c r="D221" s="56">
        <v>389318.35</v>
      </c>
      <c r="E221" s="56">
        <v>206944.06</v>
      </c>
      <c r="F221" s="40">
        <f>D221-E221</f>
        <v>182374.28999999998</v>
      </c>
      <c r="G221" s="36">
        <f>F221/D221</f>
        <v>0.46844514264483034</v>
      </c>
      <c r="H221" s="40">
        <v>289549.48</v>
      </c>
      <c r="I221" s="40">
        <v>176095.03</v>
      </c>
      <c r="J221" s="56">
        <v>0</v>
      </c>
      <c r="K221" s="56">
        <v>0</v>
      </c>
      <c r="L221" s="40">
        <f>J221-K221</f>
        <v>0</v>
      </c>
      <c r="M221" s="36" t="e">
        <f>L221/J221</f>
        <v>#DIV/0!</v>
      </c>
      <c r="N221" s="58"/>
      <c r="O221" s="56">
        <v>115269.5</v>
      </c>
      <c r="P221" s="56">
        <v>19280.830000000002</v>
      </c>
      <c r="Q221" s="40">
        <f>O221-P221</f>
        <v>95988.67</v>
      </c>
      <c r="R221" s="36">
        <f>Q221/O221</f>
        <v>0.83273259622016227</v>
      </c>
      <c r="S221" s="44">
        <v>2312.6799999999998</v>
      </c>
      <c r="T221" s="44">
        <v>414.25</v>
      </c>
      <c r="U221" s="8">
        <f>S221-T221</f>
        <v>1898.4299999999998</v>
      </c>
      <c r="V221" s="36">
        <f>U221/S221</f>
        <v>0.82087880727121776</v>
      </c>
      <c r="W221" s="58"/>
      <c r="X221" s="95">
        <f>(E221-K221-P221)/T221</f>
        <v>453.0192637296318</v>
      </c>
      <c r="Y221" s="95">
        <f>(D221-J221-O221)/S221</f>
        <v>118.49838715256759</v>
      </c>
      <c r="Z221" s="36">
        <f>(E221-K221-P221)/E221</f>
        <v>0.90683071550833583</v>
      </c>
      <c r="AA221" s="60">
        <f>SUM(D221-H221)/D221</f>
        <v>0.25626552151985643</v>
      </c>
      <c r="AB221" s="80"/>
      <c r="AD221" t="s">
        <v>91</v>
      </c>
      <c r="AE221">
        <f>AH226</f>
        <v>600</v>
      </c>
      <c r="AH221" s="7">
        <f>SUM(T222-T221)</f>
        <v>299.5</v>
      </c>
      <c r="AI221" s="94">
        <f>SUM(K222-K221)</f>
        <v>0</v>
      </c>
    </row>
    <row r="222" spans="1:35">
      <c r="A222" s="7"/>
      <c r="B222" s="71"/>
      <c r="C222" s="93" t="s">
        <v>92</v>
      </c>
      <c r="D222" s="56">
        <v>389318.35</v>
      </c>
      <c r="E222" s="56">
        <v>240563.46</v>
      </c>
      <c r="F222" s="40">
        <v>0</v>
      </c>
      <c r="G222" s="36">
        <f t="shared" ref="G222:G226" si="441">F222/D222</f>
        <v>0</v>
      </c>
      <c r="H222" s="40">
        <v>289549.48</v>
      </c>
      <c r="I222" s="40">
        <v>197795.69</v>
      </c>
      <c r="J222" s="56">
        <v>0</v>
      </c>
      <c r="K222" s="56">
        <v>0</v>
      </c>
      <c r="L222" s="40">
        <f t="shared" ref="L222:L226" si="442">J222-K222</f>
        <v>0</v>
      </c>
      <c r="M222" s="36" t="e">
        <f t="shared" ref="M222:M226" si="443">L222/J222</f>
        <v>#DIV/0!</v>
      </c>
      <c r="N222" s="58"/>
      <c r="O222" s="56">
        <v>115269.5</v>
      </c>
      <c r="P222" s="56">
        <v>33338.39</v>
      </c>
      <c r="Q222" s="40">
        <f t="shared" ref="Q222:Q226" si="444">O222-P222</f>
        <v>81931.11</v>
      </c>
      <c r="R222" s="36">
        <f t="shared" ref="R222:R226" si="445">Q222/O222</f>
        <v>0.71077874025652932</v>
      </c>
      <c r="S222" s="44">
        <v>2312.6799999999998</v>
      </c>
      <c r="T222" s="44">
        <v>713.75</v>
      </c>
      <c r="U222" s="8">
        <f t="shared" ref="U222:U226" si="446">S222-T222</f>
        <v>1598.9299999999998</v>
      </c>
      <c r="V222" s="36">
        <f t="shared" ref="V222:V226" si="447">U222/S222</f>
        <v>0.69137537402494076</v>
      </c>
      <c r="W222" s="58"/>
      <c r="X222" s="95">
        <f t="shared" ref="X222:X226" si="448">(E222-K222-P222)/T222</f>
        <v>290.33284763572681</v>
      </c>
      <c r="Y222" s="95">
        <f t="shared" ref="Y222:Y226" si="449">(D222-J222-O222)/S222</f>
        <v>118.49838715256759</v>
      </c>
      <c r="Z222" s="36">
        <f t="shared" ref="Z222:Z226" si="450">(E222-K222-P222)/E222</f>
        <v>0.86141540365274105</v>
      </c>
      <c r="AA222" s="60">
        <f t="shared" ref="AA222:AA225" si="451">SUM(D222-H222)/D222</f>
        <v>0.25626552151985643</v>
      </c>
      <c r="AB222" s="80"/>
      <c r="AD222" t="s">
        <v>93</v>
      </c>
      <c r="AE222" s="42">
        <f>AI226</f>
        <v>176149.13</v>
      </c>
      <c r="AH222" s="7">
        <f>SUM(T223-T222)</f>
        <v>193.25</v>
      </c>
      <c r="AI222" s="94">
        <f>SUM(K223-K222)</f>
        <v>174116.21</v>
      </c>
    </row>
    <row r="223" spans="1:35">
      <c r="A223" s="7"/>
      <c r="B223" s="71"/>
      <c r="C223" s="93" t="s">
        <v>94</v>
      </c>
      <c r="D223" s="56">
        <v>389318.35</v>
      </c>
      <c r="E223" s="56">
        <v>240563.46</v>
      </c>
      <c r="F223" s="40">
        <f t="shared" ref="F223:F226" si="452">D223-E223</f>
        <v>148754.88999999998</v>
      </c>
      <c r="G223" s="36">
        <f t="shared" si="441"/>
        <v>0.38209062069640437</v>
      </c>
      <c r="H223" s="40">
        <v>289549.48</v>
      </c>
      <c r="I223" s="40">
        <v>217432.95999999999</v>
      </c>
      <c r="J223" s="56">
        <f t="shared" ref="J223:J226" si="453">SUM(H223-O223)</f>
        <v>174279.97999999998</v>
      </c>
      <c r="K223" s="56">
        <f t="shared" ref="K223:K226" si="454">SUM(I223-P223)</f>
        <v>174116.21</v>
      </c>
      <c r="L223" s="40">
        <f t="shared" si="442"/>
        <v>163.76999999998952</v>
      </c>
      <c r="M223" s="36">
        <f t="shared" si="443"/>
        <v>9.3969485192728125E-4</v>
      </c>
      <c r="N223" s="58"/>
      <c r="O223" s="56">
        <v>115269.5</v>
      </c>
      <c r="P223" s="56">
        <v>43316.75</v>
      </c>
      <c r="Q223" s="40">
        <f t="shared" si="444"/>
        <v>71952.75</v>
      </c>
      <c r="R223" s="36">
        <f t="shared" si="445"/>
        <v>0.62421325675916006</v>
      </c>
      <c r="S223" s="44">
        <v>2312.6799999999998</v>
      </c>
      <c r="T223" s="44">
        <v>907</v>
      </c>
      <c r="U223" s="8">
        <f t="shared" si="446"/>
        <v>1405.6799999999998</v>
      </c>
      <c r="V223" s="36">
        <f t="shared" si="447"/>
        <v>0.60781431066987213</v>
      </c>
      <c r="W223" s="58"/>
      <c r="X223" s="95">
        <f t="shared" si="448"/>
        <v>25.502205071664829</v>
      </c>
      <c r="Y223" s="95">
        <f t="shared" si="449"/>
        <v>43.139937215697806</v>
      </c>
      <c r="Z223" s="36">
        <f t="shared" si="450"/>
        <v>9.6151344015421136E-2</v>
      </c>
      <c r="AA223" s="60">
        <f t="shared" si="451"/>
        <v>0.25626552151985643</v>
      </c>
      <c r="AB223" s="80"/>
      <c r="AH223" s="7">
        <f>SUM(T224-T223)</f>
        <v>0</v>
      </c>
      <c r="AI223" s="94">
        <f>SUM(K224-K223)</f>
        <v>0</v>
      </c>
    </row>
    <row r="224" spans="1:35">
      <c r="A224" s="7"/>
      <c r="B224" s="71"/>
      <c r="C224" s="93" t="s">
        <v>95</v>
      </c>
      <c r="D224" s="56">
        <v>389318.35</v>
      </c>
      <c r="E224" s="56">
        <v>240563.46</v>
      </c>
      <c r="F224" s="40">
        <f t="shared" si="452"/>
        <v>148754.88999999998</v>
      </c>
      <c r="G224" s="36">
        <f t="shared" si="441"/>
        <v>0.38209062069640437</v>
      </c>
      <c r="H224" s="40">
        <v>289549.48</v>
      </c>
      <c r="I224" s="40">
        <v>217432.95999999999</v>
      </c>
      <c r="J224" s="56">
        <f t="shared" si="453"/>
        <v>174279.97999999998</v>
      </c>
      <c r="K224" s="56">
        <f t="shared" si="454"/>
        <v>174116.21</v>
      </c>
      <c r="L224" s="40">
        <f t="shared" si="442"/>
        <v>163.76999999998952</v>
      </c>
      <c r="M224" s="36">
        <f t="shared" si="443"/>
        <v>9.3969485192728125E-4</v>
      </c>
      <c r="N224" s="58"/>
      <c r="O224" s="56">
        <v>115269.5</v>
      </c>
      <c r="P224" s="56">
        <v>43316.75</v>
      </c>
      <c r="Q224" s="40">
        <f t="shared" si="444"/>
        <v>71952.75</v>
      </c>
      <c r="R224" s="36">
        <f t="shared" si="445"/>
        <v>0.62421325675916006</v>
      </c>
      <c r="S224" s="44">
        <v>2312.6799999999998</v>
      </c>
      <c r="T224" s="44">
        <v>907</v>
      </c>
      <c r="U224" s="8">
        <f t="shared" si="446"/>
        <v>1405.6799999999998</v>
      </c>
      <c r="V224" s="36">
        <f t="shared" si="447"/>
        <v>0.60781431066987213</v>
      </c>
      <c r="W224" s="58"/>
      <c r="X224" s="95">
        <f t="shared" si="448"/>
        <v>25.502205071664829</v>
      </c>
      <c r="Y224" s="95">
        <f t="shared" si="449"/>
        <v>43.139937215697806</v>
      </c>
      <c r="Z224" s="36">
        <f t="shared" si="450"/>
        <v>9.6151344015421136E-2</v>
      </c>
      <c r="AA224" s="60">
        <f t="shared" si="451"/>
        <v>0.25626552151985643</v>
      </c>
      <c r="AB224" s="80"/>
      <c r="AD224" t="s">
        <v>96</v>
      </c>
      <c r="AE224" s="42">
        <v>0</v>
      </c>
      <c r="AH224" s="7">
        <f>SUM(T225-T224)</f>
        <v>0</v>
      </c>
      <c r="AI224" s="94">
        <f>SUM(K225-K224)</f>
        <v>0</v>
      </c>
    </row>
    <row r="225" spans="1:35">
      <c r="A225" s="7"/>
      <c r="B225" s="71"/>
      <c r="C225" s="93" t="s">
        <v>97</v>
      </c>
      <c r="D225" s="56">
        <v>389318.35</v>
      </c>
      <c r="E225" s="56">
        <v>240563.46</v>
      </c>
      <c r="F225" s="40">
        <f t="shared" si="452"/>
        <v>148754.88999999998</v>
      </c>
      <c r="G225" s="36">
        <f t="shared" si="441"/>
        <v>0.38209062069640437</v>
      </c>
      <c r="H225" s="40">
        <v>289549.48</v>
      </c>
      <c r="I225" s="40">
        <v>217432.95999999999</v>
      </c>
      <c r="J225" s="56">
        <f t="shared" si="453"/>
        <v>174279.97999999998</v>
      </c>
      <c r="K225" s="56">
        <f t="shared" si="454"/>
        <v>174116.21</v>
      </c>
      <c r="L225" s="40">
        <f t="shared" si="442"/>
        <v>163.76999999998952</v>
      </c>
      <c r="M225" s="36">
        <f t="shared" si="443"/>
        <v>9.3969485192728125E-4</v>
      </c>
      <c r="N225" s="58"/>
      <c r="O225" s="56">
        <v>115269.5</v>
      </c>
      <c r="P225" s="56">
        <v>43316.75</v>
      </c>
      <c r="Q225" s="40">
        <f t="shared" si="444"/>
        <v>71952.75</v>
      </c>
      <c r="R225" s="36">
        <f t="shared" si="445"/>
        <v>0.62421325675916006</v>
      </c>
      <c r="S225" s="44">
        <v>2312.6799999999998</v>
      </c>
      <c r="T225" s="44">
        <v>907</v>
      </c>
      <c r="U225" s="8">
        <f t="shared" si="446"/>
        <v>1405.6799999999998</v>
      </c>
      <c r="V225" s="36">
        <f t="shared" si="447"/>
        <v>0.60781431066987213</v>
      </c>
      <c r="W225" s="58"/>
      <c r="X225" s="95">
        <f t="shared" si="448"/>
        <v>25.502205071664829</v>
      </c>
      <c r="Y225" s="95">
        <f t="shared" si="449"/>
        <v>43.139937215697806</v>
      </c>
      <c r="Z225" s="36">
        <f t="shared" si="450"/>
        <v>9.6151344015421136E-2</v>
      </c>
      <c r="AA225" s="60">
        <f t="shared" si="451"/>
        <v>0.25626552151985643</v>
      </c>
      <c r="AB225" s="80"/>
      <c r="AH225" s="7">
        <f>SUM(T226-T225)</f>
        <v>107.25</v>
      </c>
      <c r="AI225" s="94">
        <f>SUM(K226-K225)</f>
        <v>2032.9200000000128</v>
      </c>
    </row>
    <row r="226" spans="1:35" ht="15.75" thickBot="1">
      <c r="A226" s="9"/>
      <c r="B226" s="72"/>
      <c r="C226" s="98" t="s">
        <v>98</v>
      </c>
      <c r="D226" s="56">
        <v>389318.35</v>
      </c>
      <c r="E226" s="56">
        <v>271388.15000000002</v>
      </c>
      <c r="F226" s="40">
        <f t="shared" si="452"/>
        <v>117930.19999999995</v>
      </c>
      <c r="G226" s="36">
        <f t="shared" si="441"/>
        <v>0.30291456850158738</v>
      </c>
      <c r="H226" s="40">
        <v>289549.48</v>
      </c>
      <c r="I226" s="40">
        <v>224459.32</v>
      </c>
      <c r="J226" s="56">
        <f t="shared" si="453"/>
        <v>174279.97999999998</v>
      </c>
      <c r="K226" s="56">
        <f t="shared" si="454"/>
        <v>176149.13</v>
      </c>
      <c r="L226" s="40">
        <f t="shared" si="442"/>
        <v>-1869.1500000000233</v>
      </c>
      <c r="M226" s="36">
        <f t="shared" si="443"/>
        <v>-1.0724984017097221E-2</v>
      </c>
      <c r="N226" s="58"/>
      <c r="O226" s="56">
        <v>115269.5</v>
      </c>
      <c r="P226" s="56">
        <v>48310.19</v>
      </c>
      <c r="Q226" s="40">
        <f t="shared" si="444"/>
        <v>66959.31</v>
      </c>
      <c r="R226" s="36">
        <f t="shared" si="445"/>
        <v>0.58089355813983745</v>
      </c>
      <c r="S226" s="44">
        <v>2312.6799999999998</v>
      </c>
      <c r="T226" s="44">
        <v>1014.25</v>
      </c>
      <c r="U226" s="8">
        <f t="shared" si="446"/>
        <v>1298.4299999999998</v>
      </c>
      <c r="V226" s="36">
        <f t="shared" si="447"/>
        <v>0.561439542003217</v>
      </c>
      <c r="W226" s="58"/>
      <c r="X226" s="95">
        <f t="shared" si="448"/>
        <v>46.26948977076659</v>
      </c>
      <c r="Y226" s="95">
        <f t="shared" si="449"/>
        <v>43.139937215697806</v>
      </c>
      <c r="Z226" s="36">
        <f t="shared" si="450"/>
        <v>0.17292144111671792</v>
      </c>
      <c r="AA226" s="60">
        <f>SUM(D226-H226)/D226</f>
        <v>0.25626552151985643</v>
      </c>
      <c r="AB226" s="80"/>
      <c r="AH226" s="9">
        <f>SUM(AH221,AH222,AH223,AH224,AH225)</f>
        <v>600</v>
      </c>
      <c r="AI226" s="97">
        <f>SUM(AI221,AI222,AI223,AI224,AI225)</f>
        <v>176149.13</v>
      </c>
    </row>
  </sheetData>
  <mergeCells count="58">
    <mergeCell ref="A1:AA1"/>
    <mergeCell ref="D2:D3"/>
    <mergeCell ref="E2:E3"/>
    <mergeCell ref="F2:F3"/>
    <mergeCell ref="G2:G3"/>
    <mergeCell ref="J2:J3"/>
    <mergeCell ref="K2:K3"/>
    <mergeCell ref="M2:M3"/>
    <mergeCell ref="N2:N3"/>
    <mergeCell ref="O2:O3"/>
    <mergeCell ref="Z2:Z3"/>
    <mergeCell ref="AA2:AA3"/>
    <mergeCell ref="B2:B3"/>
    <mergeCell ref="A2:A3"/>
    <mergeCell ref="P2:P3"/>
    <mergeCell ref="R2:R3"/>
    <mergeCell ref="S2:S3"/>
    <mergeCell ref="T2:T3"/>
    <mergeCell ref="V2:V3"/>
    <mergeCell ref="W2:W3"/>
    <mergeCell ref="A10:AA10"/>
    <mergeCell ref="L2:L3"/>
    <mergeCell ref="Q2:Q3"/>
    <mergeCell ref="U2:U3"/>
    <mergeCell ref="X2:X3"/>
    <mergeCell ref="Y2:Y3"/>
    <mergeCell ref="C2:C3"/>
    <mergeCell ref="H2:H3"/>
    <mergeCell ref="I2:I3"/>
    <mergeCell ref="A66:AA66"/>
    <mergeCell ref="A73:AA73"/>
    <mergeCell ref="A17:AA17"/>
    <mergeCell ref="A24:AA24"/>
    <mergeCell ref="A31:AA31"/>
    <mergeCell ref="A38:AA38"/>
    <mergeCell ref="A45:AA45"/>
    <mergeCell ref="A52:AA52"/>
    <mergeCell ref="A59:AA59"/>
    <mergeCell ref="A150:AA150"/>
    <mergeCell ref="A122:AA122"/>
    <mergeCell ref="A129:AA129"/>
    <mergeCell ref="A136:AA136"/>
    <mergeCell ref="A143:AA143"/>
    <mergeCell ref="A80:AA80"/>
    <mergeCell ref="A87:AA87"/>
    <mergeCell ref="A94:AA94"/>
    <mergeCell ref="A101:AA101"/>
    <mergeCell ref="A108:AA108"/>
    <mergeCell ref="A157:AA157"/>
    <mergeCell ref="A164:AA164"/>
    <mergeCell ref="A171:AA171"/>
    <mergeCell ref="A178:AA178"/>
    <mergeCell ref="A185:AA185"/>
    <mergeCell ref="A192:AA192"/>
    <mergeCell ref="A199:AA199"/>
    <mergeCell ref="A206:AA206"/>
    <mergeCell ref="A213:AA213"/>
    <mergeCell ref="A220:AA220"/>
  </mergeCells>
  <conditionalFormatting sqref="X4:X5 X7:X9">
    <cfRule type="expression" dxfId="266" priority="153">
      <formula>$X$4&lt;$Y$4</formula>
    </cfRule>
  </conditionalFormatting>
  <conditionalFormatting sqref="X11:X12 X14:X16">
    <cfRule type="expression" dxfId="265" priority="129">
      <formula>$X$4&lt;$Y$4</formula>
    </cfRule>
  </conditionalFormatting>
  <conditionalFormatting sqref="X18:X19 X21:X23">
    <cfRule type="expression" dxfId="264" priority="127">
      <formula>$X$4&lt;$Y$4</formula>
    </cfRule>
  </conditionalFormatting>
  <conditionalFormatting sqref="X25:X26 X28:X30">
    <cfRule type="expression" dxfId="263" priority="87">
      <formula>$X$4&lt;$Y$4</formula>
    </cfRule>
  </conditionalFormatting>
  <conditionalFormatting sqref="X32:X37">
    <cfRule type="expression" dxfId="262" priority="85">
      <formula>$X$4&lt;$Y$4</formula>
    </cfRule>
  </conditionalFormatting>
  <conditionalFormatting sqref="X39:X44">
    <cfRule type="expression" dxfId="261" priority="121">
      <formula>$X$4&lt;$Y$4</formula>
    </cfRule>
  </conditionalFormatting>
  <conditionalFormatting sqref="X46:X47 X49:X51">
    <cfRule type="expression" dxfId="260" priority="83">
      <formula>$X$4&lt;$Y$4</formula>
    </cfRule>
  </conditionalFormatting>
  <conditionalFormatting sqref="X53:X54 X56:X58">
    <cfRule type="expression" dxfId="259" priority="81">
      <formula>$X$4&lt;$Y$4</formula>
    </cfRule>
  </conditionalFormatting>
  <conditionalFormatting sqref="X60:X61 X63:X65">
    <cfRule type="expression" dxfId="258" priority="115">
      <formula>$X$4&lt;$Y$4</formula>
    </cfRule>
  </conditionalFormatting>
  <conditionalFormatting sqref="X67:X68 X70:X72">
    <cfRule type="expression" dxfId="257" priority="113">
      <formula>$X$4&lt;$Y$4</formula>
    </cfRule>
  </conditionalFormatting>
  <conditionalFormatting sqref="X74:X75 X77:X79">
    <cfRule type="expression" dxfId="256" priority="79">
      <formula>$X$4&lt;$Y$4</formula>
    </cfRule>
  </conditionalFormatting>
  <conditionalFormatting sqref="X81:X82 X84:X86">
    <cfRule type="expression" dxfId="255" priority="77">
      <formula>$X$4&lt;$Y$4</formula>
    </cfRule>
  </conditionalFormatting>
  <conditionalFormatting sqref="X88:X89 X91:X93">
    <cfRule type="expression" dxfId="254" priority="75">
      <formula>$X$4&lt;$Y$4</formula>
    </cfRule>
  </conditionalFormatting>
  <conditionalFormatting sqref="X95:X96 X98:X100">
    <cfRule type="expression" dxfId="253" priority="73">
      <formula>$X$4&lt;$Y$4</formula>
    </cfRule>
  </conditionalFormatting>
  <conditionalFormatting sqref="X102:X103 X105:X107">
    <cfRule type="expression" dxfId="252" priority="71">
      <formula>$X$4&lt;$Y$4</formula>
    </cfRule>
  </conditionalFormatting>
  <conditionalFormatting sqref="X109:X110 X112:X114">
    <cfRule type="expression" dxfId="251" priority="69">
      <formula>$X$4&lt;$Y$4</formula>
    </cfRule>
  </conditionalFormatting>
  <conditionalFormatting sqref="X116:X121">
    <cfRule type="expression" dxfId="250" priority="67">
      <formula>$X$4&lt;$Y$4</formula>
    </cfRule>
  </conditionalFormatting>
  <conditionalFormatting sqref="X123:X124 X126:X128">
    <cfRule type="expression" dxfId="249" priority="65">
      <formula>$X$4&lt;$Y$4</formula>
    </cfRule>
  </conditionalFormatting>
  <conditionalFormatting sqref="X130:X131 X133:X135">
    <cfRule type="expression" dxfId="248" priority="63">
      <formula>$X$4&lt;$Y$4</formula>
    </cfRule>
  </conditionalFormatting>
  <conditionalFormatting sqref="X137:X142">
    <cfRule type="expression" dxfId="247" priority="61">
      <formula>$X$4&lt;$Y$4</formula>
    </cfRule>
  </conditionalFormatting>
  <conditionalFormatting sqref="X144:X145 X147:X149">
    <cfRule type="expression" dxfId="246" priority="59">
      <formula>$X$4&lt;$Y$4</formula>
    </cfRule>
  </conditionalFormatting>
  <conditionalFormatting sqref="X151:X152 X154:X156">
    <cfRule type="expression" dxfId="245" priority="57">
      <formula>$X$4&lt;$Y$4</formula>
    </cfRule>
  </conditionalFormatting>
  <conditionalFormatting sqref="Z4:Z5 Z7:Z9">
    <cfRule type="expression" dxfId="244" priority="201">
      <formula>$Z$4&lt;AA4</formula>
    </cfRule>
  </conditionalFormatting>
  <conditionalFormatting sqref="Z11:Z12 Z14:Z16">
    <cfRule type="expression" dxfId="243" priority="130">
      <formula>$Z$4&lt;AA11</formula>
    </cfRule>
  </conditionalFormatting>
  <conditionalFormatting sqref="Z18:Z19 Z21:Z23">
    <cfRule type="expression" dxfId="242" priority="128">
      <formula>$Z$4&lt;AA18</formula>
    </cfRule>
  </conditionalFormatting>
  <conditionalFormatting sqref="Z25:Z26 Z28:Z30">
    <cfRule type="expression" dxfId="241" priority="88">
      <formula>$Z$4&lt;AA25</formula>
    </cfRule>
  </conditionalFormatting>
  <conditionalFormatting sqref="Z32:Z37">
    <cfRule type="expression" dxfId="240" priority="86">
      <formula>$Z$4&lt;AA32</formula>
    </cfRule>
  </conditionalFormatting>
  <conditionalFormatting sqref="Z39:Z44">
    <cfRule type="expression" dxfId="239" priority="122">
      <formula>$Z$4&lt;AA39</formula>
    </cfRule>
  </conditionalFormatting>
  <conditionalFormatting sqref="Z46:Z47 Z49:Z51">
    <cfRule type="expression" dxfId="238" priority="84">
      <formula>$Z$4&lt;AA46</formula>
    </cfRule>
  </conditionalFormatting>
  <conditionalFormatting sqref="Z53:Z54 Z56:Z58">
    <cfRule type="expression" dxfId="237" priority="82">
      <formula>$Z$4&lt;AA53</formula>
    </cfRule>
  </conditionalFormatting>
  <conditionalFormatting sqref="Z60:Z61 Z63:Z65">
    <cfRule type="expression" dxfId="236" priority="116">
      <formula>$Z$4&lt;AA60</formula>
    </cfRule>
  </conditionalFormatting>
  <conditionalFormatting sqref="Z67:Z68 Z70:Z72">
    <cfRule type="expression" dxfId="235" priority="114">
      <formula>$Z$4&lt;AA67</formula>
    </cfRule>
  </conditionalFormatting>
  <conditionalFormatting sqref="Z74:Z75 Z77:Z79">
    <cfRule type="expression" dxfId="234" priority="80">
      <formula>$Z$4&lt;AA74</formula>
    </cfRule>
  </conditionalFormatting>
  <conditionalFormatting sqref="Z81:Z82 Z84:Z86">
    <cfRule type="expression" dxfId="233" priority="78">
      <formula>$Z$4&lt;AA81</formula>
    </cfRule>
  </conditionalFormatting>
  <conditionalFormatting sqref="Z88:Z89 Z91:Z93">
    <cfRule type="expression" dxfId="232" priority="76">
      <formula>$Z$4&lt;AA88</formula>
    </cfRule>
  </conditionalFormatting>
  <conditionalFormatting sqref="Z95:Z96 Z98:Z100">
    <cfRule type="expression" dxfId="231" priority="74">
      <formula>$Z$4&lt;AA95</formula>
    </cfRule>
  </conditionalFormatting>
  <conditionalFormatting sqref="Z102:Z103 Z105:Z107">
    <cfRule type="expression" dxfId="230" priority="72">
      <formula>$Z$4&lt;AA102</formula>
    </cfRule>
  </conditionalFormatting>
  <conditionalFormatting sqref="Z109:Z110 Z112:Z114">
    <cfRule type="expression" dxfId="229" priority="70">
      <formula>$Z$4&lt;AA109</formula>
    </cfRule>
  </conditionalFormatting>
  <conditionalFormatting sqref="Z116:Z121">
    <cfRule type="expression" dxfId="228" priority="68">
      <formula>$Z$4&lt;AA116</formula>
    </cfRule>
  </conditionalFormatting>
  <conditionalFormatting sqref="Z123:Z124 Z126:Z128">
    <cfRule type="expression" dxfId="227" priority="66">
      <formula>$Z$4&lt;AA123</formula>
    </cfRule>
  </conditionalFormatting>
  <conditionalFormatting sqref="Z130:Z131 Z133:Z135">
    <cfRule type="expression" dxfId="226" priority="64">
      <formula>$Z$4&lt;AA130</formula>
    </cfRule>
  </conditionalFormatting>
  <conditionalFormatting sqref="Z137:Z142">
    <cfRule type="expression" dxfId="225" priority="62">
      <formula>$Z$4&lt;AA137</formula>
    </cfRule>
  </conditionalFormatting>
  <conditionalFormatting sqref="Z144:Z145 Z147:Z149">
    <cfRule type="expression" dxfId="224" priority="60">
      <formula>$Z$4&lt;AA144</formula>
    </cfRule>
  </conditionalFormatting>
  <conditionalFormatting sqref="Z151:Z152 Z154:Z156">
    <cfRule type="expression" dxfId="223" priority="58">
      <formula>$Z$4&lt;AA151</formula>
    </cfRule>
  </conditionalFormatting>
  <conditionalFormatting sqref="X158:X163">
    <cfRule type="expression" dxfId="222" priority="55">
      <formula>$X$4&lt;$Y$4</formula>
    </cfRule>
  </conditionalFormatting>
  <conditionalFormatting sqref="Z158:Z163">
    <cfRule type="expression" dxfId="221" priority="56">
      <formula>$Z$4&lt;AA158</formula>
    </cfRule>
  </conditionalFormatting>
  <conditionalFormatting sqref="X165:X170">
    <cfRule type="expression" dxfId="220" priority="53">
      <formula>$X$4&lt;$Y$4</formula>
    </cfRule>
  </conditionalFormatting>
  <conditionalFormatting sqref="Z165:Z170">
    <cfRule type="expression" dxfId="219" priority="54">
      <formula>$Z$4&lt;AA165</formula>
    </cfRule>
  </conditionalFormatting>
  <conditionalFormatting sqref="X172:X177">
    <cfRule type="expression" dxfId="218" priority="51">
      <formula>$X$4&lt;$Y$4</formula>
    </cfRule>
  </conditionalFormatting>
  <conditionalFormatting sqref="Z172:Z177">
    <cfRule type="expression" dxfId="217" priority="52">
      <formula>$Z$4&lt;AA172</formula>
    </cfRule>
  </conditionalFormatting>
  <conditionalFormatting sqref="X179:X184">
    <cfRule type="expression" dxfId="216" priority="49">
      <formula>$X$4&lt;$Y$4</formula>
    </cfRule>
  </conditionalFormatting>
  <conditionalFormatting sqref="Z179:Z184">
    <cfRule type="expression" dxfId="215" priority="50">
      <formula>$Z$4&lt;AA179</formula>
    </cfRule>
  </conditionalFormatting>
  <conditionalFormatting sqref="X186:X191">
    <cfRule type="expression" dxfId="214" priority="47">
      <formula>$X$4&lt;$Y$4</formula>
    </cfRule>
  </conditionalFormatting>
  <conditionalFormatting sqref="Z186:Z191">
    <cfRule type="expression" dxfId="213" priority="48">
      <formula>$Z$4&lt;AA186</formula>
    </cfRule>
  </conditionalFormatting>
  <conditionalFormatting sqref="X193:X198">
    <cfRule type="expression" dxfId="212" priority="45">
      <formula>$X$4&lt;$Y$4</formula>
    </cfRule>
  </conditionalFormatting>
  <conditionalFormatting sqref="Z193:Z198">
    <cfRule type="expression" dxfId="211" priority="46">
      <formula>$Z$4&lt;AA193</formula>
    </cfRule>
  </conditionalFormatting>
  <conditionalFormatting sqref="X200:X205">
    <cfRule type="expression" dxfId="210" priority="43">
      <formula>$X$4&lt;$Y$4</formula>
    </cfRule>
  </conditionalFormatting>
  <conditionalFormatting sqref="Z200:Z205">
    <cfRule type="expression" dxfId="209" priority="44">
      <formula>$Z$4&lt;AA200</formula>
    </cfRule>
  </conditionalFormatting>
  <conditionalFormatting sqref="X207:X212">
    <cfRule type="expression" dxfId="208" priority="41">
      <formula>$X$4&lt;$Y$4</formula>
    </cfRule>
  </conditionalFormatting>
  <conditionalFormatting sqref="Z207:Z212">
    <cfRule type="expression" dxfId="207" priority="42">
      <formula>$Z$4&lt;AA207</formula>
    </cfRule>
  </conditionalFormatting>
  <conditionalFormatting sqref="X214:X219">
    <cfRule type="expression" dxfId="206" priority="39">
      <formula>$X$4&lt;$Y$4</formula>
    </cfRule>
  </conditionalFormatting>
  <conditionalFormatting sqref="Z214:Z219">
    <cfRule type="expression" dxfId="205" priority="40">
      <formula>$Z$4&lt;AA214</formula>
    </cfRule>
  </conditionalFormatting>
  <conditionalFormatting sqref="X221:X226">
    <cfRule type="expression" dxfId="204" priority="37">
      <formula>$X$4&lt;$Y$4</formula>
    </cfRule>
  </conditionalFormatting>
  <conditionalFormatting sqref="Z221:Z226">
    <cfRule type="expression" dxfId="203" priority="38">
      <formula>$Z$4&lt;AA221</formula>
    </cfRule>
  </conditionalFormatting>
  <conditionalFormatting sqref="X90">
    <cfRule type="expression" dxfId="202" priority="35">
      <formula>$X$4&lt;$Y$4</formula>
    </cfRule>
  </conditionalFormatting>
  <conditionalFormatting sqref="Z90">
    <cfRule type="expression" dxfId="201" priority="36">
      <formula>$Z$4&lt;AA90</formula>
    </cfRule>
  </conditionalFormatting>
  <conditionalFormatting sqref="X83">
    <cfRule type="expression" dxfId="200" priority="33">
      <formula>$X$4&lt;$Y$4</formula>
    </cfRule>
  </conditionalFormatting>
  <conditionalFormatting sqref="Z83">
    <cfRule type="expression" dxfId="199" priority="34">
      <formula>$Z$4&lt;AA83</formula>
    </cfRule>
  </conditionalFormatting>
  <conditionalFormatting sqref="X97">
    <cfRule type="expression" dxfId="198" priority="31">
      <formula>$X$4&lt;$Y$4</formula>
    </cfRule>
  </conditionalFormatting>
  <conditionalFormatting sqref="Z97">
    <cfRule type="expression" dxfId="197" priority="32">
      <formula>$Z$4&lt;AA97</formula>
    </cfRule>
  </conditionalFormatting>
  <conditionalFormatting sqref="X104">
    <cfRule type="expression" dxfId="196" priority="29">
      <formula>$X$4&lt;$Y$4</formula>
    </cfRule>
  </conditionalFormatting>
  <conditionalFormatting sqref="Z104">
    <cfRule type="expression" dxfId="195" priority="30">
      <formula>$Z$4&lt;AA104</formula>
    </cfRule>
  </conditionalFormatting>
  <conditionalFormatting sqref="X111">
    <cfRule type="expression" dxfId="194" priority="27">
      <formula>$X$4&lt;$Y$4</formula>
    </cfRule>
  </conditionalFormatting>
  <conditionalFormatting sqref="Z111">
    <cfRule type="expression" dxfId="193" priority="28">
      <formula>$Z$4&lt;AA111</formula>
    </cfRule>
  </conditionalFormatting>
  <conditionalFormatting sqref="X125">
    <cfRule type="expression" dxfId="192" priority="25">
      <formula>$X$4&lt;$Y$4</formula>
    </cfRule>
  </conditionalFormatting>
  <conditionalFormatting sqref="Z125">
    <cfRule type="expression" dxfId="191" priority="26">
      <formula>$Z$4&lt;AA125</formula>
    </cfRule>
  </conditionalFormatting>
  <conditionalFormatting sqref="X132">
    <cfRule type="expression" dxfId="190" priority="23">
      <formula>$X$4&lt;$Y$4</formula>
    </cfRule>
  </conditionalFormatting>
  <conditionalFormatting sqref="Z132">
    <cfRule type="expression" dxfId="189" priority="24">
      <formula>$Z$4&lt;AA132</formula>
    </cfRule>
  </conditionalFormatting>
  <conditionalFormatting sqref="X146">
    <cfRule type="expression" dxfId="188" priority="21">
      <formula>$X$4&lt;$Y$4</formula>
    </cfRule>
  </conditionalFormatting>
  <conditionalFormatting sqref="Z146">
    <cfRule type="expression" dxfId="187" priority="22">
      <formula>$Z$4&lt;AA146</formula>
    </cfRule>
  </conditionalFormatting>
  <conditionalFormatting sqref="X153">
    <cfRule type="expression" dxfId="186" priority="19">
      <formula>$X$4&lt;$Y$4</formula>
    </cfRule>
  </conditionalFormatting>
  <conditionalFormatting sqref="Z153">
    <cfRule type="expression" dxfId="185" priority="20">
      <formula>$Z$4&lt;AA153</formula>
    </cfRule>
  </conditionalFormatting>
  <conditionalFormatting sqref="X6">
    <cfRule type="expression" dxfId="184" priority="17">
      <formula>$X$4&lt;$Y$4</formula>
    </cfRule>
  </conditionalFormatting>
  <conditionalFormatting sqref="Z6">
    <cfRule type="expression" dxfId="183" priority="18">
      <formula>$Z$4&lt;AA6</formula>
    </cfRule>
  </conditionalFormatting>
  <conditionalFormatting sqref="X13">
    <cfRule type="expression" dxfId="182" priority="15">
      <formula>$X$4&lt;$Y$4</formula>
    </cfRule>
  </conditionalFormatting>
  <conditionalFormatting sqref="Z13">
    <cfRule type="expression" dxfId="181" priority="16">
      <formula>$Z$4&lt;AA13</formula>
    </cfRule>
  </conditionalFormatting>
  <conditionalFormatting sqref="X20">
    <cfRule type="expression" dxfId="180" priority="13">
      <formula>$X$4&lt;$Y$4</formula>
    </cfRule>
  </conditionalFormatting>
  <conditionalFormatting sqref="Z20">
    <cfRule type="expression" dxfId="179" priority="14">
      <formula>$Z$4&lt;AA20</formula>
    </cfRule>
  </conditionalFormatting>
  <conditionalFormatting sqref="X27">
    <cfRule type="expression" dxfId="178" priority="11">
      <formula>$X$4&lt;$Y$4</formula>
    </cfRule>
  </conditionalFormatting>
  <conditionalFormatting sqref="Z27">
    <cfRule type="expression" dxfId="177" priority="12">
      <formula>$Z$4&lt;AA27</formula>
    </cfRule>
  </conditionalFormatting>
  <conditionalFormatting sqref="X48">
    <cfRule type="expression" dxfId="176" priority="9">
      <formula>$X$4&lt;$Y$4</formula>
    </cfRule>
  </conditionalFormatting>
  <conditionalFormatting sqref="Z48">
    <cfRule type="expression" dxfId="175" priority="10">
      <formula>$Z$4&lt;AA48</formula>
    </cfRule>
  </conditionalFormatting>
  <conditionalFormatting sqref="X55">
    <cfRule type="expression" dxfId="174" priority="7">
      <formula>$X$4&lt;$Y$4</formula>
    </cfRule>
  </conditionalFormatting>
  <conditionalFormatting sqref="Z55">
    <cfRule type="expression" dxfId="173" priority="8">
      <formula>$Z$4&lt;AA55</formula>
    </cfRule>
  </conditionalFormatting>
  <conditionalFormatting sqref="X62">
    <cfRule type="expression" dxfId="172" priority="5">
      <formula>$X$4&lt;$Y$4</formula>
    </cfRule>
  </conditionalFormatting>
  <conditionalFormatting sqref="Z62">
    <cfRule type="expression" dxfId="171" priority="6">
      <formula>$Z$4&lt;AA62</formula>
    </cfRule>
  </conditionalFormatting>
  <conditionalFormatting sqref="X69">
    <cfRule type="expression" dxfId="170" priority="3">
      <formula>$X$4&lt;$Y$4</formula>
    </cfRule>
  </conditionalFormatting>
  <conditionalFormatting sqref="Z69">
    <cfRule type="expression" dxfId="169" priority="4">
      <formula>$Z$4&lt;AA69</formula>
    </cfRule>
  </conditionalFormatting>
  <conditionalFormatting sqref="X76">
    <cfRule type="expression" dxfId="168" priority="1">
      <formula>$X$4&lt;$Y$4</formula>
    </cfRule>
  </conditionalFormatting>
  <conditionalFormatting sqref="Z76">
    <cfRule type="expression" dxfId="167" priority="2">
      <formula>$Z$4&lt;AA76</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55CE-4088-4EB4-AE6D-60B17130187D}">
  <dimension ref="A1:R70"/>
  <sheetViews>
    <sheetView zoomScaleNormal="100" workbookViewId="0">
      <pane ySplit="3" topLeftCell="A4" activePane="bottomLeft" state="frozen"/>
      <selection pane="bottomLeft" activeCell="C52" sqref="C52"/>
    </sheetView>
  </sheetViews>
  <sheetFormatPr defaultRowHeight="15"/>
  <cols>
    <col min="1" max="1" width="11.42578125" customWidth="1"/>
    <col min="2" max="2" width="35.85546875" customWidth="1"/>
    <col min="3" max="6" width="12.5703125" style="42" customWidth="1"/>
    <col min="7" max="8" width="12.5703125" style="38" customWidth="1"/>
    <col min="9" max="9" width="17.85546875" customWidth="1"/>
    <col min="10" max="11" width="17.85546875" style="42" customWidth="1"/>
    <col min="12" max="13" width="17.85546875" style="38" customWidth="1"/>
    <col min="14" max="14" width="15.28515625" customWidth="1"/>
    <col min="15" max="15" width="16.85546875" customWidth="1"/>
  </cols>
  <sheetData>
    <row r="1" spans="1:18" ht="31.5">
      <c r="A1" s="192" t="s">
        <v>0</v>
      </c>
      <c r="B1" s="193"/>
      <c r="C1" s="193"/>
      <c r="D1" s="193"/>
      <c r="E1" s="193"/>
      <c r="F1" s="193"/>
      <c r="G1" s="193"/>
      <c r="H1" s="193"/>
      <c r="I1" s="193"/>
      <c r="J1" s="193"/>
      <c r="K1" s="193"/>
      <c r="L1" s="193"/>
      <c r="M1" s="193"/>
      <c r="N1" s="193"/>
      <c r="O1" s="194"/>
      <c r="P1" s="39"/>
      <c r="Q1" s="39"/>
      <c r="R1" s="39"/>
    </row>
    <row r="2" spans="1:18" ht="15" customHeight="1">
      <c r="A2" s="197" t="s">
        <v>99</v>
      </c>
      <c r="B2" s="195" t="s">
        <v>100</v>
      </c>
      <c r="C2" s="198" t="s">
        <v>101</v>
      </c>
      <c r="D2" s="198" t="s">
        <v>102</v>
      </c>
      <c r="E2" s="198" t="s">
        <v>103</v>
      </c>
      <c r="F2" s="198" t="s">
        <v>104</v>
      </c>
      <c r="G2" s="199" t="s">
        <v>105</v>
      </c>
      <c r="H2" s="199" t="s">
        <v>106</v>
      </c>
      <c r="I2" s="195" t="s">
        <v>107</v>
      </c>
      <c r="J2" s="198" t="s">
        <v>108</v>
      </c>
      <c r="K2" s="198" t="s">
        <v>109</v>
      </c>
      <c r="L2" s="199" t="s">
        <v>110</v>
      </c>
      <c r="M2" s="199" t="s">
        <v>111</v>
      </c>
      <c r="N2" s="195" t="s">
        <v>112</v>
      </c>
      <c r="O2" s="196" t="s">
        <v>113</v>
      </c>
      <c r="P2" s="285"/>
    </row>
    <row r="3" spans="1:18">
      <c r="A3" s="197"/>
      <c r="B3" s="195"/>
      <c r="C3" s="198"/>
      <c r="D3" s="198"/>
      <c r="E3" s="198"/>
      <c r="F3" s="198"/>
      <c r="G3" s="199"/>
      <c r="H3" s="199"/>
      <c r="I3" s="195"/>
      <c r="J3" s="198"/>
      <c r="K3" s="198"/>
      <c r="L3" s="199"/>
      <c r="M3" s="199"/>
      <c r="N3" s="195"/>
      <c r="O3" s="196"/>
      <c r="P3" s="285"/>
    </row>
    <row r="4" spans="1:18">
      <c r="A4" s="160">
        <f>'Main Sheet'!A4</f>
        <v>7658</v>
      </c>
      <c r="B4" s="8" t="str">
        <f>'Main Sheet'!B4</f>
        <v>Charity Hospital</v>
      </c>
      <c r="C4" s="56">
        <v>20000</v>
      </c>
      <c r="D4" s="56">
        <v>10272.17</v>
      </c>
      <c r="E4" s="40">
        <f>C4-D4</f>
        <v>9727.83</v>
      </c>
      <c r="F4" s="56">
        <v>0</v>
      </c>
      <c r="G4" s="36">
        <f>(E4+F4)/C4</f>
        <v>0.48639149999999998</v>
      </c>
      <c r="H4" s="36">
        <v>0.21490000000000001</v>
      </c>
      <c r="I4" s="140">
        <v>0</v>
      </c>
      <c r="J4" s="141">
        <v>90</v>
      </c>
      <c r="K4" s="40">
        <f>(I4*40)+J4</f>
        <v>90</v>
      </c>
      <c r="L4" s="36">
        <f>((E4-K4)+F4)/C4</f>
        <v>0.48189149999999997</v>
      </c>
      <c r="M4" s="40">
        <f>SUM(E4:F4)-K4</f>
        <v>9637.83</v>
      </c>
      <c r="N4" s="8">
        <v>20</v>
      </c>
      <c r="O4" s="94">
        <f>SUM(M4/(N4+I4))</f>
        <v>481.89150000000001</v>
      </c>
    </row>
    <row r="5" spans="1:18" ht="7.5" customHeight="1">
      <c r="A5" s="101"/>
      <c r="B5" s="102"/>
      <c r="C5" s="102"/>
      <c r="D5" s="102"/>
      <c r="E5" s="102"/>
      <c r="F5" s="102"/>
      <c r="G5" s="102"/>
      <c r="H5" s="102"/>
      <c r="I5" s="102"/>
      <c r="J5" s="102"/>
      <c r="K5" s="102"/>
      <c r="L5" s="102"/>
      <c r="M5" s="102"/>
      <c r="N5" s="102"/>
      <c r="O5" s="94"/>
    </row>
    <row r="6" spans="1:18">
      <c r="A6" s="160">
        <f>'Main Sheet'!A6</f>
        <v>8142</v>
      </c>
      <c r="B6" s="8" t="str">
        <f>'Main Sheet'!B6</f>
        <v>Fisher Developements</v>
      </c>
      <c r="C6" s="56">
        <v>0</v>
      </c>
      <c r="D6" s="56">
        <v>3968.93</v>
      </c>
      <c r="E6" s="40">
        <f>C6-D6</f>
        <v>-3968.93</v>
      </c>
      <c r="F6" s="56">
        <v>0</v>
      </c>
      <c r="G6" s="36" t="e">
        <f>(E6+F6)/C6</f>
        <v>#DIV/0!</v>
      </c>
      <c r="H6" s="36">
        <f>'Deliverables Sheet'!AA11</f>
        <v>0.23921458561763742</v>
      </c>
      <c r="I6" s="44">
        <v>16</v>
      </c>
      <c r="J6" s="56">
        <v>272.60000000000002</v>
      </c>
      <c r="K6" s="40">
        <f>(I6*40)+J6</f>
        <v>912.6</v>
      </c>
      <c r="L6" s="36" t="e">
        <f>((E6-K6)+F6)/C6</f>
        <v>#DIV/0!</v>
      </c>
      <c r="M6" s="40">
        <f>SUM(E6:F6)-K6</f>
        <v>-4881.53</v>
      </c>
      <c r="N6" s="8">
        <f>'Deliverables Sheet'!AE11</f>
        <v>7</v>
      </c>
      <c r="O6" s="94">
        <f>SUM(M6/(N6+I6))</f>
        <v>-212.24043478260867</v>
      </c>
      <c r="Q6" t="s">
        <v>114</v>
      </c>
    </row>
    <row r="7" spans="1:18" ht="7.5" customHeight="1">
      <c r="A7" s="103"/>
      <c r="B7" s="104"/>
      <c r="C7" s="104"/>
      <c r="D7" s="104"/>
      <c r="E7" s="104"/>
      <c r="F7" s="104"/>
      <c r="G7" s="104"/>
      <c r="H7" s="104"/>
      <c r="I7" s="104"/>
      <c r="J7" s="104"/>
      <c r="K7" s="104"/>
      <c r="L7" s="104"/>
      <c r="M7" s="104"/>
      <c r="N7" s="104"/>
      <c r="O7" s="94"/>
    </row>
    <row r="8" spans="1:18">
      <c r="A8" s="160">
        <f>'Main Sheet'!A8</f>
        <v>8824</v>
      </c>
      <c r="B8" s="8" t="str">
        <f>'Main Sheet'!B8</f>
        <v>3 Innovation Road</v>
      </c>
      <c r="C8" s="56">
        <v>6999.08</v>
      </c>
      <c r="D8" s="56">
        <v>4771.92</v>
      </c>
      <c r="E8" s="40">
        <f>C8-D8</f>
        <v>2227.16</v>
      </c>
      <c r="F8" s="56"/>
      <c r="G8" s="36">
        <f>(E8+F8)/C8</f>
        <v>0.3182075358475685</v>
      </c>
      <c r="H8" s="36">
        <f>'Deliverables Sheet'!AA18</f>
        <v>0.28852355172594346</v>
      </c>
      <c r="I8" s="44">
        <v>16</v>
      </c>
      <c r="J8" s="56"/>
      <c r="K8" s="40">
        <f t="shared" ref="K8" si="0">(I8*40)+J8</f>
        <v>640</v>
      </c>
      <c r="L8" s="36">
        <f>((E8-K8)+F8)/C8</f>
        <v>0.22676694651297025</v>
      </c>
      <c r="M8" s="40">
        <f>SUM(E8:F8)-K8</f>
        <v>1587.1599999999999</v>
      </c>
      <c r="N8" s="8">
        <f>'Deliverables Sheet'!AE18</f>
        <v>3</v>
      </c>
      <c r="O8" s="94">
        <f>SUM(M8/(N8+I8))</f>
        <v>83.534736842105261</v>
      </c>
    </row>
    <row r="9" spans="1:18" ht="7.5" customHeight="1">
      <c r="A9" s="103"/>
      <c r="B9" s="104"/>
      <c r="C9" s="104"/>
      <c r="D9" s="104"/>
      <c r="E9" s="104"/>
      <c r="F9" s="104"/>
      <c r="G9" s="104"/>
      <c r="H9" s="104"/>
      <c r="I9" s="104"/>
      <c r="J9" s="104"/>
      <c r="K9" s="104"/>
      <c r="L9" s="104"/>
      <c r="M9" s="104"/>
      <c r="N9" s="104"/>
      <c r="O9" s="94"/>
    </row>
    <row r="10" spans="1:18">
      <c r="A10" s="160">
        <f>'Main Sheet'!A10</f>
        <v>8127</v>
      </c>
      <c r="B10" s="8" t="str">
        <f>'Main Sheet'!B10</f>
        <v>Rolly Autowash</v>
      </c>
      <c r="C10" s="56">
        <v>53231</v>
      </c>
      <c r="D10" s="56">
        <v>33984.22</v>
      </c>
      <c r="E10" s="40">
        <f>C10-D10</f>
        <v>19246.78</v>
      </c>
      <c r="F10" s="56">
        <v>0</v>
      </c>
      <c r="G10" s="36">
        <f>(E10+F10)/C10</f>
        <v>0.36157088914354413</v>
      </c>
      <c r="H10" s="36">
        <f>'Deliverables Sheet'!AA25</f>
        <v>0.32265253844824976</v>
      </c>
      <c r="I10" s="44">
        <v>48</v>
      </c>
      <c r="J10" s="56">
        <v>3000</v>
      </c>
      <c r="K10" s="40">
        <v>1000</v>
      </c>
      <c r="L10" s="36">
        <f>((E10-K10)+F10)/C10</f>
        <v>0.34278484341830884</v>
      </c>
      <c r="M10" s="40">
        <f>SUM(E10:F10)-K10</f>
        <v>18246.78</v>
      </c>
      <c r="N10" s="8">
        <f>'Deliverables Sheet'!AE25</f>
        <v>227.5</v>
      </c>
      <c r="O10" s="94">
        <f>SUM(M10/(N10+I10))</f>
        <v>66.231506352087109</v>
      </c>
    </row>
    <row r="11" spans="1:18" ht="7.5" customHeight="1">
      <c r="A11" s="103"/>
      <c r="B11" s="104"/>
      <c r="C11" s="104"/>
      <c r="D11" s="104"/>
      <c r="E11" s="104"/>
      <c r="F11" s="104"/>
      <c r="G11" s="104"/>
      <c r="H11" s="104"/>
      <c r="I11" s="104"/>
      <c r="J11" s="104"/>
      <c r="K11" s="104"/>
      <c r="L11" s="104"/>
      <c r="M11" s="104"/>
      <c r="N11" s="104"/>
      <c r="O11" s="94"/>
    </row>
    <row r="12" spans="1:18">
      <c r="A12" s="160">
        <v>8183</v>
      </c>
      <c r="B12" s="8" t="s">
        <v>115</v>
      </c>
      <c r="C12" s="56">
        <v>20350</v>
      </c>
      <c r="D12" s="56">
        <v>13205.66</v>
      </c>
      <c r="E12" s="40">
        <f>C12-D12</f>
        <v>7144.34</v>
      </c>
      <c r="F12" s="56"/>
      <c r="G12" s="36">
        <f>(E12+F12)/C12</f>
        <v>0.35107321867321867</v>
      </c>
      <c r="H12" s="36">
        <f>'Deliverables Sheet'!AA32</f>
        <v>0.17600034923475294</v>
      </c>
      <c r="I12" s="44">
        <v>16</v>
      </c>
      <c r="J12" s="56">
        <v>2000</v>
      </c>
      <c r="K12" s="40">
        <f t="shared" ref="K12:K24" si="1">(I12*40)+J12</f>
        <v>2640</v>
      </c>
      <c r="L12" s="36">
        <f>((E12-K12)+F12)/C12</f>
        <v>0.22134348894348896</v>
      </c>
      <c r="M12" s="40">
        <f>SUM(E12:F12)-K12</f>
        <v>4504.34</v>
      </c>
      <c r="N12" s="8">
        <v>53</v>
      </c>
      <c r="O12" s="94">
        <f>SUM(M12/(N12+I12))</f>
        <v>65.280289855072468</v>
      </c>
      <c r="Q12" t="s">
        <v>116</v>
      </c>
    </row>
    <row r="13" spans="1:18" ht="7.5" customHeight="1">
      <c r="A13" s="103"/>
      <c r="B13" s="104"/>
      <c r="C13" s="104"/>
      <c r="D13" s="104"/>
      <c r="E13" s="151"/>
      <c r="F13" s="104"/>
      <c r="G13" s="104"/>
      <c r="H13" s="104"/>
      <c r="I13" s="104"/>
      <c r="J13" s="104"/>
      <c r="K13" s="104"/>
      <c r="L13" s="104"/>
      <c r="M13" s="104"/>
      <c r="N13" s="104"/>
      <c r="O13" s="94"/>
    </row>
    <row r="14" spans="1:18">
      <c r="A14" s="160">
        <f>'Main Sheet'!A14</f>
        <v>8886</v>
      </c>
      <c r="B14" s="8" t="str">
        <f>'Main Sheet'!B14</f>
        <v>Monkey Toe - Fisher fit out</v>
      </c>
      <c r="C14" s="56">
        <v>10100</v>
      </c>
      <c r="D14" s="56">
        <v>6684.89</v>
      </c>
      <c r="E14" s="40">
        <f t="shared" ref="E14:E24" si="2">C14-D14</f>
        <v>3415.1099999999997</v>
      </c>
      <c r="F14" s="56">
        <v>0</v>
      </c>
      <c r="G14" s="36">
        <f>(E14+F14)/C14</f>
        <v>0.33812970297029699</v>
      </c>
      <c r="H14" s="36">
        <f>'Deliverables Sheet'!AA39</f>
        <v>0.26633852727109697</v>
      </c>
      <c r="I14" s="44">
        <v>0</v>
      </c>
      <c r="J14" s="56">
        <v>3000</v>
      </c>
      <c r="K14" s="40">
        <v>0</v>
      </c>
      <c r="L14" s="36">
        <f>((E14-K14)+F14)/C14</f>
        <v>0.33812970297029699</v>
      </c>
      <c r="M14" s="40">
        <f>SUM(E14:F14)-K14</f>
        <v>3415.1099999999997</v>
      </c>
      <c r="N14" s="8">
        <f>'Deliverables Sheet'!AE39</f>
        <v>104</v>
      </c>
      <c r="O14" s="94">
        <f>SUM(M14/(N14+I14))</f>
        <v>32.83759615384615</v>
      </c>
    </row>
    <row r="15" spans="1:18" ht="7.5" customHeight="1">
      <c r="A15" s="103"/>
      <c r="B15" s="104"/>
      <c r="C15" s="104"/>
      <c r="D15" s="104"/>
      <c r="E15" s="151"/>
      <c r="F15" s="104"/>
      <c r="G15" s="104"/>
      <c r="H15" s="104"/>
      <c r="I15" s="104"/>
      <c r="J15" s="104"/>
      <c r="K15" s="104"/>
      <c r="L15" s="104"/>
      <c r="M15" s="104"/>
      <c r="N15" s="104"/>
      <c r="O15" s="94"/>
    </row>
    <row r="16" spans="1:18">
      <c r="A16" s="160">
        <f>'Main Sheet'!A16</f>
        <v>8887</v>
      </c>
      <c r="B16" s="8" t="str">
        <f>'Main Sheet'!B16</f>
        <v>Tenancy 2 - Fisher Fit out</v>
      </c>
      <c r="C16" s="56">
        <v>10500</v>
      </c>
      <c r="D16" s="56">
        <v>4840</v>
      </c>
      <c r="E16" s="40">
        <f t="shared" si="2"/>
        <v>5660</v>
      </c>
      <c r="F16" s="56"/>
      <c r="G16" s="36">
        <f>(E16+F16)/C16</f>
        <v>0.539047619047619</v>
      </c>
      <c r="H16" s="36">
        <f>'Deliverables Sheet'!AA46</f>
        <v>0.22635382109785498</v>
      </c>
      <c r="I16" s="44">
        <v>0</v>
      </c>
      <c r="J16" s="56">
        <v>3000</v>
      </c>
      <c r="K16" s="40">
        <f t="shared" si="1"/>
        <v>3000</v>
      </c>
      <c r="L16" s="36">
        <f>((E16-K16)+F16)/C16</f>
        <v>0.25333333333333335</v>
      </c>
      <c r="M16" s="40">
        <f>SUM(E16:F16)-K16</f>
        <v>2660</v>
      </c>
      <c r="N16" s="8">
        <f>'Deliverables Sheet'!AE46</f>
        <v>80.25</v>
      </c>
      <c r="O16" s="94">
        <f>SUM(M16/(N16+I16))</f>
        <v>33.146417445482868</v>
      </c>
    </row>
    <row r="17" spans="1:17" ht="7.5" customHeight="1">
      <c r="A17" s="103"/>
      <c r="B17" s="104"/>
      <c r="C17" s="104"/>
      <c r="D17" s="104"/>
      <c r="E17" s="151"/>
      <c r="F17" s="104"/>
      <c r="G17" s="104"/>
      <c r="H17" s="104"/>
      <c r="I17" s="104"/>
      <c r="J17" s="104"/>
      <c r="K17" s="104"/>
      <c r="L17" s="104"/>
      <c r="M17" s="104"/>
      <c r="N17" s="104"/>
      <c r="O17" s="94"/>
    </row>
    <row r="18" spans="1:17">
      <c r="A18" s="160">
        <f>'Main Sheet'!A18</f>
        <v>8670</v>
      </c>
      <c r="B18" s="8" t="str">
        <f>'Main Sheet'!B18</f>
        <v>Studio DB - tautara fit out</v>
      </c>
      <c r="C18" s="56">
        <v>37161.1</v>
      </c>
      <c r="D18" s="56">
        <v>21086</v>
      </c>
      <c r="E18" s="40">
        <f t="shared" si="2"/>
        <v>16075.099999999999</v>
      </c>
      <c r="F18" s="56">
        <v>0</v>
      </c>
      <c r="G18" s="36">
        <f>(E18+F18)/C18</f>
        <v>0.43257869115822728</v>
      </c>
      <c r="H18" s="36">
        <f>'Deliverables Sheet'!AA53</f>
        <v>0.29217930414289039</v>
      </c>
      <c r="I18" s="44">
        <v>80</v>
      </c>
      <c r="J18" s="56">
        <v>5000</v>
      </c>
      <c r="K18" s="40">
        <f t="shared" si="1"/>
        <v>8200</v>
      </c>
      <c r="L18" s="36">
        <f>((E18-K18)+F18)/C18</f>
        <v>0.21191783881532028</v>
      </c>
      <c r="M18" s="40">
        <f>SUM(E18:F18)-K18</f>
        <v>7875.0999999999985</v>
      </c>
      <c r="N18" s="8">
        <f>'Deliverables Sheet'!AE53</f>
        <v>231</v>
      </c>
      <c r="O18" s="94">
        <f>SUM(M18/(N18+I18))</f>
        <v>25.321864951768482</v>
      </c>
      <c r="Q18" t="s">
        <v>117</v>
      </c>
    </row>
    <row r="19" spans="1:17" ht="7.5" customHeight="1">
      <c r="A19" s="103"/>
      <c r="B19" s="104"/>
      <c r="C19" s="104"/>
      <c r="D19" s="104"/>
      <c r="E19" s="151"/>
      <c r="F19" s="104"/>
      <c r="G19" s="104"/>
      <c r="H19" s="152"/>
      <c r="I19" s="104"/>
      <c r="J19" s="104"/>
      <c r="K19" s="104"/>
      <c r="L19" s="104"/>
      <c r="M19" s="104"/>
      <c r="N19" s="104"/>
      <c r="O19" s="94"/>
    </row>
    <row r="20" spans="1:17">
      <c r="A20" s="160">
        <f>'Main Sheet'!A20</f>
        <v>8907</v>
      </c>
      <c r="B20" s="8" t="str">
        <f>'Main Sheet'!B20</f>
        <v>35 Mania</v>
      </c>
      <c r="C20" s="56">
        <v>0</v>
      </c>
      <c r="D20" s="56">
        <v>0</v>
      </c>
      <c r="E20" s="40">
        <f>C20-D20</f>
        <v>0</v>
      </c>
      <c r="F20" s="56"/>
      <c r="G20" s="36" t="e">
        <f>(E20+F20)/C20</f>
        <v>#DIV/0!</v>
      </c>
      <c r="H20" s="36">
        <f>'Deliverables Sheet'!AA60</f>
        <v>0.22334744982507829</v>
      </c>
      <c r="I20" s="44"/>
      <c r="J20" s="56"/>
      <c r="K20" s="40">
        <f t="shared" si="1"/>
        <v>0</v>
      </c>
      <c r="L20" s="36" t="e">
        <f>((E20-K20)+F20)/C20</f>
        <v>#DIV/0!</v>
      </c>
      <c r="M20" s="40">
        <f>SUM(E20:F20)-K20</f>
        <v>0</v>
      </c>
      <c r="N20" s="8"/>
      <c r="O20" s="94" t="e">
        <f>SUM(M20/(N20+I20))</f>
        <v>#DIV/0!</v>
      </c>
    </row>
    <row r="21" spans="1:17" ht="7.5" customHeight="1">
      <c r="A21" s="103"/>
      <c r="B21" s="104"/>
      <c r="C21" s="104"/>
      <c r="D21" s="104"/>
      <c r="E21" s="151"/>
      <c r="F21" s="104"/>
      <c r="G21" s="104"/>
      <c r="H21" s="104"/>
      <c r="I21" s="104"/>
      <c r="J21" s="104"/>
      <c r="K21" s="104"/>
      <c r="L21" s="104"/>
      <c r="M21" s="104"/>
      <c r="N21" s="104"/>
      <c r="O21" s="94"/>
    </row>
    <row r="22" spans="1:17">
      <c r="A22" s="160">
        <f>'Main Sheet'!A22</f>
        <v>9065</v>
      </c>
      <c r="B22" s="8" t="str">
        <f>'Main Sheet'!B22</f>
        <v>Cooltranz stage 4</v>
      </c>
      <c r="C22" s="56">
        <v>0</v>
      </c>
      <c r="D22" s="56">
        <v>0</v>
      </c>
      <c r="E22" s="40">
        <f t="shared" si="2"/>
        <v>0</v>
      </c>
      <c r="F22" s="56">
        <v>0</v>
      </c>
      <c r="G22" s="36" t="e">
        <f>(E22+F22)/C22</f>
        <v>#DIV/0!</v>
      </c>
      <c r="H22" s="36">
        <f>'Deliverables Sheet'!AA67</f>
        <v>0.25248825682723763</v>
      </c>
      <c r="I22" s="44"/>
      <c r="J22" s="56"/>
      <c r="K22" s="40">
        <f t="shared" si="1"/>
        <v>0</v>
      </c>
      <c r="L22" s="36" t="e">
        <f>((E22-K22)+F22)/C22</f>
        <v>#DIV/0!</v>
      </c>
      <c r="M22" s="40">
        <f>SUM(E22:F22)-K22</f>
        <v>0</v>
      </c>
      <c r="N22" s="8">
        <f>'Deliverables Sheet'!AE67</f>
        <v>0</v>
      </c>
      <c r="O22" s="94" t="e">
        <f>SUM(M22/(N22+I22))</f>
        <v>#DIV/0!</v>
      </c>
    </row>
    <row r="23" spans="1:17" ht="7.5" customHeight="1">
      <c r="A23" s="103"/>
      <c r="B23" s="104"/>
      <c r="C23" s="104"/>
      <c r="D23" s="104"/>
      <c r="E23" s="151"/>
      <c r="F23" s="104"/>
      <c r="G23" s="104"/>
      <c r="H23" s="104"/>
      <c r="I23" s="104"/>
      <c r="J23" s="104"/>
      <c r="K23" s="104"/>
      <c r="L23" s="104"/>
      <c r="M23" s="104"/>
      <c r="N23" s="104"/>
      <c r="O23" s="94"/>
    </row>
    <row r="24" spans="1:17">
      <c r="A24" s="7">
        <f>'Main Sheet'!A24</f>
        <v>9259</v>
      </c>
      <c r="B24" s="8" t="str">
        <f>'Main Sheet'!B24</f>
        <v>Andrew Reeve Stage 2</v>
      </c>
      <c r="C24" s="56">
        <v>0</v>
      </c>
      <c r="D24" s="56">
        <v>0</v>
      </c>
      <c r="E24" s="40">
        <f t="shared" si="2"/>
        <v>0</v>
      </c>
      <c r="F24" s="56"/>
      <c r="G24" s="36" t="e">
        <f>(E24+F24)/C24</f>
        <v>#DIV/0!</v>
      </c>
      <c r="H24" s="36" t="e">
        <f>'Deliverables Sheet'!AA74</f>
        <v>#DIV/0!</v>
      </c>
      <c r="I24" s="44"/>
      <c r="J24" s="56"/>
      <c r="K24" s="40">
        <f t="shared" si="1"/>
        <v>0</v>
      </c>
      <c r="L24" s="36" t="e">
        <f>((E24-K24)+F24)/C24</f>
        <v>#DIV/0!</v>
      </c>
      <c r="M24" s="40">
        <f>SUM(E24:F24)-K24</f>
        <v>0</v>
      </c>
      <c r="N24" s="8">
        <f>'Deliverables Sheet'!AE74</f>
        <v>0</v>
      </c>
      <c r="O24" s="94" t="e">
        <f>SUM(M24/(N24+I24))</f>
        <v>#DIV/0!</v>
      </c>
    </row>
    <row r="25" spans="1:17" ht="7.5" customHeight="1">
      <c r="A25" s="106"/>
      <c r="B25" s="107"/>
      <c r="C25" s="107"/>
      <c r="D25" s="107"/>
      <c r="E25" s="107"/>
      <c r="F25" s="107"/>
      <c r="G25" s="107"/>
      <c r="H25" s="107"/>
      <c r="I25" s="107"/>
      <c r="J25" s="107"/>
      <c r="K25" s="107"/>
      <c r="L25" s="107"/>
      <c r="M25" s="107"/>
      <c r="N25" s="107"/>
      <c r="O25" s="94"/>
    </row>
    <row r="26" spans="1:17">
      <c r="A26" s="7">
        <f>'Main Sheet'!A26</f>
        <v>8352</v>
      </c>
      <c r="B26" s="8" t="str">
        <f>'Main Sheet'!B26</f>
        <v>5 Sanscrit Place</v>
      </c>
      <c r="C26" s="56"/>
      <c r="D26" s="56"/>
      <c r="E26" s="40">
        <f>C26-D26</f>
        <v>0</v>
      </c>
      <c r="F26" s="56">
        <v>0</v>
      </c>
      <c r="G26" s="36" t="e">
        <f>(E26+F26)/C26</f>
        <v>#DIV/0!</v>
      </c>
      <c r="H26" s="36">
        <f>'Deliverables Sheet'!AA81</f>
        <v>0.3479293885936145</v>
      </c>
      <c r="I26" s="44"/>
      <c r="J26" s="56">
        <v>0</v>
      </c>
      <c r="K26" s="40">
        <f>(I26*40)+J26</f>
        <v>0</v>
      </c>
      <c r="L26" s="36" t="e">
        <f>((E26-K26)+F26)/C26</f>
        <v>#DIV/0!</v>
      </c>
      <c r="M26" s="40">
        <f>SUM(E26:F26)-K26</f>
        <v>0</v>
      </c>
      <c r="N26" s="8">
        <f>'Deliverables Sheet'!AE81</f>
        <v>54.25</v>
      </c>
      <c r="O26" s="94">
        <f>SUM(M26/(N26+I26))</f>
        <v>0</v>
      </c>
    </row>
    <row r="27" spans="1:17" ht="7.5" customHeight="1">
      <c r="A27" s="103"/>
      <c r="B27" s="104"/>
      <c r="C27" s="104"/>
      <c r="D27" s="104"/>
      <c r="E27" s="104"/>
      <c r="F27" s="104"/>
      <c r="G27" s="104"/>
      <c r="H27" s="104"/>
      <c r="I27" s="104"/>
      <c r="J27" s="104"/>
      <c r="K27" s="104"/>
      <c r="L27" s="104"/>
      <c r="M27" s="104"/>
      <c r="N27" s="104"/>
      <c r="O27" s="94"/>
    </row>
    <row r="28" spans="1:17">
      <c r="A28" s="7">
        <f>'Main Sheet'!A28</f>
        <v>8234</v>
      </c>
      <c r="B28" s="8" t="str">
        <f>'Main Sheet'!B28</f>
        <v>Melhuish House</v>
      </c>
      <c r="C28" s="56">
        <v>6681.34</v>
      </c>
      <c r="D28" s="56">
        <v>4367.6499999999996</v>
      </c>
      <c r="E28" s="40">
        <f>C28-D28</f>
        <v>2313.6900000000005</v>
      </c>
      <c r="F28" s="56">
        <v>0</v>
      </c>
      <c r="G28" s="36">
        <f>(E28+F28)/C28</f>
        <v>0.3462913128204822</v>
      </c>
      <c r="H28" s="36">
        <f>'Deliverables Sheet'!AA88</f>
        <v>0.27182514481691489</v>
      </c>
      <c r="I28" s="44"/>
      <c r="J28" s="56"/>
      <c r="K28" s="40">
        <f>(I28*40)+J28</f>
        <v>0</v>
      </c>
      <c r="L28" s="36">
        <f>((E28-K28)+F28)/C28</f>
        <v>0.3462913128204822</v>
      </c>
      <c r="M28" s="40">
        <f>SUM(E28:F28)-K28</f>
        <v>2313.6900000000005</v>
      </c>
      <c r="N28" s="8">
        <f>'Deliverables Sheet'!AE88</f>
        <v>70</v>
      </c>
      <c r="O28" s="94">
        <f>SUM(M28/(N28+I28))</f>
        <v>33.052714285714295</v>
      </c>
    </row>
    <row r="29" spans="1:17" ht="7.5" customHeight="1">
      <c r="A29" s="103"/>
      <c r="B29" s="104"/>
      <c r="C29" s="104"/>
      <c r="D29" s="104"/>
      <c r="E29" s="104"/>
      <c r="F29" s="104"/>
      <c r="G29" s="104"/>
      <c r="H29" s="104"/>
      <c r="I29" s="104"/>
      <c r="J29" s="104"/>
      <c r="K29" s="104"/>
      <c r="L29" s="104"/>
      <c r="M29" s="104"/>
      <c r="N29" s="104"/>
      <c r="O29" s="94"/>
    </row>
    <row r="30" spans="1:17">
      <c r="A30" s="7">
        <f>'Main Sheet'!A30</f>
        <v>8214</v>
      </c>
      <c r="B30" s="8" t="str">
        <f>'Main Sheet'!B30</f>
        <v>6 Tiroroa Lane</v>
      </c>
      <c r="C30" s="56"/>
      <c r="D30" s="56"/>
      <c r="E30" s="40">
        <f>C30-D30</f>
        <v>0</v>
      </c>
      <c r="F30" s="56">
        <v>0</v>
      </c>
      <c r="G30" s="36" t="e">
        <f>(E30+F30)/C30</f>
        <v>#DIV/0!</v>
      </c>
      <c r="H30" s="36">
        <f>'Deliverables Sheet'!AA95</f>
        <v>0.25804337714531428</v>
      </c>
      <c r="I30" s="44"/>
      <c r="J30" s="56"/>
      <c r="K30" s="40">
        <f>(I30*40)+J30</f>
        <v>0</v>
      </c>
      <c r="L30" s="36" t="e">
        <f>((E30-K30)+F30)/C30</f>
        <v>#DIV/0!</v>
      </c>
      <c r="M30" s="40">
        <f>SUM(E30:F30)-K30</f>
        <v>0</v>
      </c>
      <c r="N30" s="8">
        <f>'Deliverables Sheet'!AE95</f>
        <v>0</v>
      </c>
      <c r="O30" s="94" t="e">
        <f>SUM(M30/(N30+I30))</f>
        <v>#DIV/0!</v>
      </c>
    </row>
    <row r="31" spans="1:17" ht="7.5" customHeight="1">
      <c r="A31" s="103"/>
      <c r="B31" s="104"/>
      <c r="C31" s="104"/>
      <c r="D31" s="104"/>
      <c r="E31" s="104"/>
      <c r="F31" s="104"/>
      <c r="G31" s="104"/>
      <c r="H31" s="104"/>
      <c r="I31" s="104"/>
      <c r="J31" s="104"/>
      <c r="K31" s="104"/>
      <c r="L31" s="104"/>
      <c r="M31" s="104"/>
      <c r="N31" s="104"/>
      <c r="O31" s="94"/>
    </row>
    <row r="32" spans="1:17">
      <c r="A32" s="7">
        <f>'Main Sheet'!A32</f>
        <v>6792</v>
      </c>
      <c r="B32" s="8" t="str">
        <f>'Main Sheet'!B32</f>
        <v xml:space="preserve">Major Hornbrook </v>
      </c>
      <c r="C32" s="56">
        <v>6250</v>
      </c>
      <c r="D32" s="56">
        <v>1922.47</v>
      </c>
      <c r="E32" s="40">
        <f>C32-D32</f>
        <v>4327.53</v>
      </c>
      <c r="F32" s="56">
        <v>0</v>
      </c>
      <c r="G32" s="36">
        <f>(E32+F32)/C32</f>
        <v>0.69240479999999993</v>
      </c>
      <c r="H32" s="36">
        <f>'Deliverables Sheet'!AA102</f>
        <v>0.28317296422022159</v>
      </c>
      <c r="I32" s="44">
        <v>64</v>
      </c>
      <c r="J32" s="56">
        <v>0</v>
      </c>
      <c r="K32" s="40">
        <f>(I32*40)+J32</f>
        <v>2560</v>
      </c>
      <c r="L32" s="36">
        <f>((E32-K32)+F32)/C32</f>
        <v>0.28280479999999997</v>
      </c>
      <c r="M32" s="40">
        <f>SUM(E32:F32)-K32</f>
        <v>1767.5299999999997</v>
      </c>
      <c r="N32" s="8">
        <f>'Deliverables Sheet'!AE102</f>
        <v>68.5</v>
      </c>
      <c r="O32" s="94">
        <f>SUM(M32/(N32+I32))</f>
        <v>13.339849056603772</v>
      </c>
    </row>
    <row r="33" spans="1:15" ht="7.5" customHeight="1">
      <c r="A33" s="103"/>
      <c r="B33" s="104"/>
      <c r="C33" s="104"/>
      <c r="D33" s="104"/>
      <c r="E33" s="104"/>
      <c r="F33" s="104"/>
      <c r="G33" s="104"/>
      <c r="H33" s="104"/>
      <c r="I33" s="104"/>
      <c r="J33" s="104"/>
      <c r="K33" s="104"/>
      <c r="L33" s="104"/>
      <c r="M33" s="104"/>
      <c r="N33" s="104"/>
      <c r="O33" s="94"/>
    </row>
    <row r="34" spans="1:15">
      <c r="A34" s="7">
        <f>'Main Sheet'!A34</f>
        <v>8840</v>
      </c>
      <c r="B34" s="8" t="str">
        <f>'Main Sheet'!B34</f>
        <v>Inline Architecture</v>
      </c>
      <c r="C34" s="56"/>
      <c r="D34" s="56"/>
      <c r="E34" s="40">
        <f>C34-D34</f>
        <v>0</v>
      </c>
      <c r="F34" s="56">
        <v>0</v>
      </c>
      <c r="G34" s="36" t="e">
        <f>(E34+F34)/C34</f>
        <v>#DIV/0!</v>
      </c>
      <c r="H34" s="36">
        <f>'Deliverables Sheet'!AA109</f>
        <v>0.36979195047390712</v>
      </c>
      <c r="I34" s="44"/>
      <c r="J34" s="56">
        <v>0</v>
      </c>
      <c r="K34" s="40">
        <f>(I34*40)+J34</f>
        <v>0</v>
      </c>
      <c r="L34" s="36" t="e">
        <f>((E34-K34)+F34)/C34</f>
        <v>#DIV/0!</v>
      </c>
      <c r="M34" s="40">
        <f>SUM(E34:F34)-K34</f>
        <v>0</v>
      </c>
      <c r="N34" s="8">
        <f>'Deliverables Sheet'!AE109</f>
        <v>77.5</v>
      </c>
      <c r="O34" s="94">
        <f>SUM(M34/(N34+I34))</f>
        <v>0</v>
      </c>
    </row>
    <row r="35" spans="1:15" ht="7.5" customHeight="1">
      <c r="A35" s="103"/>
      <c r="B35" s="104"/>
      <c r="C35" s="104"/>
      <c r="D35" s="104"/>
      <c r="E35" s="104"/>
      <c r="F35" s="104"/>
      <c r="G35" s="104"/>
      <c r="H35" s="104"/>
      <c r="I35" s="104"/>
      <c r="J35" s="104"/>
      <c r="K35" s="104"/>
      <c r="L35" s="104"/>
      <c r="M35" s="104"/>
      <c r="N35" s="104"/>
      <c r="O35" s="94"/>
    </row>
    <row r="36" spans="1:15">
      <c r="A36" s="7">
        <f>'Main Sheet'!A36</f>
        <v>8769</v>
      </c>
      <c r="B36" s="8" t="str">
        <f>'Main Sheet'!B36</f>
        <v>Percival Bach</v>
      </c>
      <c r="C36" s="56">
        <v>21632.1</v>
      </c>
      <c r="D36" s="56">
        <v>10930</v>
      </c>
      <c r="E36" s="40">
        <f>C36-D36</f>
        <v>10702.099999999999</v>
      </c>
      <c r="F36" s="56">
        <v>0</v>
      </c>
      <c r="G36" s="36">
        <f>(E36+F36)/C36</f>
        <v>0.49473236532745313</v>
      </c>
      <c r="H36" s="36">
        <f>'Deliverables Sheet'!AA116</f>
        <v>0.18594690354789248</v>
      </c>
      <c r="I36" s="44">
        <v>80</v>
      </c>
      <c r="J36" s="56">
        <v>0</v>
      </c>
      <c r="K36" s="40">
        <f>(I36*40)+J36</f>
        <v>3200</v>
      </c>
      <c r="L36" s="36">
        <f>((E36-K36)+F36)/C36</f>
        <v>0.3468040550848045</v>
      </c>
      <c r="M36" s="40">
        <f>SUM(E36:F36)-K36</f>
        <v>7502.0999999999985</v>
      </c>
      <c r="N36" s="8">
        <f>'Deliverables Sheet'!AE116</f>
        <v>0</v>
      </c>
      <c r="O36" s="94">
        <f>SUM(M36/(N36+I36))</f>
        <v>93.776249999999976</v>
      </c>
    </row>
    <row r="37" spans="1:15" ht="7.5" customHeight="1">
      <c r="A37" s="103"/>
      <c r="B37" s="104"/>
      <c r="C37" s="104"/>
      <c r="D37" s="104"/>
      <c r="E37" s="104"/>
      <c r="F37" s="104"/>
      <c r="G37" s="104"/>
      <c r="H37" s="104"/>
      <c r="I37" s="104"/>
      <c r="J37" s="104"/>
      <c r="K37" s="104"/>
      <c r="L37" s="104"/>
      <c r="M37" s="104"/>
      <c r="N37" s="104"/>
      <c r="O37" s="94"/>
    </row>
    <row r="38" spans="1:15">
      <c r="A38" s="7">
        <f>'Main Sheet'!A38</f>
        <v>7901</v>
      </c>
      <c r="B38" s="8" t="str">
        <f>'Main Sheet'!B38</f>
        <v>St Albans Street</v>
      </c>
      <c r="C38" s="56"/>
      <c r="D38" s="56"/>
      <c r="E38" s="40">
        <f>C38-D38</f>
        <v>0</v>
      </c>
      <c r="F38" s="56">
        <v>0</v>
      </c>
      <c r="G38" s="36" t="e">
        <f>(E38+F38)/C38</f>
        <v>#DIV/0!</v>
      </c>
      <c r="H38" s="36">
        <f>'Deliverables Sheet'!AA123</f>
        <v>0.17509196667972071</v>
      </c>
      <c r="I38" s="44"/>
      <c r="J38" s="56"/>
      <c r="K38" s="40">
        <f>(I38*40)+J38</f>
        <v>0</v>
      </c>
      <c r="L38" s="36" t="e">
        <f>((E38-K38)+F38)/C38</f>
        <v>#DIV/0!</v>
      </c>
      <c r="M38" s="40">
        <f>SUM(E38:F38)-K38</f>
        <v>0</v>
      </c>
      <c r="N38" s="8">
        <f>'Deliverables Sheet'!AE123</f>
        <v>0</v>
      </c>
      <c r="O38" s="94" t="e">
        <f>SUM(M38/(N38+I38))</f>
        <v>#DIV/0!</v>
      </c>
    </row>
    <row r="39" spans="1:15" ht="7.5" customHeight="1">
      <c r="A39" s="103"/>
      <c r="B39" s="104"/>
      <c r="C39" s="104"/>
      <c r="D39" s="104"/>
      <c r="E39" s="104"/>
      <c r="F39" s="104"/>
      <c r="G39" s="104"/>
      <c r="H39" s="104"/>
      <c r="I39" s="104"/>
      <c r="J39" s="104"/>
      <c r="K39" s="104"/>
      <c r="L39" s="104"/>
      <c r="M39" s="104"/>
      <c r="N39" s="104"/>
      <c r="O39" s="94"/>
    </row>
    <row r="40" spans="1:15">
      <c r="A40" s="7">
        <f>'Main Sheet'!A40</f>
        <v>8923</v>
      </c>
      <c r="B40" s="8" t="str">
        <f>'Main Sheet'!B40</f>
        <v>4 Perry St</v>
      </c>
      <c r="C40" s="56"/>
      <c r="D40" s="56"/>
      <c r="E40" s="40">
        <f>C40-D40</f>
        <v>0</v>
      </c>
      <c r="F40" s="56">
        <v>0</v>
      </c>
      <c r="G40" s="36" t="e">
        <f>(E40+F40)/C40</f>
        <v>#DIV/0!</v>
      </c>
      <c r="H40" s="36">
        <f>'Deliverables Sheet'!AA130</f>
        <v>0.26269298458827495</v>
      </c>
      <c r="I40" s="44"/>
      <c r="J40" s="56">
        <v>0</v>
      </c>
      <c r="K40" s="40">
        <f>(I40*40)+J40</f>
        <v>0</v>
      </c>
      <c r="L40" s="36" t="e">
        <f>((E40-K40)+F40)/C40</f>
        <v>#DIV/0!</v>
      </c>
      <c r="M40" s="40">
        <f>SUM(E40:F40)-K40</f>
        <v>0</v>
      </c>
      <c r="N40" s="8">
        <f>'Deliverables Sheet'!AE130</f>
        <v>0</v>
      </c>
      <c r="O40" s="94" t="e">
        <f>SUM(M40/(N40+I40))</f>
        <v>#DIV/0!</v>
      </c>
    </row>
    <row r="41" spans="1:15" ht="7.5" customHeight="1">
      <c r="A41" s="103"/>
      <c r="B41" s="104"/>
      <c r="C41" s="104"/>
      <c r="D41" s="104"/>
      <c r="E41" s="104"/>
      <c r="F41" s="104"/>
      <c r="G41" s="104"/>
      <c r="H41" s="104"/>
      <c r="I41" s="104"/>
      <c r="J41" s="104"/>
      <c r="K41" s="104"/>
      <c r="L41" s="104"/>
      <c r="M41" s="104"/>
      <c r="N41" s="104"/>
      <c r="O41" s="94"/>
    </row>
    <row r="42" spans="1:15">
      <c r="A42" s="7">
        <f>'Main Sheet'!A42</f>
        <v>7864</v>
      </c>
      <c r="B42" s="8" t="str">
        <f>'Main Sheet'!B42</f>
        <v>Ryans House</v>
      </c>
      <c r="C42" s="56">
        <v>6708.7</v>
      </c>
      <c r="D42" s="56">
        <v>6814.9</v>
      </c>
      <c r="E42" s="40">
        <f>C42-D42</f>
        <v>-106.19999999999982</v>
      </c>
      <c r="F42" s="56"/>
      <c r="G42" s="36">
        <f>(E42+F42)/C42</f>
        <v>-1.5830190647964558E-2</v>
      </c>
      <c r="H42" s="36">
        <f>'Deliverables Sheet'!AA137</f>
        <v>0.25724570979433209</v>
      </c>
      <c r="I42" s="44">
        <v>0</v>
      </c>
      <c r="J42" s="56"/>
      <c r="K42" s="40">
        <f>(I42*40)+J42</f>
        <v>0</v>
      </c>
      <c r="L42" s="36">
        <f>((E42-K42)+F42)/C42</f>
        <v>-1.5830190647964558E-2</v>
      </c>
      <c r="M42" s="40">
        <f>SUM(E42:F42)-K42</f>
        <v>-106.19999999999982</v>
      </c>
      <c r="N42" s="8">
        <f>'Deliverables Sheet'!AE137</f>
        <v>81.75</v>
      </c>
      <c r="O42" s="94">
        <f>SUM(M42/(N42+I42))</f>
        <v>-1.2990825688073373</v>
      </c>
    </row>
    <row r="43" spans="1:15" ht="7.5" customHeight="1">
      <c r="A43" s="103"/>
      <c r="B43" s="104"/>
      <c r="C43" s="104"/>
      <c r="D43" s="104"/>
      <c r="E43" s="104"/>
      <c r="F43" s="104"/>
      <c r="G43" s="104"/>
      <c r="H43" s="104"/>
      <c r="I43" s="104"/>
      <c r="J43" s="104"/>
      <c r="K43" s="104"/>
      <c r="L43" s="104"/>
      <c r="M43" s="104"/>
      <c r="N43" s="104"/>
      <c r="O43" s="94"/>
    </row>
    <row r="44" spans="1:15">
      <c r="A44" s="7">
        <f>'Main Sheet'!A44</f>
        <v>7912</v>
      </c>
      <c r="B44" s="8" t="str">
        <f>'Main Sheet'!B44</f>
        <v xml:space="preserve">71A Fendalton Road </v>
      </c>
      <c r="C44" s="56">
        <v>6377.31</v>
      </c>
      <c r="D44" s="56">
        <v>4386</v>
      </c>
      <c r="E44" s="40">
        <f>C44-D44</f>
        <v>1991.3100000000004</v>
      </c>
      <c r="F44" s="56"/>
      <c r="G44" s="36">
        <f>(E44+F44)/C44</f>
        <v>0.31224920852208848</v>
      </c>
      <c r="H44" s="36">
        <f>'Deliverables Sheet'!AA144</f>
        <v>0.11041595691669484</v>
      </c>
      <c r="I44" s="44"/>
      <c r="J44" s="56"/>
      <c r="K44" s="40">
        <f>(I44*40)+J44</f>
        <v>0</v>
      </c>
      <c r="L44" s="36">
        <f>((E44-K44)+F44)/C44</f>
        <v>0.31224920852208848</v>
      </c>
      <c r="M44" s="40">
        <f>SUM(E44:F44)-K44</f>
        <v>1991.3100000000004</v>
      </c>
      <c r="N44" s="8">
        <f>'Deliverables Sheet'!AE144</f>
        <v>-49.25</v>
      </c>
      <c r="O44" s="94">
        <f>SUM(M44/(N44+I44))</f>
        <v>-40.43269035532996</v>
      </c>
    </row>
    <row r="45" spans="1:15" ht="7.5" customHeight="1">
      <c r="A45" s="103"/>
      <c r="B45" s="104"/>
      <c r="C45" s="104"/>
      <c r="D45" s="104"/>
      <c r="E45" s="104"/>
      <c r="F45" s="104"/>
      <c r="G45" s="104"/>
      <c r="H45" s="104"/>
      <c r="I45" s="104"/>
      <c r="J45" s="104"/>
      <c r="K45" s="104"/>
      <c r="L45" s="104"/>
      <c r="M45" s="104"/>
      <c r="N45" s="105"/>
      <c r="O45" s="113"/>
    </row>
    <row r="46" spans="1:15" ht="15.75" thickBot="1">
      <c r="A46" s="9">
        <f>'Main Sheet'!A46</f>
        <v>8360</v>
      </c>
      <c r="B46" s="10" t="str">
        <f>'Main Sheet'!B46</f>
        <v>Dixon House</v>
      </c>
      <c r="C46" s="57">
        <v>5089.3100000000004</v>
      </c>
      <c r="D46" s="57">
        <v>4437.8999999999996</v>
      </c>
      <c r="E46" s="41">
        <f>C46-D46</f>
        <v>651.41000000000076</v>
      </c>
      <c r="F46" s="57"/>
      <c r="G46" s="37">
        <f>(E46+F46)/C46</f>
        <v>0.12799574009050357</v>
      </c>
      <c r="H46" s="37">
        <f>'Deliverables Sheet'!AA151</f>
        <v>0.30580949617388004</v>
      </c>
      <c r="I46" s="59"/>
      <c r="J46" s="57"/>
      <c r="K46" s="41">
        <f>(I46*40)+J46</f>
        <v>0</v>
      </c>
      <c r="L46" s="37">
        <f>((E46-K46)+F46)/C46</f>
        <v>0.12799574009050357</v>
      </c>
      <c r="M46" s="41">
        <f>SUM(E46:F46)-K46</f>
        <v>651.41000000000076</v>
      </c>
      <c r="N46" s="10">
        <f>'Deliverables Sheet'!AE151</f>
        <v>34.25</v>
      </c>
      <c r="O46" s="97">
        <f>SUM(M46/(N46+I46))</f>
        <v>19.019270072992722</v>
      </c>
    </row>
    <row r="47" spans="1:15" ht="7.5" customHeight="1">
      <c r="A47" s="103"/>
      <c r="B47" s="104"/>
      <c r="C47" s="104"/>
      <c r="D47" s="104"/>
      <c r="E47" s="104"/>
      <c r="F47" s="104"/>
      <c r="G47" s="104"/>
      <c r="H47" s="104"/>
      <c r="I47" s="104"/>
      <c r="J47" s="104"/>
      <c r="K47" s="104"/>
      <c r="L47" s="104"/>
      <c r="M47" s="104"/>
      <c r="N47" s="105"/>
      <c r="O47" s="113"/>
    </row>
    <row r="48" spans="1:15" ht="15.75" thickBot="1">
      <c r="A48" s="9">
        <f>'Main Sheet'!A48</f>
        <v>8337</v>
      </c>
      <c r="B48" s="10" t="str">
        <f>'Main Sheet'!B48</f>
        <v xml:space="preserve">Waimak Dairys </v>
      </c>
      <c r="C48" s="57">
        <v>13424.5</v>
      </c>
      <c r="D48" s="57">
        <v>7562.1</v>
      </c>
      <c r="E48" s="41">
        <f>C48-D48</f>
        <v>5862.4</v>
      </c>
      <c r="F48" s="57"/>
      <c r="G48" s="37">
        <f>(E48+F48)/C48</f>
        <v>0.43669410406346604</v>
      </c>
      <c r="H48" s="37">
        <f>'Deliverables Sheet'!AA158</f>
        <v>0.23508645295661909</v>
      </c>
      <c r="I48" s="59"/>
      <c r="J48" s="57">
        <v>2530</v>
      </c>
      <c r="K48" s="41">
        <f>(I48*40)+J48</f>
        <v>2530</v>
      </c>
      <c r="L48" s="37">
        <f>((E48-K48)+F48)/C48</f>
        <v>0.24823270885321611</v>
      </c>
      <c r="M48" s="41">
        <f>SUM(E48:F48)-K48</f>
        <v>3332.3999999999996</v>
      </c>
      <c r="N48" s="10">
        <f>'Deliverables Sheet'!AE158</f>
        <v>44.75</v>
      </c>
      <c r="O48" s="97">
        <f>SUM(M48/(N48+I48))</f>
        <v>74.467039106145236</v>
      </c>
    </row>
    <row r="49" spans="1:17" ht="7.5" customHeight="1">
      <c r="A49" s="103"/>
      <c r="B49" s="104"/>
      <c r="C49" s="104"/>
      <c r="D49" s="104"/>
      <c r="E49" s="104"/>
      <c r="F49" s="104"/>
      <c r="G49" s="104"/>
      <c r="H49" s="104"/>
      <c r="I49" s="104"/>
      <c r="J49" s="104"/>
      <c r="K49" s="104"/>
      <c r="L49" s="104"/>
      <c r="M49" s="104"/>
      <c r="N49" s="105"/>
      <c r="O49" s="113"/>
    </row>
    <row r="50" spans="1:17" ht="15.75" thickBot="1">
      <c r="A50" s="9">
        <f>'Main Sheet'!A50</f>
        <v>9240</v>
      </c>
      <c r="B50" s="10" t="str">
        <f>'Main Sheet'!B50</f>
        <v>Daves Twizel Shack</v>
      </c>
      <c r="C50" s="57"/>
      <c r="D50" s="57"/>
      <c r="E50" s="41">
        <f t="shared" ref="E50" si="3">C50-D50</f>
        <v>0</v>
      </c>
      <c r="F50" s="57"/>
      <c r="G50" s="37" t="e">
        <f t="shared" ref="G50" si="4">(E50+F50)/C50</f>
        <v>#DIV/0!</v>
      </c>
      <c r="H50" s="37">
        <f>'Deliverables Sheet'!AA165</f>
        <v>0.29626034431801396</v>
      </c>
      <c r="I50" s="59">
        <v>0</v>
      </c>
      <c r="J50" s="57"/>
      <c r="K50" s="41">
        <f t="shared" ref="K50" si="5">(I50*40)+J50</f>
        <v>0</v>
      </c>
      <c r="L50" s="37" t="e">
        <f t="shared" ref="L50" si="6">((E50-K50)+F50)/C50</f>
        <v>#DIV/0!</v>
      </c>
      <c r="M50" s="41">
        <f t="shared" ref="M50:M56" si="7">SUM(E50:F50)-K50</f>
        <v>0</v>
      </c>
      <c r="N50" s="10">
        <f>'Deliverables Sheet'!AE165</f>
        <v>0</v>
      </c>
      <c r="O50" s="97" t="e">
        <f t="shared" ref="O50" si="8">SUM(M50/(N50+I50))</f>
        <v>#DIV/0!</v>
      </c>
      <c r="Q50" t="s">
        <v>118</v>
      </c>
    </row>
    <row r="51" spans="1:17" ht="7.5" customHeight="1">
      <c r="A51" s="103"/>
      <c r="B51" s="104"/>
      <c r="C51" s="104"/>
      <c r="D51" s="104"/>
      <c r="E51" s="104"/>
      <c r="F51" s="104"/>
      <c r="G51" s="104"/>
      <c r="H51" s="104"/>
      <c r="I51" s="104"/>
      <c r="J51" s="104"/>
      <c r="K51" s="104"/>
      <c r="L51" s="104"/>
      <c r="M51" s="104"/>
      <c r="N51" s="105"/>
      <c r="O51" s="113"/>
    </row>
    <row r="52" spans="1:17" ht="15.75" thickBot="1">
      <c r="A52" s="146">
        <f>'Main Sheet'!A52</f>
        <v>7428</v>
      </c>
      <c r="B52" s="10" t="str">
        <f>'Main Sheet'!B52</f>
        <v>FAB Pegasus Lakeside</v>
      </c>
      <c r="C52" s="57">
        <v>4702.1499999999996</v>
      </c>
      <c r="D52" s="57">
        <v>2018.57</v>
      </c>
      <c r="E52" s="41">
        <f t="shared" ref="E52" si="9">C52-D52</f>
        <v>2683.58</v>
      </c>
      <c r="F52" s="57"/>
      <c r="G52" s="37">
        <f t="shared" ref="G52" si="10">(E52+F52)/C52</f>
        <v>0.57071339706304569</v>
      </c>
      <c r="H52" s="37">
        <f>'Deliverables Sheet'!AA172</f>
        <v>0.21598635257493798</v>
      </c>
      <c r="I52" s="59">
        <v>32</v>
      </c>
      <c r="J52" s="57">
        <v>0</v>
      </c>
      <c r="K52" s="41">
        <f t="shared" ref="K52" si="11">(I52*40)+J52</f>
        <v>1280</v>
      </c>
      <c r="L52" s="37">
        <f t="shared" ref="L52" si="12">((E52-K52)+F52)/C52</f>
        <v>0.2984974958263773</v>
      </c>
      <c r="M52" s="41">
        <f t="shared" ref="M52:M56" si="13">SUM(E52:F52)-K52</f>
        <v>1403.58</v>
      </c>
      <c r="N52" s="10">
        <f>'Deliverables Sheet'!AE172</f>
        <v>59.5</v>
      </c>
      <c r="O52" s="97">
        <f t="shared" ref="O52" si="14">SUM(M52/(N52+I52))</f>
        <v>15.339672131147541</v>
      </c>
    </row>
    <row r="53" spans="1:17" ht="7.5" customHeight="1">
      <c r="A53" s="103"/>
      <c r="B53" s="104"/>
      <c r="C53" s="104"/>
      <c r="D53" s="104"/>
      <c r="E53" s="104"/>
      <c r="F53" s="104"/>
      <c r="G53" s="104"/>
      <c r="H53" s="104"/>
      <c r="I53" s="104"/>
      <c r="J53" s="104"/>
      <c r="K53" s="104"/>
      <c r="L53" s="104"/>
      <c r="M53" s="104"/>
      <c r="N53" s="105"/>
      <c r="O53" s="113"/>
    </row>
    <row r="54" spans="1:17" ht="15.75" thickBot="1">
      <c r="A54" s="9">
        <f>'Main Sheet'!A54</f>
        <v>9351</v>
      </c>
      <c r="B54" s="10" t="str">
        <f>'Main Sheet'!B54</f>
        <v>Harewood Golf Club</v>
      </c>
      <c r="C54" s="57">
        <v>5491.7</v>
      </c>
      <c r="D54" s="57">
        <v>2946.15</v>
      </c>
      <c r="E54" s="41">
        <f t="shared" ref="E54" si="15">C54-D54</f>
        <v>2545.5499999999997</v>
      </c>
      <c r="F54" s="57"/>
      <c r="G54" s="37">
        <f t="shared" ref="G54" si="16">(E54+F54)/C54</f>
        <v>0.46352677677221987</v>
      </c>
      <c r="H54" s="37">
        <f>'Deliverables Sheet'!AA179</f>
        <v>0.46084028666123966</v>
      </c>
      <c r="I54" s="59">
        <v>16</v>
      </c>
      <c r="J54" s="57">
        <v>0</v>
      </c>
      <c r="K54" s="41">
        <f t="shared" ref="K54" si="17">(I54*40)+J54</f>
        <v>640</v>
      </c>
      <c r="L54" s="37">
        <f t="shared" ref="L54" si="18">((E54-K54)+F54)/C54</f>
        <v>0.34698727170093047</v>
      </c>
      <c r="M54" s="41">
        <f t="shared" ref="M54:M56" si="19">SUM(E54:F54)-K54</f>
        <v>1905.5499999999997</v>
      </c>
      <c r="N54" s="10">
        <f>'Deliverables Sheet'!AE179</f>
        <v>11.25</v>
      </c>
      <c r="O54" s="97">
        <f t="shared" ref="O54" si="20">SUM(M54/(N54+I54))</f>
        <v>69.928440366972467</v>
      </c>
    </row>
    <row r="55" spans="1:17" ht="7.5" customHeight="1">
      <c r="A55" s="103"/>
      <c r="B55" s="104"/>
      <c r="C55" s="104"/>
      <c r="D55" s="104"/>
      <c r="E55" s="104"/>
      <c r="F55" s="104"/>
      <c r="G55" s="104"/>
      <c r="H55" s="104"/>
      <c r="I55" s="104"/>
      <c r="J55" s="104"/>
      <c r="K55" s="104"/>
      <c r="L55" s="104"/>
      <c r="M55" s="104"/>
      <c r="N55" s="105"/>
      <c r="O55" s="113"/>
    </row>
    <row r="56" spans="1:17" ht="15.75" thickBot="1">
      <c r="A56" s="9">
        <f>'Main Sheet'!A56</f>
        <v>7429</v>
      </c>
      <c r="B56" s="10" t="str">
        <f>'Main Sheet'!B56</f>
        <v>Taggart House</v>
      </c>
      <c r="C56" s="57">
        <v>12937.1</v>
      </c>
      <c r="D56" s="57">
        <v>3877.27</v>
      </c>
      <c r="E56" s="41">
        <f t="shared" ref="E56" si="21">C56-D56</f>
        <v>9059.83</v>
      </c>
      <c r="F56" s="57"/>
      <c r="G56" s="37">
        <f t="shared" ref="G56" si="22">(E56+F56)/C56</f>
        <v>0.70029836671278722</v>
      </c>
      <c r="H56" s="37">
        <f>'Deliverables Sheet'!AA186</f>
        <v>0.20054735675188801</v>
      </c>
      <c r="I56" s="59">
        <v>10</v>
      </c>
      <c r="J56" s="57">
        <v>5000</v>
      </c>
      <c r="K56" s="41">
        <f t="shared" ref="K56" si="23">(I56*40)+J56</f>
        <v>5400</v>
      </c>
      <c r="L56" s="37">
        <f t="shared" ref="L56" si="24">((E56-K56)+F56)/C56</f>
        <v>0.28289415711403637</v>
      </c>
      <c r="M56" s="41">
        <f t="shared" ref="M56" si="25">SUM(E56:F56)-K56</f>
        <v>3659.83</v>
      </c>
      <c r="N56" s="10">
        <f>'Deliverables Sheet'!AE186</f>
        <v>32.25</v>
      </c>
      <c r="O56" s="97">
        <f t="shared" ref="O56" si="26">SUM(M56/(N56+I56))</f>
        <v>86.623195266272191</v>
      </c>
    </row>
    <row r="57" spans="1:17" ht="7.5" customHeight="1">
      <c r="A57" s="103"/>
      <c r="B57" s="104"/>
      <c r="C57" s="104"/>
      <c r="D57" s="104"/>
      <c r="E57" s="104"/>
      <c r="F57" s="104"/>
      <c r="G57" s="104"/>
      <c r="H57" s="104"/>
      <c r="I57" s="104"/>
      <c r="J57" s="104"/>
      <c r="K57" s="104"/>
      <c r="L57" s="104"/>
      <c r="M57" s="104"/>
      <c r="N57" s="105"/>
      <c r="O57" s="113"/>
    </row>
    <row r="58" spans="1:17" ht="15.75" thickBot="1">
      <c r="A58" s="9">
        <f>'Main Sheet'!A58</f>
        <v>9508</v>
      </c>
      <c r="B58" s="10" t="str">
        <f>'Main Sheet'!B58</f>
        <v>St Barnabas Church</v>
      </c>
      <c r="C58" s="57"/>
      <c r="D58" s="57"/>
      <c r="E58" s="41">
        <f t="shared" ref="E58" si="27">C58-D58</f>
        <v>0</v>
      </c>
      <c r="F58" s="57"/>
      <c r="G58" s="37" t="e">
        <f t="shared" ref="G58" si="28">(E58+F58)/C58</f>
        <v>#DIV/0!</v>
      </c>
      <c r="H58" s="37">
        <f>'Deliverables Sheet'!AA193</f>
        <v>0.25679063651268641</v>
      </c>
      <c r="I58" s="59"/>
      <c r="J58" s="57"/>
      <c r="K58" s="41">
        <f t="shared" ref="K58" si="29">(I58*40)+J58</f>
        <v>0</v>
      </c>
      <c r="L58" s="37" t="e">
        <f t="shared" ref="L58" si="30">((E58-K58)+F58)/C58</f>
        <v>#DIV/0!</v>
      </c>
      <c r="M58" s="41">
        <f t="shared" ref="M58:M66" si="31">SUM(E58:F58)-K58</f>
        <v>0</v>
      </c>
      <c r="N58" s="10">
        <f>'Deliverables Sheet'!AE193</f>
        <v>0</v>
      </c>
      <c r="O58" s="97" t="e">
        <f t="shared" ref="O58" si="32">SUM(M58/(N58+I58))</f>
        <v>#DIV/0!</v>
      </c>
    </row>
    <row r="59" spans="1:17" ht="7.5" customHeight="1">
      <c r="A59" s="103"/>
      <c r="B59" s="104"/>
      <c r="C59" s="104"/>
      <c r="D59" s="104"/>
      <c r="E59" s="104"/>
      <c r="F59" s="104"/>
      <c r="G59" s="104"/>
      <c r="H59" s="104"/>
      <c r="I59" s="104"/>
      <c r="J59" s="104"/>
      <c r="K59" s="104"/>
      <c r="L59" s="104"/>
      <c r="M59" s="104"/>
      <c r="N59" s="105"/>
      <c r="O59" s="113"/>
    </row>
    <row r="60" spans="1:17">
      <c r="A60" s="9">
        <f>'Main Sheet'!A60</f>
        <v>0</v>
      </c>
      <c r="B60" s="10">
        <f>'Main Sheet'!B60</f>
        <v>0</v>
      </c>
      <c r="C60" s="57"/>
      <c r="D60" s="57"/>
      <c r="E60" s="41">
        <f t="shared" ref="E60" si="33">C60-D60</f>
        <v>0</v>
      </c>
      <c r="F60" s="57"/>
      <c r="G60" s="37" t="e">
        <f t="shared" ref="G60:G66" si="34">(E60+F60)/C60</f>
        <v>#DIV/0!</v>
      </c>
      <c r="H60" s="37" t="e">
        <f>'Deliverables Sheet'!AA200</f>
        <v>#DIV/0!</v>
      </c>
      <c r="I60" s="59"/>
      <c r="J60" s="57"/>
      <c r="K60" s="41">
        <f t="shared" ref="K60" si="35">(I60*40)+J60</f>
        <v>0</v>
      </c>
      <c r="L60" s="37" t="e">
        <f t="shared" ref="L60" si="36">((E60-K60)+F60)/C60</f>
        <v>#DIV/0!</v>
      </c>
      <c r="M60" s="41">
        <f t="shared" ref="M60:M66" si="37">SUM(E60:F60)-K60</f>
        <v>0</v>
      </c>
      <c r="N60" s="10">
        <f>'Deliverables Sheet'!AE200</f>
        <v>0</v>
      </c>
      <c r="O60" s="97" t="e">
        <f t="shared" ref="O60" si="38">SUM(M60/(N60+I60))</f>
        <v>#DIV/0!</v>
      </c>
    </row>
    <row r="61" spans="1:17" ht="7.5" customHeight="1">
      <c r="A61" s="103"/>
      <c r="B61" s="104"/>
      <c r="C61" s="104"/>
      <c r="D61" s="104"/>
      <c r="E61" s="104"/>
      <c r="F61" s="104"/>
      <c r="G61" s="104"/>
      <c r="H61" s="104"/>
      <c r="I61" s="104"/>
      <c r="J61" s="104"/>
      <c r="K61" s="104"/>
      <c r="L61" s="104"/>
      <c r="M61" s="104"/>
      <c r="N61" s="105"/>
      <c r="O61" s="113"/>
    </row>
    <row r="62" spans="1:17">
      <c r="A62" s="9">
        <f>'Main Sheet'!A62</f>
        <v>0</v>
      </c>
      <c r="B62" s="10" t="str">
        <f>'Main Sheet'!B62</f>
        <v>Contracting</v>
      </c>
      <c r="C62" s="57"/>
      <c r="D62" s="57"/>
      <c r="E62" s="41">
        <f t="shared" ref="E62" si="39">C62-D62</f>
        <v>0</v>
      </c>
      <c r="F62" s="57"/>
      <c r="G62" s="37" t="e">
        <f t="shared" ref="G62" si="40">(E62+F62)/C62</f>
        <v>#DIV/0!</v>
      </c>
      <c r="H62" s="37" t="e">
        <f>'Deliverables Sheet'!AA207</f>
        <v>#DIV/0!</v>
      </c>
      <c r="I62" s="59">
        <v>0</v>
      </c>
      <c r="J62" s="57"/>
      <c r="K62" s="41">
        <f t="shared" ref="K62" si="41">(I62*40)+J62</f>
        <v>0</v>
      </c>
      <c r="L62" s="37" t="e">
        <f t="shared" ref="L62" si="42">((E62-K62)+F62)/C62</f>
        <v>#DIV/0!</v>
      </c>
      <c r="M62" s="41">
        <f t="shared" ref="M62:M66" si="43">SUM(E62:F62)-K62</f>
        <v>0</v>
      </c>
      <c r="N62" s="10">
        <f>'Deliverables Sheet'!AE207</f>
        <v>0</v>
      </c>
      <c r="O62" s="97" t="e">
        <f t="shared" ref="O62" si="44">SUM(M62/(N62+I62))</f>
        <v>#DIV/0!</v>
      </c>
    </row>
    <row r="63" spans="1:17" ht="7.5" customHeight="1">
      <c r="A63" s="103"/>
      <c r="B63" s="104"/>
      <c r="C63" s="104"/>
      <c r="D63" s="104"/>
      <c r="E63" s="104"/>
      <c r="F63" s="104"/>
      <c r="G63" s="104"/>
      <c r="H63" s="104"/>
      <c r="I63" s="104"/>
      <c r="J63" s="104"/>
      <c r="K63" s="104"/>
      <c r="L63" s="104"/>
      <c r="M63" s="104"/>
      <c r="N63" s="105"/>
      <c r="O63" s="113"/>
    </row>
    <row r="64" spans="1:17">
      <c r="A64" s="9">
        <f>'Main Sheet'!A64</f>
        <v>8946</v>
      </c>
      <c r="B64" s="10" t="str">
        <f>'Main Sheet'!B64</f>
        <v>Westcoast Vaults</v>
      </c>
      <c r="C64" s="57"/>
      <c r="D64" s="57"/>
      <c r="E64" s="41">
        <f t="shared" ref="E64" si="45">C64-D64</f>
        <v>0</v>
      </c>
      <c r="F64" s="57"/>
      <c r="G64" s="37" t="e">
        <f t="shared" ref="G64" si="46">(E64+F64)/C64</f>
        <v>#DIV/0!</v>
      </c>
      <c r="H64" s="37">
        <f>'Deliverables Sheet'!AA214</f>
        <v>0.14379004644169227</v>
      </c>
      <c r="I64" s="59"/>
      <c r="J64" s="57">
        <v>1750</v>
      </c>
      <c r="K64" s="41">
        <f t="shared" ref="K64" si="47">(I64*40)+J64</f>
        <v>1750</v>
      </c>
      <c r="L64" s="37" t="e">
        <f t="shared" ref="L64" si="48">((E64-K64)+F64)/C64</f>
        <v>#DIV/0!</v>
      </c>
      <c r="M64" s="41">
        <f t="shared" ref="M64:M66" si="49">SUM(E64:F64)-K64</f>
        <v>-1750</v>
      </c>
      <c r="N64" s="10">
        <f>'Deliverables Sheet'!AE214</f>
        <v>0</v>
      </c>
      <c r="O64" s="97" t="e">
        <f t="shared" ref="O64" si="50">SUM(M64/(N64+I64))</f>
        <v>#DIV/0!</v>
      </c>
    </row>
    <row r="65" spans="1:15" ht="7.5" customHeight="1">
      <c r="A65" s="103"/>
      <c r="B65" s="104"/>
      <c r="C65" s="104"/>
      <c r="D65" s="104"/>
      <c r="E65" s="104"/>
      <c r="F65" s="104"/>
      <c r="G65" s="104"/>
      <c r="H65" s="104"/>
      <c r="I65" s="104"/>
      <c r="J65" s="104"/>
      <c r="K65" s="104"/>
      <c r="L65" s="104"/>
      <c r="M65" s="104"/>
      <c r="N65" s="105"/>
      <c r="O65" s="113"/>
    </row>
    <row r="66" spans="1:15">
      <c r="A66" s="161">
        <v>8308</v>
      </c>
      <c r="B66" s="10" t="str">
        <f>'Main Sheet'!B66</f>
        <v>Roydvale</v>
      </c>
      <c r="C66" s="57">
        <v>30500</v>
      </c>
      <c r="D66" s="57">
        <v>19018</v>
      </c>
      <c r="E66" s="41">
        <f t="shared" ref="E66" si="51">C66-D66</f>
        <v>11482</v>
      </c>
      <c r="F66" s="57"/>
      <c r="G66" s="37">
        <f t="shared" ref="G66" si="52">(E66+F66)/C66</f>
        <v>0.37645901639344265</v>
      </c>
      <c r="H66" s="37">
        <f>'Deliverables Sheet'!AA221</f>
        <v>0.25626552151985643</v>
      </c>
      <c r="I66" s="59">
        <v>80</v>
      </c>
      <c r="J66" s="57">
        <v>0</v>
      </c>
      <c r="K66" s="41">
        <f t="shared" ref="K66" si="53">(I66*40)+J66</f>
        <v>3200</v>
      </c>
      <c r="L66" s="37">
        <f t="shared" ref="L66" si="54">((E66-K66)+F66)/C66</f>
        <v>0.27154098360655737</v>
      </c>
      <c r="M66" s="41">
        <f t="shared" ref="M66" si="55">SUM(E66:F66)-K66</f>
        <v>8282</v>
      </c>
      <c r="N66" s="10">
        <f>'Deliverables Sheet'!AE221</f>
        <v>600</v>
      </c>
      <c r="O66" s="97">
        <f t="shared" ref="O66" si="56">SUM(M66/(N66+I66))</f>
        <v>12.179411764705883</v>
      </c>
    </row>
    <row r="67" spans="1:15">
      <c r="C67" s="124"/>
      <c r="D67" s="124"/>
      <c r="F67" s="124"/>
      <c r="I67" s="126"/>
      <c r="J67" s="124"/>
      <c r="M67" s="42"/>
      <c r="O67" s="42"/>
    </row>
    <row r="69" spans="1:15">
      <c r="A69" s="43" t="s">
        <v>119</v>
      </c>
      <c r="B69" s="81" t="s">
        <v>120</v>
      </c>
      <c r="C69" s="82">
        <f>SUM(C4,C6,C8,C10,C12,C14,C16,C18,C20,C22,C24)</f>
        <v>158341.18</v>
      </c>
      <c r="D69" s="82">
        <f t="shared" ref="D69:E69" si="57">SUM(D4,D6,D8,D10,D12,D14,D16,D18,D20,D22,D24)</f>
        <v>98813.790000000008</v>
      </c>
      <c r="E69" s="83">
        <f t="shared" si="57"/>
        <v>59527.389999999992</v>
      </c>
      <c r="F69" s="85" t="s">
        <v>121</v>
      </c>
      <c r="G69" s="86">
        <f>SUM(E69/C69)</f>
        <v>0.3759438321730329</v>
      </c>
      <c r="H69" s="87" t="s">
        <v>122</v>
      </c>
      <c r="I69" s="88">
        <f>(E69-(K4+K6+K8+K10+K12+K14+K16+K18+K20+K22+K24))/C69</f>
        <v>0.27184835934657048</v>
      </c>
    </row>
    <row r="70" spans="1:15">
      <c r="A70" s="9"/>
      <c r="B70" s="10" t="s">
        <v>123</v>
      </c>
      <c r="C70" s="41">
        <f>SUM(C26,C28,C30,C32,C34,C36,C38,C40,C42,C44,C46)</f>
        <v>52738.759999999995</v>
      </c>
      <c r="D70" s="41">
        <f t="shared" ref="D70:E70" si="58">SUM(D26,D28,D30,D32,D34,D36,D38,D40,D42,D44,D46)</f>
        <v>32858.92</v>
      </c>
      <c r="E70" s="84">
        <f t="shared" si="58"/>
        <v>19879.84</v>
      </c>
      <c r="F70" s="89" t="s">
        <v>121</v>
      </c>
      <c r="G70" s="90">
        <f>SUM(E70/C70)</f>
        <v>0.3769493253159536</v>
      </c>
      <c r="H70" s="91" t="s">
        <v>122</v>
      </c>
      <c r="I70" s="92">
        <f>(E70-(K26+K28+K30+K32+K34+K36+K38+K40+K42+K44+K46))/C70</f>
        <v>0.26773174037463149</v>
      </c>
    </row>
  </sheetData>
  <mergeCells count="17">
    <mergeCell ref="L2:L3"/>
    <mergeCell ref="A1:O1"/>
    <mergeCell ref="N2:N3"/>
    <mergeCell ref="O2:O3"/>
    <mergeCell ref="P2:P3"/>
    <mergeCell ref="A2:A3"/>
    <mergeCell ref="B2:B3"/>
    <mergeCell ref="C2:C3"/>
    <mergeCell ref="D2:D3"/>
    <mergeCell ref="E2:E3"/>
    <mergeCell ref="F2:F3"/>
    <mergeCell ref="G2:G3"/>
    <mergeCell ref="H2:H3"/>
    <mergeCell ref="I2:I3"/>
    <mergeCell ref="M2:M3"/>
    <mergeCell ref="J2:J3"/>
    <mergeCell ref="K2:K3"/>
  </mergeCells>
  <conditionalFormatting sqref="G4">
    <cfRule type="expression" dxfId="166" priority="67">
      <formula>$G$4&lt;$H$4</formula>
    </cfRule>
  </conditionalFormatting>
  <conditionalFormatting sqref="G6">
    <cfRule type="expression" dxfId="165" priority="66">
      <formula>$G$6&lt;$H$6</formula>
    </cfRule>
  </conditionalFormatting>
  <conditionalFormatting sqref="G8">
    <cfRule type="expression" dxfId="164" priority="65">
      <formula>$G$8&lt;$H$8</formula>
    </cfRule>
  </conditionalFormatting>
  <conditionalFormatting sqref="G10">
    <cfRule type="expression" dxfId="163" priority="64">
      <formula>$G$10&lt;$H$10</formula>
    </cfRule>
  </conditionalFormatting>
  <conditionalFormatting sqref="G12">
    <cfRule type="expression" dxfId="162" priority="63">
      <formula>$G$12&lt;$H$12</formula>
    </cfRule>
  </conditionalFormatting>
  <conditionalFormatting sqref="G14">
    <cfRule type="expression" dxfId="161" priority="62">
      <formula>$G$14&lt;$H$14</formula>
    </cfRule>
  </conditionalFormatting>
  <conditionalFormatting sqref="G16">
    <cfRule type="expression" dxfId="160" priority="61">
      <formula>$G$16&lt;$H$16</formula>
    </cfRule>
  </conditionalFormatting>
  <conditionalFormatting sqref="G18">
    <cfRule type="expression" dxfId="159" priority="60">
      <formula>$G$18&lt;$H$18</formula>
    </cfRule>
  </conditionalFormatting>
  <conditionalFormatting sqref="G20">
    <cfRule type="expression" dxfId="158" priority="59">
      <formula>$G$20&lt;$H$20</formula>
    </cfRule>
  </conditionalFormatting>
  <conditionalFormatting sqref="G22">
    <cfRule type="expression" dxfId="157" priority="58">
      <formula>$G$22&lt;$H$22</formula>
    </cfRule>
  </conditionalFormatting>
  <conditionalFormatting sqref="G24">
    <cfRule type="expression" dxfId="156" priority="57">
      <formula>$G$24&lt;$H$24</formula>
    </cfRule>
  </conditionalFormatting>
  <conditionalFormatting sqref="G26">
    <cfRule type="expression" dxfId="155" priority="56">
      <formula>$G$26&lt;$H$26</formula>
    </cfRule>
  </conditionalFormatting>
  <conditionalFormatting sqref="G28">
    <cfRule type="expression" dxfId="154" priority="55">
      <formula>$G$28&lt;$H$28</formula>
    </cfRule>
  </conditionalFormatting>
  <conditionalFormatting sqref="G30">
    <cfRule type="expression" dxfId="153" priority="54">
      <formula>$G$30&lt;$H$30</formula>
    </cfRule>
  </conditionalFormatting>
  <conditionalFormatting sqref="G32">
    <cfRule type="expression" dxfId="152" priority="53">
      <formula>$G$32&lt;$H$32</formula>
    </cfRule>
  </conditionalFormatting>
  <conditionalFormatting sqref="G34">
    <cfRule type="expression" dxfId="151" priority="52">
      <formula>$G$34&lt;$H$34</formula>
    </cfRule>
  </conditionalFormatting>
  <conditionalFormatting sqref="G36">
    <cfRule type="expression" dxfId="150" priority="51">
      <formula>$G$36&lt;$H$36</formula>
    </cfRule>
  </conditionalFormatting>
  <conditionalFormatting sqref="G38">
    <cfRule type="expression" dxfId="149" priority="50">
      <formula>$G$38&lt;$H$38</formula>
    </cfRule>
  </conditionalFormatting>
  <conditionalFormatting sqref="G40">
    <cfRule type="expression" dxfId="148" priority="49">
      <formula>$G$40&lt;$H$40</formula>
    </cfRule>
  </conditionalFormatting>
  <conditionalFormatting sqref="G42">
    <cfRule type="expression" dxfId="147" priority="48">
      <formula>$G$42&lt;$H$42</formula>
    </cfRule>
  </conditionalFormatting>
  <conditionalFormatting sqref="G44">
    <cfRule type="expression" dxfId="146" priority="47">
      <formula>$G$44&lt;$H$44</formula>
    </cfRule>
  </conditionalFormatting>
  <conditionalFormatting sqref="G46 G48 G50 G52 G54 G56 G58 G60 G62 G64 G66:G67">
    <cfRule type="expression" dxfId="145" priority="46">
      <formula>$G$46&lt;$H$46</formula>
    </cfRule>
  </conditionalFormatting>
  <conditionalFormatting sqref="L6">
    <cfRule type="expression" dxfId="144" priority="42">
      <formula>$L$6&lt;$H$6</formula>
    </cfRule>
  </conditionalFormatting>
  <conditionalFormatting sqref="L8">
    <cfRule type="expression" dxfId="143" priority="41">
      <formula>$L$8&lt;$H$8</formula>
    </cfRule>
  </conditionalFormatting>
  <conditionalFormatting sqref="L10">
    <cfRule type="expression" dxfId="142" priority="40">
      <formula>$L$10&lt;$H$10</formula>
    </cfRule>
  </conditionalFormatting>
  <conditionalFormatting sqref="L12">
    <cfRule type="expression" dxfId="141" priority="39">
      <formula>$L$12&lt;$H$12</formula>
    </cfRule>
  </conditionalFormatting>
  <conditionalFormatting sqref="L14">
    <cfRule type="expression" dxfId="140" priority="38">
      <formula>$L$14&lt;$H$14</formula>
    </cfRule>
  </conditionalFormatting>
  <conditionalFormatting sqref="L16">
    <cfRule type="expression" dxfId="139" priority="37">
      <formula>$L$16&lt;$H$16</formula>
    </cfRule>
  </conditionalFormatting>
  <conditionalFormatting sqref="L18">
    <cfRule type="expression" dxfId="138" priority="36">
      <formula>$L$18&lt;$H$18</formula>
    </cfRule>
  </conditionalFormatting>
  <conditionalFormatting sqref="L20">
    <cfRule type="expression" dxfId="137" priority="35">
      <formula>$L$20&lt;$H$20</formula>
    </cfRule>
  </conditionalFormatting>
  <conditionalFormatting sqref="L22">
    <cfRule type="expression" dxfId="136" priority="34">
      <formula>$L$22&lt;$H$22</formula>
    </cfRule>
  </conditionalFormatting>
  <conditionalFormatting sqref="L24">
    <cfRule type="expression" dxfId="135" priority="33">
      <formula>$L$24&lt;$H$24</formula>
    </cfRule>
  </conditionalFormatting>
  <conditionalFormatting sqref="L26">
    <cfRule type="expression" dxfId="134" priority="32">
      <formula>$L$26&lt;$H$26</formula>
    </cfRule>
  </conditionalFormatting>
  <conditionalFormatting sqref="L28">
    <cfRule type="expression" dxfId="133" priority="31">
      <formula>$L$28&lt;$H$28</formula>
    </cfRule>
  </conditionalFormatting>
  <conditionalFormatting sqref="L30">
    <cfRule type="expression" dxfId="132" priority="30">
      <formula>$L$30&lt;$H$30</formula>
    </cfRule>
  </conditionalFormatting>
  <conditionalFormatting sqref="L32">
    <cfRule type="expression" dxfId="131" priority="29">
      <formula>$L$32&lt;$H$32</formula>
    </cfRule>
  </conditionalFormatting>
  <conditionalFormatting sqref="L34">
    <cfRule type="expression" dxfId="130" priority="28">
      <formula>$L$34&lt;$H$34</formula>
    </cfRule>
  </conditionalFormatting>
  <conditionalFormatting sqref="L36">
    <cfRule type="expression" dxfId="129" priority="27">
      <formula>$L$36&lt;$H$36</formula>
    </cfRule>
  </conditionalFormatting>
  <conditionalFormatting sqref="L38">
    <cfRule type="expression" dxfId="128" priority="26">
      <formula>$L$38&lt;$H$38</formula>
    </cfRule>
  </conditionalFormatting>
  <conditionalFormatting sqref="L40">
    <cfRule type="expression" dxfId="127" priority="25">
      <formula>$L$40&lt;$H$40</formula>
    </cfRule>
  </conditionalFormatting>
  <conditionalFormatting sqref="L42">
    <cfRule type="expression" dxfId="126" priority="24">
      <formula>$L$42&lt;$H$42</formula>
    </cfRule>
  </conditionalFormatting>
  <conditionalFormatting sqref="L44">
    <cfRule type="expression" dxfId="125" priority="23">
      <formula>$L$44&lt;$H$44</formula>
    </cfRule>
  </conditionalFormatting>
  <conditionalFormatting sqref="L46 L48 L50 L52 L54 L56 L58 L60 L62 L64 L66:L67">
    <cfRule type="expression" dxfId="124" priority="22">
      <formula>$L$46&lt;$H$46</formula>
    </cfRule>
  </conditionalFormatting>
  <conditionalFormatting sqref="L4:M4">
    <cfRule type="expression" dxfId="123" priority="45">
      <formula>$L$4&lt;$H$4</formula>
    </cfRule>
  </conditionalFormatting>
  <conditionalFormatting sqref="M6">
    <cfRule type="expression" dxfId="122" priority="21">
      <formula>$L$4&lt;$H$4</formula>
    </cfRule>
  </conditionalFormatting>
  <conditionalFormatting sqref="M8">
    <cfRule type="expression" dxfId="121" priority="20">
      <formula>$L$4&lt;$H$4</formula>
    </cfRule>
  </conditionalFormatting>
  <conditionalFormatting sqref="M10">
    <cfRule type="expression" dxfId="120" priority="19">
      <formula>$L$4&lt;$H$4</formula>
    </cfRule>
  </conditionalFormatting>
  <conditionalFormatting sqref="M12">
    <cfRule type="expression" dxfId="119" priority="18">
      <formula>$L$4&lt;$H$4</formula>
    </cfRule>
  </conditionalFormatting>
  <conditionalFormatting sqref="M14">
    <cfRule type="expression" dxfId="118" priority="17">
      <formula>$L$4&lt;$H$4</formula>
    </cfRule>
  </conditionalFormatting>
  <conditionalFormatting sqref="M16">
    <cfRule type="expression" dxfId="117" priority="16">
      <formula>$L$4&lt;$H$4</formula>
    </cfRule>
  </conditionalFormatting>
  <conditionalFormatting sqref="M18">
    <cfRule type="expression" dxfId="116" priority="15">
      <formula>$L$4&lt;$H$4</formula>
    </cfRule>
  </conditionalFormatting>
  <conditionalFormatting sqref="M20">
    <cfRule type="expression" dxfId="115" priority="14">
      <formula>$L$4&lt;$H$4</formula>
    </cfRule>
  </conditionalFormatting>
  <conditionalFormatting sqref="M22">
    <cfRule type="expression" dxfId="114" priority="13">
      <formula>$L$4&lt;$H$4</formula>
    </cfRule>
  </conditionalFormatting>
  <conditionalFormatting sqref="M24">
    <cfRule type="expression" dxfId="113" priority="12">
      <formula>$L$4&lt;$H$4</formula>
    </cfRule>
  </conditionalFormatting>
  <conditionalFormatting sqref="M26">
    <cfRule type="expression" dxfId="112" priority="11">
      <formula>$L$4&lt;$H$4</formula>
    </cfRule>
  </conditionalFormatting>
  <conditionalFormatting sqref="M28">
    <cfRule type="expression" dxfId="111" priority="10">
      <formula>$L$4&lt;$H$4</formula>
    </cfRule>
  </conditionalFormatting>
  <conditionalFormatting sqref="M30">
    <cfRule type="expression" dxfId="110" priority="9">
      <formula>$L$4&lt;$H$4</formula>
    </cfRule>
  </conditionalFormatting>
  <conditionalFormatting sqref="M32">
    <cfRule type="expression" dxfId="109" priority="8">
      <formula>$L$4&lt;$H$4</formula>
    </cfRule>
  </conditionalFormatting>
  <conditionalFormatting sqref="M34">
    <cfRule type="expression" dxfId="108" priority="7">
      <formula>$L$4&lt;$H$4</formula>
    </cfRule>
  </conditionalFormatting>
  <conditionalFormatting sqref="M36">
    <cfRule type="expression" dxfId="107" priority="6">
      <formula>$L$4&lt;$H$4</formula>
    </cfRule>
  </conditionalFormatting>
  <conditionalFormatting sqref="M38">
    <cfRule type="expression" dxfId="106" priority="5">
      <formula>$L$4&lt;$H$4</formula>
    </cfRule>
  </conditionalFormatting>
  <conditionalFormatting sqref="M40">
    <cfRule type="expression" dxfId="105" priority="4">
      <formula>$L$4&lt;$H$4</formula>
    </cfRule>
  </conditionalFormatting>
  <conditionalFormatting sqref="M42">
    <cfRule type="expression" dxfId="104" priority="3">
      <formula>$L$4&lt;$H$4</formula>
    </cfRule>
  </conditionalFormatting>
  <conditionalFormatting sqref="M44">
    <cfRule type="expression" dxfId="103" priority="2">
      <formula>$L$4&lt;$H$4</formula>
    </cfRule>
  </conditionalFormatting>
  <conditionalFormatting sqref="M46 M48 M50 M52 M54 M56 M58 M60 M62 M64 M66:M67">
    <cfRule type="expression" dxfId="102" priority="1">
      <formula>$L$4&lt;$H$4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56021-A6F8-4F5B-9B17-4DAE47992E65}">
  <dimension ref="A1:AB109"/>
  <sheetViews>
    <sheetView tabSelected="1" workbookViewId="0">
      <pane xSplit="2" ySplit="2" topLeftCell="C9" activePane="bottomRight" state="frozen"/>
      <selection pane="bottomRight" activeCell="O24" sqref="O24"/>
      <selection pane="bottomLeft"/>
      <selection pane="topRight"/>
    </sheetView>
  </sheetViews>
  <sheetFormatPr defaultRowHeight="15"/>
  <cols>
    <col min="1" max="1" width="11" customWidth="1"/>
    <col min="2" max="2" width="40.28515625" customWidth="1"/>
    <col min="3" max="3" width="14.7109375" customWidth="1"/>
    <col min="4" max="4" width="12.42578125" customWidth="1"/>
    <col min="5" max="5" width="18.7109375" customWidth="1"/>
    <col min="6" max="17" width="11.42578125" customWidth="1"/>
  </cols>
  <sheetData>
    <row r="1" spans="1:28" ht="46.5" customHeight="1">
      <c r="A1" s="162" t="s">
        <v>0</v>
      </c>
      <c r="B1" s="163"/>
      <c r="C1" s="163"/>
      <c r="D1" s="163"/>
      <c r="E1" s="163"/>
      <c r="F1" s="163"/>
      <c r="G1" s="163"/>
      <c r="H1" s="163"/>
      <c r="I1" s="163"/>
      <c r="J1" s="163"/>
      <c r="K1" s="163"/>
      <c r="L1" s="163"/>
      <c r="M1" s="163"/>
      <c r="N1" s="163"/>
      <c r="O1" s="163"/>
      <c r="P1" s="163"/>
      <c r="Q1" s="164"/>
    </row>
    <row r="2" spans="1:28">
      <c r="A2" s="24"/>
      <c r="B2" s="16" t="s">
        <v>124</v>
      </c>
      <c r="C2" s="11" t="s">
        <v>125</v>
      </c>
      <c r="D2" s="11" t="s">
        <v>126</v>
      </c>
      <c r="E2" s="115" t="s">
        <v>127</v>
      </c>
      <c r="F2" s="11" t="s">
        <v>128</v>
      </c>
      <c r="G2" s="11" t="s">
        <v>129</v>
      </c>
      <c r="H2" s="11" t="s">
        <v>130</v>
      </c>
      <c r="I2" s="11" t="s">
        <v>131</v>
      </c>
      <c r="J2" s="11" t="s">
        <v>132</v>
      </c>
      <c r="K2" s="11" t="s">
        <v>133</v>
      </c>
      <c r="L2" s="11" t="s">
        <v>134</v>
      </c>
      <c r="M2" s="11" t="s">
        <v>135</v>
      </c>
      <c r="N2" s="11" t="s">
        <v>136</v>
      </c>
      <c r="O2" s="11" t="s">
        <v>137</v>
      </c>
      <c r="P2" s="11" t="s">
        <v>138</v>
      </c>
      <c r="Q2" s="25" t="s">
        <v>139</v>
      </c>
      <c r="R2" s="28"/>
      <c r="S2" s="12"/>
      <c r="T2" s="12"/>
      <c r="U2" s="12"/>
      <c r="V2" s="12"/>
      <c r="W2" s="12"/>
      <c r="X2" s="12"/>
      <c r="Y2" s="12"/>
      <c r="Z2" s="12"/>
      <c r="AA2" s="12"/>
      <c r="AB2" s="13"/>
    </row>
    <row r="3" spans="1:28">
      <c r="A3" s="30" t="s">
        <v>140</v>
      </c>
      <c r="B3" s="31" t="s">
        <v>141</v>
      </c>
      <c r="C3" s="32"/>
      <c r="D3" s="32"/>
      <c r="E3" s="33"/>
      <c r="F3" s="62">
        <v>500</v>
      </c>
      <c r="G3" s="62">
        <v>700</v>
      </c>
      <c r="H3" s="62">
        <v>700</v>
      </c>
      <c r="I3" s="62">
        <v>700</v>
      </c>
      <c r="J3" s="62">
        <v>700</v>
      </c>
      <c r="K3" s="62">
        <v>700</v>
      </c>
      <c r="L3" s="62">
        <v>700</v>
      </c>
      <c r="M3" s="62">
        <v>700</v>
      </c>
      <c r="N3" s="62">
        <v>700</v>
      </c>
      <c r="O3" s="62">
        <v>700</v>
      </c>
      <c r="P3" s="62">
        <v>700</v>
      </c>
      <c r="Q3" s="63">
        <v>500</v>
      </c>
      <c r="R3" s="29"/>
      <c r="S3" s="14"/>
      <c r="T3" s="14"/>
      <c r="U3" s="14"/>
      <c r="V3" s="14"/>
      <c r="W3" s="14"/>
      <c r="X3" s="14"/>
      <c r="Y3" s="14"/>
      <c r="Z3" s="14"/>
      <c r="AA3" s="14"/>
      <c r="AB3" s="15"/>
    </row>
    <row r="4" spans="1:28">
      <c r="A4" s="7">
        <f>'Main Sheet'!A4</f>
        <v>7658</v>
      </c>
      <c r="B4" s="71" t="str">
        <f>'Main Sheet'!B4</f>
        <v>Charity Hospital</v>
      </c>
      <c r="C4" s="8" cm="1">
        <f t="array" ref="C4">LOOKUP(2,1/('Deliverables Sheet'!S4:S9&lt;&gt;0),'Deliverables Sheet'!S4:S9)</f>
        <v>530.95000000000005</v>
      </c>
      <c r="D4" s="8" cm="1">
        <f t="array" ref="D4">LOOKUP(2,1/('Deliverables Sheet'!T4:T9&lt;&gt;0),'Deliverables Sheet'!T4:T9)</f>
        <v>418</v>
      </c>
      <c r="E4" s="8" cm="1">
        <f t="array" ref="E4">LOOKUP(2,1/('Deliverables Sheet'!U4:U9&lt;&gt;0),'Deliverables Sheet'!U4:U9)</f>
        <v>112.95000000000005</v>
      </c>
      <c r="F4" s="44"/>
      <c r="G4" s="44"/>
      <c r="H4" s="44"/>
      <c r="I4" s="44"/>
      <c r="J4" s="44"/>
      <c r="K4" s="44"/>
      <c r="L4" s="44"/>
      <c r="M4" s="44">
        <v>80</v>
      </c>
      <c r="N4" s="44"/>
      <c r="O4" s="44"/>
      <c r="P4" s="44"/>
      <c r="Q4" s="61"/>
      <c r="S4" t="s">
        <v>142</v>
      </c>
    </row>
    <row r="5" spans="1:28" ht="6" customHeight="1">
      <c r="A5" s="282"/>
      <c r="B5" s="283"/>
      <c r="C5" s="283"/>
      <c r="D5" s="283"/>
      <c r="E5" s="283"/>
      <c r="F5" s="283"/>
      <c r="G5" s="283"/>
      <c r="H5" s="283"/>
      <c r="I5" s="283"/>
      <c r="J5" s="283"/>
      <c r="K5" s="283"/>
      <c r="L5" s="283"/>
      <c r="M5" s="283"/>
      <c r="N5" s="283"/>
      <c r="O5" s="283"/>
      <c r="P5" s="283"/>
      <c r="Q5" s="284"/>
    </row>
    <row r="6" spans="1:28">
      <c r="A6" s="7">
        <f>'Main Sheet'!A6</f>
        <v>8142</v>
      </c>
      <c r="B6" s="71" t="str">
        <f>'Main Sheet'!B6</f>
        <v>Fisher Developements</v>
      </c>
      <c r="C6" s="8" cm="1">
        <f t="array" ref="C6">LOOKUP(2,1/('Deliverables Sheet'!S11:S16&lt;&gt;0),'Deliverables Sheet'!S11:S16)</f>
        <v>311.89</v>
      </c>
      <c r="D6" s="8" cm="1">
        <f t="array" ref="D6">LOOKUP(2,1/('Deliverables Sheet'!T11:T16&lt;&gt;0),'Deliverables Sheet'!T11:T16)</f>
        <v>52.5</v>
      </c>
      <c r="E6" s="8" cm="1">
        <f t="array" ref="E6">LOOKUP(2,1/('Deliverables Sheet'!U11:U16&lt;&gt;0),'Deliverables Sheet'!U11:U16)</f>
        <v>259.39</v>
      </c>
      <c r="F6" s="44"/>
      <c r="G6" s="44"/>
      <c r="H6" s="44"/>
      <c r="I6" s="44"/>
      <c r="J6" s="44"/>
      <c r="K6" s="44"/>
      <c r="L6" s="44"/>
      <c r="M6" s="44"/>
      <c r="N6" s="44">
        <v>80</v>
      </c>
      <c r="O6" s="44"/>
      <c r="P6" s="44"/>
      <c r="Q6" s="61"/>
      <c r="S6" t="s">
        <v>143</v>
      </c>
    </row>
    <row r="7" spans="1:28" ht="6" customHeight="1">
      <c r="A7" s="282"/>
      <c r="B7" s="283"/>
      <c r="C7" s="283"/>
      <c r="D7" s="283"/>
      <c r="E7" s="283"/>
      <c r="F7" s="283"/>
      <c r="G7" s="283"/>
      <c r="H7" s="283"/>
      <c r="I7" s="283"/>
      <c r="J7" s="283"/>
      <c r="K7" s="283"/>
      <c r="L7" s="283"/>
      <c r="M7" s="283"/>
      <c r="N7" s="283"/>
      <c r="O7" s="283"/>
      <c r="P7" s="283"/>
      <c r="Q7" s="284"/>
    </row>
    <row r="8" spans="1:28">
      <c r="A8" s="7">
        <f>'Main Sheet'!A8</f>
        <v>8824</v>
      </c>
      <c r="B8" s="71" t="str">
        <f>'Main Sheet'!B8</f>
        <v>3 Innovation Road</v>
      </c>
      <c r="C8" s="8" cm="1">
        <f t="array" ref="C8">LOOKUP(2,1/('Deliverables Sheet'!S18:S23&lt;&gt;0),'Deliverables Sheet'!S18:S23)</f>
        <v>125.39</v>
      </c>
      <c r="D8" s="8" cm="1">
        <f t="array" ref="D8">LOOKUP(2,1/('Deliverables Sheet'!T18:T23&lt;&gt;0),'Deliverables Sheet'!T18:T23)</f>
        <v>34.75</v>
      </c>
      <c r="E8" s="8" cm="1">
        <f t="array" ref="E8">LOOKUP(2,1/('Deliverables Sheet'!U18:U23&lt;&gt;0),'Deliverables Sheet'!U18:U23)</f>
        <v>90.64</v>
      </c>
      <c r="F8" s="44"/>
      <c r="G8" s="44"/>
      <c r="H8" s="44"/>
      <c r="I8" s="44"/>
      <c r="J8" s="44"/>
      <c r="K8" s="44"/>
      <c r="L8" s="44"/>
      <c r="M8" s="44"/>
      <c r="N8" s="44">
        <v>90</v>
      </c>
      <c r="O8" s="44"/>
      <c r="P8" s="44"/>
      <c r="Q8" s="61"/>
      <c r="S8" t="s">
        <v>142</v>
      </c>
    </row>
    <row r="9" spans="1:28" ht="6" customHeight="1">
      <c r="A9" s="282"/>
      <c r="B9" s="283"/>
      <c r="C9" s="283"/>
      <c r="D9" s="283"/>
      <c r="E9" s="283"/>
      <c r="F9" s="283"/>
      <c r="G9" s="283"/>
      <c r="H9" s="283"/>
      <c r="I9" s="283"/>
      <c r="J9" s="283"/>
      <c r="K9" s="283"/>
      <c r="L9" s="283"/>
      <c r="M9" s="283"/>
      <c r="N9" s="283"/>
      <c r="O9" s="283"/>
      <c r="P9" s="283"/>
      <c r="Q9" s="284"/>
    </row>
    <row r="10" spans="1:28">
      <c r="A10" s="7">
        <f>'Main Sheet'!A10</f>
        <v>8127</v>
      </c>
      <c r="B10" s="71" t="str">
        <f>'Main Sheet'!B10</f>
        <v>Rolly Autowash</v>
      </c>
      <c r="C10" s="8" cm="1">
        <f t="array" ref="C10">LOOKUP(2,1/('Deliverables Sheet'!S25:S30&lt;&gt;0),'Deliverables Sheet'!S25:S30)</f>
        <v>795.22</v>
      </c>
      <c r="D10" s="8" cm="1">
        <f t="array" ref="D10">LOOKUP(2,1/('Deliverables Sheet'!T25:T30&lt;&gt;0),'Deliverables Sheet'!T25:T30)</f>
        <v>388.25</v>
      </c>
      <c r="E10" s="8" cm="1">
        <f t="array" ref="E10">LOOKUP(2,1/('Deliverables Sheet'!U25:U30&lt;&gt;0),'Deliverables Sheet'!U25:U30)</f>
        <v>406.97</v>
      </c>
      <c r="F10" s="44"/>
      <c r="G10" s="44"/>
      <c r="H10" s="44"/>
      <c r="I10" s="44"/>
      <c r="J10" s="44"/>
      <c r="K10" s="44"/>
      <c r="L10" s="44"/>
      <c r="M10" s="44">
        <v>200</v>
      </c>
      <c r="N10" s="44">
        <v>80</v>
      </c>
      <c r="O10" s="44"/>
      <c r="P10" s="44"/>
      <c r="Q10" s="61"/>
      <c r="S10" t="s">
        <v>142</v>
      </c>
    </row>
    <row r="11" spans="1:28" ht="6" customHeight="1">
      <c r="A11" s="282"/>
      <c r="B11" s="283"/>
      <c r="C11" s="283"/>
      <c r="D11" s="283"/>
      <c r="E11" s="283"/>
      <c r="F11" s="283"/>
      <c r="G11" s="283"/>
      <c r="H11" s="283"/>
      <c r="I11" s="283"/>
      <c r="J11" s="283"/>
      <c r="K11" s="283"/>
      <c r="L11" s="283"/>
      <c r="M11" s="283"/>
      <c r="N11" s="283"/>
      <c r="O11" s="283"/>
      <c r="P11" s="283"/>
      <c r="Q11" s="284"/>
    </row>
    <row r="12" spans="1:28">
      <c r="A12" s="7">
        <v>8183</v>
      </c>
      <c r="B12" s="71" t="s">
        <v>115</v>
      </c>
      <c r="C12" s="8">
        <f>'Deliverables Sheet'!S32</f>
        <v>1114.27</v>
      </c>
      <c r="D12" s="8">
        <f>'Deliverables Sheet'!T32</f>
        <v>223.25</v>
      </c>
      <c r="E12" s="8" cm="1">
        <f t="array" ref="E12">LOOKUP(2,1/('Deliverables Sheet'!U32:U37&lt;&gt;0),'Deliverables Sheet'!U32:U37)</f>
        <v>732.77</v>
      </c>
      <c r="F12" s="44"/>
      <c r="G12" s="44"/>
      <c r="H12" s="44"/>
      <c r="I12" s="44"/>
      <c r="J12" s="44"/>
      <c r="K12" s="44"/>
      <c r="L12" s="44"/>
      <c r="M12" s="44">
        <v>160</v>
      </c>
      <c r="N12" s="44">
        <v>320</v>
      </c>
      <c r="O12" s="140">
        <v>80</v>
      </c>
      <c r="P12" s="44"/>
      <c r="Q12" s="61"/>
      <c r="S12" t="s">
        <v>142</v>
      </c>
    </row>
    <row r="13" spans="1:28" ht="6" customHeight="1">
      <c r="A13" s="274"/>
      <c r="B13" s="275"/>
      <c r="C13" s="275"/>
      <c r="D13" s="275"/>
      <c r="E13" s="275"/>
      <c r="F13" s="275"/>
      <c r="G13" s="275"/>
      <c r="H13" s="275"/>
      <c r="I13" s="275"/>
      <c r="J13" s="275"/>
      <c r="K13" s="275"/>
      <c r="L13" s="275"/>
      <c r="M13" s="275"/>
      <c r="N13" s="275"/>
      <c r="O13" s="275"/>
      <c r="P13" s="275"/>
      <c r="Q13" s="276"/>
    </row>
    <row r="14" spans="1:28">
      <c r="A14" s="7">
        <f>'Main Sheet'!A14</f>
        <v>8886</v>
      </c>
      <c r="B14" s="71" t="str">
        <f>'Main Sheet'!B14</f>
        <v>Monkey Toe - Fisher fit out</v>
      </c>
      <c r="C14" s="8">
        <f>'Deliverables Sheet'!S39</f>
        <v>501.83</v>
      </c>
      <c r="D14" s="8">
        <f>'Deliverables Sheet'!T39</f>
        <v>8</v>
      </c>
      <c r="E14" s="8" cm="1">
        <f t="array" ref="E14">LOOKUP(2,1/('Deliverables Sheet'!U39:U44&lt;&gt;0),'Deliverables Sheet'!U39:U44)</f>
        <v>389</v>
      </c>
      <c r="F14" s="44"/>
      <c r="G14" s="44"/>
      <c r="H14" s="44"/>
      <c r="I14" s="44"/>
      <c r="J14" s="44"/>
      <c r="K14" s="44"/>
      <c r="L14" s="44">
        <v>0</v>
      </c>
      <c r="M14" s="44">
        <v>80</v>
      </c>
      <c r="N14" s="44">
        <v>300</v>
      </c>
      <c r="O14" s="44"/>
      <c r="P14" s="44"/>
      <c r="Q14" s="61"/>
      <c r="S14" t="s">
        <v>142</v>
      </c>
    </row>
    <row r="15" spans="1:28" ht="6" customHeight="1">
      <c r="A15" s="274"/>
      <c r="B15" s="275"/>
      <c r="C15" s="275"/>
      <c r="D15" s="275"/>
      <c r="E15" s="275"/>
      <c r="F15" s="275"/>
      <c r="G15" s="275"/>
      <c r="H15" s="275"/>
      <c r="I15" s="275"/>
      <c r="J15" s="275"/>
      <c r="K15" s="275"/>
      <c r="L15" s="275"/>
      <c r="M15" s="275"/>
      <c r="N15" s="275"/>
      <c r="O15" s="275"/>
      <c r="P15" s="275"/>
      <c r="Q15" s="276"/>
    </row>
    <row r="16" spans="1:28">
      <c r="A16" s="7">
        <f>'Main Sheet'!A16</f>
        <v>8887</v>
      </c>
      <c r="B16" s="71" t="str">
        <f>'Main Sheet'!B16</f>
        <v>Tenancy 2 - Fisher Fit out</v>
      </c>
      <c r="C16" s="8" cm="1">
        <f t="array" ref="C16">LOOKUP(2,1/('Deliverables Sheet'!S46:S51&lt;&gt;0),'Deliverables Sheet'!S46:S51)</f>
        <v>212.3</v>
      </c>
      <c r="D16" s="8" cm="1">
        <f t="array" ref="D16">LOOKUP(2,1/('Deliverables Sheet'!T46:T51&lt;&gt;0),'Deliverables Sheet'!T46:T51)</f>
        <v>86.75</v>
      </c>
      <c r="E16" s="8" cm="1">
        <f t="array" ref="E16">LOOKUP(2,1/('Deliverables Sheet'!U46:U51&lt;&gt;0),'Deliverables Sheet'!U46:U51)</f>
        <v>125.55000000000001</v>
      </c>
      <c r="F16" s="44"/>
      <c r="G16" s="44"/>
      <c r="H16" s="44"/>
      <c r="I16" s="44"/>
      <c r="J16" s="44"/>
      <c r="K16" s="44"/>
      <c r="L16" s="44"/>
      <c r="M16" s="44">
        <v>16</v>
      </c>
      <c r="N16" s="44">
        <v>110</v>
      </c>
      <c r="O16" s="44"/>
      <c r="P16" s="44"/>
      <c r="Q16" s="61"/>
    </row>
    <row r="17" spans="1:19" ht="6" customHeight="1">
      <c r="A17" s="286"/>
      <c r="B17" s="287"/>
      <c r="C17" s="287"/>
      <c r="D17" s="287"/>
      <c r="E17" s="287"/>
      <c r="F17" s="287"/>
      <c r="G17" s="287"/>
      <c r="H17" s="287"/>
      <c r="I17" s="287"/>
      <c r="J17" s="287"/>
      <c r="K17" s="287"/>
      <c r="L17" s="287"/>
      <c r="M17" s="287"/>
      <c r="N17" s="287"/>
      <c r="O17" s="287"/>
      <c r="P17" s="287"/>
      <c r="Q17" s="288"/>
    </row>
    <row r="18" spans="1:19">
      <c r="A18" s="7">
        <f>'Main Sheet'!A18</f>
        <v>8670</v>
      </c>
      <c r="B18" s="71" t="str">
        <f>'Main Sheet'!B18</f>
        <v>Studio DB - tautara fit out</v>
      </c>
      <c r="C18" s="8" cm="1">
        <f t="array" ref="C18">LOOKUP(2,1/('Deliverables Sheet'!S53:S58&lt;&gt;0),'Deliverables Sheet'!S53:S58)</f>
        <v>668.92</v>
      </c>
      <c r="D18" s="8" cm="1">
        <f t="array" ref="D18">LOOKUP(2,1/('Deliverables Sheet'!T53:T58&lt;&gt;0),'Deliverables Sheet'!T53:T58)</f>
        <v>269</v>
      </c>
      <c r="E18" s="8" cm="1">
        <f t="array" ref="E18">LOOKUP(2,1/('Deliverables Sheet'!U53:U58&lt;&gt;0),'Deliverables Sheet'!U53:U58)</f>
        <v>399.91999999999996</v>
      </c>
      <c r="F18" s="44"/>
      <c r="G18" s="44"/>
      <c r="H18" s="44"/>
      <c r="I18" s="44"/>
      <c r="J18" s="44"/>
      <c r="K18" s="44"/>
      <c r="L18" s="44"/>
      <c r="M18" s="44">
        <v>240</v>
      </c>
      <c r="N18" s="44">
        <v>160</v>
      </c>
      <c r="O18" s="44"/>
      <c r="P18" s="44"/>
      <c r="Q18" s="61"/>
    </row>
    <row r="19" spans="1:19" ht="6" customHeight="1">
      <c r="A19" s="274"/>
      <c r="B19" s="275"/>
      <c r="C19" s="275"/>
      <c r="D19" s="275"/>
      <c r="E19" s="275"/>
      <c r="F19" s="275"/>
      <c r="G19" s="275"/>
      <c r="H19" s="275"/>
      <c r="I19" s="275"/>
      <c r="J19" s="275"/>
      <c r="K19" s="275"/>
      <c r="L19" s="275"/>
      <c r="M19" s="275"/>
      <c r="N19" s="275"/>
      <c r="O19" s="275"/>
      <c r="P19" s="275"/>
      <c r="Q19" s="276"/>
    </row>
    <row r="20" spans="1:19">
      <c r="A20" s="7">
        <f>'Main Sheet'!A20</f>
        <v>8907</v>
      </c>
      <c r="B20" s="71" t="str">
        <f>'Main Sheet'!B20</f>
        <v>35 Mania</v>
      </c>
      <c r="C20" s="8" cm="1">
        <f t="array" ref="C20">LOOKUP(2,1/('Deliverables Sheet'!S60:S65&lt;&gt;0),'Deliverables Sheet'!S60:S65)</f>
        <v>63.5</v>
      </c>
      <c r="D20" s="8" cm="1">
        <f t="array" ref="D20">LOOKUP(2,1/('Deliverables Sheet'!T60:T65&lt;&gt;0),'Deliverables Sheet'!T60:T65)</f>
        <v>26.75</v>
      </c>
      <c r="E20" s="8" cm="1">
        <f t="array" ref="E20">LOOKUP(2,1/('Deliverables Sheet'!U60:U65&lt;&gt;0),'Deliverables Sheet'!U60:U65)</f>
        <v>36.75</v>
      </c>
      <c r="F20" s="44"/>
      <c r="G20" s="44"/>
      <c r="H20" s="44"/>
      <c r="I20" s="44"/>
      <c r="J20" s="44"/>
      <c r="K20" s="44"/>
      <c r="L20" s="44"/>
      <c r="M20" s="44">
        <v>36</v>
      </c>
      <c r="N20" s="44"/>
      <c r="O20" s="44"/>
      <c r="P20" s="44"/>
      <c r="Q20" s="61"/>
    </row>
    <row r="21" spans="1:19" ht="6" customHeight="1">
      <c r="A21" s="274"/>
      <c r="B21" s="275"/>
      <c r="C21" s="275"/>
      <c r="D21" s="275"/>
      <c r="E21" s="275"/>
      <c r="F21" s="275"/>
      <c r="G21" s="275"/>
      <c r="H21" s="275"/>
      <c r="I21" s="275"/>
      <c r="J21" s="275"/>
      <c r="K21" s="275"/>
      <c r="L21" s="275"/>
      <c r="M21" s="275"/>
      <c r="N21" s="275"/>
      <c r="O21" s="275"/>
      <c r="P21" s="275"/>
      <c r="Q21" s="276"/>
    </row>
    <row r="22" spans="1:19">
      <c r="A22" s="7">
        <f>'Main Sheet'!A22</f>
        <v>9065</v>
      </c>
      <c r="B22" s="71" t="str">
        <f>'Main Sheet'!B22</f>
        <v>Cooltranz stage 4</v>
      </c>
      <c r="C22" s="8" cm="1">
        <f t="array" ref="C22">LOOKUP(2,1/('Deliverables Sheet'!S67:S72&lt;&gt;0),'Deliverables Sheet'!S67:S72)</f>
        <v>160.82</v>
      </c>
      <c r="D22" s="8" t="e" cm="1">
        <f t="array" ref="D22">LOOKUP(2,1/('Deliverables Sheet'!T67:T72&lt;&gt;0),'Deliverables Sheet'!T67:T72)</f>
        <v>#N/A</v>
      </c>
      <c r="E22" s="8" cm="1">
        <f t="array" ref="E22">LOOKUP(2,1/('Deliverables Sheet'!U67:U72&lt;&gt;0),'Deliverables Sheet'!U67:U72)</f>
        <v>160.82</v>
      </c>
      <c r="F22" s="44"/>
      <c r="G22" s="44"/>
      <c r="H22" s="44"/>
      <c r="I22" s="44"/>
      <c r="J22" s="44"/>
      <c r="K22" s="44"/>
      <c r="L22" s="44"/>
      <c r="M22" s="44">
        <v>20</v>
      </c>
      <c r="N22" s="44">
        <v>80</v>
      </c>
      <c r="O22" s="44">
        <v>60</v>
      </c>
      <c r="P22" s="44"/>
      <c r="Q22" s="61"/>
    </row>
    <row r="23" spans="1:19" ht="6" customHeight="1">
      <c r="A23" s="154"/>
      <c r="B23" s="155"/>
      <c r="C23" s="155"/>
      <c r="D23" s="157"/>
      <c r="E23" s="158"/>
      <c r="F23" s="155"/>
      <c r="G23" s="155"/>
      <c r="H23" s="155"/>
      <c r="I23" s="155"/>
      <c r="J23" s="155"/>
      <c r="K23" s="155"/>
      <c r="L23" s="155"/>
      <c r="M23" s="155"/>
      <c r="N23" s="155"/>
      <c r="O23" s="155"/>
      <c r="P23" s="155"/>
      <c r="Q23" s="156"/>
    </row>
    <row r="24" spans="1:19">
      <c r="A24" s="7">
        <f>'Main Sheet'!A24</f>
        <v>9259</v>
      </c>
      <c r="B24" s="71" t="str">
        <f>'Main Sheet'!B24</f>
        <v>Andrew Reeve Stage 2</v>
      </c>
      <c r="C24" s="8"/>
      <c r="D24" s="8"/>
      <c r="E24" s="8" cm="1">
        <f t="array" ref="E24">LOOKUP(2,1/('Deliverables Sheet'!U69:U74&lt;&gt;0),'Deliverables Sheet'!U69:U74)</f>
        <v>470.3</v>
      </c>
      <c r="F24" s="44"/>
      <c r="G24" s="44"/>
      <c r="H24" s="44"/>
      <c r="I24" s="44"/>
      <c r="J24" s="44"/>
      <c r="K24" s="44"/>
      <c r="L24" s="44"/>
      <c r="M24" s="44">
        <v>188</v>
      </c>
      <c r="N24" s="44">
        <v>282</v>
      </c>
      <c r="O24" s="44"/>
      <c r="P24" s="44"/>
      <c r="Q24" s="61"/>
    </row>
    <row r="25" spans="1:19" ht="6" customHeight="1">
      <c r="A25" s="279"/>
      <c r="B25" s="280"/>
      <c r="C25" s="280"/>
      <c r="D25" s="280"/>
      <c r="E25" s="280"/>
      <c r="F25" s="280"/>
      <c r="G25" s="280"/>
      <c r="H25" s="280"/>
      <c r="I25" s="280"/>
      <c r="J25" s="280"/>
      <c r="K25" s="280"/>
      <c r="L25" s="280"/>
      <c r="M25" s="280"/>
      <c r="N25" s="280"/>
      <c r="O25" s="280"/>
      <c r="P25" s="280"/>
      <c r="Q25" s="281"/>
    </row>
    <row r="26" spans="1:19">
      <c r="A26" s="64">
        <f>'Main Sheet'!A26</f>
        <v>8352</v>
      </c>
      <c r="B26" s="71" t="str">
        <f>'Main Sheet'!B26</f>
        <v>5 Sanscrit Place</v>
      </c>
      <c r="C26" s="8" cm="1">
        <f t="array" ref="C26">LOOKUP(2,1/('Deliverables Sheet'!S81:S86&lt;&gt;0),'Deliverables Sheet'!S81:S86)</f>
        <v>139.07</v>
      </c>
      <c r="D26" s="8" cm="1">
        <f t="array" ref="D26">LOOKUP(2,1/('Deliverables Sheet'!T81:T86&lt;&gt;0),'Deliverables Sheet'!T81:T86)</f>
        <v>143.25</v>
      </c>
      <c r="E26" s="8" cm="1">
        <f t="array" ref="E26">LOOKUP(2,1/('Deliverables Sheet'!U81:U86&lt;&gt;0),'Deliverables Sheet'!U81:U86)</f>
        <v>-4.1800000000000068</v>
      </c>
      <c r="F26" s="44"/>
      <c r="G26" s="44"/>
      <c r="H26" s="44"/>
      <c r="I26" s="44"/>
      <c r="J26" s="44"/>
      <c r="K26" s="44"/>
      <c r="L26" s="44"/>
      <c r="M26" s="44">
        <v>48</v>
      </c>
      <c r="N26" s="44"/>
      <c r="O26" s="44"/>
      <c r="P26" s="44"/>
      <c r="Q26" s="61"/>
    </row>
    <row r="27" spans="1:19" ht="6" customHeight="1">
      <c r="A27" s="289"/>
      <c r="B27" s="290"/>
      <c r="C27" s="290"/>
      <c r="D27" s="290"/>
      <c r="E27" s="290"/>
      <c r="F27" s="290"/>
      <c r="G27" s="290"/>
      <c r="H27" s="290"/>
      <c r="I27" s="290"/>
      <c r="J27" s="290"/>
      <c r="K27" s="290"/>
      <c r="L27" s="290"/>
      <c r="M27" s="290"/>
      <c r="N27" s="290"/>
      <c r="O27" s="290"/>
      <c r="P27" s="290"/>
      <c r="Q27" s="291"/>
    </row>
    <row r="28" spans="1:19">
      <c r="A28" s="7">
        <f>'Main Sheet'!A28</f>
        <v>8234</v>
      </c>
      <c r="B28" s="71" t="str">
        <f>'Main Sheet'!B28</f>
        <v>Melhuish House</v>
      </c>
      <c r="C28" s="8" cm="1">
        <f t="array" ref="C28">LOOKUP(2,1/('Deliverables Sheet'!S88:S93&lt;&gt;0),'Deliverables Sheet'!S88:S93)</f>
        <v>231.75</v>
      </c>
      <c r="D28" s="8" cm="1">
        <f t="array" ref="D28">LOOKUP(2,1/('Deliverables Sheet'!T88:T93&lt;&gt;0),'Deliverables Sheet'!T88:T93)</f>
        <v>148.5</v>
      </c>
      <c r="E28" s="8" cm="1">
        <f t="array" ref="E28">LOOKUP(2,1/('Deliverables Sheet'!U88:U93&lt;&gt;0),'Deliverables Sheet'!U88:U93)</f>
        <v>83.25</v>
      </c>
      <c r="F28" s="44"/>
      <c r="G28" s="44"/>
      <c r="H28" s="44"/>
      <c r="I28" s="44"/>
      <c r="J28" s="44"/>
      <c r="K28" s="44"/>
      <c r="L28" s="44"/>
      <c r="M28" s="44">
        <v>32</v>
      </c>
      <c r="N28" s="44"/>
      <c r="O28" s="44"/>
      <c r="P28" s="44"/>
      <c r="Q28" s="61"/>
      <c r="S28" s="144"/>
    </row>
    <row r="29" spans="1:19" ht="6" customHeight="1">
      <c r="A29" s="274"/>
      <c r="B29" s="275"/>
      <c r="C29" s="275"/>
      <c r="D29" s="275"/>
      <c r="E29" s="275"/>
      <c r="F29" s="275"/>
      <c r="G29" s="275"/>
      <c r="H29" s="275"/>
      <c r="I29" s="275"/>
      <c r="J29" s="275"/>
      <c r="K29" s="275"/>
      <c r="L29" s="275"/>
      <c r="M29" s="275"/>
      <c r="N29" s="275"/>
      <c r="O29" s="275"/>
      <c r="P29" s="275"/>
      <c r="Q29" s="276"/>
    </row>
    <row r="30" spans="1:19">
      <c r="A30" s="7">
        <f>'Main Sheet'!A30</f>
        <v>8214</v>
      </c>
      <c r="B30" s="71" t="str">
        <f>'Main Sheet'!B30</f>
        <v>6 Tiroroa Lane</v>
      </c>
      <c r="C30" s="8" cm="1">
        <f t="array" ref="C30">LOOKUP(2,1/('Deliverables Sheet'!S95:S100&lt;&gt;0),'Deliverables Sheet'!S95:S100)</f>
        <v>147.9</v>
      </c>
      <c r="D30" s="8" cm="1">
        <f t="array" ref="D30">LOOKUP(2,1/('Deliverables Sheet'!T95:T100&lt;&gt;0),'Deliverables Sheet'!T95:T100)</f>
        <v>5</v>
      </c>
      <c r="E30" s="8" cm="1">
        <f t="array" ref="E30">LOOKUP(2,1/('Deliverables Sheet'!U95:U100&lt;&gt;0),'Deliverables Sheet'!U95:U100)</f>
        <v>142.9</v>
      </c>
      <c r="F30" s="44"/>
      <c r="G30" s="44"/>
      <c r="H30" s="44"/>
      <c r="I30" s="44"/>
      <c r="J30" s="44"/>
      <c r="K30" s="44"/>
      <c r="L30" s="44"/>
      <c r="M30" s="44"/>
      <c r="N30" s="44">
        <v>48</v>
      </c>
      <c r="O30" s="44">
        <v>16</v>
      </c>
      <c r="P30" s="44">
        <v>64</v>
      </c>
      <c r="Q30" s="61"/>
      <c r="S30" s="145"/>
    </row>
    <row r="31" spans="1:19" ht="6" customHeight="1">
      <c r="A31" s="274"/>
      <c r="B31" s="275"/>
      <c r="C31" s="275"/>
      <c r="D31" s="275"/>
      <c r="E31" s="275"/>
      <c r="F31" s="275"/>
      <c r="G31" s="275"/>
      <c r="H31" s="275"/>
      <c r="I31" s="275"/>
      <c r="J31" s="275"/>
      <c r="K31" s="275"/>
      <c r="L31" s="275"/>
      <c r="M31" s="275"/>
      <c r="N31" s="275"/>
      <c r="O31" s="275"/>
      <c r="P31" s="275"/>
      <c r="Q31" s="276"/>
    </row>
    <row r="32" spans="1:19">
      <c r="A32" s="7">
        <f>'Main Sheet'!A32</f>
        <v>6792</v>
      </c>
      <c r="B32" s="71" t="str">
        <f>'Main Sheet'!B32</f>
        <v xml:space="preserve">Major Hornbrook </v>
      </c>
      <c r="C32" s="8" cm="1">
        <f t="array" ref="C32">LOOKUP(2,1/('Deliverables Sheet'!S102:S107&lt;&gt;0),'Deliverables Sheet'!S102:S107)</f>
        <v>208.2</v>
      </c>
      <c r="D32" s="8" cm="1">
        <f t="array" ref="D32">LOOKUP(2,1/('Deliverables Sheet'!T102:T107&lt;&gt;0),'Deliverables Sheet'!T102:T107)</f>
        <v>317.25</v>
      </c>
      <c r="E32" s="8" cm="1">
        <f t="array" ref="E32">LOOKUP(2,1/('Deliverables Sheet'!U102:U107&lt;&gt;0),'Deliverables Sheet'!U102:U107)</f>
        <v>-109.05000000000001</v>
      </c>
      <c r="F32" s="44"/>
      <c r="G32" s="44"/>
      <c r="H32" s="44"/>
      <c r="I32" s="44"/>
      <c r="J32" s="44"/>
      <c r="K32" s="44"/>
      <c r="L32" s="44"/>
      <c r="M32" s="44"/>
      <c r="N32" s="44"/>
      <c r="O32" s="44"/>
      <c r="P32" s="44"/>
      <c r="Q32" s="61"/>
    </row>
    <row r="33" spans="1:19" ht="6" customHeight="1">
      <c r="A33" s="274"/>
      <c r="B33" s="275"/>
      <c r="C33" s="275"/>
      <c r="D33" s="275"/>
      <c r="E33" s="275"/>
      <c r="F33" s="275"/>
      <c r="G33" s="275"/>
      <c r="H33" s="275"/>
      <c r="I33" s="275"/>
      <c r="J33" s="275"/>
      <c r="K33" s="275"/>
      <c r="L33" s="275"/>
      <c r="M33" s="275"/>
      <c r="N33" s="275"/>
      <c r="O33" s="275"/>
      <c r="P33" s="275"/>
      <c r="Q33" s="276"/>
    </row>
    <row r="34" spans="1:19">
      <c r="A34" s="7">
        <f>'Main Sheet'!A34</f>
        <v>8840</v>
      </c>
      <c r="B34" s="71" t="str">
        <f>'Main Sheet'!B34</f>
        <v>Inline Architecture</v>
      </c>
      <c r="C34" s="8" cm="1">
        <f t="array" ref="C34">LOOKUP(2,1/('Deliverables Sheet'!S109:S114&lt;&gt;0),'Deliverables Sheet'!S109:S114)</f>
        <v>316.33999999999997</v>
      </c>
      <c r="D34" s="8" cm="1">
        <f t="array" ref="D34">LOOKUP(2,1/('Deliverables Sheet'!T109:T114&lt;&gt;0),'Deliverables Sheet'!T109:T114)</f>
        <v>204.75</v>
      </c>
      <c r="E34" s="8" cm="1">
        <f t="array" ref="E34">LOOKUP(2,1/('Deliverables Sheet'!U109:U114&lt;&gt;0),'Deliverables Sheet'!U109:U114)</f>
        <v>111.58999999999997</v>
      </c>
      <c r="F34" s="44"/>
      <c r="G34" s="44"/>
      <c r="H34" s="44"/>
      <c r="I34" s="44"/>
      <c r="J34" s="44"/>
      <c r="K34" s="44"/>
      <c r="L34" s="44"/>
      <c r="M34" s="44">
        <v>130</v>
      </c>
      <c r="N34" s="44"/>
      <c r="O34" s="44"/>
      <c r="P34" s="44"/>
      <c r="Q34" s="61"/>
    </row>
    <row r="35" spans="1:19" ht="6" customHeight="1">
      <c r="A35" s="274"/>
      <c r="B35" s="275"/>
      <c r="C35" s="275"/>
      <c r="D35" s="275"/>
      <c r="E35" s="275"/>
      <c r="F35" s="275"/>
      <c r="G35" s="275"/>
      <c r="H35" s="275"/>
      <c r="I35" s="275"/>
      <c r="J35" s="275"/>
      <c r="K35" s="275"/>
      <c r="L35" s="275"/>
      <c r="M35" s="275"/>
      <c r="N35" s="275"/>
      <c r="O35" s="275"/>
      <c r="P35" s="275"/>
      <c r="Q35" s="276"/>
    </row>
    <row r="36" spans="1:19">
      <c r="A36" s="7">
        <f>'Main Sheet'!A36</f>
        <v>8769</v>
      </c>
      <c r="B36" s="71" t="str">
        <f>'Main Sheet'!B36</f>
        <v>Percival Bach</v>
      </c>
      <c r="C36" s="8" cm="1">
        <f t="array" ref="C36">LOOKUP(2,1/('Deliverables Sheet'!S116:S121&lt;&gt;0),'Deliverables Sheet'!S116:S121)</f>
        <v>84.03</v>
      </c>
      <c r="D36" s="8" t="e" cm="1">
        <f t="array" ref="D36">LOOKUP(2,1/('Deliverables Sheet'!T116:T121&lt;&gt;0),'Deliverables Sheet'!T116:T121)</f>
        <v>#N/A</v>
      </c>
      <c r="E36" s="8" cm="1">
        <f t="array" ref="E36">LOOKUP(2,1/('Deliverables Sheet'!U116:U121&lt;&gt;0),'Deliverables Sheet'!U116:U121)</f>
        <v>84.03</v>
      </c>
      <c r="F36" s="44"/>
      <c r="G36" s="44"/>
      <c r="H36" s="44"/>
      <c r="I36" s="44"/>
      <c r="J36" s="44"/>
      <c r="K36" s="44"/>
      <c r="L36" s="44"/>
      <c r="M36" s="44">
        <v>30</v>
      </c>
      <c r="N36" s="44">
        <v>50</v>
      </c>
      <c r="O36" s="44"/>
      <c r="P36" s="44"/>
      <c r="Q36" s="61"/>
    </row>
    <row r="37" spans="1:19" ht="6" customHeight="1">
      <c r="A37" s="274"/>
      <c r="B37" s="275"/>
      <c r="C37" s="275"/>
      <c r="D37" s="275"/>
      <c r="E37" s="275"/>
      <c r="F37" s="275"/>
      <c r="G37" s="275"/>
      <c r="H37" s="275"/>
      <c r="I37" s="275"/>
      <c r="J37" s="275"/>
      <c r="K37" s="275"/>
      <c r="L37" s="275"/>
      <c r="M37" s="275"/>
      <c r="N37" s="275"/>
      <c r="O37" s="275"/>
      <c r="P37" s="275"/>
      <c r="Q37" s="276"/>
    </row>
    <row r="38" spans="1:19">
      <c r="A38" s="7">
        <f>'Main Sheet'!A38</f>
        <v>7901</v>
      </c>
      <c r="B38" s="71" t="str">
        <f>'Main Sheet'!B38</f>
        <v>St Albans Street</v>
      </c>
      <c r="C38" s="8" cm="1">
        <f t="array" ref="C38">LOOKUP(2,1/('Deliverables Sheet'!S123:S128&lt;&gt;0),'Deliverables Sheet'!S123:S128)</f>
        <v>273.37</v>
      </c>
      <c r="D38" s="8" t="e" cm="1">
        <f t="array" ref="D38">LOOKUP(2,1/('Deliverables Sheet'!T123:T128&lt;&gt;0),'Deliverables Sheet'!T123:T128)</f>
        <v>#N/A</v>
      </c>
      <c r="E38" s="8" cm="1">
        <f t="array" ref="E38">LOOKUP(2,1/('Deliverables Sheet'!U123:U128&lt;&gt;0),'Deliverables Sheet'!U123:U128)</f>
        <v>273.37</v>
      </c>
      <c r="F38" s="44"/>
      <c r="G38" s="44"/>
      <c r="H38" s="44"/>
      <c r="I38" s="44"/>
      <c r="J38" s="44"/>
      <c r="K38" s="44"/>
      <c r="L38" s="44"/>
      <c r="M38" s="44">
        <v>80</v>
      </c>
      <c r="N38" s="44">
        <v>40</v>
      </c>
      <c r="O38" s="44">
        <v>160</v>
      </c>
      <c r="P38" s="44"/>
      <c r="Q38" s="61"/>
      <c r="S38" s="145"/>
    </row>
    <row r="39" spans="1:19" ht="6" customHeight="1">
      <c r="A39" s="274"/>
      <c r="B39" s="275"/>
      <c r="C39" s="275"/>
      <c r="D39" s="275"/>
      <c r="E39" s="275"/>
      <c r="F39" s="275"/>
      <c r="G39" s="275"/>
      <c r="H39" s="275"/>
      <c r="I39" s="275"/>
      <c r="J39" s="275"/>
      <c r="K39" s="275"/>
      <c r="L39" s="275"/>
      <c r="M39" s="275"/>
      <c r="N39" s="275"/>
      <c r="O39" s="275"/>
      <c r="P39" s="275"/>
      <c r="Q39" s="276"/>
    </row>
    <row r="40" spans="1:19">
      <c r="A40" s="7">
        <f>'Main Sheet'!A40</f>
        <v>8923</v>
      </c>
      <c r="B40" s="71" t="str">
        <f>'Main Sheet'!B40</f>
        <v>4 Perry St</v>
      </c>
      <c r="C40" s="8" cm="1">
        <f t="array" ref="C40">LOOKUP(2,1/('Deliverables Sheet'!S130:S135&lt;&gt;0),'Deliverables Sheet'!S130:S135)</f>
        <v>157</v>
      </c>
      <c r="D40" s="8" cm="1">
        <f t="array" ref="D40">LOOKUP(2,1/('Deliverables Sheet'!T130:T135&lt;&gt;0),'Deliverables Sheet'!T130:T135)</f>
        <v>2</v>
      </c>
      <c r="E40" s="8" cm="1">
        <f t="array" ref="E40">LOOKUP(2,1/('Deliverables Sheet'!U130:U135&lt;&gt;0),'Deliverables Sheet'!U130:U135)</f>
        <v>155</v>
      </c>
      <c r="F40" s="44">
        <v>60</v>
      </c>
      <c r="G40" s="44">
        <v>15</v>
      </c>
      <c r="H40" s="44">
        <v>90</v>
      </c>
      <c r="I40" s="44"/>
      <c r="J40" s="44"/>
      <c r="K40" s="44"/>
      <c r="L40" s="44"/>
      <c r="M40" s="44"/>
      <c r="N40" s="44"/>
      <c r="O40" s="44"/>
      <c r="P40" s="44"/>
      <c r="Q40" s="61"/>
    </row>
    <row r="41" spans="1:19" ht="6" customHeight="1">
      <c r="A41" s="274"/>
      <c r="B41" s="275"/>
      <c r="C41" s="275"/>
      <c r="D41" s="275"/>
      <c r="E41" s="275"/>
      <c r="F41" s="275"/>
      <c r="G41" s="275"/>
      <c r="H41" s="275"/>
      <c r="I41" s="275"/>
      <c r="J41" s="275"/>
      <c r="K41" s="275"/>
      <c r="L41" s="275"/>
      <c r="M41" s="275"/>
      <c r="N41" s="275"/>
      <c r="O41" s="275"/>
      <c r="P41" s="275"/>
      <c r="Q41" s="276"/>
    </row>
    <row r="42" spans="1:19">
      <c r="A42" s="7">
        <f>'Main Sheet'!A42</f>
        <v>7864</v>
      </c>
      <c r="B42" s="71" t="str">
        <f>'Main Sheet'!B42</f>
        <v>Ryans House</v>
      </c>
      <c r="C42" s="8" cm="1">
        <f t="array" ref="C42">LOOKUP(2,1/('Deliverables Sheet'!S137:S142&lt;&gt;0),'Deliverables Sheet'!S137:S142)</f>
        <v>193.82</v>
      </c>
      <c r="D42" s="8" cm="1">
        <f t="array" ref="D42">LOOKUP(2,1/('Deliverables Sheet'!T137:T142&lt;&gt;0),'Deliverables Sheet'!T137:T142)</f>
        <v>266.75</v>
      </c>
      <c r="E42" s="8" cm="1">
        <f t="array" ref="E42">LOOKUP(2,1/('Deliverables Sheet'!U137:U142&lt;&gt;0),'Deliverables Sheet'!U137:U142)</f>
        <v>-72.930000000000007</v>
      </c>
      <c r="F42" s="44"/>
      <c r="G42" s="44"/>
      <c r="H42" s="44"/>
      <c r="I42" s="44"/>
      <c r="J42" s="44"/>
      <c r="K42" s="44"/>
      <c r="L42" s="44"/>
      <c r="M42" s="44"/>
      <c r="N42" s="44"/>
      <c r="O42" s="44"/>
      <c r="P42" s="44"/>
      <c r="Q42" s="61"/>
      <c r="S42" s="145"/>
    </row>
    <row r="43" spans="1:19" ht="6" customHeight="1">
      <c r="A43" s="274"/>
      <c r="B43" s="275"/>
      <c r="C43" s="275"/>
      <c r="D43" s="275"/>
      <c r="E43" s="275"/>
      <c r="F43" s="275"/>
      <c r="G43" s="275"/>
      <c r="H43" s="275"/>
      <c r="I43" s="275"/>
      <c r="J43" s="275"/>
      <c r="K43" s="275"/>
      <c r="L43" s="275"/>
      <c r="M43" s="275"/>
      <c r="N43" s="275"/>
      <c r="O43" s="275"/>
      <c r="P43" s="275"/>
      <c r="Q43" s="276"/>
    </row>
    <row r="44" spans="1:19">
      <c r="A44" s="7">
        <f>'Main Sheet'!A44</f>
        <v>7912</v>
      </c>
      <c r="B44" s="71" t="str">
        <f>'Main Sheet'!B44</f>
        <v xml:space="preserve">71A Fendalton Road </v>
      </c>
      <c r="C44" s="8" cm="1">
        <f t="array" ref="C44">LOOKUP(2,1/('Deliverables Sheet'!S144:S149&lt;&gt;0),'Deliverables Sheet'!S144:S149)</f>
        <v>497.55</v>
      </c>
      <c r="D44" s="8" cm="1">
        <f t="array" ref="D44">LOOKUP(2,1/('Deliverables Sheet'!T144:T149&lt;&gt;0),'Deliverables Sheet'!T144:T149)</f>
        <v>58.25</v>
      </c>
      <c r="E44" s="8" cm="1">
        <f t="array" ref="E44">LOOKUP(2,1/('Deliverables Sheet'!U144:U149&lt;&gt;0),'Deliverables Sheet'!U144:U149)</f>
        <v>439.3</v>
      </c>
      <c r="F44" s="44">
        <v>80</v>
      </c>
      <c r="G44" s="44"/>
      <c r="H44" s="44"/>
      <c r="I44" s="44"/>
      <c r="J44" s="44"/>
      <c r="K44" s="44"/>
      <c r="L44" s="44"/>
      <c r="M44" s="44"/>
      <c r="N44" s="44">
        <v>40</v>
      </c>
      <c r="O44" s="44">
        <v>300</v>
      </c>
      <c r="P44" s="44">
        <v>150</v>
      </c>
      <c r="Q44" s="61">
        <v>150</v>
      </c>
      <c r="S44" s="145"/>
    </row>
    <row r="45" spans="1:19" ht="6" customHeight="1">
      <c r="A45" s="274"/>
      <c r="B45" s="275"/>
      <c r="C45" s="278"/>
      <c r="D45" s="278"/>
      <c r="E45" s="278"/>
      <c r="F45" s="275"/>
      <c r="G45" s="275"/>
      <c r="H45" s="275"/>
      <c r="I45" s="275"/>
      <c r="J45" s="275"/>
      <c r="K45" s="275"/>
      <c r="L45" s="275"/>
      <c r="M45" s="275"/>
      <c r="N45" s="275"/>
      <c r="O45" s="275"/>
      <c r="P45" s="275"/>
      <c r="Q45" s="276"/>
    </row>
    <row r="46" spans="1:19">
      <c r="A46" s="9">
        <f>'Main Sheet'!A46</f>
        <v>8360</v>
      </c>
      <c r="B46" s="72" t="str">
        <f>'Main Sheet'!B46</f>
        <v>Dixon House</v>
      </c>
      <c r="C46" s="8" cm="1">
        <f t="array" ref="C46">LOOKUP(2,1/('Deliverables Sheet'!S151:S156&lt;&gt;0),'Deliverables Sheet'!S151:S156)</f>
        <v>210.6</v>
      </c>
      <c r="D46" s="8" cm="1">
        <f t="array" ref="D46">LOOKUP(2,1/('Deliverables Sheet'!T151:T156&lt;&gt;0),'Deliverables Sheet'!T151:T156)</f>
        <v>260.75</v>
      </c>
      <c r="E46" s="8" cm="1">
        <f t="array" ref="E46">LOOKUP(2,1/('Deliverables Sheet'!U151:U156&lt;&gt;0),'Deliverables Sheet'!U151:U156)</f>
        <v>-50.150000000000006</v>
      </c>
      <c r="F46" s="59"/>
      <c r="G46" s="59"/>
      <c r="H46" s="59"/>
      <c r="I46" s="59"/>
      <c r="J46" s="59"/>
      <c r="K46" s="59"/>
      <c r="L46" s="59"/>
      <c r="M46" s="59"/>
      <c r="N46" s="59"/>
      <c r="O46" s="59"/>
      <c r="P46" s="59"/>
      <c r="Q46" s="65"/>
    </row>
    <row r="47" spans="1:19" ht="6" customHeight="1">
      <c r="A47" s="274"/>
      <c r="B47" s="275"/>
      <c r="C47" s="278"/>
      <c r="D47" s="278"/>
      <c r="E47" s="278"/>
      <c r="F47" s="275"/>
      <c r="G47" s="275"/>
      <c r="H47" s="275"/>
      <c r="I47" s="275"/>
      <c r="J47" s="275"/>
      <c r="K47" s="275"/>
      <c r="L47" s="275"/>
      <c r="M47" s="275"/>
      <c r="N47" s="275"/>
      <c r="O47" s="275"/>
      <c r="P47" s="275"/>
      <c r="Q47" s="276"/>
    </row>
    <row r="48" spans="1:19">
      <c r="A48" s="7">
        <f>'Main Sheet'!A48</f>
        <v>8337</v>
      </c>
      <c r="B48" s="71" t="str">
        <f>'Main Sheet'!B48</f>
        <v xml:space="preserve">Waimak Dairys </v>
      </c>
      <c r="C48" s="8" cm="1">
        <f t="array" ref="C48">LOOKUP(2,1/('Deliverables Sheet'!S158:S163&lt;&gt;0),'Deliverables Sheet'!S158:S163)</f>
        <v>110.44</v>
      </c>
      <c r="D48" s="8" cm="1">
        <f t="array" ref="D48">LOOKUP(2,1/('Deliverables Sheet'!T158:T163&lt;&gt;0),'Deliverables Sheet'!T158:T163)</f>
        <v>44.75</v>
      </c>
      <c r="E48" s="8" cm="1">
        <f t="array" ref="E48">LOOKUP(2,1/('Deliverables Sheet'!U158:U163&lt;&gt;0),'Deliverables Sheet'!U158:U163)</f>
        <v>65.69</v>
      </c>
      <c r="F48" s="44"/>
      <c r="G48" s="44"/>
      <c r="H48" s="44"/>
      <c r="I48" s="44"/>
      <c r="J48" s="44"/>
      <c r="K48" s="44"/>
      <c r="L48" s="44"/>
      <c r="M48" s="44">
        <v>16</v>
      </c>
      <c r="N48" s="44">
        <v>32</v>
      </c>
      <c r="O48" s="44"/>
      <c r="P48" s="44"/>
      <c r="Q48" s="61"/>
    </row>
    <row r="49" spans="1:19" ht="6" customHeight="1">
      <c r="A49" s="274"/>
      <c r="B49" s="275"/>
      <c r="C49" s="278"/>
      <c r="D49" s="278"/>
      <c r="E49" s="278"/>
      <c r="F49" s="275"/>
      <c r="G49" s="275"/>
      <c r="H49" s="275"/>
      <c r="I49" s="275"/>
      <c r="J49" s="275"/>
      <c r="K49" s="275"/>
      <c r="L49" s="275"/>
      <c r="M49" s="275"/>
      <c r="N49" s="275"/>
      <c r="O49" s="275"/>
      <c r="P49" s="275"/>
      <c r="Q49" s="276"/>
    </row>
    <row r="50" spans="1:19">
      <c r="A50" s="7">
        <f>'Main Sheet'!A50</f>
        <v>9240</v>
      </c>
      <c r="B50" s="71" t="str">
        <f>'Main Sheet'!B50</f>
        <v>Daves Twizel Shack</v>
      </c>
      <c r="C50" s="8" cm="1">
        <f t="array" ref="C50">LOOKUP(2,1/('Deliverables Sheet'!S165:S170&lt;&gt;0),'Deliverables Sheet'!S165:S170)</f>
        <v>64.709999999999994</v>
      </c>
      <c r="D50" s="8" t="e" cm="1">
        <f t="array" ref="D50">LOOKUP(2,1/('Deliverables Sheet'!T165:T170&lt;&gt;0),'Deliverables Sheet'!T165:T170)</f>
        <v>#N/A</v>
      </c>
      <c r="E50" s="8" cm="1">
        <f t="array" ref="E50">LOOKUP(2,1/('Deliverables Sheet'!U165:U170&lt;&gt;0),'Deliverables Sheet'!U165:U170)</f>
        <v>64.709999999999994</v>
      </c>
      <c r="F50" s="44"/>
      <c r="G50" s="44"/>
      <c r="H50" s="44"/>
      <c r="I50" s="44"/>
      <c r="J50" s="44"/>
      <c r="K50" s="44"/>
      <c r="L50" s="44"/>
      <c r="M50" s="44">
        <v>16</v>
      </c>
      <c r="N50" s="44">
        <v>40</v>
      </c>
      <c r="O50" s="44"/>
      <c r="P50" s="44"/>
      <c r="Q50" s="61"/>
    </row>
    <row r="51" spans="1:19" ht="6" customHeight="1">
      <c r="A51" s="274"/>
      <c r="B51" s="275"/>
      <c r="C51" s="278"/>
      <c r="D51" s="278"/>
      <c r="E51" s="278"/>
      <c r="F51" s="275"/>
      <c r="G51" s="275"/>
      <c r="H51" s="275"/>
      <c r="I51" s="275"/>
      <c r="J51" s="275"/>
      <c r="K51" s="275"/>
      <c r="L51" s="275"/>
      <c r="M51" s="275"/>
      <c r="N51" s="275"/>
      <c r="O51" s="275"/>
      <c r="P51" s="275"/>
      <c r="Q51" s="276"/>
    </row>
    <row r="52" spans="1:19">
      <c r="A52" s="7">
        <f>'Main Sheet'!A52</f>
        <v>7428</v>
      </c>
      <c r="B52" s="71" t="str">
        <f>'Main Sheet'!B52</f>
        <v>FAB Pegasus Lakeside</v>
      </c>
      <c r="C52" s="8" cm="1">
        <f t="array" ref="C52">LOOKUP(2,1/('Deliverables Sheet'!S172:S177&lt;&gt;0),'Deliverables Sheet'!S172:S177)</f>
        <v>659.73</v>
      </c>
      <c r="D52" s="8" cm="1">
        <f t="array" ref="D52">LOOKUP(2,1/('Deliverables Sheet'!T172:T177&lt;&gt;0),'Deliverables Sheet'!T172:T177)</f>
        <v>304.75</v>
      </c>
      <c r="E52" s="8" cm="1">
        <f t="array" ref="E52">LOOKUP(2,1/('Deliverables Sheet'!U172:U177&lt;&gt;0),'Deliverables Sheet'!U172:U177)</f>
        <v>354.98</v>
      </c>
      <c r="F52" s="44"/>
      <c r="G52" s="44"/>
      <c r="H52" s="44"/>
      <c r="I52" s="44"/>
      <c r="J52" s="44"/>
      <c r="K52" s="44"/>
      <c r="L52" s="44"/>
      <c r="M52" s="44">
        <v>80</v>
      </c>
      <c r="N52" s="44">
        <v>80</v>
      </c>
      <c r="O52" s="159">
        <v>180</v>
      </c>
      <c r="P52" s="44"/>
      <c r="Q52" s="61"/>
      <c r="S52" s="145"/>
    </row>
    <row r="53" spans="1:19" ht="6" customHeight="1">
      <c r="A53" s="274"/>
      <c r="B53" s="275"/>
      <c r="C53" s="278"/>
      <c r="D53" s="278"/>
      <c r="E53" s="278"/>
      <c r="F53" s="275"/>
      <c r="G53" s="275"/>
      <c r="H53" s="275"/>
      <c r="I53" s="275"/>
      <c r="J53" s="275"/>
      <c r="K53" s="275"/>
      <c r="L53" s="275"/>
      <c r="M53" s="275"/>
      <c r="N53" s="275"/>
      <c r="O53" s="275"/>
      <c r="P53" s="275"/>
      <c r="Q53" s="276"/>
    </row>
    <row r="54" spans="1:19">
      <c r="A54" s="7">
        <f>'Main Sheet'!A54</f>
        <v>9351</v>
      </c>
      <c r="B54" s="71" t="str">
        <f>'Main Sheet'!B54</f>
        <v>Harewood Golf Club</v>
      </c>
      <c r="C54" s="8" cm="1">
        <f t="array" ref="C54">LOOKUP(2,1/('Deliverables Sheet'!S179:S184&lt;&gt;0),'Deliverables Sheet'!S179:S184)</f>
        <v>125.17</v>
      </c>
      <c r="D54" s="8" cm="1">
        <f t="array" ref="D54">LOOKUP(2,1/('Deliverables Sheet'!T179:T184&lt;&gt;0),'Deliverables Sheet'!T179:T184)</f>
        <v>11.25</v>
      </c>
      <c r="E54" s="8" cm="1">
        <f t="array" ref="E54">LOOKUP(2,1/('Deliverables Sheet'!U179:U184&lt;&gt;0),'Deliverables Sheet'!U179:U184)</f>
        <v>113.92</v>
      </c>
      <c r="F54" s="44"/>
      <c r="G54" s="44"/>
      <c r="H54" s="44"/>
      <c r="I54" s="44"/>
      <c r="J54" s="44"/>
      <c r="K54" s="44"/>
      <c r="L54" s="44">
        <v>16</v>
      </c>
      <c r="M54" s="44">
        <v>32</v>
      </c>
      <c r="N54" s="44">
        <v>65</v>
      </c>
      <c r="O54" s="44"/>
      <c r="P54" s="44"/>
      <c r="Q54" s="61"/>
      <c r="S54" s="144"/>
    </row>
    <row r="55" spans="1:19" ht="6" customHeight="1">
      <c r="A55" s="274"/>
      <c r="B55" s="275"/>
      <c r="C55" s="278"/>
      <c r="D55" s="278"/>
      <c r="E55" s="278"/>
      <c r="F55" s="275"/>
      <c r="G55" s="275"/>
      <c r="H55" s="275"/>
      <c r="I55" s="275"/>
      <c r="J55" s="275"/>
      <c r="K55" s="275"/>
      <c r="L55" s="275"/>
      <c r="M55" s="275"/>
      <c r="N55" s="275"/>
      <c r="O55" s="275"/>
      <c r="P55" s="275"/>
      <c r="Q55" s="276"/>
    </row>
    <row r="56" spans="1:19">
      <c r="A56" s="7">
        <f>'Main Sheet'!A56</f>
        <v>7429</v>
      </c>
      <c r="B56" s="71" t="str">
        <f>'Main Sheet'!B56</f>
        <v>Taggart House</v>
      </c>
      <c r="C56" s="8" cm="1">
        <f t="array" ref="C56">LOOKUP(2,1/('Deliverables Sheet'!S186:S191&lt;&gt;0),'Deliverables Sheet'!S186:S191)</f>
        <v>130.62</v>
      </c>
      <c r="D56" s="8" cm="1">
        <f t="array" ref="D56">LOOKUP(2,1/('Deliverables Sheet'!T186:T191&lt;&gt;0),'Deliverables Sheet'!T186:T191)</f>
        <v>32.25</v>
      </c>
      <c r="E56" s="8" cm="1">
        <f t="array" ref="E56">LOOKUP(2,1/('Deliverables Sheet'!U186:U191&lt;&gt;0),'Deliverables Sheet'!U186:U191)</f>
        <v>98.37</v>
      </c>
      <c r="F56" s="44"/>
      <c r="G56" s="44"/>
      <c r="H56" s="44"/>
      <c r="I56" s="44"/>
      <c r="J56" s="44"/>
      <c r="K56" s="44"/>
      <c r="L56" s="44"/>
      <c r="M56" s="44">
        <v>16</v>
      </c>
      <c r="N56" s="44">
        <v>70</v>
      </c>
      <c r="O56" s="44"/>
      <c r="P56" s="44"/>
      <c r="Q56" s="61"/>
      <c r="S56" s="145"/>
    </row>
    <row r="57" spans="1:19" ht="6" customHeight="1">
      <c r="A57" s="274"/>
      <c r="B57" s="275"/>
      <c r="C57" s="278"/>
      <c r="D57" s="278"/>
      <c r="E57" s="278"/>
      <c r="F57" s="275"/>
      <c r="G57" s="275"/>
      <c r="H57" s="275"/>
      <c r="I57" s="275"/>
      <c r="J57" s="275"/>
      <c r="K57" s="275"/>
      <c r="L57" s="275"/>
      <c r="M57" s="275"/>
      <c r="N57" s="275"/>
      <c r="O57" s="275"/>
      <c r="P57" s="275"/>
      <c r="Q57" s="276"/>
    </row>
    <row r="58" spans="1:19">
      <c r="A58" s="7">
        <f>'Main Sheet'!A58</f>
        <v>9508</v>
      </c>
      <c r="B58" s="71" t="str">
        <f>'Main Sheet'!B58</f>
        <v>St Barnabas Church</v>
      </c>
      <c r="C58" s="8" cm="1">
        <f t="array" ref="C58">LOOKUP(2,1/('Deliverables Sheet'!S193:S198&lt;&gt;0),'Deliverables Sheet'!S193:S198)</f>
        <v>140.15</v>
      </c>
      <c r="D58" s="8" cm="1">
        <f t="array" ref="D58">LOOKUP(2,1/('Deliverables Sheet'!T193:T198&lt;&gt;0),'Deliverables Sheet'!T193:T198)</f>
        <v>5.75</v>
      </c>
      <c r="E58" s="8" cm="1">
        <f t="array" ref="E58">LOOKUP(2,1/('Deliverables Sheet'!U193:U198&lt;&gt;0),'Deliverables Sheet'!U193:U198)</f>
        <v>134.4</v>
      </c>
      <c r="F58" s="44"/>
      <c r="G58" s="44"/>
      <c r="H58" s="44"/>
      <c r="I58" s="44"/>
      <c r="J58" s="44"/>
      <c r="K58" s="44"/>
      <c r="L58" s="44"/>
      <c r="M58" s="44"/>
      <c r="N58" s="44"/>
      <c r="O58" s="44">
        <v>52</v>
      </c>
      <c r="P58" s="44">
        <v>13</v>
      </c>
      <c r="Q58" s="61">
        <v>69</v>
      </c>
    </row>
    <row r="59" spans="1:19" ht="6" customHeight="1">
      <c r="A59" s="274"/>
      <c r="B59" s="275"/>
      <c r="C59" s="278"/>
      <c r="D59" s="278"/>
      <c r="E59" s="278"/>
      <c r="F59" s="275"/>
      <c r="G59" s="275"/>
      <c r="H59" s="275"/>
      <c r="I59" s="275"/>
      <c r="J59" s="275"/>
      <c r="K59" s="275"/>
      <c r="L59" s="275"/>
      <c r="M59" s="275"/>
      <c r="N59" s="275"/>
      <c r="O59" s="275"/>
      <c r="P59" s="275"/>
      <c r="Q59" s="276"/>
    </row>
    <row r="60" spans="1:19">
      <c r="A60" s="7">
        <f>'Main Sheet'!A60</f>
        <v>0</v>
      </c>
      <c r="B60" s="71">
        <f>'Main Sheet'!B60</f>
        <v>0</v>
      </c>
      <c r="C60" s="8" t="e" cm="1">
        <f t="array" ref="C60">LOOKUP(2,1/('Deliverables Sheet'!S200:S205&lt;&gt;0),'Deliverables Sheet'!S200:S205)</f>
        <v>#N/A</v>
      </c>
      <c r="D60" s="8" t="e" cm="1">
        <f t="array" ref="D60">LOOKUP(2,1/('Deliverables Sheet'!T200:T205&lt;&gt;0),'Deliverables Sheet'!T200:T205)</f>
        <v>#N/A</v>
      </c>
      <c r="E60" s="8" t="e" cm="1">
        <f t="array" ref="E60">LOOKUP(2,1/('Deliverables Sheet'!U200:U205&lt;&gt;0),'Deliverables Sheet'!U200:U205)</f>
        <v>#N/A</v>
      </c>
      <c r="F60" s="44"/>
      <c r="G60" s="44"/>
      <c r="H60" s="44"/>
      <c r="I60" s="44"/>
      <c r="J60" s="44"/>
      <c r="K60" s="44"/>
      <c r="L60" s="44"/>
      <c r="M60" s="44"/>
      <c r="N60" s="44"/>
      <c r="O60" s="44"/>
      <c r="P60" s="44"/>
      <c r="Q60" s="61"/>
    </row>
    <row r="61" spans="1:19" ht="6" customHeight="1">
      <c r="A61" s="274"/>
      <c r="B61" s="275"/>
      <c r="C61" s="278"/>
      <c r="D61" s="278"/>
      <c r="E61" s="278"/>
      <c r="F61" s="275"/>
      <c r="G61" s="275"/>
      <c r="H61" s="275"/>
      <c r="I61" s="275"/>
      <c r="J61" s="275"/>
      <c r="K61" s="275"/>
      <c r="L61" s="275"/>
      <c r="M61" s="275"/>
      <c r="N61" s="275"/>
      <c r="O61" s="275"/>
      <c r="P61" s="275"/>
      <c r="Q61" s="276"/>
    </row>
    <row r="62" spans="1:19">
      <c r="A62" s="7">
        <f>'Main Sheet'!A62</f>
        <v>0</v>
      </c>
      <c r="B62" s="71" t="str">
        <f>'Main Sheet'!B62</f>
        <v>Contracting</v>
      </c>
      <c r="C62" s="8" t="e" cm="1">
        <f t="array" ref="C62">LOOKUP(2,1/('Deliverables Sheet'!S207:S212&lt;&gt;0),'Deliverables Sheet'!S207:S212)</f>
        <v>#N/A</v>
      </c>
      <c r="D62" s="8" t="e" cm="1">
        <f t="array" ref="D62">LOOKUP(2,1/('Deliverables Sheet'!T207:T212&lt;&gt;0),'Deliverables Sheet'!T207:T212)</f>
        <v>#N/A</v>
      </c>
      <c r="E62" s="8" t="e" cm="1">
        <f t="array" ref="E62">LOOKUP(2,1/('Deliverables Sheet'!U207:U212&lt;&gt;0),'Deliverables Sheet'!U207:U212)</f>
        <v>#N/A</v>
      </c>
      <c r="F62" s="44"/>
      <c r="G62" s="44"/>
      <c r="H62" s="44"/>
      <c r="I62" s="44"/>
      <c r="J62" s="44"/>
      <c r="K62" s="44"/>
      <c r="L62" s="44"/>
      <c r="M62" s="44"/>
      <c r="N62" s="44"/>
      <c r="O62" s="44"/>
      <c r="P62" s="44"/>
      <c r="Q62" s="61"/>
    </row>
    <row r="63" spans="1:19" ht="6" customHeight="1">
      <c r="A63" s="274"/>
      <c r="B63" s="275"/>
      <c r="C63" s="278"/>
      <c r="D63" s="278"/>
      <c r="E63" s="278"/>
      <c r="F63" s="275"/>
      <c r="G63" s="275"/>
      <c r="H63" s="275"/>
      <c r="I63" s="275"/>
      <c r="J63" s="275"/>
      <c r="K63" s="275"/>
      <c r="L63" s="275"/>
      <c r="M63" s="275"/>
      <c r="N63" s="275"/>
      <c r="O63" s="275"/>
      <c r="P63" s="275"/>
      <c r="Q63" s="276"/>
    </row>
    <row r="64" spans="1:19">
      <c r="A64" s="7">
        <f>'Main Sheet'!A64</f>
        <v>8946</v>
      </c>
      <c r="B64" s="71" t="str">
        <f>'Main Sheet'!B64</f>
        <v>Westcoast Vaults</v>
      </c>
      <c r="C64" s="8" cm="1">
        <f t="array" ref="C64">LOOKUP(2,1/('Deliverables Sheet'!S214:S219&lt;&gt;0),'Deliverables Sheet'!S214:S219)</f>
        <v>358.86</v>
      </c>
      <c r="D64" s="8" t="e" cm="1">
        <f t="array" ref="D64">LOOKUP(2,1/('Deliverables Sheet'!T214:T219&lt;&gt;0),'Deliverables Sheet'!T214:T219)</f>
        <v>#N/A</v>
      </c>
      <c r="E64" s="8" cm="1">
        <f t="array" ref="E64">LOOKUP(2,1/('Deliverables Sheet'!U214:U219&lt;&gt;0),'Deliverables Sheet'!U214:U219)</f>
        <v>358.86</v>
      </c>
      <c r="F64" s="44"/>
      <c r="G64" s="44"/>
      <c r="H64" s="44"/>
      <c r="I64" s="44"/>
      <c r="J64" s="44"/>
      <c r="K64" s="44"/>
      <c r="L64" s="44"/>
      <c r="M64" s="44"/>
      <c r="N64" s="44">
        <v>143</v>
      </c>
      <c r="O64" s="44"/>
      <c r="P64" s="44">
        <v>215</v>
      </c>
      <c r="Q64" s="61"/>
    </row>
    <row r="65" spans="1:17" ht="6" customHeight="1">
      <c r="A65" s="274"/>
      <c r="B65" s="275"/>
      <c r="C65" s="278"/>
      <c r="D65" s="278"/>
      <c r="E65" s="278"/>
      <c r="F65" s="275"/>
      <c r="G65" s="275"/>
      <c r="H65" s="275"/>
      <c r="I65" s="275"/>
      <c r="J65" s="275"/>
      <c r="K65" s="275"/>
      <c r="L65" s="275"/>
      <c r="M65" s="275"/>
      <c r="N65" s="275"/>
      <c r="O65" s="275"/>
      <c r="P65" s="275"/>
      <c r="Q65" s="276"/>
    </row>
    <row r="66" spans="1:17">
      <c r="A66" s="7">
        <f>'Main Sheet'!A66</f>
        <v>8308</v>
      </c>
      <c r="B66" s="71" t="str">
        <f>'Main Sheet'!B66</f>
        <v>Roydvale</v>
      </c>
      <c r="C66" s="8" cm="1">
        <f t="array" ref="C66">LOOKUP(2,1/('Deliverables Sheet'!S221:S226&lt;&gt;0),'Deliverables Sheet'!S221:S226)</f>
        <v>2312.6799999999998</v>
      </c>
      <c r="D66" s="8" cm="1">
        <f t="array" ref="D66">LOOKUP(2,1/('Deliverables Sheet'!T221:T226&lt;&gt;0),'Deliverables Sheet'!T221:T226)</f>
        <v>1014.25</v>
      </c>
      <c r="E66" s="8" cm="1">
        <f t="array" ref="E66">LOOKUP(2,1/('Deliverables Sheet'!U221:U226&lt;&gt;0),'Deliverables Sheet'!U221:U226)</f>
        <v>1298.4299999999998</v>
      </c>
      <c r="F66" s="44"/>
      <c r="G66" s="44"/>
      <c r="H66" s="44"/>
      <c r="I66" s="44"/>
      <c r="J66" s="44"/>
      <c r="K66" s="44"/>
      <c r="L66" s="44"/>
      <c r="M66" s="44">
        <v>320</v>
      </c>
      <c r="N66" s="44">
        <v>250</v>
      </c>
      <c r="O66" s="44">
        <v>250</v>
      </c>
      <c r="P66" s="44">
        <v>240</v>
      </c>
      <c r="Q66" s="44">
        <v>80</v>
      </c>
    </row>
    <row r="67" spans="1:17">
      <c r="A67" s="26"/>
      <c r="B67" s="125"/>
      <c r="F67" s="126"/>
      <c r="G67" s="126"/>
      <c r="H67" s="126"/>
      <c r="I67" s="126"/>
      <c r="J67" s="126"/>
      <c r="K67" s="126"/>
      <c r="L67" s="126"/>
      <c r="M67" s="126"/>
      <c r="N67" s="126"/>
      <c r="O67" s="126"/>
      <c r="P67" s="126"/>
      <c r="Q67" s="127"/>
    </row>
    <row r="68" spans="1:17">
      <c r="A68" s="26"/>
      <c r="B68" s="125"/>
      <c r="F68" s="126"/>
      <c r="G68" s="126"/>
      <c r="H68" s="126"/>
      <c r="I68" s="126"/>
      <c r="J68" s="126"/>
      <c r="K68" s="126"/>
      <c r="L68" s="126"/>
      <c r="M68" s="126"/>
      <c r="N68" s="126"/>
      <c r="O68" s="126"/>
      <c r="P68" s="126"/>
      <c r="Q68" s="127"/>
    </row>
    <row r="69" spans="1:17" ht="15.75" thickBot="1">
      <c r="A69" s="292"/>
      <c r="B69" s="285"/>
      <c r="C69" s="285"/>
      <c r="D69" s="285"/>
      <c r="E69" s="285"/>
      <c r="F69" s="285"/>
      <c r="G69" s="285"/>
      <c r="H69" s="285"/>
      <c r="I69" s="285"/>
      <c r="J69" s="285"/>
      <c r="K69" s="285"/>
      <c r="L69" s="285"/>
      <c r="M69" s="285"/>
      <c r="N69" s="285"/>
      <c r="O69" s="285"/>
      <c r="P69" s="285"/>
      <c r="Q69" s="293"/>
    </row>
    <row r="70" spans="1:17">
      <c r="A70" s="26"/>
      <c r="B70" s="73" t="s">
        <v>144</v>
      </c>
      <c r="C70" s="74">
        <f>C3+C71+C72</f>
        <v>6944.7199999999993</v>
      </c>
      <c r="D70" s="74" t="e">
        <f>D3+D71+D72</f>
        <v>#N/A</v>
      </c>
      <c r="E70" s="74">
        <f>E3+E71+E72</f>
        <v>4238.1900000000005</v>
      </c>
      <c r="F70" s="74">
        <f>F3+F71+F72</f>
        <v>640</v>
      </c>
      <c r="G70" s="74">
        <f>G3+G71+G72</f>
        <v>715</v>
      </c>
      <c r="H70" s="74">
        <f>H3+H71+H72</f>
        <v>790</v>
      </c>
      <c r="I70" s="74">
        <f>I3+I71+I72</f>
        <v>700</v>
      </c>
      <c r="J70" s="74">
        <f>J3+J71+J72</f>
        <v>700</v>
      </c>
      <c r="K70" s="74">
        <f>K3+K71+K72</f>
        <v>700</v>
      </c>
      <c r="L70" s="74">
        <f>L3+L71+L72</f>
        <v>716</v>
      </c>
      <c r="M70" s="74">
        <f>M3+M71+M72</f>
        <v>2520</v>
      </c>
      <c r="N70" s="74">
        <f>N3+N71+N72</f>
        <v>3060</v>
      </c>
      <c r="O70" s="74">
        <f>O3+O71+O72</f>
        <v>1316</v>
      </c>
      <c r="P70" s="74">
        <f>P3+P71+P72</f>
        <v>914</v>
      </c>
      <c r="Q70" s="74">
        <f>Q3+Q71+Q72</f>
        <v>650</v>
      </c>
    </row>
    <row r="71" spans="1:17">
      <c r="A71" s="26"/>
      <c r="B71" s="75" t="s">
        <v>145</v>
      </c>
      <c r="C71" s="71">
        <f>SUM(C26:C46)</f>
        <v>2459.6299999999997</v>
      </c>
      <c r="D71" s="71" t="e">
        <f t="shared" ref="D71:Q71" si="0">SUM(D26:D46)</f>
        <v>#N/A</v>
      </c>
      <c r="E71" s="71">
        <f t="shared" si="0"/>
        <v>1053.1299999999999</v>
      </c>
      <c r="F71" s="71">
        <f t="shared" si="0"/>
        <v>140</v>
      </c>
      <c r="G71" s="71">
        <f t="shared" si="0"/>
        <v>15</v>
      </c>
      <c r="H71" s="71">
        <f t="shared" si="0"/>
        <v>90</v>
      </c>
      <c r="I71" s="71">
        <f>SUM(I26:I66)</f>
        <v>0</v>
      </c>
      <c r="J71" s="71">
        <f>SUM(J26:J66)</f>
        <v>0</v>
      </c>
      <c r="K71" s="71">
        <f>SUM(K26:K66)</f>
        <v>0</v>
      </c>
      <c r="L71" s="71">
        <f>SUM(L26:L66)</f>
        <v>16</v>
      </c>
      <c r="M71" s="71">
        <f>SUM(M26:M66)</f>
        <v>800</v>
      </c>
      <c r="N71" s="71">
        <f>SUM(N26:N66)</f>
        <v>858</v>
      </c>
      <c r="O71" s="71">
        <f t="shared" si="0"/>
        <v>476</v>
      </c>
      <c r="P71" s="71">
        <f t="shared" si="0"/>
        <v>214</v>
      </c>
      <c r="Q71" s="71">
        <f t="shared" si="0"/>
        <v>150</v>
      </c>
    </row>
    <row r="72" spans="1:17">
      <c r="A72" s="26"/>
      <c r="B72" s="75" t="s">
        <v>146</v>
      </c>
      <c r="C72" s="71">
        <f>SUM(C4:C24)</f>
        <v>4485.09</v>
      </c>
      <c r="D72" s="71" t="e">
        <f t="shared" ref="D72:Q72" si="1">SUM(D4:D24)</f>
        <v>#N/A</v>
      </c>
      <c r="E72" s="71">
        <f t="shared" si="1"/>
        <v>3185.0600000000004</v>
      </c>
      <c r="F72" s="71">
        <f t="shared" si="1"/>
        <v>0</v>
      </c>
      <c r="G72" s="71">
        <f t="shared" si="1"/>
        <v>0</v>
      </c>
      <c r="H72" s="71">
        <f t="shared" si="1"/>
        <v>0</v>
      </c>
      <c r="I72" s="71">
        <f t="shared" si="1"/>
        <v>0</v>
      </c>
      <c r="J72" s="71">
        <f t="shared" si="1"/>
        <v>0</v>
      </c>
      <c r="K72" s="71">
        <f t="shared" si="1"/>
        <v>0</v>
      </c>
      <c r="L72" s="71">
        <f t="shared" si="1"/>
        <v>0</v>
      </c>
      <c r="M72" s="71">
        <f t="shared" si="1"/>
        <v>1020</v>
      </c>
      <c r="N72" s="71">
        <f t="shared" si="1"/>
        <v>1502</v>
      </c>
      <c r="O72" s="71">
        <f t="shared" si="1"/>
        <v>140</v>
      </c>
      <c r="P72" s="71">
        <f t="shared" si="1"/>
        <v>0</v>
      </c>
      <c r="Q72" s="71">
        <f t="shared" si="1"/>
        <v>0</v>
      </c>
    </row>
    <row r="73" spans="1:17">
      <c r="A73" s="26"/>
      <c r="B73" s="76" t="s">
        <v>147</v>
      </c>
      <c r="C73" s="22"/>
      <c r="D73" s="22"/>
      <c r="E73" s="22"/>
      <c r="F73" s="22">
        <f>F77*F76*8*0.8</f>
        <v>1488</v>
      </c>
      <c r="G73" s="22">
        <f t="shared" ref="G73:Q73" si="2">G77*G76*8*0.8</f>
        <v>2112</v>
      </c>
      <c r="H73" s="22">
        <f t="shared" si="2"/>
        <v>1984</v>
      </c>
      <c r="I73" s="22">
        <f t="shared" si="2"/>
        <v>1884.8000000000002</v>
      </c>
      <c r="J73" s="22">
        <f t="shared" si="2"/>
        <v>1948.8000000000002</v>
      </c>
      <c r="K73" s="22">
        <f t="shared" si="2"/>
        <v>2083.2000000000003</v>
      </c>
      <c r="L73" s="22">
        <f t="shared" si="2"/>
        <v>2604.8000000000002</v>
      </c>
      <c r="M73" s="22">
        <f>M77*M76*8*0.8</f>
        <v>2486.4</v>
      </c>
      <c r="N73" s="22">
        <f t="shared" si="2"/>
        <v>2604.8000000000002</v>
      </c>
      <c r="O73" s="22">
        <f t="shared" si="2"/>
        <v>2217.6</v>
      </c>
      <c r="P73" s="22">
        <f t="shared" si="2"/>
        <v>2112</v>
      </c>
      <c r="Q73" s="23">
        <f t="shared" si="2"/>
        <v>1478.4</v>
      </c>
    </row>
    <row r="74" spans="1:17">
      <c r="A74" s="26"/>
      <c r="B74" s="77" t="s">
        <v>148</v>
      </c>
      <c r="C74" s="21"/>
      <c r="D74" s="21"/>
      <c r="E74" s="21"/>
      <c r="F74" s="78">
        <f>F70-F73</f>
        <v>-848</v>
      </c>
      <c r="G74" s="78">
        <f t="shared" ref="G74:Q74" si="3">G70-G73</f>
        <v>-1397</v>
      </c>
      <c r="H74" s="128">
        <f>H70-H73</f>
        <v>-1194</v>
      </c>
      <c r="I74" s="78">
        <f t="shared" si="3"/>
        <v>-1184.8000000000002</v>
      </c>
      <c r="J74" s="78">
        <f t="shared" si="3"/>
        <v>-1248.8000000000002</v>
      </c>
      <c r="K74" s="78">
        <f t="shared" si="3"/>
        <v>-1383.2000000000003</v>
      </c>
      <c r="L74" s="78">
        <f t="shared" si="3"/>
        <v>-1888.8000000000002</v>
      </c>
      <c r="M74" s="78">
        <f t="shared" si="3"/>
        <v>33.599999999999909</v>
      </c>
      <c r="N74" s="78">
        <f t="shared" si="3"/>
        <v>455.19999999999982</v>
      </c>
      <c r="O74" s="78">
        <f t="shared" si="3"/>
        <v>-901.59999999999991</v>
      </c>
      <c r="P74" s="78">
        <f t="shared" si="3"/>
        <v>-1198</v>
      </c>
      <c r="Q74" s="79">
        <f t="shared" si="3"/>
        <v>-828.40000000000009</v>
      </c>
    </row>
    <row r="75" spans="1:17">
      <c r="A75" s="26"/>
      <c r="Q75" s="20"/>
    </row>
    <row r="76" spans="1:17">
      <c r="A76" s="26"/>
      <c r="B76" s="18" t="s">
        <v>149</v>
      </c>
      <c r="C76" s="165" t="s">
        <v>150</v>
      </c>
      <c r="D76" s="166"/>
      <c r="E76" s="167"/>
      <c r="F76" s="66">
        <v>15</v>
      </c>
      <c r="G76" s="67">
        <v>20</v>
      </c>
      <c r="H76" s="67">
        <v>20</v>
      </c>
      <c r="I76" s="67">
        <v>19</v>
      </c>
      <c r="J76" s="67">
        <v>21</v>
      </c>
      <c r="K76" s="67">
        <v>21</v>
      </c>
      <c r="L76" s="67">
        <v>22</v>
      </c>
      <c r="M76" s="67">
        <v>21</v>
      </c>
      <c r="N76" s="67">
        <v>22</v>
      </c>
      <c r="O76" s="67">
        <v>21</v>
      </c>
      <c r="P76" s="67">
        <v>20</v>
      </c>
      <c r="Q76" s="68">
        <v>14</v>
      </c>
    </row>
    <row r="77" spans="1:17">
      <c r="A77" s="27"/>
      <c r="B77" s="19" t="s">
        <v>151</v>
      </c>
      <c r="C77" s="168"/>
      <c r="D77" s="169"/>
      <c r="E77" s="170"/>
      <c r="F77" s="69">
        <v>15.5</v>
      </c>
      <c r="G77" s="69">
        <v>16.5</v>
      </c>
      <c r="H77" s="69">
        <v>15.5</v>
      </c>
      <c r="I77" s="69">
        <v>15.5</v>
      </c>
      <c r="J77" s="69">
        <v>14.5</v>
      </c>
      <c r="K77" s="69">
        <v>15.5</v>
      </c>
      <c r="L77" s="69">
        <v>18.5</v>
      </c>
      <c r="M77" s="69">
        <v>18.5</v>
      </c>
      <c r="N77" s="69">
        <v>18.5</v>
      </c>
      <c r="O77" s="69">
        <v>16.5</v>
      </c>
      <c r="P77" s="69">
        <v>16.5</v>
      </c>
      <c r="Q77" s="69">
        <v>16.5</v>
      </c>
    </row>
    <row r="79" spans="1:17">
      <c r="B79" s="122" t="s">
        <v>152</v>
      </c>
      <c r="C79" s="117"/>
      <c r="L79" s="153" t="s">
        <v>153</v>
      </c>
      <c r="M79" s="153"/>
    </row>
    <row r="80" spans="1:17">
      <c r="B80" s="118" t="s">
        <v>154</v>
      </c>
      <c r="C80" s="119">
        <v>1</v>
      </c>
    </row>
    <row r="81" spans="2:3">
      <c r="B81" s="7" t="s">
        <v>155</v>
      </c>
      <c r="C81" s="120">
        <v>1</v>
      </c>
    </row>
    <row r="82" spans="2:3">
      <c r="B82" s="7" t="s">
        <v>156</v>
      </c>
      <c r="C82" s="120">
        <v>1</v>
      </c>
    </row>
    <row r="83" spans="2:3">
      <c r="B83" s="7" t="s">
        <v>157</v>
      </c>
      <c r="C83" s="120">
        <v>1</v>
      </c>
    </row>
    <row r="84" spans="2:3">
      <c r="B84" s="7" t="s">
        <v>158</v>
      </c>
      <c r="C84" s="120">
        <v>1</v>
      </c>
    </row>
    <row r="85" spans="2:3">
      <c r="B85" s="7" t="s">
        <v>159</v>
      </c>
      <c r="C85" s="120">
        <v>0.5</v>
      </c>
    </row>
    <row r="86" spans="2:3">
      <c r="B86" s="7" t="s">
        <v>160</v>
      </c>
      <c r="C86" s="120">
        <v>1</v>
      </c>
    </row>
    <row r="87" spans="2:3">
      <c r="B87" s="7" t="s">
        <v>161</v>
      </c>
      <c r="C87" s="120">
        <v>1</v>
      </c>
    </row>
    <row r="88" spans="2:3">
      <c r="B88" s="7" t="s">
        <v>162</v>
      </c>
      <c r="C88" s="120">
        <v>1</v>
      </c>
    </row>
    <row r="89" spans="2:3">
      <c r="B89" s="7" t="s">
        <v>163</v>
      </c>
      <c r="C89" s="120">
        <v>0</v>
      </c>
    </row>
    <row r="90" spans="2:3">
      <c r="B90" s="7" t="s">
        <v>164</v>
      </c>
      <c r="C90" s="120">
        <v>1</v>
      </c>
    </row>
    <row r="91" spans="2:3">
      <c r="B91" s="7"/>
      <c r="C91" s="120">
        <v>0</v>
      </c>
    </row>
    <row r="92" spans="2:3">
      <c r="B92" s="7"/>
      <c r="C92" s="120">
        <v>0</v>
      </c>
    </row>
    <row r="93" spans="2:3">
      <c r="B93" s="7"/>
      <c r="C93" s="120">
        <v>0</v>
      </c>
    </row>
    <row r="94" spans="2:3">
      <c r="B94" s="7"/>
      <c r="C94" s="120">
        <v>0</v>
      </c>
    </row>
    <row r="95" spans="2:3">
      <c r="B95" s="7"/>
      <c r="C95" s="120">
        <v>0</v>
      </c>
    </row>
    <row r="96" spans="2:3">
      <c r="B96" s="7"/>
      <c r="C96" s="120">
        <v>0</v>
      </c>
    </row>
    <row r="97" spans="2:3">
      <c r="B97" s="7"/>
      <c r="C97" s="120">
        <v>0</v>
      </c>
    </row>
    <row r="98" spans="2:3">
      <c r="B98" s="7" t="s">
        <v>165</v>
      </c>
      <c r="C98" s="120">
        <v>1</v>
      </c>
    </row>
    <row r="99" spans="2:3">
      <c r="B99" s="7" t="s">
        <v>166</v>
      </c>
      <c r="C99" s="120">
        <v>1</v>
      </c>
    </row>
    <row r="100" spans="2:3">
      <c r="B100" s="7" t="s">
        <v>167</v>
      </c>
      <c r="C100" s="120">
        <v>1</v>
      </c>
    </row>
    <row r="101" spans="2:3">
      <c r="B101" s="7" t="s">
        <v>168</v>
      </c>
      <c r="C101" s="120">
        <v>1</v>
      </c>
    </row>
    <row r="102" spans="2:3">
      <c r="B102" s="7" t="s">
        <v>169</v>
      </c>
      <c r="C102" s="120">
        <v>1</v>
      </c>
    </row>
    <row r="103" spans="2:3">
      <c r="B103" s="7" t="s">
        <v>170</v>
      </c>
      <c r="C103" s="120">
        <v>1</v>
      </c>
    </row>
    <row r="104" spans="2:3">
      <c r="B104" s="7" t="s">
        <v>171</v>
      </c>
      <c r="C104" s="120">
        <v>1</v>
      </c>
    </row>
    <row r="105" spans="2:3">
      <c r="B105" s="7"/>
      <c r="C105" s="120"/>
    </row>
    <row r="106" spans="2:3">
      <c r="B106" s="7"/>
      <c r="C106" s="120"/>
    </row>
    <row r="107" spans="2:3">
      <c r="B107" s="7"/>
      <c r="C107" s="120"/>
    </row>
    <row r="108" spans="2:3">
      <c r="B108" s="121"/>
      <c r="C108" s="23"/>
    </row>
    <row r="109" spans="2:3">
      <c r="B109" s="122" t="s">
        <v>172</v>
      </c>
      <c r="C109" s="123">
        <f>SUM(C80:C108)</f>
        <v>16.5</v>
      </c>
    </row>
  </sheetData>
  <mergeCells count="33">
    <mergeCell ref="C76:E77"/>
    <mergeCell ref="A41:Q41"/>
    <mergeCell ref="A43:Q43"/>
    <mergeCell ref="A45:Q45"/>
    <mergeCell ref="A21:Q21"/>
    <mergeCell ref="A25:Q25"/>
    <mergeCell ref="A27:Q27"/>
    <mergeCell ref="A29:Q29"/>
    <mergeCell ref="A31:Q31"/>
    <mergeCell ref="A35:Q35"/>
    <mergeCell ref="A37:Q37"/>
    <mergeCell ref="A39:Q39"/>
    <mergeCell ref="A69:Q69"/>
    <mergeCell ref="A47:Q47"/>
    <mergeCell ref="A49:Q49"/>
    <mergeCell ref="A61:Q61"/>
    <mergeCell ref="A15:Q15"/>
    <mergeCell ref="A1:Q1"/>
    <mergeCell ref="A17:Q17"/>
    <mergeCell ref="A19:Q19"/>
    <mergeCell ref="A33:Q33"/>
    <mergeCell ref="A5:Q5"/>
    <mergeCell ref="A7:Q7"/>
    <mergeCell ref="A9:Q9"/>
    <mergeCell ref="A11:Q11"/>
    <mergeCell ref="A13:Q13"/>
    <mergeCell ref="A63:Q63"/>
    <mergeCell ref="A65:Q65"/>
    <mergeCell ref="A51:Q51"/>
    <mergeCell ref="A53:Q53"/>
    <mergeCell ref="A55:Q55"/>
    <mergeCell ref="A57:Q57"/>
    <mergeCell ref="A59:Q59"/>
  </mergeCells>
  <conditionalFormatting sqref="F74:Q74">
    <cfRule type="cellIs" dxfId="101" priority="1" operator="lessThan">
      <formula>0</formula>
    </cfRule>
    <cfRule type="cellIs" dxfId="100" priority="2"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813EF-23E2-4F7B-A27C-0B48BD51FBD4}">
  <dimension ref="A2:AC56"/>
  <sheetViews>
    <sheetView workbookViewId="0">
      <selection activeCell="A37" sqref="A37"/>
    </sheetView>
  </sheetViews>
  <sheetFormatPr defaultRowHeight="15"/>
  <sheetData>
    <row r="2" spans="1:29">
      <c r="A2" s="203" t="s">
        <v>173</v>
      </c>
      <c r="B2" s="204"/>
      <c r="C2" s="204"/>
      <c r="D2" s="204"/>
      <c r="E2" s="204"/>
      <c r="F2" s="204"/>
      <c r="G2" s="204"/>
      <c r="H2" s="204"/>
      <c r="I2" s="204"/>
      <c r="J2" s="204"/>
      <c r="K2" s="204"/>
      <c r="L2" s="204"/>
      <c r="M2" s="204"/>
      <c r="N2" s="204"/>
      <c r="O2" s="204"/>
      <c r="P2" s="204"/>
      <c r="Q2" s="204"/>
      <c r="R2" s="204"/>
      <c r="S2" s="204"/>
      <c r="T2" s="204"/>
      <c r="U2" s="204"/>
      <c r="V2" s="204"/>
      <c r="W2" s="204"/>
      <c r="X2" s="204"/>
      <c r="Y2" s="204"/>
      <c r="Z2" s="204"/>
      <c r="AA2" s="204"/>
      <c r="AB2" s="205"/>
    </row>
    <row r="3" spans="1:29">
      <c r="A3" s="206" t="s">
        <v>174</v>
      </c>
      <c r="B3" s="207"/>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8"/>
      <c r="AC3" s="99"/>
    </row>
    <row r="4" spans="1:29">
      <c r="A4" s="209" t="s">
        <v>175</v>
      </c>
      <c r="B4" s="210"/>
      <c r="C4" s="210"/>
      <c r="D4" s="210"/>
      <c r="E4" s="210"/>
      <c r="F4" s="210"/>
      <c r="G4" s="210"/>
      <c r="H4" s="210"/>
      <c r="I4" s="210"/>
      <c r="J4" s="210"/>
      <c r="K4" s="210"/>
      <c r="L4" s="210"/>
      <c r="M4" s="210"/>
      <c r="N4" s="210"/>
      <c r="O4" s="210"/>
      <c r="P4" s="210"/>
      <c r="Q4" s="210"/>
      <c r="R4" s="210"/>
      <c r="S4" s="210"/>
      <c r="T4" s="210"/>
      <c r="U4" s="210"/>
      <c r="V4" s="210"/>
      <c r="W4" s="210"/>
      <c r="X4" s="210"/>
      <c r="Y4" s="210"/>
      <c r="Z4" s="210"/>
      <c r="AA4" s="210"/>
      <c r="AB4" s="211"/>
      <c r="AC4" s="99"/>
    </row>
    <row r="5" spans="1:29">
      <c r="A5" s="212" t="s">
        <v>176</v>
      </c>
      <c r="B5" s="213"/>
      <c r="C5" s="213"/>
      <c r="D5" s="213"/>
      <c r="E5" s="213"/>
      <c r="F5" s="213"/>
      <c r="G5" s="213"/>
      <c r="H5" s="213"/>
      <c r="I5" s="213"/>
      <c r="J5" s="213"/>
      <c r="K5" s="213"/>
      <c r="L5" s="213"/>
      <c r="M5" s="213"/>
      <c r="N5" s="213"/>
      <c r="O5" s="213"/>
      <c r="P5" s="213"/>
      <c r="Q5" s="213"/>
      <c r="R5" s="213"/>
      <c r="S5" s="213"/>
      <c r="T5" s="213"/>
      <c r="U5" s="213"/>
      <c r="V5" s="213"/>
      <c r="W5" s="213"/>
      <c r="X5" s="213"/>
      <c r="Y5" s="213"/>
      <c r="Z5" s="213"/>
      <c r="AA5" s="213"/>
      <c r="AB5" s="214"/>
      <c r="AC5" s="99"/>
    </row>
    <row r="6" spans="1:29">
      <c r="A6" s="215" t="s">
        <v>177</v>
      </c>
      <c r="B6" s="201"/>
      <c r="C6" s="201"/>
      <c r="D6" s="201"/>
      <c r="E6" s="201"/>
      <c r="F6" s="201"/>
      <c r="G6" s="201"/>
      <c r="H6" s="201"/>
      <c r="I6" s="201"/>
      <c r="J6" s="201"/>
      <c r="K6" s="201"/>
      <c r="L6" s="201"/>
      <c r="M6" s="201"/>
      <c r="N6" s="201"/>
      <c r="O6" s="201"/>
      <c r="P6" s="201"/>
      <c r="Q6" s="201"/>
      <c r="R6" s="201"/>
      <c r="S6" s="201"/>
      <c r="T6" s="201"/>
      <c r="U6" s="201"/>
      <c r="V6" s="201"/>
      <c r="W6" s="201"/>
      <c r="X6" s="201"/>
      <c r="Y6" s="201"/>
      <c r="Z6" s="201"/>
      <c r="AA6" s="201"/>
      <c r="AB6" s="202"/>
      <c r="AC6" s="99"/>
    </row>
    <row r="7" spans="1:29">
      <c r="A7" s="216" t="s">
        <v>178</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2"/>
      <c r="AC7" s="99"/>
    </row>
    <row r="8" spans="1:29">
      <c r="A8" s="215" t="s">
        <v>179</v>
      </c>
      <c r="B8" s="201"/>
      <c r="C8" s="201"/>
      <c r="D8" s="201"/>
      <c r="E8" s="201"/>
      <c r="F8" s="201"/>
      <c r="G8" s="201"/>
      <c r="H8" s="201"/>
      <c r="I8" s="201"/>
      <c r="J8" s="201"/>
      <c r="K8" s="201"/>
      <c r="L8" s="201"/>
      <c r="M8" s="201"/>
      <c r="N8" s="201"/>
      <c r="O8" s="201"/>
      <c r="P8" s="201"/>
      <c r="Q8" s="201"/>
      <c r="R8" s="201"/>
      <c r="S8" s="201"/>
      <c r="T8" s="201"/>
      <c r="U8" s="201"/>
      <c r="V8" s="201"/>
      <c r="W8" s="201"/>
      <c r="X8" s="201"/>
      <c r="Y8" s="201"/>
      <c r="Z8" s="201"/>
      <c r="AA8" s="201"/>
      <c r="AB8" s="202"/>
      <c r="AC8" s="99"/>
    </row>
    <row r="9" spans="1:29">
      <c r="A9" s="217" t="s">
        <v>180</v>
      </c>
      <c r="B9" s="218"/>
      <c r="C9" s="218"/>
      <c r="D9" s="218"/>
      <c r="E9" s="218"/>
      <c r="F9" s="218"/>
      <c r="G9" s="218"/>
      <c r="H9" s="218"/>
      <c r="I9" s="218"/>
      <c r="J9" s="218"/>
      <c r="K9" s="218"/>
      <c r="L9" s="218"/>
      <c r="M9" s="218"/>
      <c r="N9" s="218"/>
      <c r="O9" s="218"/>
      <c r="P9" s="218"/>
      <c r="Q9" s="218"/>
      <c r="R9" s="218"/>
      <c r="S9" s="218"/>
      <c r="T9" s="218"/>
      <c r="U9" s="218"/>
      <c r="V9" s="218"/>
      <c r="W9" s="218"/>
      <c r="X9" s="218"/>
      <c r="Y9" s="218"/>
      <c r="Z9" s="218"/>
      <c r="AA9" s="218"/>
      <c r="AB9" s="219"/>
      <c r="AC9" s="99"/>
    </row>
    <row r="10" spans="1:29">
      <c r="A10" s="220"/>
      <c r="B10" s="213"/>
      <c r="C10" s="213"/>
      <c r="D10" s="213"/>
      <c r="E10" s="213"/>
      <c r="F10" s="213"/>
      <c r="G10" s="213"/>
      <c r="H10" s="213"/>
      <c r="I10" s="213"/>
      <c r="J10" s="213"/>
      <c r="K10" s="213"/>
      <c r="L10" s="213"/>
      <c r="M10" s="213"/>
      <c r="N10" s="213"/>
      <c r="O10" s="213"/>
      <c r="P10" s="213"/>
      <c r="Q10" s="213"/>
      <c r="R10" s="213"/>
      <c r="S10" s="213"/>
      <c r="T10" s="213"/>
      <c r="U10" s="213"/>
      <c r="V10" s="213"/>
      <c r="W10" s="213"/>
      <c r="X10" s="213"/>
      <c r="Y10" s="213"/>
      <c r="Z10" s="213"/>
      <c r="AA10" s="213"/>
      <c r="AB10" s="213"/>
      <c r="AC10" s="99"/>
    </row>
    <row r="11" spans="1:29">
      <c r="A11" s="230"/>
      <c r="B11" s="230"/>
      <c r="C11" s="230"/>
      <c r="D11" s="230"/>
      <c r="E11" s="230"/>
      <c r="F11" s="230"/>
      <c r="G11" s="230"/>
      <c r="H11" s="230"/>
      <c r="I11" s="230"/>
      <c r="J11" s="230"/>
      <c r="K11" s="230"/>
      <c r="L11" s="230"/>
      <c r="M11" s="230"/>
      <c r="N11" s="230"/>
      <c r="O11" s="230"/>
      <c r="P11" s="230"/>
      <c r="Q11" s="230"/>
      <c r="R11" s="230"/>
      <c r="S11" s="230"/>
      <c r="T11" s="230"/>
      <c r="U11" s="230"/>
      <c r="V11" s="230"/>
      <c r="W11" s="230"/>
      <c r="X11" s="230"/>
      <c r="Y11" s="230"/>
      <c r="Z11" s="230"/>
      <c r="AA11" s="230"/>
      <c r="AB11" s="230"/>
      <c r="AC11" s="99"/>
    </row>
    <row r="12" spans="1:29">
      <c r="A12" s="221" t="s">
        <v>181</v>
      </c>
      <c r="B12" s="222"/>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3"/>
      <c r="AC12" s="99"/>
    </row>
    <row r="13" spans="1:29">
      <c r="A13" s="224" t="s">
        <v>182</v>
      </c>
      <c r="B13" s="225"/>
      <c r="C13" s="225"/>
      <c r="D13" s="225"/>
      <c r="E13" s="225"/>
      <c r="F13" s="225"/>
      <c r="G13" s="225"/>
      <c r="H13" s="225"/>
      <c r="I13" s="225"/>
      <c r="J13" s="225"/>
      <c r="K13" s="225"/>
      <c r="L13" s="225"/>
      <c r="M13" s="225"/>
      <c r="N13" s="225"/>
      <c r="O13" s="225"/>
      <c r="P13" s="225"/>
      <c r="Q13" s="225"/>
      <c r="R13" s="225"/>
      <c r="S13" s="225"/>
      <c r="T13" s="225"/>
      <c r="U13" s="225"/>
      <c r="V13" s="225"/>
      <c r="W13" s="225"/>
      <c r="X13" s="225"/>
      <c r="Y13" s="225"/>
      <c r="Z13" s="225"/>
      <c r="AA13" s="225"/>
      <c r="AB13" s="226"/>
      <c r="AC13" s="99"/>
    </row>
    <row r="14" spans="1:29">
      <c r="A14" s="231" t="s">
        <v>183</v>
      </c>
      <c r="B14" s="232"/>
      <c r="C14" s="232"/>
      <c r="D14" s="232"/>
      <c r="E14" s="232"/>
      <c r="F14" s="232"/>
      <c r="G14" s="232"/>
      <c r="H14" s="232"/>
      <c r="I14" s="232"/>
      <c r="J14" s="232"/>
      <c r="K14" s="232"/>
      <c r="L14" s="232"/>
      <c r="M14" s="232"/>
      <c r="N14" s="232"/>
      <c r="O14" s="232"/>
      <c r="P14" s="232"/>
      <c r="Q14" s="232"/>
      <c r="R14" s="232"/>
      <c r="S14" s="232"/>
      <c r="T14" s="232"/>
      <c r="U14" s="232"/>
      <c r="V14" s="232"/>
      <c r="W14" s="232"/>
      <c r="X14" s="232"/>
      <c r="Y14" s="232"/>
      <c r="Z14" s="232"/>
      <c r="AA14" s="232"/>
      <c r="AB14" s="233"/>
      <c r="AC14" s="99"/>
    </row>
    <row r="15" spans="1:29">
      <c r="A15" s="206" t="s">
        <v>184</v>
      </c>
      <c r="B15" s="207"/>
      <c r="C15" s="207"/>
      <c r="D15" s="207"/>
      <c r="E15" s="207"/>
      <c r="F15" s="207"/>
      <c r="G15" s="207"/>
      <c r="H15" s="207"/>
      <c r="I15" s="207"/>
      <c r="J15" s="207"/>
      <c r="K15" s="207"/>
      <c r="L15" s="207"/>
      <c r="M15" s="207"/>
      <c r="N15" s="207"/>
      <c r="O15" s="207"/>
      <c r="P15" s="207"/>
      <c r="Q15" s="207"/>
      <c r="R15" s="207"/>
      <c r="S15" s="207"/>
      <c r="T15" s="207"/>
      <c r="U15" s="207"/>
      <c r="V15" s="207"/>
      <c r="W15" s="207"/>
      <c r="X15" s="207"/>
      <c r="Y15" s="207"/>
      <c r="Z15" s="207"/>
      <c r="AA15" s="207"/>
      <c r="AB15" s="208"/>
      <c r="AC15" s="99"/>
    </row>
    <row r="16" spans="1:29">
      <c r="A16" s="227" t="s">
        <v>185</v>
      </c>
      <c r="B16" s="228"/>
      <c r="C16" s="228"/>
      <c r="D16" s="228"/>
      <c r="E16" s="228"/>
      <c r="F16" s="228"/>
      <c r="G16" s="228"/>
      <c r="H16" s="228"/>
      <c r="I16" s="228"/>
      <c r="J16" s="228"/>
      <c r="K16" s="228"/>
      <c r="L16" s="228"/>
      <c r="M16" s="228"/>
      <c r="N16" s="228"/>
      <c r="O16" s="228"/>
      <c r="P16" s="228"/>
      <c r="Q16" s="228"/>
      <c r="R16" s="228"/>
      <c r="S16" s="228"/>
      <c r="T16" s="228"/>
      <c r="U16" s="228"/>
      <c r="V16" s="228"/>
      <c r="W16" s="228"/>
      <c r="X16" s="228"/>
      <c r="Y16" s="228"/>
      <c r="Z16" s="228"/>
      <c r="AA16" s="228"/>
      <c r="AB16" s="229"/>
      <c r="AC16" s="99"/>
    </row>
    <row r="17" spans="1:29">
      <c r="A17" s="200" t="s">
        <v>186</v>
      </c>
      <c r="B17" s="201"/>
      <c r="C17" s="201"/>
      <c r="D17" s="201"/>
      <c r="E17" s="201"/>
      <c r="F17" s="201"/>
      <c r="G17" s="201"/>
      <c r="H17" s="201"/>
      <c r="I17" s="201"/>
      <c r="J17" s="201"/>
      <c r="K17" s="201"/>
      <c r="L17" s="201"/>
      <c r="M17" s="201"/>
      <c r="N17" s="201"/>
      <c r="O17" s="201"/>
      <c r="P17" s="201"/>
      <c r="Q17" s="201"/>
      <c r="R17" s="201"/>
      <c r="S17" s="201"/>
      <c r="T17" s="201"/>
      <c r="U17" s="201"/>
      <c r="V17" s="201"/>
      <c r="W17" s="201"/>
      <c r="X17" s="201"/>
      <c r="Y17" s="201"/>
      <c r="Z17" s="201"/>
      <c r="AA17" s="201"/>
      <c r="AB17" s="202"/>
      <c r="AC17" s="99"/>
    </row>
    <row r="18" spans="1:29">
      <c r="A18" s="234" t="s">
        <v>187</v>
      </c>
      <c r="B18" s="201"/>
      <c r="C18" s="201"/>
      <c r="D18" s="201"/>
      <c r="E18" s="201"/>
      <c r="F18" s="201"/>
      <c r="G18" s="201"/>
      <c r="H18" s="201"/>
      <c r="I18" s="201"/>
      <c r="J18" s="201"/>
      <c r="K18" s="201"/>
      <c r="L18" s="201"/>
      <c r="M18" s="201"/>
      <c r="N18" s="201"/>
      <c r="O18" s="201"/>
      <c r="P18" s="201"/>
      <c r="Q18" s="201"/>
      <c r="R18" s="201"/>
      <c r="S18" s="201"/>
      <c r="T18" s="201"/>
      <c r="U18" s="201"/>
      <c r="V18" s="201"/>
      <c r="W18" s="201"/>
      <c r="X18" s="201"/>
      <c r="Y18" s="201"/>
      <c r="Z18" s="201"/>
      <c r="AA18" s="201"/>
      <c r="AB18" s="202"/>
      <c r="AC18" s="99"/>
    </row>
    <row r="19" spans="1:29">
      <c r="A19" s="235" t="s">
        <v>188</v>
      </c>
      <c r="B19" s="218"/>
      <c r="C19" s="218"/>
      <c r="D19" s="218"/>
      <c r="E19" s="218"/>
      <c r="F19" s="218"/>
      <c r="G19" s="218"/>
      <c r="H19" s="218"/>
      <c r="I19" s="218"/>
      <c r="J19" s="218"/>
      <c r="K19" s="218"/>
      <c r="L19" s="218"/>
      <c r="M19" s="218"/>
      <c r="N19" s="218"/>
      <c r="O19" s="218"/>
      <c r="P19" s="218"/>
      <c r="Q19" s="218"/>
      <c r="R19" s="218"/>
      <c r="S19" s="218"/>
      <c r="T19" s="218"/>
      <c r="U19" s="218"/>
      <c r="V19" s="218"/>
      <c r="W19" s="218"/>
      <c r="X19" s="218"/>
      <c r="Y19" s="218"/>
      <c r="Z19" s="218"/>
      <c r="AA19" s="218"/>
      <c r="AB19" s="219"/>
      <c r="AC19" s="99"/>
    </row>
    <row r="20" spans="1:29">
      <c r="A20" s="236" t="s">
        <v>189</v>
      </c>
      <c r="B20" s="201"/>
      <c r="C20" s="201"/>
      <c r="D20" s="201"/>
      <c r="E20" s="201"/>
      <c r="F20" s="201"/>
      <c r="G20" s="201"/>
      <c r="H20" s="201"/>
      <c r="I20" s="201"/>
      <c r="J20" s="201"/>
      <c r="K20" s="201"/>
      <c r="L20" s="201"/>
      <c r="M20" s="201"/>
      <c r="N20" s="201"/>
      <c r="O20" s="201"/>
      <c r="P20" s="201"/>
      <c r="Q20" s="201"/>
      <c r="R20" s="201"/>
      <c r="S20" s="201"/>
      <c r="T20" s="201"/>
      <c r="U20" s="201"/>
      <c r="V20" s="201"/>
      <c r="W20" s="201"/>
      <c r="X20" s="201"/>
      <c r="Y20" s="201"/>
      <c r="Z20" s="201"/>
      <c r="AA20" s="201"/>
      <c r="AB20" s="201"/>
      <c r="AC20" s="99"/>
    </row>
    <row r="21" spans="1:29">
      <c r="A21" s="244" t="s">
        <v>190</v>
      </c>
      <c r="B21" s="236"/>
      <c r="C21" s="236"/>
      <c r="D21" s="236"/>
      <c r="E21" s="236"/>
      <c r="F21" s="236"/>
      <c r="G21" s="236"/>
      <c r="H21" s="236"/>
      <c r="I21" s="236"/>
      <c r="J21" s="236"/>
      <c r="K21" s="236"/>
      <c r="L21" s="236"/>
      <c r="M21" s="236"/>
      <c r="N21" s="236"/>
      <c r="O21" s="236"/>
      <c r="P21" s="236"/>
      <c r="Q21" s="236"/>
      <c r="R21" s="236"/>
      <c r="S21" s="236"/>
      <c r="T21" s="236"/>
      <c r="U21" s="236"/>
      <c r="V21" s="236"/>
      <c r="W21" s="236"/>
      <c r="X21" s="236"/>
      <c r="Y21" s="236"/>
      <c r="Z21" s="236"/>
      <c r="AA21" s="236"/>
      <c r="AB21" s="236"/>
      <c r="AC21" s="99"/>
    </row>
    <row r="22" spans="1:29">
      <c r="A22" s="244" t="s">
        <v>191</v>
      </c>
      <c r="B22" s="244"/>
      <c r="C22" s="244"/>
      <c r="D22" s="244"/>
      <c r="E22" s="244"/>
      <c r="F22" s="244"/>
      <c r="G22" s="244"/>
      <c r="H22" s="244"/>
      <c r="I22" s="244"/>
      <c r="J22" s="244"/>
      <c r="K22" s="244"/>
      <c r="L22" s="244"/>
      <c r="M22" s="244"/>
      <c r="N22" s="244"/>
      <c r="O22" s="244"/>
      <c r="P22" s="244"/>
      <c r="Q22" s="244"/>
      <c r="R22" s="244"/>
      <c r="S22" s="244"/>
      <c r="T22" s="244"/>
      <c r="U22" s="244"/>
      <c r="V22" s="244"/>
      <c r="W22" s="244"/>
      <c r="X22" s="244"/>
      <c r="Y22" s="244"/>
      <c r="Z22" s="244"/>
      <c r="AA22" s="244"/>
      <c r="AB22" s="244"/>
      <c r="AC22" s="99"/>
    </row>
    <row r="23" spans="1:29">
      <c r="A23" s="244" t="s">
        <v>192</v>
      </c>
      <c r="B23" s="244"/>
      <c r="C23" s="244"/>
      <c r="D23" s="244"/>
      <c r="E23" s="244"/>
      <c r="F23" s="244"/>
      <c r="G23" s="244"/>
      <c r="H23" s="244"/>
      <c r="I23" s="244"/>
      <c r="J23" s="244"/>
      <c r="K23" s="244"/>
      <c r="L23" s="244"/>
      <c r="M23" s="244"/>
      <c r="N23" s="244"/>
      <c r="O23" s="244"/>
      <c r="P23" s="244"/>
      <c r="Q23" s="244"/>
      <c r="R23" s="244"/>
      <c r="S23" s="244"/>
      <c r="T23" s="244"/>
      <c r="U23" s="244"/>
      <c r="V23" s="244"/>
      <c r="W23" s="244"/>
      <c r="X23" s="244"/>
      <c r="Y23" s="244"/>
      <c r="Z23" s="244"/>
      <c r="AA23" s="244"/>
      <c r="AB23" s="244"/>
      <c r="AC23" s="99"/>
    </row>
    <row r="24" spans="1:29">
      <c r="A24" s="244" t="s">
        <v>193</v>
      </c>
      <c r="B24" s="244"/>
      <c r="C24" s="244"/>
      <c r="D24" s="244"/>
      <c r="E24" s="244"/>
      <c r="F24" s="244"/>
      <c r="G24" s="244"/>
      <c r="H24" s="244"/>
      <c r="I24" s="244"/>
      <c r="J24" s="244"/>
      <c r="K24" s="244"/>
      <c r="L24" s="244"/>
      <c r="M24" s="244"/>
      <c r="N24" s="244"/>
      <c r="O24" s="244"/>
      <c r="P24" s="244"/>
      <c r="Q24" s="244"/>
      <c r="R24" s="244"/>
      <c r="S24" s="244"/>
      <c r="T24" s="244"/>
      <c r="U24" s="244"/>
      <c r="V24" s="244"/>
      <c r="W24" s="244"/>
      <c r="X24" s="244"/>
      <c r="Y24" s="244"/>
      <c r="Z24" s="244"/>
      <c r="AA24" s="244"/>
      <c r="AB24" s="244"/>
      <c r="AC24" s="99"/>
    </row>
    <row r="25" spans="1:29">
      <c r="A25" s="261" t="s">
        <v>194</v>
      </c>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99"/>
    </row>
    <row r="26" spans="1:29">
      <c r="A26" s="221" t="s">
        <v>195</v>
      </c>
      <c r="B26" s="222"/>
      <c r="C26" s="222"/>
      <c r="D26" s="222"/>
      <c r="E26" s="222"/>
      <c r="F26" s="222"/>
      <c r="G26" s="222"/>
      <c r="H26" s="222"/>
      <c r="I26" s="222"/>
      <c r="J26" s="222"/>
      <c r="K26" s="222"/>
      <c r="L26" s="222"/>
      <c r="M26" s="222"/>
      <c r="N26" s="222"/>
      <c r="O26" s="222"/>
      <c r="P26" s="222"/>
      <c r="Q26" s="222"/>
      <c r="R26" s="222"/>
      <c r="S26" s="222"/>
      <c r="T26" s="222"/>
      <c r="U26" s="222"/>
      <c r="V26" s="222"/>
      <c r="W26" s="222"/>
      <c r="X26" s="222"/>
      <c r="Y26" s="222"/>
      <c r="Z26" s="222"/>
      <c r="AA26" s="222"/>
      <c r="AB26" s="223"/>
      <c r="AC26" s="99"/>
    </row>
    <row r="27" spans="1:29">
      <c r="A27" s="237" t="s">
        <v>196</v>
      </c>
      <c r="B27" s="225"/>
      <c r="C27" s="225"/>
      <c r="D27" s="225"/>
      <c r="E27" s="225"/>
      <c r="F27" s="225"/>
      <c r="G27" s="225"/>
      <c r="H27" s="225"/>
      <c r="I27" s="225"/>
      <c r="J27" s="225"/>
      <c r="K27" s="225"/>
      <c r="L27" s="225"/>
      <c r="M27" s="225"/>
      <c r="N27" s="225"/>
      <c r="O27" s="225"/>
      <c r="P27" s="225"/>
      <c r="Q27" s="225"/>
      <c r="R27" s="225"/>
      <c r="S27" s="225"/>
      <c r="T27" s="225"/>
      <c r="U27" s="225"/>
      <c r="V27" s="225"/>
      <c r="W27" s="225"/>
      <c r="X27" s="225"/>
      <c r="Y27" s="225"/>
      <c r="Z27" s="225"/>
      <c r="AA27" s="225"/>
      <c r="AB27" s="226"/>
      <c r="AC27" s="99"/>
    </row>
    <row r="28" spans="1:29">
      <c r="A28" s="206" t="s">
        <v>197</v>
      </c>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7"/>
      <c r="Z28" s="207"/>
      <c r="AA28" s="207"/>
      <c r="AB28" s="208"/>
    </row>
    <row r="29" spans="1:29">
      <c r="A29" s="237" t="s">
        <v>198</v>
      </c>
      <c r="B29" s="225"/>
      <c r="C29" s="225"/>
      <c r="D29" s="225"/>
      <c r="E29" s="225"/>
      <c r="F29" s="225"/>
      <c r="G29" s="225"/>
      <c r="H29" s="225"/>
      <c r="I29" s="225"/>
      <c r="J29" s="225"/>
      <c r="K29" s="225"/>
      <c r="L29" s="225"/>
      <c r="M29" s="225"/>
      <c r="N29" s="225"/>
      <c r="O29" s="225"/>
      <c r="P29" s="225"/>
      <c r="Q29" s="225"/>
      <c r="R29" s="225"/>
      <c r="S29" s="225"/>
      <c r="T29" s="225"/>
      <c r="U29" s="225"/>
      <c r="V29" s="225"/>
      <c r="W29" s="225"/>
      <c r="X29" s="225"/>
      <c r="Y29" s="225"/>
      <c r="Z29" s="225"/>
      <c r="AA29" s="225"/>
      <c r="AB29" s="226"/>
    </row>
    <row r="30" spans="1:29">
      <c r="A30" s="238" t="s">
        <v>199</v>
      </c>
      <c r="B30" s="201"/>
      <c r="C30" s="201"/>
      <c r="D30" s="201"/>
      <c r="E30" s="201"/>
      <c r="F30" s="201"/>
      <c r="G30" s="201"/>
      <c r="H30" s="201"/>
      <c r="I30" s="201"/>
      <c r="J30" s="201"/>
      <c r="K30" s="201"/>
      <c r="L30" s="201"/>
      <c r="M30" s="201"/>
      <c r="N30" s="201"/>
      <c r="O30" s="201"/>
      <c r="P30" s="201"/>
      <c r="Q30" s="201"/>
      <c r="R30" s="201"/>
      <c r="S30" s="201"/>
      <c r="T30" s="201"/>
      <c r="U30" s="201"/>
      <c r="V30" s="201"/>
      <c r="W30" s="201"/>
      <c r="X30" s="201"/>
      <c r="Y30" s="201"/>
      <c r="Z30" s="201"/>
      <c r="AA30" s="201"/>
      <c r="AB30" s="201"/>
    </row>
    <row r="31" spans="1:29">
      <c r="A31" s="238" t="s">
        <v>200</v>
      </c>
      <c r="B31" s="238"/>
      <c r="C31" s="238"/>
      <c r="D31" s="238"/>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row>
    <row r="32" spans="1:29">
      <c r="A32" s="238" t="s">
        <v>201</v>
      </c>
      <c r="B32" s="238"/>
      <c r="C32" s="238"/>
      <c r="D32" s="238"/>
      <c r="E32" s="238"/>
      <c r="F32" s="238"/>
      <c r="G32" s="238"/>
      <c r="H32" s="238"/>
      <c r="I32" s="238"/>
      <c r="J32" s="238"/>
      <c r="K32" s="238"/>
      <c r="L32" s="238"/>
      <c r="M32" s="238"/>
      <c r="N32" s="238"/>
      <c r="O32" s="238"/>
      <c r="P32" s="238"/>
      <c r="Q32" s="238"/>
      <c r="R32" s="238"/>
      <c r="S32" s="238"/>
      <c r="T32" s="238"/>
      <c r="U32" s="238"/>
      <c r="V32" s="238"/>
      <c r="W32" s="238"/>
      <c r="X32" s="238"/>
      <c r="Y32" s="238"/>
      <c r="Z32" s="238"/>
      <c r="AA32" s="238"/>
      <c r="AB32" s="238"/>
    </row>
    <row r="33" spans="1:28">
      <c r="A33" s="238"/>
      <c r="B33" s="238"/>
      <c r="C33" s="238"/>
      <c r="D33" s="238"/>
      <c r="E33" s="238"/>
      <c r="F33" s="238"/>
      <c r="G33" s="238"/>
      <c r="H33" s="238"/>
      <c r="I33" s="238"/>
      <c r="J33" s="238"/>
      <c r="K33" s="238"/>
      <c r="L33" s="238"/>
      <c r="M33" s="238"/>
      <c r="N33" s="238"/>
      <c r="O33" s="238"/>
      <c r="P33" s="238"/>
      <c r="Q33" s="238"/>
      <c r="R33" s="238"/>
      <c r="S33" s="238"/>
      <c r="T33" s="238"/>
      <c r="U33" s="238"/>
      <c r="V33" s="238"/>
      <c r="W33" s="238"/>
      <c r="X33" s="238"/>
      <c r="Y33" s="238"/>
      <c r="Z33" s="238"/>
      <c r="AA33" s="238"/>
      <c r="AB33" s="238"/>
    </row>
    <row r="34" spans="1:28">
      <c r="A34" s="238"/>
      <c r="B34" s="238"/>
      <c r="C34" s="238"/>
      <c r="D34" s="238"/>
      <c r="E34" s="238"/>
      <c r="F34" s="238"/>
      <c r="G34" s="238"/>
      <c r="H34" s="238"/>
      <c r="I34" s="238"/>
      <c r="J34" s="238"/>
      <c r="K34" s="238"/>
      <c r="L34" s="238"/>
      <c r="M34" s="238"/>
      <c r="N34" s="238"/>
      <c r="O34" s="238"/>
      <c r="P34" s="238"/>
      <c r="Q34" s="238"/>
      <c r="R34" s="238"/>
      <c r="S34" s="238"/>
      <c r="T34" s="238"/>
      <c r="U34" s="238"/>
      <c r="V34" s="238"/>
      <c r="W34" s="238"/>
      <c r="X34" s="238"/>
      <c r="Y34" s="238"/>
      <c r="Z34" s="238"/>
      <c r="AA34" s="238"/>
      <c r="AB34" s="238"/>
    </row>
    <row r="35" spans="1:28">
      <c r="A35" s="239" t="s">
        <v>202</v>
      </c>
      <c r="B35" s="240"/>
      <c r="C35" s="240"/>
      <c r="D35" s="240"/>
      <c r="E35" s="240"/>
      <c r="F35" s="240"/>
      <c r="G35" s="240"/>
      <c r="H35" s="240"/>
      <c r="I35" s="240"/>
      <c r="J35" s="240"/>
      <c r="K35" s="240"/>
      <c r="L35" s="240"/>
      <c r="M35" s="240"/>
      <c r="N35" s="240"/>
      <c r="O35" s="240"/>
      <c r="P35" s="240"/>
      <c r="Q35" s="240"/>
      <c r="R35" s="240"/>
      <c r="S35" s="240"/>
      <c r="T35" s="240"/>
      <c r="U35" s="240"/>
      <c r="V35" s="240"/>
      <c r="W35" s="240"/>
      <c r="X35" s="240"/>
      <c r="Y35" s="240"/>
      <c r="Z35" s="240"/>
      <c r="AA35" s="240"/>
      <c r="AB35" s="241"/>
    </row>
    <row r="36" spans="1:28">
      <c r="A36" s="242" t="s">
        <v>203</v>
      </c>
      <c r="B36" s="201"/>
      <c r="C36" s="201"/>
      <c r="D36" s="201"/>
      <c r="E36" s="201"/>
      <c r="F36" s="201"/>
      <c r="G36" s="201"/>
      <c r="H36" s="201"/>
      <c r="I36" s="201"/>
      <c r="J36" s="201"/>
      <c r="K36" s="201"/>
      <c r="L36" s="201"/>
      <c r="M36" s="201"/>
      <c r="N36" s="201"/>
      <c r="O36" s="201"/>
      <c r="P36" s="201"/>
      <c r="Q36" s="201"/>
      <c r="R36" s="201"/>
      <c r="S36" s="201"/>
      <c r="T36" s="201"/>
      <c r="U36" s="201"/>
      <c r="V36" s="201"/>
      <c r="W36" s="201"/>
      <c r="X36" s="201"/>
      <c r="Y36" s="201"/>
      <c r="Z36" s="201"/>
      <c r="AA36" s="201"/>
      <c r="AB36" s="201"/>
    </row>
    <row r="37" spans="1:28">
      <c r="A37" s="243" t="s">
        <v>204</v>
      </c>
      <c r="B37" s="225"/>
      <c r="C37" s="225"/>
      <c r="D37" s="225"/>
      <c r="E37" s="225"/>
      <c r="F37" s="225"/>
      <c r="G37" s="225"/>
      <c r="H37" s="225"/>
      <c r="I37" s="225"/>
      <c r="J37" s="225"/>
      <c r="K37" s="225"/>
      <c r="L37" s="225"/>
      <c r="M37" s="225"/>
      <c r="N37" s="225"/>
      <c r="O37" s="225"/>
      <c r="P37" s="225"/>
      <c r="Q37" s="225"/>
      <c r="R37" s="225"/>
      <c r="S37" s="225"/>
      <c r="T37" s="225"/>
      <c r="U37" s="225"/>
      <c r="V37" s="225"/>
      <c r="W37" s="225"/>
      <c r="X37" s="225"/>
      <c r="Y37" s="225"/>
      <c r="Z37" s="225"/>
      <c r="AA37" s="225"/>
      <c r="AB37" s="226"/>
    </row>
    <row r="38" spans="1:28">
      <c r="A38" s="220" t="s">
        <v>205</v>
      </c>
      <c r="B38" s="213"/>
      <c r="C38" s="213"/>
      <c r="D38" s="213"/>
      <c r="E38" s="213"/>
      <c r="F38" s="213"/>
      <c r="G38" s="213"/>
      <c r="H38" s="213"/>
      <c r="I38" s="213"/>
      <c r="J38" s="213"/>
      <c r="K38" s="213"/>
      <c r="L38" s="213"/>
      <c r="M38" s="213"/>
      <c r="N38" s="213"/>
      <c r="O38" s="213"/>
      <c r="P38" s="213"/>
      <c r="Q38" s="213"/>
      <c r="R38" s="213"/>
      <c r="S38" s="213"/>
      <c r="T38" s="213"/>
      <c r="U38" s="213"/>
      <c r="V38" s="213"/>
      <c r="W38" s="213"/>
      <c r="X38" s="213"/>
      <c r="Y38" s="213"/>
      <c r="Z38" s="213"/>
      <c r="AA38" s="213"/>
      <c r="AB38" s="213"/>
    </row>
    <row r="39" spans="1:28">
      <c r="A39" s="221" t="s">
        <v>206</v>
      </c>
      <c r="B39" s="222"/>
      <c r="C39" s="222"/>
      <c r="D39" s="222"/>
      <c r="E39" s="222"/>
      <c r="F39" s="222"/>
      <c r="G39" s="222"/>
      <c r="H39" s="222"/>
      <c r="I39" s="222"/>
      <c r="J39" s="222"/>
      <c r="K39" s="222"/>
      <c r="L39" s="222"/>
      <c r="M39" s="222"/>
      <c r="N39" s="222"/>
      <c r="O39" s="222"/>
      <c r="P39" s="222"/>
      <c r="Q39" s="222"/>
      <c r="R39" s="222"/>
      <c r="S39" s="222"/>
      <c r="T39" s="222"/>
      <c r="U39" s="222"/>
      <c r="V39" s="222"/>
      <c r="W39" s="222"/>
      <c r="X39" s="222"/>
      <c r="Y39" s="222"/>
      <c r="Z39" s="222"/>
      <c r="AA39" s="222"/>
      <c r="AB39" s="223"/>
    </row>
    <row r="40" spans="1:28">
      <c r="A40" s="246"/>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c r="Z40" s="247"/>
      <c r="AA40" s="247"/>
      <c r="AB40" s="248"/>
    </row>
    <row r="41" spans="1:28">
      <c r="A41" s="206" t="s">
        <v>207</v>
      </c>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c r="AA41" s="207"/>
      <c r="AB41" s="208"/>
    </row>
    <row r="42" spans="1:28">
      <c r="A42" s="249" t="s">
        <v>208</v>
      </c>
      <c r="B42" s="225"/>
      <c r="C42" s="225"/>
      <c r="D42" s="225"/>
      <c r="E42" s="225"/>
      <c r="F42" s="225"/>
      <c r="G42" s="225"/>
      <c r="H42" s="225"/>
      <c r="I42" s="225"/>
      <c r="J42" s="225"/>
      <c r="K42" s="225"/>
      <c r="L42" s="225"/>
      <c r="M42" s="225"/>
      <c r="N42" s="225"/>
      <c r="O42" s="225"/>
      <c r="P42" s="225"/>
      <c r="Q42" s="225"/>
      <c r="R42" s="225"/>
      <c r="S42" s="225"/>
      <c r="T42" s="225"/>
      <c r="U42" s="225"/>
      <c r="V42" s="225"/>
      <c r="W42" s="225"/>
      <c r="X42" s="225"/>
      <c r="Y42" s="225"/>
      <c r="Z42" s="225"/>
      <c r="AA42" s="225"/>
      <c r="AB42" s="226"/>
    </row>
    <row r="43" spans="1:28">
      <c r="A43" s="206" t="s">
        <v>209</v>
      </c>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c r="AA43" s="207"/>
      <c r="AB43" s="208"/>
    </row>
    <row r="44" spans="1:28">
      <c r="A44" s="250" t="s">
        <v>210</v>
      </c>
      <c r="B44" s="251"/>
      <c r="C44" s="251"/>
      <c r="D44" s="251"/>
      <c r="E44" s="251"/>
      <c r="F44" s="251"/>
      <c r="G44" s="251"/>
      <c r="H44" s="251"/>
      <c r="I44" s="251"/>
      <c r="J44" s="251"/>
      <c r="K44" s="251"/>
      <c r="L44" s="251"/>
      <c r="M44" s="251"/>
      <c r="N44" s="251"/>
      <c r="O44" s="251"/>
      <c r="P44" s="251"/>
      <c r="Q44" s="251"/>
      <c r="R44" s="251"/>
      <c r="S44" s="251"/>
      <c r="T44" s="251"/>
      <c r="U44" s="251"/>
      <c r="V44" s="251"/>
      <c r="W44" s="251"/>
      <c r="X44" s="251"/>
      <c r="Y44" s="251"/>
      <c r="Z44" s="251"/>
      <c r="AA44" s="251"/>
      <c r="AB44" s="252"/>
    </row>
    <row r="45" spans="1:28">
      <c r="A45" s="253"/>
      <c r="B45" s="213"/>
      <c r="C45" s="213"/>
      <c r="D45" s="213"/>
      <c r="E45" s="213"/>
      <c r="F45" s="213"/>
      <c r="G45" s="213"/>
      <c r="H45" s="213"/>
      <c r="I45" s="213"/>
      <c r="J45" s="213"/>
      <c r="K45" s="213"/>
      <c r="L45" s="213"/>
      <c r="M45" s="213"/>
      <c r="N45" s="213"/>
      <c r="O45" s="213"/>
      <c r="P45" s="213"/>
      <c r="Q45" s="213"/>
      <c r="R45" s="213"/>
      <c r="S45" s="213"/>
      <c r="T45" s="213"/>
      <c r="U45" s="213"/>
      <c r="V45" s="213"/>
      <c r="W45" s="213"/>
      <c r="X45" s="213"/>
      <c r="Y45" s="213"/>
      <c r="Z45" s="213"/>
      <c r="AA45" s="213"/>
      <c r="AB45" s="214"/>
    </row>
    <row r="46" spans="1:28">
      <c r="A46" s="253"/>
      <c r="B46" s="213"/>
      <c r="C46" s="213"/>
      <c r="D46" s="213"/>
      <c r="E46" s="213"/>
      <c r="F46" s="213"/>
      <c r="G46" s="213"/>
      <c r="H46" s="213"/>
      <c r="I46" s="213"/>
      <c r="J46" s="213"/>
      <c r="K46" s="213"/>
      <c r="L46" s="213"/>
      <c r="M46" s="213"/>
      <c r="N46" s="213"/>
      <c r="O46" s="213"/>
      <c r="P46" s="213"/>
      <c r="Q46" s="213"/>
      <c r="R46" s="213"/>
      <c r="S46" s="213"/>
      <c r="T46" s="213"/>
      <c r="U46" s="213"/>
      <c r="V46" s="213"/>
      <c r="W46" s="213"/>
      <c r="X46" s="213"/>
      <c r="Y46" s="213"/>
      <c r="Z46" s="213"/>
      <c r="AA46" s="213"/>
      <c r="AB46" s="214"/>
    </row>
    <row r="47" spans="1:28">
      <c r="A47" s="253"/>
      <c r="B47" s="213"/>
      <c r="C47" s="213"/>
      <c r="D47" s="213"/>
      <c r="E47" s="213"/>
      <c r="F47" s="213"/>
      <c r="G47" s="213"/>
      <c r="H47" s="213"/>
      <c r="I47" s="213"/>
      <c r="J47" s="213"/>
      <c r="K47" s="213"/>
      <c r="L47" s="213"/>
      <c r="M47" s="213"/>
      <c r="N47" s="213"/>
      <c r="O47" s="213"/>
      <c r="P47" s="213"/>
      <c r="Q47" s="213"/>
      <c r="R47" s="213"/>
      <c r="S47" s="213"/>
      <c r="T47" s="213"/>
      <c r="U47" s="213"/>
      <c r="V47" s="213"/>
      <c r="W47" s="213"/>
      <c r="X47" s="213"/>
      <c r="Y47" s="213"/>
      <c r="Z47" s="213"/>
      <c r="AA47" s="213"/>
      <c r="AB47" s="214"/>
    </row>
    <row r="48" spans="1:28">
      <c r="A48" s="254"/>
      <c r="B48" s="255"/>
      <c r="C48" s="255"/>
      <c r="D48" s="255"/>
      <c r="E48" s="255"/>
      <c r="F48" s="255"/>
      <c r="G48" s="255"/>
      <c r="H48" s="255"/>
      <c r="I48" s="255"/>
      <c r="J48" s="255"/>
      <c r="K48" s="255"/>
      <c r="L48" s="255"/>
      <c r="M48" s="255"/>
      <c r="N48" s="255"/>
      <c r="O48" s="255"/>
      <c r="P48" s="255"/>
      <c r="Q48" s="255"/>
      <c r="R48" s="255"/>
      <c r="S48" s="255"/>
      <c r="T48" s="255"/>
      <c r="U48" s="255"/>
      <c r="V48" s="255"/>
      <c r="W48" s="255"/>
      <c r="X48" s="255"/>
      <c r="Y48" s="255"/>
      <c r="Z48" s="255"/>
      <c r="AA48" s="255"/>
      <c r="AB48" s="256"/>
    </row>
    <row r="49" spans="1:28">
      <c r="A49" s="206" t="s">
        <v>211</v>
      </c>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c r="AA49" s="207"/>
      <c r="AB49" s="208"/>
    </row>
    <row r="50" spans="1:28">
      <c r="A50" s="257" t="s">
        <v>212</v>
      </c>
      <c r="B50" s="228"/>
      <c r="C50" s="228"/>
      <c r="D50" s="228"/>
      <c r="E50" s="228"/>
      <c r="F50" s="228"/>
      <c r="G50" s="228"/>
      <c r="H50" s="228"/>
      <c r="I50" s="228"/>
      <c r="J50" s="228"/>
      <c r="K50" s="228"/>
      <c r="L50" s="228"/>
      <c r="M50" s="228"/>
      <c r="N50" s="228"/>
      <c r="O50" s="228"/>
      <c r="P50" s="228"/>
      <c r="Q50" s="228"/>
      <c r="R50" s="228"/>
      <c r="S50" s="228"/>
      <c r="T50" s="228"/>
      <c r="U50" s="228"/>
      <c r="V50" s="228"/>
      <c r="W50" s="228"/>
      <c r="X50" s="228"/>
      <c r="Y50" s="228"/>
      <c r="Z50" s="228"/>
      <c r="AA50" s="228"/>
      <c r="AB50" s="229"/>
    </row>
    <row r="51" spans="1:28">
      <c r="A51" s="245"/>
      <c r="B51" s="201"/>
      <c r="C51" s="201"/>
      <c r="D51" s="201"/>
      <c r="E51" s="201"/>
      <c r="F51" s="201"/>
      <c r="G51" s="201"/>
      <c r="H51" s="201"/>
      <c r="I51" s="201"/>
      <c r="J51" s="201"/>
      <c r="K51" s="201"/>
      <c r="L51" s="201"/>
      <c r="M51" s="201"/>
      <c r="N51" s="201"/>
      <c r="O51" s="201"/>
      <c r="P51" s="201"/>
      <c r="Q51" s="201"/>
      <c r="R51" s="201"/>
      <c r="S51" s="201"/>
      <c r="T51" s="201"/>
      <c r="U51" s="201"/>
      <c r="V51" s="201"/>
      <c r="W51" s="201"/>
      <c r="X51" s="201"/>
      <c r="Y51" s="201"/>
      <c r="Z51" s="201"/>
      <c r="AA51" s="201"/>
      <c r="AB51" s="202"/>
    </row>
    <row r="52" spans="1:28">
      <c r="A52" s="215"/>
      <c r="B52" s="201"/>
      <c r="C52" s="201"/>
      <c r="D52" s="201"/>
      <c r="E52" s="201"/>
      <c r="F52" s="201"/>
      <c r="G52" s="201"/>
      <c r="H52" s="201"/>
      <c r="I52" s="201"/>
      <c r="J52" s="201"/>
      <c r="K52" s="201"/>
      <c r="L52" s="201"/>
      <c r="M52" s="201"/>
      <c r="N52" s="201"/>
      <c r="O52" s="201"/>
      <c r="P52" s="201"/>
      <c r="Q52" s="201"/>
      <c r="R52" s="201"/>
      <c r="S52" s="201"/>
      <c r="T52" s="201"/>
      <c r="U52" s="201"/>
      <c r="V52" s="201"/>
      <c r="W52" s="201"/>
      <c r="X52" s="201"/>
      <c r="Y52" s="201"/>
      <c r="Z52" s="201"/>
      <c r="AA52" s="201"/>
      <c r="AB52" s="202"/>
    </row>
    <row r="53" spans="1:28">
      <c r="A53" s="253"/>
      <c r="B53" s="213"/>
      <c r="C53" s="213"/>
      <c r="D53" s="213"/>
      <c r="E53" s="213"/>
      <c r="F53" s="213"/>
      <c r="G53" s="213"/>
      <c r="H53" s="213"/>
      <c r="I53" s="213"/>
      <c r="J53" s="213"/>
      <c r="K53" s="213"/>
      <c r="L53" s="213"/>
      <c r="M53" s="213"/>
      <c r="N53" s="213"/>
      <c r="O53" s="213"/>
      <c r="P53" s="213"/>
      <c r="Q53" s="213"/>
      <c r="R53" s="213"/>
      <c r="S53" s="213"/>
      <c r="T53" s="213"/>
      <c r="U53" s="213"/>
      <c r="V53" s="213"/>
      <c r="W53" s="213"/>
      <c r="X53" s="213"/>
      <c r="Y53" s="213"/>
      <c r="Z53" s="213"/>
      <c r="AA53" s="213"/>
      <c r="AB53" s="214"/>
    </row>
    <row r="54" spans="1:28">
      <c r="A54" s="253"/>
      <c r="B54" s="213"/>
      <c r="C54" s="213"/>
      <c r="D54" s="213"/>
      <c r="E54" s="213"/>
      <c r="F54" s="213"/>
      <c r="G54" s="213"/>
      <c r="H54" s="213"/>
      <c r="I54" s="213"/>
      <c r="J54" s="213"/>
      <c r="K54" s="213"/>
      <c r="L54" s="213"/>
      <c r="M54" s="213"/>
      <c r="N54" s="213"/>
      <c r="O54" s="213"/>
      <c r="P54" s="213"/>
      <c r="Q54" s="213"/>
      <c r="R54" s="213"/>
      <c r="S54" s="213"/>
      <c r="T54" s="213"/>
      <c r="U54" s="213"/>
      <c r="V54" s="213"/>
      <c r="W54" s="213"/>
      <c r="X54" s="213"/>
      <c r="Y54" s="213"/>
      <c r="Z54" s="213"/>
      <c r="AA54" s="213"/>
      <c r="AB54" s="214"/>
    </row>
    <row r="55" spans="1:28">
      <c r="A55" s="253"/>
      <c r="B55" s="213"/>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4"/>
    </row>
    <row r="56" spans="1:28">
      <c r="A56" s="258"/>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c r="AA56" s="259"/>
      <c r="AB56" s="260"/>
    </row>
  </sheetData>
  <mergeCells count="55">
    <mergeCell ref="A34:AB34"/>
    <mergeCell ref="A23:AB23"/>
    <mergeCell ref="A25:AB25"/>
    <mergeCell ref="A31:AB31"/>
    <mergeCell ref="A32:AB32"/>
    <mergeCell ref="A33:AB33"/>
    <mergeCell ref="A52:AB52"/>
    <mergeCell ref="A53:AB53"/>
    <mergeCell ref="A54:AB54"/>
    <mergeCell ref="A55:AB55"/>
    <mergeCell ref="A56:AB56"/>
    <mergeCell ref="A51:AB51"/>
    <mergeCell ref="A40:AB40"/>
    <mergeCell ref="A41:AB41"/>
    <mergeCell ref="A42:AB42"/>
    <mergeCell ref="A43:AB43"/>
    <mergeCell ref="A44:AB44"/>
    <mergeCell ref="A45:AB45"/>
    <mergeCell ref="A46:AB46"/>
    <mergeCell ref="A47:AB47"/>
    <mergeCell ref="A48:AB48"/>
    <mergeCell ref="A49:AB49"/>
    <mergeCell ref="A50:AB50"/>
    <mergeCell ref="A39:AB39"/>
    <mergeCell ref="A18:AB18"/>
    <mergeCell ref="A19:AB19"/>
    <mergeCell ref="A20:AB20"/>
    <mergeCell ref="A26:AB26"/>
    <mergeCell ref="A27:AB27"/>
    <mergeCell ref="A28:AB28"/>
    <mergeCell ref="A29:AB29"/>
    <mergeCell ref="A30:AB30"/>
    <mergeCell ref="A35:AB35"/>
    <mergeCell ref="A36:AB36"/>
    <mergeCell ref="A37:AB37"/>
    <mergeCell ref="A21:AB21"/>
    <mergeCell ref="A38:AB38"/>
    <mergeCell ref="A22:AB22"/>
    <mergeCell ref="A24:AB24"/>
    <mergeCell ref="A17:AB17"/>
    <mergeCell ref="A2:AB2"/>
    <mergeCell ref="A3:AB3"/>
    <mergeCell ref="A4:AB4"/>
    <mergeCell ref="A5:AB5"/>
    <mergeCell ref="A6:AB6"/>
    <mergeCell ref="A7:AB7"/>
    <mergeCell ref="A8:AB8"/>
    <mergeCell ref="A9:AB9"/>
    <mergeCell ref="A10:AB10"/>
    <mergeCell ref="A12:AB12"/>
    <mergeCell ref="A13:AB13"/>
    <mergeCell ref="A15:AB15"/>
    <mergeCell ref="A16:AB16"/>
    <mergeCell ref="A11:AB11"/>
    <mergeCell ref="A14:AB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3313C-1242-4194-9A63-7E08B0E521A5}">
  <dimension ref="A2:AC45"/>
  <sheetViews>
    <sheetView workbookViewId="0">
      <selection activeCell="A7" sqref="A7"/>
    </sheetView>
  </sheetViews>
  <sheetFormatPr defaultRowHeight="15"/>
  <sheetData>
    <row r="2" spans="1:29">
      <c r="A2" s="203" t="s">
        <v>213</v>
      </c>
      <c r="B2" s="204"/>
      <c r="C2" s="204"/>
      <c r="D2" s="204"/>
      <c r="E2" s="204"/>
      <c r="F2" s="204"/>
      <c r="G2" s="204"/>
      <c r="H2" s="204"/>
      <c r="I2" s="204"/>
      <c r="J2" s="204"/>
      <c r="K2" s="204"/>
      <c r="L2" s="204"/>
      <c r="M2" s="204"/>
      <c r="N2" s="204"/>
      <c r="O2" s="204"/>
      <c r="P2" s="204"/>
      <c r="Q2" s="204"/>
      <c r="R2" s="204"/>
      <c r="S2" s="204"/>
      <c r="T2" s="204"/>
      <c r="U2" s="204"/>
      <c r="V2" s="204"/>
      <c r="W2" s="204"/>
      <c r="X2" s="204"/>
      <c r="Y2" s="204"/>
      <c r="Z2" s="204"/>
      <c r="AA2" s="204"/>
      <c r="AB2" s="205"/>
    </row>
    <row r="3" spans="1:29">
      <c r="A3" s="206"/>
      <c r="B3" s="207"/>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8"/>
      <c r="AC3" s="99"/>
    </row>
    <row r="4" spans="1:29">
      <c r="A4" s="209"/>
      <c r="B4" s="210"/>
      <c r="C4" s="210"/>
      <c r="D4" s="210"/>
      <c r="E4" s="210"/>
      <c r="F4" s="210"/>
      <c r="G4" s="210"/>
      <c r="H4" s="210"/>
      <c r="I4" s="210"/>
      <c r="J4" s="210"/>
      <c r="K4" s="210"/>
      <c r="L4" s="210"/>
      <c r="M4" s="210"/>
      <c r="N4" s="210"/>
      <c r="O4" s="210"/>
      <c r="P4" s="210"/>
      <c r="Q4" s="210"/>
      <c r="R4" s="210"/>
      <c r="S4" s="210"/>
      <c r="T4" s="210"/>
      <c r="U4" s="210"/>
      <c r="V4" s="210"/>
      <c r="W4" s="210"/>
      <c r="X4" s="210"/>
      <c r="Y4" s="210"/>
      <c r="Z4" s="210"/>
      <c r="AA4" s="210"/>
      <c r="AB4" s="211"/>
      <c r="AC4" s="99"/>
    </row>
    <row r="5" spans="1:29">
      <c r="A5" s="262"/>
      <c r="B5" s="213"/>
      <c r="C5" s="213"/>
      <c r="D5" s="213"/>
      <c r="E5" s="213"/>
      <c r="F5" s="213"/>
      <c r="G5" s="213"/>
      <c r="H5" s="213"/>
      <c r="I5" s="213"/>
      <c r="J5" s="213"/>
      <c r="K5" s="213"/>
      <c r="L5" s="213"/>
      <c r="M5" s="213"/>
      <c r="N5" s="213"/>
      <c r="O5" s="213"/>
      <c r="P5" s="213"/>
      <c r="Q5" s="213"/>
      <c r="R5" s="213"/>
      <c r="S5" s="213"/>
      <c r="T5" s="213"/>
      <c r="U5" s="213"/>
      <c r="V5" s="213"/>
      <c r="W5" s="213"/>
      <c r="X5" s="213"/>
      <c r="Y5" s="213"/>
      <c r="Z5" s="213"/>
      <c r="AA5" s="213"/>
      <c r="AB5" s="214"/>
      <c r="AC5" s="99"/>
    </row>
    <row r="6" spans="1:29">
      <c r="A6" s="215"/>
      <c r="B6" s="201"/>
      <c r="C6" s="201"/>
      <c r="D6" s="201"/>
      <c r="E6" s="201"/>
      <c r="F6" s="201"/>
      <c r="G6" s="201"/>
      <c r="H6" s="201"/>
      <c r="I6" s="201"/>
      <c r="J6" s="201"/>
      <c r="K6" s="201"/>
      <c r="L6" s="201"/>
      <c r="M6" s="201"/>
      <c r="N6" s="201"/>
      <c r="O6" s="201"/>
      <c r="P6" s="201"/>
      <c r="Q6" s="201"/>
      <c r="R6" s="201"/>
      <c r="S6" s="201"/>
      <c r="T6" s="201"/>
      <c r="U6" s="201"/>
      <c r="V6" s="201"/>
      <c r="W6" s="201"/>
      <c r="X6" s="201"/>
      <c r="Y6" s="201"/>
      <c r="Z6" s="201"/>
      <c r="AA6" s="201"/>
      <c r="AB6" s="202"/>
      <c r="AC6" s="99"/>
    </row>
    <row r="7" spans="1:29">
      <c r="A7" s="263"/>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2"/>
      <c r="AC7" s="99"/>
    </row>
    <row r="8" spans="1:29">
      <c r="A8" s="215"/>
      <c r="B8" s="201"/>
      <c r="C8" s="201"/>
      <c r="D8" s="201"/>
      <c r="E8" s="201"/>
      <c r="F8" s="201"/>
      <c r="G8" s="201"/>
      <c r="H8" s="201"/>
      <c r="I8" s="201"/>
      <c r="J8" s="201"/>
      <c r="K8" s="201"/>
      <c r="L8" s="201"/>
      <c r="M8" s="201"/>
      <c r="N8" s="201"/>
      <c r="O8" s="201"/>
      <c r="P8" s="201"/>
      <c r="Q8" s="201"/>
      <c r="R8" s="201"/>
      <c r="S8" s="201"/>
      <c r="T8" s="201"/>
      <c r="U8" s="201"/>
      <c r="V8" s="201"/>
      <c r="W8" s="201"/>
      <c r="X8" s="201"/>
      <c r="Y8" s="201"/>
      <c r="Z8" s="201"/>
      <c r="AA8" s="201"/>
      <c r="AB8" s="202"/>
      <c r="AC8" s="99"/>
    </row>
    <row r="9" spans="1:29">
      <c r="A9" s="264"/>
      <c r="B9" s="201"/>
      <c r="C9" s="201"/>
      <c r="D9" s="201"/>
      <c r="E9" s="201"/>
      <c r="F9" s="201"/>
      <c r="G9" s="201"/>
      <c r="H9" s="201"/>
      <c r="I9" s="201"/>
      <c r="J9" s="201"/>
      <c r="K9" s="201"/>
      <c r="L9" s="201"/>
      <c r="M9" s="201"/>
      <c r="N9" s="201"/>
      <c r="O9" s="201"/>
      <c r="P9" s="201"/>
      <c r="Q9" s="201"/>
      <c r="R9" s="201"/>
      <c r="S9" s="201"/>
      <c r="T9" s="201"/>
      <c r="U9" s="201"/>
      <c r="V9" s="201"/>
      <c r="W9" s="201"/>
      <c r="X9" s="201"/>
      <c r="Y9" s="201"/>
      <c r="Z9" s="201"/>
      <c r="AA9" s="201"/>
      <c r="AB9" s="202"/>
      <c r="AC9" s="99"/>
    </row>
    <row r="10" spans="1:29">
      <c r="A10" s="265"/>
      <c r="B10" s="255"/>
      <c r="C10" s="255"/>
      <c r="D10" s="255"/>
      <c r="E10" s="255"/>
      <c r="F10" s="255"/>
      <c r="G10" s="255"/>
      <c r="H10" s="255"/>
      <c r="I10" s="255"/>
      <c r="J10" s="255"/>
      <c r="K10" s="255"/>
      <c r="L10" s="255"/>
      <c r="M10" s="255"/>
      <c r="N10" s="255"/>
      <c r="O10" s="255"/>
      <c r="P10" s="255"/>
      <c r="Q10" s="255"/>
      <c r="R10" s="255"/>
      <c r="S10" s="255"/>
      <c r="T10" s="255"/>
      <c r="U10" s="255"/>
      <c r="V10" s="255"/>
      <c r="W10" s="255"/>
      <c r="X10" s="255"/>
      <c r="Y10" s="255"/>
      <c r="Z10" s="255"/>
      <c r="AA10" s="255"/>
      <c r="AB10" s="256"/>
      <c r="AC10" s="99"/>
    </row>
    <row r="11" spans="1:29">
      <c r="A11" s="206"/>
      <c r="B11" s="207"/>
      <c r="C11" s="207"/>
      <c r="D11" s="207"/>
      <c r="E11" s="207"/>
      <c r="F11" s="207"/>
      <c r="G11" s="207"/>
      <c r="H11" s="207"/>
      <c r="I11" s="207"/>
      <c r="J11" s="207"/>
      <c r="K11" s="207"/>
      <c r="L11" s="207"/>
      <c r="M11" s="207"/>
      <c r="N11" s="207"/>
      <c r="O11" s="207"/>
      <c r="P11" s="207"/>
      <c r="Q11" s="207"/>
      <c r="R11" s="207"/>
      <c r="S11" s="207"/>
      <c r="T11" s="207"/>
      <c r="U11" s="207"/>
      <c r="V11" s="207"/>
      <c r="W11" s="207"/>
      <c r="X11" s="207"/>
      <c r="Y11" s="207"/>
      <c r="Z11" s="207"/>
      <c r="AA11" s="207"/>
      <c r="AB11" s="208"/>
      <c r="AC11" s="99"/>
    </row>
    <row r="12" spans="1:29">
      <c r="A12" s="266"/>
      <c r="B12" s="225"/>
      <c r="C12" s="225"/>
      <c r="D12" s="225"/>
      <c r="E12" s="225"/>
      <c r="F12" s="225"/>
      <c r="G12" s="225"/>
      <c r="H12" s="225"/>
      <c r="I12" s="225"/>
      <c r="J12" s="225"/>
      <c r="K12" s="225"/>
      <c r="L12" s="225"/>
      <c r="M12" s="225"/>
      <c r="N12" s="225"/>
      <c r="O12" s="225"/>
      <c r="P12" s="225"/>
      <c r="Q12" s="225"/>
      <c r="R12" s="225"/>
      <c r="S12" s="225"/>
      <c r="T12" s="225"/>
      <c r="U12" s="225"/>
      <c r="V12" s="225"/>
      <c r="W12" s="225"/>
      <c r="X12" s="225"/>
      <c r="Y12" s="225"/>
      <c r="Z12" s="225"/>
      <c r="AA12" s="225"/>
      <c r="AB12" s="226"/>
      <c r="AC12" s="99"/>
    </row>
    <row r="13" spans="1:29">
      <c r="A13" s="206"/>
      <c r="B13" s="207"/>
      <c r="C13" s="207"/>
      <c r="D13" s="207"/>
      <c r="E13" s="207"/>
      <c r="F13" s="207"/>
      <c r="G13" s="207"/>
      <c r="H13" s="207"/>
      <c r="I13" s="207"/>
      <c r="J13" s="207"/>
      <c r="K13" s="207"/>
      <c r="L13" s="207"/>
      <c r="M13" s="207"/>
      <c r="N13" s="207"/>
      <c r="O13" s="207"/>
      <c r="P13" s="207"/>
      <c r="Q13" s="207"/>
      <c r="R13" s="207"/>
      <c r="S13" s="207"/>
      <c r="T13" s="207"/>
      <c r="U13" s="207"/>
      <c r="V13" s="207"/>
      <c r="W13" s="207"/>
      <c r="X13" s="207"/>
      <c r="Y13" s="207"/>
      <c r="Z13" s="207"/>
      <c r="AA13" s="207"/>
      <c r="AB13" s="208"/>
      <c r="AC13" s="99"/>
    </row>
    <row r="14" spans="1:29">
      <c r="A14" s="227"/>
      <c r="B14" s="228"/>
      <c r="C14" s="228"/>
      <c r="D14" s="228"/>
      <c r="E14" s="228"/>
      <c r="F14" s="228"/>
      <c r="G14" s="228"/>
      <c r="H14" s="228"/>
      <c r="I14" s="228"/>
      <c r="J14" s="228"/>
      <c r="K14" s="228"/>
      <c r="L14" s="228"/>
      <c r="M14" s="228"/>
      <c r="N14" s="228"/>
      <c r="O14" s="228"/>
      <c r="P14" s="228"/>
      <c r="Q14" s="228"/>
      <c r="R14" s="228"/>
      <c r="S14" s="228"/>
      <c r="T14" s="228"/>
      <c r="U14" s="228"/>
      <c r="V14" s="228"/>
      <c r="W14" s="228"/>
      <c r="X14" s="228"/>
      <c r="Y14" s="228"/>
      <c r="Z14" s="228"/>
      <c r="AA14" s="228"/>
      <c r="AB14" s="229"/>
      <c r="AC14" s="99"/>
    </row>
    <row r="15" spans="1:29">
      <c r="A15" s="267"/>
      <c r="B15" s="213"/>
      <c r="C15" s="213"/>
      <c r="D15" s="213"/>
      <c r="E15" s="213"/>
      <c r="F15" s="213"/>
      <c r="G15" s="213"/>
      <c r="H15" s="213"/>
      <c r="I15" s="213"/>
      <c r="J15" s="213"/>
      <c r="K15" s="213"/>
      <c r="L15" s="213"/>
      <c r="M15" s="213"/>
      <c r="N15" s="213"/>
      <c r="O15" s="213"/>
      <c r="P15" s="213"/>
      <c r="Q15" s="213"/>
      <c r="R15" s="213"/>
      <c r="S15" s="213"/>
      <c r="T15" s="213"/>
      <c r="U15" s="213"/>
      <c r="V15" s="213"/>
      <c r="W15" s="213"/>
      <c r="X15" s="213"/>
      <c r="Y15" s="213"/>
      <c r="Z15" s="213"/>
      <c r="AA15" s="213"/>
      <c r="AB15" s="214"/>
      <c r="AC15" s="99"/>
    </row>
    <row r="16" spans="1:29">
      <c r="A16" s="267"/>
      <c r="B16" s="201"/>
      <c r="C16" s="201"/>
      <c r="D16" s="201"/>
      <c r="E16" s="201"/>
      <c r="F16" s="201"/>
      <c r="G16" s="201"/>
      <c r="H16" s="201"/>
      <c r="I16" s="201"/>
      <c r="J16" s="201"/>
      <c r="K16" s="201"/>
      <c r="L16" s="201"/>
      <c r="M16" s="201"/>
      <c r="N16" s="201"/>
      <c r="O16" s="201"/>
      <c r="P16" s="201"/>
      <c r="Q16" s="201"/>
      <c r="R16" s="201"/>
      <c r="S16" s="201"/>
      <c r="T16" s="201"/>
      <c r="U16" s="201"/>
      <c r="V16" s="201"/>
      <c r="W16" s="201"/>
      <c r="X16" s="201"/>
      <c r="Y16" s="201"/>
      <c r="Z16" s="201"/>
      <c r="AA16" s="201"/>
      <c r="AB16" s="202"/>
      <c r="AC16" s="99"/>
    </row>
    <row r="17" spans="1:29">
      <c r="A17" s="264"/>
      <c r="B17" s="201"/>
      <c r="C17" s="201"/>
      <c r="D17" s="201"/>
      <c r="E17" s="201"/>
      <c r="F17" s="201"/>
      <c r="G17" s="201"/>
      <c r="H17" s="201"/>
      <c r="I17" s="201"/>
      <c r="J17" s="201"/>
      <c r="K17" s="201"/>
      <c r="L17" s="201"/>
      <c r="M17" s="201"/>
      <c r="N17" s="201"/>
      <c r="O17" s="201"/>
      <c r="P17" s="201"/>
      <c r="Q17" s="201"/>
      <c r="R17" s="201"/>
      <c r="S17" s="201"/>
      <c r="T17" s="201"/>
      <c r="U17" s="201"/>
      <c r="V17" s="201"/>
      <c r="W17" s="201"/>
      <c r="X17" s="201"/>
      <c r="Y17" s="201"/>
      <c r="Z17" s="201"/>
      <c r="AA17" s="201"/>
      <c r="AB17" s="202"/>
      <c r="AC17" s="99"/>
    </row>
    <row r="18" spans="1:29">
      <c r="A18" s="264"/>
      <c r="B18" s="201"/>
      <c r="C18" s="201"/>
      <c r="D18" s="201"/>
      <c r="E18" s="201"/>
      <c r="F18" s="201"/>
      <c r="G18" s="201"/>
      <c r="H18" s="201"/>
      <c r="I18" s="201"/>
      <c r="J18" s="201"/>
      <c r="K18" s="201"/>
      <c r="L18" s="201"/>
      <c r="M18" s="201"/>
      <c r="N18" s="201"/>
      <c r="O18" s="201"/>
      <c r="P18" s="201"/>
      <c r="Q18" s="201"/>
      <c r="R18" s="201"/>
      <c r="S18" s="201"/>
      <c r="T18" s="201"/>
      <c r="U18" s="201"/>
      <c r="V18" s="201"/>
      <c r="W18" s="201"/>
      <c r="X18" s="201"/>
      <c r="Y18" s="201"/>
      <c r="Z18" s="201"/>
      <c r="AA18" s="201"/>
      <c r="AB18" s="202"/>
      <c r="AC18" s="99"/>
    </row>
    <row r="19" spans="1:29">
      <c r="A19" s="268"/>
      <c r="B19" s="218"/>
      <c r="C19" s="218"/>
      <c r="D19" s="218"/>
      <c r="E19" s="218"/>
      <c r="F19" s="218"/>
      <c r="G19" s="218"/>
      <c r="H19" s="218"/>
      <c r="I19" s="218"/>
      <c r="J19" s="218"/>
      <c r="K19" s="218"/>
      <c r="L19" s="218"/>
      <c r="M19" s="218"/>
      <c r="N19" s="218"/>
      <c r="O19" s="218"/>
      <c r="P19" s="218"/>
      <c r="Q19" s="218"/>
      <c r="R19" s="218"/>
      <c r="S19" s="218"/>
      <c r="T19" s="218"/>
      <c r="U19" s="218"/>
      <c r="V19" s="218"/>
      <c r="W19" s="218"/>
      <c r="X19" s="218"/>
      <c r="Y19" s="218"/>
      <c r="Z19" s="218"/>
      <c r="AA19" s="218"/>
      <c r="AB19" s="219"/>
      <c r="AC19" s="99"/>
    </row>
    <row r="20" spans="1:29">
      <c r="A20" s="206"/>
      <c r="B20" s="207"/>
      <c r="C20" s="207"/>
      <c r="D20" s="207"/>
      <c r="E20" s="207"/>
      <c r="F20" s="207"/>
      <c r="G20" s="207"/>
      <c r="H20" s="207"/>
      <c r="I20" s="207"/>
      <c r="J20" s="207"/>
      <c r="K20" s="207"/>
      <c r="L20" s="207"/>
      <c r="M20" s="207"/>
      <c r="N20" s="207"/>
      <c r="O20" s="207"/>
      <c r="P20" s="207"/>
      <c r="Q20" s="207"/>
      <c r="R20" s="207"/>
      <c r="S20" s="207"/>
      <c r="T20" s="207"/>
      <c r="U20" s="207"/>
      <c r="V20" s="207"/>
      <c r="W20" s="207"/>
      <c r="X20" s="207"/>
      <c r="Y20" s="207"/>
      <c r="Z20" s="207"/>
      <c r="AA20" s="207"/>
      <c r="AB20" s="208"/>
      <c r="AC20" s="99"/>
    </row>
    <row r="21" spans="1:29">
      <c r="A21" s="237"/>
      <c r="B21" s="225"/>
      <c r="C21" s="225"/>
      <c r="D21" s="225"/>
      <c r="E21" s="225"/>
      <c r="F21" s="225"/>
      <c r="G21" s="225"/>
      <c r="H21" s="225"/>
      <c r="I21" s="225"/>
      <c r="J21" s="225"/>
      <c r="K21" s="225"/>
      <c r="L21" s="225"/>
      <c r="M21" s="225"/>
      <c r="N21" s="225"/>
      <c r="O21" s="225"/>
      <c r="P21" s="225"/>
      <c r="Q21" s="225"/>
      <c r="R21" s="225"/>
      <c r="S21" s="225"/>
      <c r="T21" s="225"/>
      <c r="U21" s="225"/>
      <c r="V21" s="225"/>
      <c r="W21" s="225"/>
      <c r="X21" s="225"/>
      <c r="Y21" s="225"/>
      <c r="Z21" s="225"/>
      <c r="AA21" s="225"/>
      <c r="AB21" s="226"/>
      <c r="AC21" s="99"/>
    </row>
    <row r="22" spans="1:29">
      <c r="A22" s="206"/>
      <c r="B22" s="207"/>
      <c r="C22" s="207"/>
      <c r="D22" s="207"/>
      <c r="E22" s="207"/>
      <c r="F22" s="207"/>
      <c r="G22" s="207"/>
      <c r="H22" s="207"/>
      <c r="I22" s="207"/>
      <c r="J22" s="207"/>
      <c r="K22" s="207"/>
      <c r="L22" s="207"/>
      <c r="M22" s="207"/>
      <c r="N22" s="207"/>
      <c r="O22" s="207"/>
      <c r="P22" s="207"/>
      <c r="Q22" s="207"/>
      <c r="R22" s="207"/>
      <c r="S22" s="207"/>
      <c r="T22" s="207"/>
      <c r="U22" s="207"/>
      <c r="V22" s="207"/>
      <c r="W22" s="207"/>
      <c r="X22" s="207"/>
      <c r="Y22" s="207"/>
      <c r="Z22" s="207"/>
      <c r="AA22" s="207"/>
      <c r="AB22" s="208"/>
    </row>
    <row r="23" spans="1:29">
      <c r="A23" s="269"/>
      <c r="B23" s="228"/>
      <c r="C23" s="228"/>
      <c r="D23" s="228"/>
      <c r="E23" s="228"/>
      <c r="F23" s="228"/>
      <c r="G23" s="228"/>
      <c r="H23" s="228"/>
      <c r="I23" s="228"/>
      <c r="J23" s="228"/>
      <c r="K23" s="228"/>
      <c r="L23" s="228"/>
      <c r="M23" s="228"/>
      <c r="N23" s="228"/>
      <c r="O23" s="228"/>
      <c r="P23" s="228"/>
      <c r="Q23" s="228"/>
      <c r="R23" s="228"/>
      <c r="S23" s="228"/>
      <c r="T23" s="228"/>
      <c r="U23" s="228"/>
      <c r="V23" s="228"/>
      <c r="W23" s="228"/>
      <c r="X23" s="228"/>
      <c r="Y23" s="228"/>
      <c r="Z23" s="228"/>
      <c r="AA23" s="228"/>
      <c r="AB23" s="229"/>
    </row>
    <row r="24" spans="1:29">
      <c r="A24" s="270"/>
      <c r="B24" s="218"/>
      <c r="C24" s="218"/>
      <c r="D24" s="218"/>
      <c r="E24" s="218"/>
      <c r="F24" s="218"/>
      <c r="G24" s="218"/>
      <c r="H24" s="218"/>
      <c r="I24" s="218"/>
      <c r="J24" s="218"/>
      <c r="K24" s="218"/>
      <c r="L24" s="218"/>
      <c r="M24" s="218"/>
      <c r="N24" s="218"/>
      <c r="O24" s="218"/>
      <c r="P24" s="218"/>
      <c r="Q24" s="218"/>
      <c r="R24" s="218"/>
      <c r="S24" s="218"/>
      <c r="T24" s="218"/>
      <c r="U24" s="218"/>
      <c r="V24" s="218"/>
      <c r="W24" s="218"/>
      <c r="X24" s="218"/>
      <c r="Y24" s="218"/>
      <c r="Z24" s="218"/>
      <c r="AA24" s="218"/>
      <c r="AB24" s="219"/>
    </row>
    <row r="25" spans="1:29">
      <c r="A25" s="206"/>
      <c r="B25" s="207"/>
      <c r="C25" s="207"/>
      <c r="D25" s="207"/>
      <c r="E25" s="207"/>
      <c r="F25" s="207"/>
      <c r="G25" s="207"/>
      <c r="H25" s="207"/>
      <c r="I25" s="207"/>
      <c r="J25" s="207"/>
      <c r="K25" s="207"/>
      <c r="L25" s="207"/>
      <c r="M25" s="207"/>
      <c r="N25" s="207"/>
      <c r="O25" s="207"/>
      <c r="P25" s="207"/>
      <c r="Q25" s="207"/>
      <c r="R25" s="207"/>
      <c r="S25" s="207"/>
      <c r="T25" s="207"/>
      <c r="U25" s="207"/>
      <c r="V25" s="207"/>
      <c r="W25" s="207"/>
      <c r="X25" s="207"/>
      <c r="Y25" s="207"/>
      <c r="Z25" s="207"/>
      <c r="AA25" s="207"/>
      <c r="AB25" s="208"/>
    </row>
    <row r="26" spans="1:29">
      <c r="A26" s="209"/>
      <c r="B26" s="228"/>
      <c r="C26" s="228"/>
      <c r="D26" s="228"/>
      <c r="E26" s="228"/>
      <c r="F26" s="228"/>
      <c r="G26" s="228"/>
      <c r="H26" s="228"/>
      <c r="I26" s="228"/>
      <c r="J26" s="228"/>
      <c r="K26" s="228"/>
      <c r="L26" s="228"/>
      <c r="M26" s="228"/>
      <c r="N26" s="228"/>
      <c r="O26" s="228"/>
      <c r="P26" s="228"/>
      <c r="Q26" s="228"/>
      <c r="R26" s="228"/>
      <c r="S26" s="228"/>
      <c r="T26" s="228"/>
      <c r="U26" s="228"/>
      <c r="V26" s="228"/>
      <c r="W26" s="228"/>
      <c r="X26" s="228"/>
      <c r="Y26" s="228"/>
      <c r="Z26" s="228"/>
      <c r="AA26" s="228"/>
      <c r="AB26" s="229"/>
    </row>
    <row r="27" spans="1:29">
      <c r="A27" s="271"/>
      <c r="B27" s="255"/>
      <c r="C27" s="255"/>
      <c r="D27" s="255"/>
      <c r="E27" s="255"/>
      <c r="F27" s="255"/>
      <c r="G27" s="255"/>
      <c r="H27" s="255"/>
      <c r="I27" s="255"/>
      <c r="J27" s="255"/>
      <c r="K27" s="255"/>
      <c r="L27" s="255"/>
      <c r="M27" s="255"/>
      <c r="N27" s="255"/>
      <c r="O27" s="255"/>
      <c r="P27" s="255"/>
      <c r="Q27" s="255"/>
      <c r="R27" s="255"/>
      <c r="S27" s="255"/>
      <c r="T27" s="255"/>
      <c r="U27" s="255"/>
      <c r="V27" s="255"/>
      <c r="W27" s="255"/>
      <c r="X27" s="255"/>
      <c r="Y27" s="255"/>
      <c r="Z27" s="255"/>
      <c r="AA27" s="255"/>
      <c r="AB27" s="256"/>
    </row>
    <row r="28" spans="1:29">
      <c r="A28" s="206"/>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7"/>
      <c r="Z28" s="207"/>
      <c r="AA28" s="207"/>
      <c r="AB28" s="208"/>
    </row>
    <row r="29" spans="1:29">
      <c r="A29" s="272"/>
      <c r="B29" s="225"/>
      <c r="C29" s="225"/>
      <c r="D29" s="225"/>
      <c r="E29" s="225"/>
      <c r="F29" s="225"/>
      <c r="G29" s="225"/>
      <c r="H29" s="225"/>
      <c r="I29" s="225"/>
      <c r="J29" s="225"/>
      <c r="K29" s="225"/>
      <c r="L29" s="225"/>
      <c r="M29" s="225"/>
      <c r="N29" s="225"/>
      <c r="O29" s="225"/>
      <c r="P29" s="225"/>
      <c r="Q29" s="225"/>
      <c r="R29" s="225"/>
      <c r="S29" s="225"/>
      <c r="T29" s="225"/>
      <c r="U29" s="225"/>
      <c r="V29" s="225"/>
      <c r="W29" s="225"/>
      <c r="X29" s="225"/>
      <c r="Y29" s="225"/>
      <c r="Z29" s="225"/>
      <c r="AA29" s="225"/>
      <c r="AB29" s="226"/>
    </row>
    <row r="30" spans="1:29">
      <c r="A30" s="206"/>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7"/>
      <c r="Z30" s="207"/>
      <c r="AA30" s="207"/>
      <c r="AB30" s="208"/>
    </row>
    <row r="31" spans="1:29">
      <c r="A31" s="272"/>
      <c r="B31" s="225"/>
      <c r="C31" s="225"/>
      <c r="D31" s="225"/>
      <c r="E31" s="225"/>
      <c r="F31" s="225"/>
      <c r="G31" s="225"/>
      <c r="H31" s="225"/>
      <c r="I31" s="225"/>
      <c r="J31" s="225"/>
      <c r="K31" s="225"/>
      <c r="L31" s="225"/>
      <c r="M31" s="225"/>
      <c r="N31" s="225"/>
      <c r="O31" s="225"/>
      <c r="P31" s="225"/>
      <c r="Q31" s="225"/>
      <c r="R31" s="225"/>
      <c r="S31" s="225"/>
      <c r="T31" s="225"/>
      <c r="U31" s="225"/>
      <c r="V31" s="225"/>
      <c r="W31" s="225"/>
      <c r="X31" s="225"/>
      <c r="Y31" s="225"/>
      <c r="Z31" s="225"/>
      <c r="AA31" s="225"/>
      <c r="AB31" s="226"/>
    </row>
    <row r="32" spans="1:29">
      <c r="A32" s="206"/>
      <c r="B32" s="207"/>
      <c r="C32" s="207"/>
      <c r="D32" s="207"/>
      <c r="E32" s="207"/>
      <c r="F32" s="207"/>
      <c r="G32" s="207"/>
      <c r="H32" s="207"/>
      <c r="I32" s="207"/>
      <c r="J32" s="207"/>
      <c r="K32" s="207"/>
      <c r="L32" s="207"/>
      <c r="M32" s="207"/>
      <c r="N32" s="207"/>
      <c r="O32" s="207"/>
      <c r="P32" s="207"/>
      <c r="Q32" s="207"/>
      <c r="R32" s="207"/>
      <c r="S32" s="207"/>
      <c r="T32" s="207"/>
      <c r="U32" s="207"/>
      <c r="V32" s="207"/>
      <c r="W32" s="207"/>
      <c r="X32" s="207"/>
      <c r="Y32" s="207"/>
      <c r="Z32" s="207"/>
      <c r="AA32" s="207"/>
      <c r="AB32" s="208"/>
    </row>
    <row r="33" spans="1:28">
      <c r="A33" s="257"/>
      <c r="B33" s="228"/>
      <c r="C33" s="228"/>
      <c r="D33" s="228"/>
      <c r="E33" s="228"/>
      <c r="F33" s="228"/>
      <c r="G33" s="228"/>
      <c r="H33" s="228"/>
      <c r="I33" s="228"/>
      <c r="J33" s="228"/>
      <c r="K33" s="228"/>
      <c r="L33" s="228"/>
      <c r="M33" s="228"/>
      <c r="N33" s="228"/>
      <c r="O33" s="228"/>
      <c r="P33" s="228"/>
      <c r="Q33" s="228"/>
      <c r="R33" s="228"/>
      <c r="S33" s="228"/>
      <c r="T33" s="228"/>
      <c r="U33" s="228"/>
      <c r="V33" s="228"/>
      <c r="W33" s="228"/>
      <c r="X33" s="228"/>
      <c r="Y33" s="228"/>
      <c r="Z33" s="228"/>
      <c r="AA33" s="228"/>
      <c r="AB33" s="229"/>
    </row>
    <row r="34" spans="1:28">
      <c r="A34" s="253"/>
      <c r="B34" s="213"/>
      <c r="C34" s="213"/>
      <c r="D34" s="213"/>
      <c r="E34" s="213"/>
      <c r="F34" s="213"/>
      <c r="G34" s="213"/>
      <c r="H34" s="213"/>
      <c r="I34" s="213"/>
      <c r="J34" s="213"/>
      <c r="K34" s="213"/>
      <c r="L34" s="213"/>
      <c r="M34" s="213"/>
      <c r="N34" s="213"/>
      <c r="O34" s="213"/>
      <c r="P34" s="213"/>
      <c r="Q34" s="213"/>
      <c r="R34" s="213"/>
      <c r="S34" s="213"/>
      <c r="T34" s="213"/>
      <c r="U34" s="213"/>
      <c r="V34" s="213"/>
      <c r="W34" s="213"/>
      <c r="X34" s="213"/>
      <c r="Y34" s="213"/>
      <c r="Z34" s="213"/>
      <c r="AA34" s="213"/>
      <c r="AB34" s="214"/>
    </row>
    <row r="35" spans="1:28">
      <c r="A35" s="253"/>
      <c r="B35" s="213"/>
      <c r="C35" s="213"/>
      <c r="D35" s="213"/>
      <c r="E35" s="213"/>
      <c r="F35" s="213"/>
      <c r="G35" s="213"/>
      <c r="H35" s="213"/>
      <c r="I35" s="213"/>
      <c r="J35" s="213"/>
      <c r="K35" s="213"/>
      <c r="L35" s="213"/>
      <c r="M35" s="213"/>
      <c r="N35" s="213"/>
      <c r="O35" s="213"/>
      <c r="P35" s="213"/>
      <c r="Q35" s="213"/>
      <c r="R35" s="213"/>
      <c r="S35" s="213"/>
      <c r="T35" s="213"/>
      <c r="U35" s="213"/>
      <c r="V35" s="213"/>
      <c r="W35" s="213"/>
      <c r="X35" s="213"/>
      <c r="Y35" s="213"/>
      <c r="Z35" s="213"/>
      <c r="AA35" s="213"/>
      <c r="AB35" s="214"/>
    </row>
    <row r="36" spans="1:28">
      <c r="A36" s="253"/>
      <c r="B36" s="213"/>
      <c r="C36" s="213"/>
      <c r="D36" s="213"/>
      <c r="E36" s="213"/>
      <c r="F36" s="213"/>
      <c r="G36" s="213"/>
      <c r="H36" s="213"/>
      <c r="I36" s="213"/>
      <c r="J36" s="213"/>
      <c r="K36" s="213"/>
      <c r="L36" s="213"/>
      <c r="M36" s="213"/>
      <c r="N36" s="213"/>
      <c r="O36" s="213"/>
      <c r="P36" s="213"/>
      <c r="Q36" s="213"/>
      <c r="R36" s="213"/>
      <c r="S36" s="213"/>
      <c r="T36" s="213"/>
      <c r="U36" s="213"/>
      <c r="V36" s="213"/>
      <c r="W36" s="213"/>
      <c r="X36" s="213"/>
      <c r="Y36" s="213"/>
      <c r="Z36" s="213"/>
      <c r="AA36" s="213"/>
      <c r="AB36" s="214"/>
    </row>
    <row r="37" spans="1:28">
      <c r="A37" s="254"/>
      <c r="B37" s="255"/>
      <c r="C37" s="255"/>
      <c r="D37" s="255"/>
      <c r="E37" s="255"/>
      <c r="F37" s="255"/>
      <c r="G37" s="255"/>
      <c r="H37" s="255"/>
      <c r="I37" s="255"/>
      <c r="J37" s="255"/>
      <c r="K37" s="255"/>
      <c r="L37" s="255"/>
      <c r="M37" s="255"/>
      <c r="N37" s="255"/>
      <c r="O37" s="255"/>
      <c r="P37" s="255"/>
      <c r="Q37" s="255"/>
      <c r="R37" s="255"/>
      <c r="S37" s="255"/>
      <c r="T37" s="255"/>
      <c r="U37" s="255"/>
      <c r="V37" s="255"/>
      <c r="W37" s="255"/>
      <c r="X37" s="255"/>
      <c r="Y37" s="255"/>
      <c r="Z37" s="255"/>
      <c r="AA37" s="255"/>
      <c r="AB37" s="256"/>
    </row>
    <row r="38" spans="1:28">
      <c r="A38" s="206" t="s">
        <v>211</v>
      </c>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7"/>
      <c r="Z38" s="207"/>
      <c r="AA38" s="207"/>
      <c r="AB38" s="208"/>
    </row>
    <row r="39" spans="1:28">
      <c r="A39" s="257" t="s">
        <v>212</v>
      </c>
      <c r="B39" s="228"/>
      <c r="C39" s="228"/>
      <c r="D39" s="228"/>
      <c r="E39" s="228"/>
      <c r="F39" s="228"/>
      <c r="G39" s="228"/>
      <c r="H39" s="228"/>
      <c r="I39" s="228"/>
      <c r="J39" s="228"/>
      <c r="K39" s="228"/>
      <c r="L39" s="228"/>
      <c r="M39" s="228"/>
      <c r="N39" s="228"/>
      <c r="O39" s="228"/>
      <c r="P39" s="228"/>
      <c r="Q39" s="228"/>
      <c r="R39" s="228"/>
      <c r="S39" s="228"/>
      <c r="T39" s="228"/>
      <c r="U39" s="228"/>
      <c r="V39" s="228"/>
      <c r="W39" s="228"/>
      <c r="X39" s="228"/>
      <c r="Y39" s="228"/>
      <c r="Z39" s="228"/>
      <c r="AA39" s="228"/>
      <c r="AB39" s="229"/>
    </row>
    <row r="40" spans="1:28">
      <c r="A40" s="215"/>
      <c r="B40" s="201"/>
      <c r="C40" s="201"/>
      <c r="D40" s="201"/>
      <c r="E40" s="201"/>
      <c r="F40" s="201"/>
      <c r="G40" s="201"/>
      <c r="H40" s="201"/>
      <c r="I40" s="201"/>
      <c r="J40" s="201"/>
      <c r="K40" s="201"/>
      <c r="L40" s="201"/>
      <c r="M40" s="201"/>
      <c r="N40" s="201"/>
      <c r="O40" s="201"/>
      <c r="P40" s="201"/>
      <c r="Q40" s="201"/>
      <c r="R40" s="201"/>
      <c r="S40" s="201"/>
      <c r="T40" s="201"/>
      <c r="U40" s="201"/>
      <c r="V40" s="201"/>
      <c r="W40" s="201"/>
      <c r="X40" s="201"/>
      <c r="Y40" s="201"/>
      <c r="Z40" s="201"/>
      <c r="AA40" s="201"/>
      <c r="AB40" s="202"/>
    </row>
    <row r="41" spans="1:28">
      <c r="A41" s="215"/>
      <c r="B41" s="201"/>
      <c r="C41" s="201"/>
      <c r="D41" s="201"/>
      <c r="E41" s="201"/>
      <c r="F41" s="201"/>
      <c r="G41" s="201"/>
      <c r="H41" s="201"/>
      <c r="I41" s="201"/>
      <c r="J41" s="201"/>
      <c r="K41" s="201"/>
      <c r="L41" s="201"/>
      <c r="M41" s="201"/>
      <c r="N41" s="201"/>
      <c r="O41" s="201"/>
      <c r="P41" s="201"/>
      <c r="Q41" s="201"/>
      <c r="R41" s="201"/>
      <c r="S41" s="201"/>
      <c r="T41" s="201"/>
      <c r="U41" s="201"/>
      <c r="V41" s="201"/>
      <c r="W41" s="201"/>
      <c r="X41" s="201"/>
      <c r="Y41" s="201"/>
      <c r="Z41" s="201"/>
      <c r="AA41" s="201"/>
      <c r="AB41" s="202"/>
    </row>
    <row r="42" spans="1:28">
      <c r="A42" s="253"/>
      <c r="B42" s="213"/>
      <c r="C42" s="213"/>
      <c r="D42" s="213"/>
      <c r="E42" s="213"/>
      <c r="F42" s="213"/>
      <c r="G42" s="213"/>
      <c r="H42" s="213"/>
      <c r="I42" s="213"/>
      <c r="J42" s="213"/>
      <c r="K42" s="213"/>
      <c r="L42" s="213"/>
      <c r="M42" s="213"/>
      <c r="N42" s="213"/>
      <c r="O42" s="213"/>
      <c r="P42" s="213"/>
      <c r="Q42" s="213"/>
      <c r="R42" s="213"/>
      <c r="S42" s="213"/>
      <c r="T42" s="213"/>
      <c r="U42" s="213"/>
      <c r="V42" s="213"/>
      <c r="W42" s="213"/>
      <c r="X42" s="213"/>
      <c r="Y42" s="213"/>
      <c r="Z42" s="213"/>
      <c r="AA42" s="213"/>
      <c r="AB42" s="214"/>
    </row>
    <row r="43" spans="1:28">
      <c r="A43" s="253"/>
      <c r="B43" s="213"/>
      <c r="C43" s="213"/>
      <c r="D43" s="213"/>
      <c r="E43" s="213"/>
      <c r="F43" s="213"/>
      <c r="G43" s="213"/>
      <c r="H43" s="213"/>
      <c r="I43" s="213"/>
      <c r="J43" s="213"/>
      <c r="K43" s="213"/>
      <c r="L43" s="213"/>
      <c r="M43" s="213"/>
      <c r="N43" s="213"/>
      <c r="O43" s="213"/>
      <c r="P43" s="213"/>
      <c r="Q43" s="213"/>
      <c r="R43" s="213"/>
      <c r="S43" s="213"/>
      <c r="T43" s="213"/>
      <c r="U43" s="213"/>
      <c r="V43" s="213"/>
      <c r="W43" s="213"/>
      <c r="X43" s="213"/>
      <c r="Y43" s="213"/>
      <c r="Z43" s="213"/>
      <c r="AA43" s="213"/>
      <c r="AB43" s="214"/>
    </row>
    <row r="44" spans="1:28">
      <c r="A44" s="253"/>
      <c r="B44" s="213"/>
      <c r="C44" s="213"/>
      <c r="D44" s="213"/>
      <c r="E44" s="213"/>
      <c r="F44" s="213"/>
      <c r="G44" s="213"/>
      <c r="H44" s="213"/>
      <c r="I44" s="213"/>
      <c r="J44" s="213"/>
      <c r="K44" s="213"/>
      <c r="L44" s="213"/>
      <c r="M44" s="213"/>
      <c r="N44" s="213"/>
      <c r="O44" s="213"/>
      <c r="P44" s="213"/>
      <c r="Q44" s="213"/>
      <c r="R44" s="213"/>
      <c r="S44" s="213"/>
      <c r="T44" s="213"/>
      <c r="U44" s="213"/>
      <c r="V44" s="213"/>
      <c r="W44" s="213"/>
      <c r="X44" s="213"/>
      <c r="Y44" s="213"/>
      <c r="Z44" s="213"/>
      <c r="AA44" s="213"/>
      <c r="AB44" s="214"/>
    </row>
    <row r="45" spans="1:28">
      <c r="A45" s="258"/>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c r="AA45" s="259"/>
      <c r="AB45" s="260"/>
    </row>
  </sheetData>
  <mergeCells count="44">
    <mergeCell ref="A44:AB44"/>
    <mergeCell ref="A45:AB45"/>
    <mergeCell ref="A38:AB38"/>
    <mergeCell ref="A39:AB39"/>
    <mergeCell ref="A40:AB40"/>
    <mergeCell ref="A41:AB41"/>
    <mergeCell ref="A42:AB42"/>
    <mergeCell ref="A43:AB43"/>
    <mergeCell ref="A37:AB37"/>
    <mergeCell ref="A26:AB26"/>
    <mergeCell ref="A27:AB27"/>
    <mergeCell ref="A28:AB28"/>
    <mergeCell ref="A29:AB29"/>
    <mergeCell ref="A30:AB30"/>
    <mergeCell ref="A31:AB31"/>
    <mergeCell ref="A32:AB32"/>
    <mergeCell ref="A33:AB33"/>
    <mergeCell ref="A34:AB34"/>
    <mergeCell ref="A35:AB35"/>
    <mergeCell ref="A36:AB36"/>
    <mergeCell ref="A25:AB25"/>
    <mergeCell ref="A14:AB14"/>
    <mergeCell ref="A15:AB15"/>
    <mergeCell ref="A16:AB16"/>
    <mergeCell ref="A17:AB17"/>
    <mergeCell ref="A18:AB18"/>
    <mergeCell ref="A19:AB19"/>
    <mergeCell ref="A20:AB20"/>
    <mergeCell ref="A21:AB21"/>
    <mergeCell ref="A22:AB22"/>
    <mergeCell ref="A23:AB23"/>
    <mergeCell ref="A24:AB24"/>
    <mergeCell ref="A13:AB13"/>
    <mergeCell ref="A2:AB2"/>
    <mergeCell ref="A3:AB3"/>
    <mergeCell ref="A4:AB4"/>
    <mergeCell ref="A5:AB5"/>
    <mergeCell ref="A6:AB6"/>
    <mergeCell ref="A7:AB7"/>
    <mergeCell ref="A8:AB8"/>
    <mergeCell ref="A9:AB9"/>
    <mergeCell ref="A10:AB10"/>
    <mergeCell ref="A11:AB11"/>
    <mergeCell ref="A12:AB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95E47-09D6-49A3-A4EA-8CE769380ACB}">
  <dimension ref="A1:AL226"/>
  <sheetViews>
    <sheetView zoomScale="85" zoomScaleNormal="85" workbookViewId="0">
      <pane xSplit="2" ySplit="3" topLeftCell="C4" activePane="bottomRight" state="frozen"/>
      <selection pane="bottomRight" activeCell="O7" sqref="O7"/>
      <selection pane="bottomLeft"/>
      <selection pane="topRight"/>
    </sheetView>
  </sheetViews>
  <sheetFormatPr defaultRowHeight="15"/>
  <cols>
    <col min="2" max="3" width="26.42578125" customWidth="1"/>
    <col min="4" max="4" width="13.85546875" style="42" customWidth="1"/>
    <col min="5" max="5" width="14.85546875" style="42" customWidth="1"/>
    <col min="6" max="6" width="13.7109375" style="42" customWidth="1"/>
    <col min="7" max="7" width="12.7109375" style="38" customWidth="1"/>
    <col min="8" max="8" width="15.5703125" style="42" customWidth="1"/>
    <col min="9" max="9" width="16.42578125" style="42" customWidth="1"/>
    <col min="10" max="10" width="13.85546875" style="42" customWidth="1"/>
    <col min="11" max="11" width="14" style="42" customWidth="1"/>
    <col min="12" max="12" width="14.28515625" style="42" customWidth="1"/>
    <col min="13" max="17" width="12.7109375" style="38" customWidth="1"/>
    <col min="18" max="20" width="12.7109375" style="42" customWidth="1"/>
    <col min="21" max="21" width="12.7109375" style="38" customWidth="1"/>
    <col min="22" max="24" width="12.7109375" customWidth="1"/>
    <col min="25" max="30" width="12.7109375" style="38" customWidth="1"/>
    <col min="33" max="33" width="29" bestFit="1" customWidth="1"/>
    <col min="34" max="34" width="17" customWidth="1"/>
    <col min="37" max="37" width="11" bestFit="1" customWidth="1"/>
    <col min="38" max="38" width="13.7109375" bestFit="1" customWidth="1"/>
  </cols>
  <sheetData>
    <row r="1" spans="1:38" ht="31.5">
      <c r="A1" s="162" t="s">
        <v>0</v>
      </c>
      <c r="B1" s="163"/>
      <c r="C1" s="163"/>
      <c r="D1" s="163"/>
      <c r="E1" s="163"/>
      <c r="F1" s="163"/>
      <c r="G1" s="163"/>
      <c r="H1" s="163"/>
      <c r="I1" s="163"/>
      <c r="J1" s="163"/>
      <c r="K1" s="163"/>
      <c r="L1" s="163"/>
      <c r="M1" s="163"/>
      <c r="N1" s="163"/>
      <c r="O1" s="163"/>
      <c r="P1" s="163"/>
      <c r="Q1" s="163"/>
      <c r="R1" s="163"/>
      <c r="S1" s="163"/>
      <c r="T1" s="163"/>
      <c r="U1" s="163"/>
      <c r="V1" s="163"/>
      <c r="W1" s="163"/>
      <c r="X1" s="163"/>
      <c r="Y1" s="163"/>
      <c r="Z1" s="163"/>
      <c r="AA1" s="163"/>
      <c r="AB1" s="163"/>
      <c r="AC1" s="163"/>
      <c r="AD1" s="164"/>
      <c r="AE1" s="1"/>
    </row>
    <row r="2" spans="1:38" ht="50.25" customHeight="1">
      <c r="A2" s="191" t="s">
        <v>1</v>
      </c>
      <c r="B2" s="177" t="s">
        <v>2</v>
      </c>
      <c r="C2" s="177" t="s">
        <v>63</v>
      </c>
      <c r="D2" s="189" t="s">
        <v>64</v>
      </c>
      <c r="E2" s="189" t="s">
        <v>65</v>
      </c>
      <c r="F2" s="183" t="s">
        <v>66</v>
      </c>
      <c r="G2" s="181" t="s">
        <v>67</v>
      </c>
      <c r="H2" s="189" t="s">
        <v>68</v>
      </c>
      <c r="I2" s="189" t="s">
        <v>69</v>
      </c>
      <c r="J2" s="188" t="s">
        <v>70</v>
      </c>
      <c r="K2" s="188" t="s">
        <v>71</v>
      </c>
      <c r="L2" s="183" t="s">
        <v>72</v>
      </c>
      <c r="M2" s="181" t="s">
        <v>73</v>
      </c>
      <c r="N2" s="182" t="s">
        <v>74</v>
      </c>
      <c r="O2" s="182" t="s">
        <v>214</v>
      </c>
      <c r="P2" s="182" t="s">
        <v>215</v>
      </c>
      <c r="Q2" s="182" t="s">
        <v>216</v>
      </c>
      <c r="R2" s="189" t="s">
        <v>75</v>
      </c>
      <c r="S2" s="189" t="s">
        <v>76</v>
      </c>
      <c r="T2" s="183" t="s">
        <v>77</v>
      </c>
      <c r="U2" s="181" t="s">
        <v>78</v>
      </c>
      <c r="V2" s="273" t="s">
        <v>79</v>
      </c>
      <c r="W2" s="273" t="s">
        <v>80</v>
      </c>
      <c r="X2" s="184" t="s">
        <v>81</v>
      </c>
      <c r="Y2" s="181" t="s">
        <v>82</v>
      </c>
      <c r="Z2" s="182" t="s">
        <v>83</v>
      </c>
      <c r="AA2" s="185" t="s">
        <v>84</v>
      </c>
      <c r="AB2" s="186" t="s">
        <v>85</v>
      </c>
      <c r="AC2" s="185" t="s">
        <v>86</v>
      </c>
      <c r="AD2" s="190" t="s">
        <v>87</v>
      </c>
    </row>
    <row r="3" spans="1:38" ht="16.5" customHeight="1">
      <c r="A3" s="191"/>
      <c r="B3" s="177"/>
      <c r="C3" s="177"/>
      <c r="D3" s="189"/>
      <c r="E3" s="189"/>
      <c r="F3" s="183"/>
      <c r="G3" s="181"/>
      <c r="H3" s="189"/>
      <c r="I3" s="189"/>
      <c r="J3" s="188"/>
      <c r="K3" s="188"/>
      <c r="L3" s="183"/>
      <c r="M3" s="181"/>
      <c r="N3" s="182"/>
      <c r="O3" s="182"/>
      <c r="P3" s="182"/>
      <c r="Q3" s="182"/>
      <c r="R3" s="189"/>
      <c r="S3" s="189"/>
      <c r="T3" s="183"/>
      <c r="U3" s="181"/>
      <c r="V3" s="273"/>
      <c r="W3" s="273"/>
      <c r="X3" s="184"/>
      <c r="Y3" s="181"/>
      <c r="Z3" s="182"/>
      <c r="AA3" s="185"/>
      <c r="AB3" s="186"/>
      <c r="AC3" s="185"/>
      <c r="AD3" s="190"/>
      <c r="AK3" s="43" t="s">
        <v>88</v>
      </c>
      <c r="AL3" s="96" t="s">
        <v>89</v>
      </c>
    </row>
    <row r="4" spans="1:38">
      <c r="A4" s="7">
        <f>'Main Sheet'!A4</f>
        <v>7658</v>
      </c>
      <c r="B4" s="71" t="str">
        <f>'Main Sheet'!B4</f>
        <v>Charity Hospital</v>
      </c>
      <c r="C4" s="93" t="s">
        <v>90</v>
      </c>
      <c r="D4" s="56">
        <v>1914143.52</v>
      </c>
      <c r="E4" s="56">
        <v>1667392.4</v>
      </c>
      <c r="F4" s="40">
        <f>D4-E4</f>
        <v>246751.12000000011</v>
      </c>
      <c r="G4" s="36">
        <f>F4/D4</f>
        <v>0.12890941427422334</v>
      </c>
      <c r="H4" s="40">
        <v>1675577.99</v>
      </c>
      <c r="I4" s="40">
        <v>1406264.78</v>
      </c>
      <c r="J4" s="56">
        <f>SUM(H4-(R4+O4))</f>
        <v>1511021.45</v>
      </c>
      <c r="K4" s="56">
        <f>SUM(I4-(S4+P4))</f>
        <v>1215391.45</v>
      </c>
      <c r="L4" s="40">
        <f>J4-K4</f>
        <v>295630</v>
      </c>
      <c r="M4" s="36">
        <f>L4/J4</f>
        <v>0.19564910875355213</v>
      </c>
      <c r="N4" s="58"/>
      <c r="O4" s="136">
        <v>5</v>
      </c>
      <c r="P4" s="136">
        <v>4</v>
      </c>
      <c r="Q4" s="136">
        <f>O4-P4</f>
        <v>1</v>
      </c>
      <c r="R4" s="56">
        <v>164551.54</v>
      </c>
      <c r="S4" s="56">
        <v>190869.33</v>
      </c>
      <c r="T4" s="40">
        <f>R4-S4</f>
        <v>-26317.789999999979</v>
      </c>
      <c r="U4" s="36">
        <f>T4/R4</f>
        <v>-0.15993645516778499</v>
      </c>
      <c r="V4" s="44">
        <v>3296.1</v>
      </c>
      <c r="W4" s="44">
        <v>4599</v>
      </c>
      <c r="X4" s="8">
        <f>V4-W4</f>
        <v>-1302.9000000000001</v>
      </c>
      <c r="Y4" s="36">
        <f>X4/V4</f>
        <v>-0.39528533721671072</v>
      </c>
      <c r="Z4" s="58"/>
      <c r="AA4" s="95">
        <f>(E4-K4-S4)/W4</f>
        <v>56.780086975429434</v>
      </c>
      <c r="AB4" s="95">
        <f>(D4-J4-R4)/V4</f>
        <v>72.379639574042073</v>
      </c>
      <c r="AC4" s="36">
        <f>(E4-K4-S4)/E4</f>
        <v>0.1566107774030876</v>
      </c>
      <c r="AD4" s="60">
        <f>SUM(D4-H4)/D4</f>
        <v>0.12463304214513655</v>
      </c>
      <c r="AE4" s="80"/>
      <c r="AG4" t="s">
        <v>91</v>
      </c>
      <c r="AH4">
        <f>AK9</f>
        <v>-4599</v>
      </c>
      <c r="AK4" s="7">
        <f>SUM(W5-W4)</f>
        <v>415.48999999999978</v>
      </c>
      <c r="AL4" s="94">
        <f>SUM(K5-K4)</f>
        <v>48650.889999999898</v>
      </c>
    </row>
    <row r="5" spans="1:38">
      <c r="A5" s="7"/>
      <c r="B5" s="71"/>
      <c r="C5" s="93" t="s">
        <v>92</v>
      </c>
      <c r="D5" s="56">
        <v>1922479.92</v>
      </c>
      <c r="E5" s="56">
        <v>1667392.4</v>
      </c>
      <c r="F5" s="40">
        <f t="shared" ref="F5:F9" si="0">D5-E5</f>
        <v>255087.52000000002</v>
      </c>
      <c r="G5" s="36">
        <f t="shared" ref="G5:G9" si="1">F5/D5</f>
        <v>0.13268670187202788</v>
      </c>
      <c r="H5" s="40">
        <v>1681960.61</v>
      </c>
      <c r="I5" s="40">
        <v>1474477.14</v>
      </c>
      <c r="J5" s="56">
        <f>SUM(H5-R5)</f>
        <v>1516687.4300000002</v>
      </c>
      <c r="K5" s="56">
        <f>SUM(I5-S5)</f>
        <v>1264042.3399999999</v>
      </c>
      <c r="L5" s="40">
        <f t="shared" ref="L4:L9" si="2">J5-K5</f>
        <v>252645.09000000032</v>
      </c>
      <c r="M5" s="36">
        <f t="shared" ref="M5:M9" si="3">L5/J5</f>
        <v>0.16657689976371748</v>
      </c>
      <c r="N5" s="58"/>
      <c r="O5" s="137"/>
      <c r="P5" s="137"/>
      <c r="Q5" s="137"/>
      <c r="R5" s="56">
        <v>165273.18</v>
      </c>
      <c r="S5" s="56">
        <v>210434.8</v>
      </c>
      <c r="T5" s="40">
        <f t="shared" ref="T5:T9" si="4">R5-S5</f>
        <v>-45161.619999999995</v>
      </c>
      <c r="U5" s="36">
        <f t="shared" ref="U5:U9" si="5">T5/R5</f>
        <v>-0.27325437799405805</v>
      </c>
      <c r="V5" s="44">
        <v>3312.1</v>
      </c>
      <c r="W5" s="44">
        <v>5014.49</v>
      </c>
      <c r="X5" s="8">
        <f t="shared" ref="X5:X9" si="6">V5-W5</f>
        <v>-1702.3899999999999</v>
      </c>
      <c r="Y5" s="36">
        <f t="shared" ref="Y5:Y9" si="7">X5/V5</f>
        <v>-0.5139911234564174</v>
      </c>
      <c r="Z5" s="58"/>
      <c r="AA5" s="95">
        <f t="shared" ref="AA5:AA9" si="8">(E5-K5-S5)/W5</f>
        <v>38.471561415019288</v>
      </c>
      <c r="AB5" s="95">
        <f t="shared" ref="AB5:AB9" si="9">(D5-J5-R5)/V5</f>
        <v>72.618372029829942</v>
      </c>
      <c r="AC5" s="36">
        <f t="shared" ref="AC5:AC9" si="10">(E5-K5-S5)/E5</f>
        <v>0.11569877612492421</v>
      </c>
      <c r="AD5" s="60">
        <f t="shared" ref="AD5:AD9" si="11">SUM(D5-H5)/D5</f>
        <v>0.12510888020094371</v>
      </c>
      <c r="AE5" s="80"/>
      <c r="AG5" t="s">
        <v>93</v>
      </c>
      <c r="AH5" s="42">
        <f>AL9</f>
        <v>-1215391.45</v>
      </c>
      <c r="AK5" s="7">
        <f>SUM(W6-W5)</f>
        <v>134.5</v>
      </c>
      <c r="AL5" s="94">
        <f>SUM(K6-K5)</f>
        <v>24752.670000000158</v>
      </c>
    </row>
    <row r="6" spans="1:38">
      <c r="A6" s="7"/>
      <c r="B6" s="71"/>
      <c r="C6" s="93" t="s">
        <v>94</v>
      </c>
      <c r="D6" s="56">
        <v>1922479.92</v>
      </c>
      <c r="E6" s="56">
        <v>1667392.4</v>
      </c>
      <c r="F6" s="40">
        <f t="shared" si="0"/>
        <v>255087.52000000002</v>
      </c>
      <c r="G6" s="36">
        <f t="shared" si="1"/>
        <v>0.13268670187202788</v>
      </c>
      <c r="H6" s="40">
        <v>1681960.61</v>
      </c>
      <c r="I6" s="40">
        <v>1505572.21</v>
      </c>
      <c r="J6" s="56">
        <f>SUM(H6-R6)</f>
        <v>1516687.4300000002</v>
      </c>
      <c r="K6" s="56">
        <f>SUM(I6-S6)</f>
        <v>1288795.01</v>
      </c>
      <c r="L6" s="40">
        <f t="shared" si="2"/>
        <v>227892.42000000016</v>
      </c>
      <c r="M6" s="36">
        <f t="shared" si="3"/>
        <v>0.15025668143105803</v>
      </c>
      <c r="N6" s="58">
        <v>0.9</v>
      </c>
      <c r="O6" s="137"/>
      <c r="P6" s="137"/>
      <c r="Q6" s="137"/>
      <c r="R6" s="56">
        <v>165273.18</v>
      </c>
      <c r="S6" s="56">
        <v>216777.2</v>
      </c>
      <c r="T6" s="40">
        <f t="shared" si="4"/>
        <v>-51504.020000000019</v>
      </c>
      <c r="U6" s="36">
        <f t="shared" si="5"/>
        <v>-0.31162963040948338</v>
      </c>
      <c r="V6" s="44">
        <v>3312.1</v>
      </c>
      <c r="W6" s="44">
        <v>5148.99</v>
      </c>
      <c r="X6" s="8">
        <f t="shared" si="6"/>
        <v>-1836.8899999999999</v>
      </c>
      <c r="Y6" s="36">
        <f t="shared" si="7"/>
        <v>-0.55459980073065429</v>
      </c>
      <c r="Z6" s="58">
        <v>0.9</v>
      </c>
      <c r="AA6" s="95">
        <f t="shared" si="8"/>
        <v>31.427559579645695</v>
      </c>
      <c r="AB6" s="95">
        <f t="shared" si="9"/>
        <v>72.618372029829942</v>
      </c>
      <c r="AC6" s="36">
        <f t="shared" si="10"/>
        <v>9.7049854611307995E-2</v>
      </c>
      <c r="AD6" s="60">
        <f t="shared" si="11"/>
        <v>0.12510888020094371</v>
      </c>
      <c r="AE6" s="80"/>
      <c r="AK6" s="7">
        <f>SUM(W7-W6)</f>
        <v>-5148.99</v>
      </c>
      <c r="AL6" s="94">
        <f>SUM(K7-K6)</f>
        <v>-1288795.01</v>
      </c>
    </row>
    <row r="7" spans="1:38">
      <c r="A7" s="7"/>
      <c r="B7" s="71"/>
      <c r="C7" s="93" t="s">
        <v>95</v>
      </c>
      <c r="D7" s="56"/>
      <c r="E7" s="56"/>
      <c r="F7" s="40">
        <f t="shared" si="0"/>
        <v>0</v>
      </c>
      <c r="G7" s="36" t="e">
        <f>F7/D7</f>
        <v>#DIV/0!</v>
      </c>
      <c r="H7" s="40"/>
      <c r="I7" s="40"/>
      <c r="J7" s="56">
        <f>SUM(H7-R7)</f>
        <v>0</v>
      </c>
      <c r="K7" s="56">
        <f>SUM(I7-S7)</f>
        <v>0</v>
      </c>
      <c r="L7" s="40">
        <f t="shared" si="2"/>
        <v>0</v>
      </c>
      <c r="M7" s="36" t="e">
        <f t="shared" si="3"/>
        <v>#DIV/0!</v>
      </c>
      <c r="N7" s="58"/>
      <c r="O7" s="137"/>
      <c r="P7" s="137"/>
      <c r="Q7" s="137"/>
      <c r="R7" s="56"/>
      <c r="S7" s="56"/>
      <c r="T7" s="40">
        <f t="shared" si="4"/>
        <v>0</v>
      </c>
      <c r="U7" s="36" t="e">
        <f t="shared" si="5"/>
        <v>#DIV/0!</v>
      </c>
      <c r="V7" s="44"/>
      <c r="W7" s="44"/>
      <c r="X7" s="8">
        <f t="shared" si="6"/>
        <v>0</v>
      </c>
      <c r="Y7" s="36" t="e">
        <f t="shared" si="7"/>
        <v>#DIV/0!</v>
      </c>
      <c r="Z7" s="58"/>
      <c r="AA7" s="95" t="e">
        <f t="shared" si="8"/>
        <v>#DIV/0!</v>
      </c>
      <c r="AB7" s="95" t="e">
        <f t="shared" si="9"/>
        <v>#DIV/0!</v>
      </c>
      <c r="AC7" s="36" t="e">
        <f t="shared" si="10"/>
        <v>#DIV/0!</v>
      </c>
      <c r="AD7" s="60" t="e">
        <f t="shared" si="11"/>
        <v>#DIV/0!</v>
      </c>
      <c r="AE7" s="80"/>
      <c r="AG7" t="s">
        <v>96</v>
      </c>
      <c r="AH7" s="42">
        <v>0</v>
      </c>
      <c r="AK7" s="7">
        <f>SUM(W8-W7)</f>
        <v>0</v>
      </c>
      <c r="AL7" s="94">
        <f>SUM(K8-K7)</f>
        <v>0</v>
      </c>
    </row>
    <row r="8" spans="1:38">
      <c r="A8" s="7"/>
      <c r="B8" s="71"/>
      <c r="C8" s="93" t="s">
        <v>97</v>
      </c>
      <c r="D8" s="56"/>
      <c r="E8" s="56"/>
      <c r="F8" s="40">
        <f t="shared" si="0"/>
        <v>0</v>
      </c>
      <c r="G8" s="36" t="e">
        <f t="shared" si="1"/>
        <v>#DIV/0!</v>
      </c>
      <c r="H8" s="40"/>
      <c r="I8" s="40"/>
      <c r="J8" s="56">
        <f t="shared" ref="J8:J9" si="12">SUM(H8-R8)</f>
        <v>0</v>
      </c>
      <c r="K8" s="56">
        <f>SUM(I8-S8)</f>
        <v>0</v>
      </c>
      <c r="L8" s="40">
        <f t="shared" si="2"/>
        <v>0</v>
      </c>
      <c r="M8" s="36" t="e">
        <f t="shared" si="3"/>
        <v>#DIV/0!</v>
      </c>
      <c r="N8" s="58"/>
      <c r="O8" s="137"/>
      <c r="P8" s="137"/>
      <c r="Q8" s="137"/>
      <c r="R8" s="56"/>
      <c r="S8" s="56"/>
      <c r="T8" s="40">
        <f t="shared" si="4"/>
        <v>0</v>
      </c>
      <c r="U8" s="36" t="e">
        <f t="shared" si="5"/>
        <v>#DIV/0!</v>
      </c>
      <c r="V8" s="44"/>
      <c r="W8" s="44"/>
      <c r="X8" s="8">
        <f t="shared" si="6"/>
        <v>0</v>
      </c>
      <c r="Y8" s="36" t="e">
        <f t="shared" si="7"/>
        <v>#DIV/0!</v>
      </c>
      <c r="Z8" s="58"/>
      <c r="AA8" s="95" t="e">
        <f t="shared" si="8"/>
        <v>#DIV/0!</v>
      </c>
      <c r="AB8" s="95" t="e">
        <f t="shared" si="9"/>
        <v>#DIV/0!</v>
      </c>
      <c r="AC8" s="36" t="e">
        <f t="shared" si="10"/>
        <v>#DIV/0!</v>
      </c>
      <c r="AD8" s="60" t="e">
        <f t="shared" si="11"/>
        <v>#DIV/0!</v>
      </c>
      <c r="AE8" s="80"/>
      <c r="AK8" s="7">
        <f>SUM(W9-W8)</f>
        <v>0</v>
      </c>
      <c r="AL8" s="94">
        <f>SUM(K9-K8)</f>
        <v>0</v>
      </c>
    </row>
    <row r="9" spans="1:38">
      <c r="A9" s="7"/>
      <c r="B9" s="71"/>
      <c r="C9" s="93" t="s">
        <v>98</v>
      </c>
      <c r="D9" s="56"/>
      <c r="E9" s="56"/>
      <c r="F9" s="40">
        <f t="shared" si="0"/>
        <v>0</v>
      </c>
      <c r="G9" s="36" t="e">
        <f t="shared" si="1"/>
        <v>#DIV/0!</v>
      </c>
      <c r="H9" s="40"/>
      <c r="I9" s="40"/>
      <c r="J9" s="56">
        <f t="shared" si="12"/>
        <v>0</v>
      </c>
      <c r="K9" s="56">
        <f>SUM(I9-S9)</f>
        <v>0</v>
      </c>
      <c r="L9" s="40">
        <f t="shared" si="2"/>
        <v>0</v>
      </c>
      <c r="M9" s="36" t="e">
        <f t="shared" si="3"/>
        <v>#DIV/0!</v>
      </c>
      <c r="N9" s="58"/>
      <c r="O9" s="137"/>
      <c r="P9" s="137"/>
      <c r="Q9" s="137"/>
      <c r="R9" s="56"/>
      <c r="S9" s="56"/>
      <c r="T9" s="40">
        <f t="shared" si="4"/>
        <v>0</v>
      </c>
      <c r="U9" s="36" t="e">
        <f t="shared" si="5"/>
        <v>#DIV/0!</v>
      </c>
      <c r="V9" s="44"/>
      <c r="W9" s="44"/>
      <c r="X9" s="8">
        <f t="shared" si="6"/>
        <v>0</v>
      </c>
      <c r="Y9" s="36" t="e">
        <f t="shared" si="7"/>
        <v>#DIV/0!</v>
      </c>
      <c r="Z9" s="58"/>
      <c r="AA9" s="95" t="e">
        <f t="shared" si="8"/>
        <v>#DIV/0!</v>
      </c>
      <c r="AB9" s="95" t="e">
        <f t="shared" si="9"/>
        <v>#DIV/0!</v>
      </c>
      <c r="AC9" s="36" t="e">
        <f t="shared" si="10"/>
        <v>#DIV/0!</v>
      </c>
      <c r="AD9" s="60" t="e">
        <f t="shared" si="11"/>
        <v>#DIV/0!</v>
      </c>
      <c r="AE9" s="80"/>
      <c r="AK9" s="9">
        <f>SUM(AK4,AK5,AK6,AK7,AK8)</f>
        <v>-4599</v>
      </c>
      <c r="AL9" s="97">
        <f>SUM(AL4,AL5,AL6,AL7,AL8)</f>
        <v>-1215391.45</v>
      </c>
    </row>
    <row r="10" spans="1:38" ht="9" customHeight="1">
      <c r="A10" s="274"/>
      <c r="B10" s="275"/>
      <c r="C10" s="275"/>
      <c r="D10" s="275"/>
      <c r="E10" s="275"/>
      <c r="F10" s="275"/>
      <c r="G10" s="275"/>
      <c r="H10" s="275"/>
      <c r="I10" s="275"/>
      <c r="J10" s="275"/>
      <c r="K10" s="275"/>
      <c r="L10" s="275"/>
      <c r="M10" s="275"/>
      <c r="N10" s="275"/>
      <c r="O10" s="275"/>
      <c r="P10" s="275"/>
      <c r="Q10" s="275"/>
      <c r="R10" s="275"/>
      <c r="S10" s="275"/>
      <c r="T10" s="275"/>
      <c r="U10" s="275"/>
      <c r="V10" s="275"/>
      <c r="W10" s="275"/>
      <c r="X10" s="275"/>
      <c r="Y10" s="275"/>
      <c r="Z10" s="275"/>
      <c r="AA10" s="275"/>
      <c r="AB10" s="275"/>
      <c r="AC10" s="275"/>
      <c r="AD10" s="276"/>
    </row>
    <row r="11" spans="1:38">
      <c r="A11" s="7">
        <f>'Main Sheet'!A6</f>
        <v>8142</v>
      </c>
      <c r="B11" s="71" t="str">
        <f>'Main Sheet'!B6</f>
        <v>Fisher Developements</v>
      </c>
      <c r="C11" s="93" t="s">
        <v>90</v>
      </c>
      <c r="D11" s="135">
        <v>381671.63</v>
      </c>
      <c r="E11" s="133">
        <v>144223.4</v>
      </c>
      <c r="F11" s="40">
        <f>D11-E11</f>
        <v>237448.23</v>
      </c>
      <c r="G11" s="36">
        <f>F11/D11</f>
        <v>0.62212701006883853</v>
      </c>
      <c r="H11" s="40">
        <v>329257.09000000003</v>
      </c>
      <c r="I11" s="40">
        <v>168819.17</v>
      </c>
      <c r="J11" s="56">
        <f>SUM(H11-R11)</f>
        <v>288248.16000000003</v>
      </c>
      <c r="K11" s="56">
        <f>SUM(I11-S11)</f>
        <v>158648.53000000003</v>
      </c>
      <c r="L11" s="40">
        <f>J11-K11</f>
        <v>129599.63</v>
      </c>
      <c r="M11" s="36">
        <f t="shared" ref="M11:M16" si="13">L11/J11</f>
        <v>0.44961130020743234</v>
      </c>
      <c r="N11" s="58"/>
      <c r="O11" s="58"/>
      <c r="P11" s="58"/>
      <c r="Q11" s="58"/>
      <c r="R11" s="56">
        <v>41008.93</v>
      </c>
      <c r="S11" s="56">
        <v>10170.64</v>
      </c>
      <c r="T11" s="40">
        <f t="shared" ref="T11:T16" si="14">R11-S11</f>
        <v>30838.29</v>
      </c>
      <c r="U11" s="36">
        <f t="shared" ref="U11:U16" si="15">T11/R11</f>
        <v>0.75198962762500754</v>
      </c>
      <c r="V11" s="44">
        <v>821.2</v>
      </c>
      <c r="W11" s="44">
        <v>241</v>
      </c>
      <c r="X11" s="8">
        <f t="shared" ref="X11:X16" si="16">V11-W11</f>
        <v>580.20000000000005</v>
      </c>
      <c r="Y11" s="36">
        <f t="shared" ref="Y11:Y16" si="17">X11/V11</f>
        <v>0.70652703360935221</v>
      </c>
      <c r="Z11" s="58"/>
      <c r="AA11" s="95">
        <f t="shared" ref="AA11:AA16" si="18">(E11-K11-S11)/W11</f>
        <v>-102.05713692946073</v>
      </c>
      <c r="AB11" s="95">
        <f>(D11-J11-R11)/V11</f>
        <v>63.826765708718909</v>
      </c>
      <c r="AC11" s="36">
        <f t="shared" ref="AC11:AC16" si="19">(E11-K11-S11)/E11</f>
        <v>-0.17053938542566624</v>
      </c>
      <c r="AD11" s="60">
        <f>SUM(D11-H11)/D11</f>
        <v>0.13732888661386747</v>
      </c>
      <c r="AE11" s="80"/>
      <c r="AG11" t="s">
        <v>91</v>
      </c>
      <c r="AH11">
        <f>AK16</f>
        <v>-241</v>
      </c>
      <c r="AK11" s="7">
        <f>SUM(W12-W11)</f>
        <v>96.25</v>
      </c>
      <c r="AL11" s="94">
        <f>SUM(K12-K11)</f>
        <v>30474.419999999984</v>
      </c>
    </row>
    <row r="12" spans="1:38">
      <c r="A12" s="7"/>
      <c r="B12" s="71"/>
      <c r="C12" s="134" t="s">
        <v>92</v>
      </c>
      <c r="D12" s="56">
        <v>382219.49</v>
      </c>
      <c r="E12" s="133">
        <v>240065.55</v>
      </c>
      <c r="F12" s="40">
        <f t="shared" ref="F12:F16" si="20">D12-E12</f>
        <v>142153.94</v>
      </c>
      <c r="G12" s="36">
        <f t="shared" ref="G12:G16" si="21">F12/D12</f>
        <v>0.371917036465095</v>
      </c>
      <c r="H12" s="40">
        <v>329585.81</v>
      </c>
      <c r="I12" s="40">
        <v>202828.2</v>
      </c>
      <c r="J12" s="56">
        <f>SUM(H12-R12)</f>
        <v>288352.94</v>
      </c>
      <c r="K12" s="56">
        <f>SUM(I12-S12)</f>
        <v>189122.95</v>
      </c>
      <c r="L12" s="40">
        <f>J12-K12</f>
        <v>99229.989999999991</v>
      </c>
      <c r="M12" s="36">
        <f t="shared" si="13"/>
        <v>0.34412685370920787</v>
      </c>
      <c r="N12" s="58"/>
      <c r="O12" s="58"/>
      <c r="P12" s="58"/>
      <c r="Q12" s="58"/>
      <c r="R12" s="56">
        <v>41232.870000000003</v>
      </c>
      <c r="S12" s="56">
        <v>13705.25</v>
      </c>
      <c r="T12" s="40">
        <f t="shared" si="14"/>
        <v>27527.620000000003</v>
      </c>
      <c r="U12" s="36">
        <f t="shared" si="15"/>
        <v>0.6676134840965473</v>
      </c>
      <c r="V12" s="44">
        <v>825.68</v>
      </c>
      <c r="W12" s="44">
        <v>337.25</v>
      </c>
      <c r="X12" s="8">
        <f t="shared" si="16"/>
        <v>488.42999999999995</v>
      </c>
      <c r="Y12" s="36">
        <f t="shared" si="17"/>
        <v>0.59154878403255495</v>
      </c>
      <c r="Z12" s="58"/>
      <c r="AA12" s="95">
        <f t="shared" si="18"/>
        <v>110.41467753891764</v>
      </c>
      <c r="AB12" s="95">
        <f>(D12-J12-R12)/V12</f>
        <v>63.745857959500036</v>
      </c>
      <c r="AC12" s="36">
        <f t="shared" si="19"/>
        <v>0.15511325969094683</v>
      </c>
      <c r="AD12" s="60">
        <f t="shared" ref="AD12:AD15" si="22">SUM(D12-H12)/D12</f>
        <v>0.13770537970211827</v>
      </c>
      <c r="AE12" s="80"/>
      <c r="AG12" t="s">
        <v>93</v>
      </c>
      <c r="AH12" s="42">
        <f>AL16</f>
        <v>-158648.53000000003</v>
      </c>
      <c r="AK12" s="7">
        <f>SUM(W13-W12)</f>
        <v>101.75</v>
      </c>
      <c r="AL12" s="94">
        <f>SUM(K13-K12)</f>
        <v>7119.320000000007</v>
      </c>
    </row>
    <row r="13" spans="1:38">
      <c r="A13" s="7"/>
      <c r="B13" s="71"/>
      <c r="C13" s="134" t="s">
        <v>94</v>
      </c>
      <c r="D13" s="56">
        <v>382219.49</v>
      </c>
      <c r="E13" s="133">
        <v>240065.55</v>
      </c>
      <c r="F13" s="40">
        <f t="shared" si="20"/>
        <v>142153.94</v>
      </c>
      <c r="G13" s="36">
        <f t="shared" si="21"/>
        <v>0.371917036465095</v>
      </c>
      <c r="H13" s="40">
        <v>329585.81</v>
      </c>
      <c r="I13" s="40">
        <v>213730.54</v>
      </c>
      <c r="J13" s="56">
        <f>SUM(H13-R13)</f>
        <v>288352.94</v>
      </c>
      <c r="K13" s="56">
        <f>SUM(I13-S13)</f>
        <v>196242.27000000002</v>
      </c>
      <c r="L13" s="40">
        <f t="shared" ref="L13:L16" si="23">J13-K13</f>
        <v>92110.669999999984</v>
      </c>
      <c r="M13" s="36">
        <f>L13/J13</f>
        <v>0.31943724936530898</v>
      </c>
      <c r="N13" s="58"/>
      <c r="O13" s="58"/>
      <c r="P13" s="58"/>
      <c r="Q13" s="58"/>
      <c r="R13" s="56">
        <v>41232.870000000003</v>
      </c>
      <c r="S13" s="56">
        <v>17488.27</v>
      </c>
      <c r="T13" s="40">
        <f>R13-S13</f>
        <v>23744.600000000002</v>
      </c>
      <c r="U13" s="36">
        <f>T13/R13</f>
        <v>0.57586580803131093</v>
      </c>
      <c r="V13" s="44">
        <v>825.68</v>
      </c>
      <c r="W13" s="44">
        <v>439</v>
      </c>
      <c r="X13" s="8">
        <f t="shared" si="16"/>
        <v>386.67999999999995</v>
      </c>
      <c r="Y13" s="36">
        <f>X13/V13</f>
        <v>0.46831702354423016</v>
      </c>
      <c r="Z13" s="58"/>
      <c r="AA13" s="95">
        <f>(E13-K13-S13)/W13</f>
        <v>59.988633257403116</v>
      </c>
      <c r="AB13" s="95">
        <f>(D13-J13-R13)/V13</f>
        <v>63.745857959500036</v>
      </c>
      <c r="AC13" s="36">
        <f>(E13-K13-S13)/E13</f>
        <v>0.10969924672657101</v>
      </c>
      <c r="AD13" s="60">
        <f t="shared" si="22"/>
        <v>0.13770537970211827</v>
      </c>
      <c r="AE13" s="80"/>
      <c r="AK13" s="7">
        <f>SUM(W14-W13)</f>
        <v>-439</v>
      </c>
      <c r="AL13" s="94">
        <f>SUM(K14-K13)</f>
        <v>23227.999999999971</v>
      </c>
    </row>
    <row r="14" spans="1:38">
      <c r="A14" s="7"/>
      <c r="B14" s="71"/>
      <c r="C14" s="134" t="s">
        <v>95</v>
      </c>
      <c r="D14" s="135">
        <v>383409.63</v>
      </c>
      <c r="E14" s="133">
        <v>240065.55</v>
      </c>
      <c r="F14" s="40">
        <f t="shared" si="20"/>
        <v>143344.08000000002</v>
      </c>
      <c r="G14" s="36">
        <f t="shared" si="21"/>
        <v>0.37386666579031941</v>
      </c>
      <c r="H14" s="40">
        <v>330537</v>
      </c>
      <c r="I14" s="40">
        <v>246817.11</v>
      </c>
      <c r="J14" s="56">
        <v>289155.03000000003</v>
      </c>
      <c r="K14" s="56">
        <v>219470.27</v>
      </c>
      <c r="L14" s="40">
        <f t="shared" si="23"/>
        <v>69684.760000000038</v>
      </c>
      <c r="M14" s="36">
        <f t="shared" si="13"/>
        <v>0.24099445892398977</v>
      </c>
      <c r="N14" s="58">
        <v>0.75</v>
      </c>
      <c r="O14" s="58"/>
      <c r="P14" s="58"/>
      <c r="Q14" s="58"/>
      <c r="R14" s="56"/>
      <c r="S14" s="56"/>
      <c r="T14" s="40">
        <f t="shared" si="14"/>
        <v>0</v>
      </c>
      <c r="U14" s="36" t="e">
        <f t="shared" si="15"/>
        <v>#DIV/0!</v>
      </c>
      <c r="V14" s="44"/>
      <c r="W14" s="44"/>
      <c r="X14" s="8">
        <f t="shared" si="16"/>
        <v>0</v>
      </c>
      <c r="Y14" s="36" t="e">
        <f t="shared" si="17"/>
        <v>#DIV/0!</v>
      </c>
      <c r="Z14" s="58"/>
      <c r="AA14" s="95" t="e">
        <f t="shared" si="18"/>
        <v>#DIV/0!</v>
      </c>
      <c r="AB14" s="95" t="e">
        <f>(D16-J14-R14)/V14</f>
        <v>#DIV/0!</v>
      </c>
      <c r="AC14" s="36">
        <f t="shared" si="19"/>
        <v>8.5790235208675292E-2</v>
      </c>
      <c r="AD14" s="60">
        <f>SUM(D16-H14)/D16</f>
        <v>0.13790115287401625</v>
      </c>
      <c r="AE14" s="80"/>
      <c r="AG14" t="s">
        <v>96</v>
      </c>
      <c r="AH14" s="42">
        <v>0</v>
      </c>
      <c r="AK14" s="7">
        <f>SUM(W15-W14)</f>
        <v>0</v>
      </c>
      <c r="AL14" s="94">
        <f>SUM(K15-K14)</f>
        <v>-219470.27</v>
      </c>
    </row>
    <row r="15" spans="1:38">
      <c r="A15" s="7"/>
      <c r="B15" s="71"/>
      <c r="C15" s="134" t="s">
        <v>97</v>
      </c>
      <c r="D15" s="135">
        <v>383409.63</v>
      </c>
      <c r="E15" s="133"/>
      <c r="F15" s="40">
        <f t="shared" si="20"/>
        <v>383409.63</v>
      </c>
      <c r="G15" s="36">
        <f t="shared" si="21"/>
        <v>1</v>
      </c>
      <c r="H15" s="40"/>
      <c r="I15" s="40"/>
      <c r="J15" s="56">
        <f>SUM(H15-R15)</f>
        <v>0</v>
      </c>
      <c r="K15" s="56">
        <f>SUM(I15-S15)</f>
        <v>0</v>
      </c>
      <c r="L15" s="40">
        <f t="shared" si="23"/>
        <v>0</v>
      </c>
      <c r="M15" s="36" t="e">
        <f t="shared" si="13"/>
        <v>#DIV/0!</v>
      </c>
      <c r="N15" s="58"/>
      <c r="O15" s="58"/>
      <c r="P15" s="58"/>
      <c r="Q15" s="58"/>
      <c r="R15" s="56"/>
      <c r="S15" s="56"/>
      <c r="T15" s="40">
        <f t="shared" si="14"/>
        <v>0</v>
      </c>
      <c r="U15" s="36" t="e">
        <f t="shared" si="15"/>
        <v>#DIV/0!</v>
      </c>
      <c r="V15" s="44"/>
      <c r="W15" s="44"/>
      <c r="X15" s="8">
        <f t="shared" si="16"/>
        <v>0</v>
      </c>
      <c r="Y15" s="36" t="e">
        <f t="shared" si="17"/>
        <v>#DIV/0!</v>
      </c>
      <c r="Z15" s="58"/>
      <c r="AA15" s="95" t="e">
        <f t="shared" si="18"/>
        <v>#DIV/0!</v>
      </c>
      <c r="AB15" s="95" t="e">
        <f>(D15-J15-R15)/V15</f>
        <v>#DIV/0!</v>
      </c>
      <c r="AC15" s="36" t="e">
        <f t="shared" si="19"/>
        <v>#DIV/0!</v>
      </c>
      <c r="AD15" s="60">
        <f t="shared" si="22"/>
        <v>1</v>
      </c>
      <c r="AE15" s="80"/>
      <c r="AK15" s="7">
        <f>SUM(W16-W15)</f>
        <v>0</v>
      </c>
      <c r="AL15" s="94">
        <f>SUM(K16-K15)</f>
        <v>0</v>
      </c>
    </row>
    <row r="16" spans="1:38">
      <c r="A16" s="7"/>
      <c r="B16" s="71"/>
      <c r="C16" s="134" t="s">
        <v>98</v>
      </c>
      <c r="D16" s="135">
        <v>383409.63</v>
      </c>
      <c r="E16" s="133"/>
      <c r="F16" s="40">
        <f t="shared" si="20"/>
        <v>383409.63</v>
      </c>
      <c r="G16" s="36">
        <f t="shared" si="21"/>
        <v>1</v>
      </c>
      <c r="H16" s="40"/>
      <c r="I16" s="40"/>
      <c r="J16" s="56">
        <f>SUM(H16-R16)</f>
        <v>0</v>
      </c>
      <c r="K16" s="56">
        <f>SUM(I16-S16)</f>
        <v>0</v>
      </c>
      <c r="L16" s="40">
        <f t="shared" si="23"/>
        <v>0</v>
      </c>
      <c r="M16" s="36" t="e">
        <f t="shared" si="13"/>
        <v>#DIV/0!</v>
      </c>
      <c r="N16" s="58">
        <v>0.55000000000000004</v>
      </c>
      <c r="O16" s="58"/>
      <c r="P16" s="58"/>
      <c r="Q16" s="58"/>
      <c r="R16" s="56"/>
      <c r="S16" s="56"/>
      <c r="T16" s="40">
        <f t="shared" si="14"/>
        <v>0</v>
      </c>
      <c r="U16" s="36" t="e">
        <f t="shared" si="15"/>
        <v>#DIV/0!</v>
      </c>
      <c r="V16" s="44"/>
      <c r="W16" s="44"/>
      <c r="X16" s="8">
        <f t="shared" si="16"/>
        <v>0</v>
      </c>
      <c r="Y16" s="36" t="e">
        <f t="shared" si="17"/>
        <v>#DIV/0!</v>
      </c>
      <c r="Z16" s="58">
        <v>0.35</v>
      </c>
      <c r="AA16" s="95" t="e">
        <f t="shared" si="18"/>
        <v>#DIV/0!</v>
      </c>
      <c r="AB16" s="95" t="e">
        <f>(#REF!-J16-R16)/V16</f>
        <v>#REF!</v>
      </c>
      <c r="AC16" s="36" t="e">
        <f t="shared" si="19"/>
        <v>#DIV/0!</v>
      </c>
      <c r="AD16" s="60" t="e">
        <f>SUM(#REF!-H16)/#REF!</f>
        <v>#REF!</v>
      </c>
      <c r="AE16" s="80"/>
      <c r="AK16" s="9">
        <f>SUM(AK11,AK12,AK13,AK14,AK15)</f>
        <v>-241</v>
      </c>
      <c r="AL16" s="97">
        <f>SUM(AL11,AL12,AL13,AL14,AL15)</f>
        <v>-158648.53000000003</v>
      </c>
    </row>
    <row r="17" spans="1:38" ht="9" customHeight="1">
      <c r="A17" s="274"/>
      <c r="B17" s="275"/>
      <c r="C17" s="275"/>
      <c r="D17" s="277"/>
      <c r="E17" s="275"/>
      <c r="F17" s="275"/>
      <c r="G17" s="275"/>
      <c r="H17" s="275"/>
      <c r="I17" s="275"/>
      <c r="J17" s="275"/>
      <c r="K17" s="275"/>
      <c r="L17" s="275"/>
      <c r="M17" s="275"/>
      <c r="N17" s="275"/>
      <c r="O17" s="275"/>
      <c r="P17" s="275"/>
      <c r="Q17" s="275"/>
      <c r="R17" s="275"/>
      <c r="S17" s="275"/>
      <c r="T17" s="275"/>
      <c r="U17" s="275"/>
      <c r="V17" s="275"/>
      <c r="W17" s="275"/>
      <c r="X17" s="275"/>
      <c r="Y17" s="275"/>
      <c r="Z17" s="275"/>
      <c r="AA17" s="275"/>
      <c r="AB17" s="275"/>
      <c r="AC17" s="275"/>
      <c r="AD17" s="276"/>
    </row>
    <row r="18" spans="1:38">
      <c r="A18" s="7">
        <v>7104</v>
      </c>
      <c r="B18" s="71" t="str">
        <f>'Main Sheet'!B8</f>
        <v>3 Innovation Road</v>
      </c>
      <c r="C18" s="93" t="s">
        <v>90</v>
      </c>
      <c r="D18" s="56">
        <v>449818.08</v>
      </c>
      <c r="E18" s="56">
        <v>246538.95</v>
      </c>
      <c r="F18" s="40">
        <f>D18-E18</f>
        <v>203279.13</v>
      </c>
      <c r="G18" s="36">
        <f>F18/D18</f>
        <v>0.45191409380432196</v>
      </c>
      <c r="H18" s="40">
        <v>329858.09999999998</v>
      </c>
      <c r="I18" s="40">
        <v>251921.97</v>
      </c>
      <c r="J18" s="56">
        <f>SUM(H18-R18)</f>
        <v>255282.18999999997</v>
      </c>
      <c r="K18" s="56">
        <f>SUM(I18-S18)</f>
        <v>219103.38</v>
      </c>
      <c r="L18" s="40">
        <f t="shared" ref="L18:L23" si="24">J18-K18</f>
        <v>36178.809999999969</v>
      </c>
      <c r="M18" s="36">
        <f>L18/J18</f>
        <v>0.14172085408700064</v>
      </c>
      <c r="N18" s="58">
        <v>0</v>
      </c>
      <c r="O18" s="58"/>
      <c r="P18" s="58"/>
      <c r="Q18" s="58"/>
      <c r="R18" s="56">
        <v>74575.91</v>
      </c>
      <c r="S18" s="56">
        <v>32818.589999999997</v>
      </c>
      <c r="T18" s="40">
        <f>R18-S18</f>
        <v>41757.320000000007</v>
      </c>
      <c r="U18" s="36">
        <f t="shared" ref="U18:U23" si="25">T18/R18</f>
        <v>0.5599304118447902</v>
      </c>
      <c r="V18" s="44">
        <v>1493.36</v>
      </c>
      <c r="W18" s="44">
        <v>799.5</v>
      </c>
      <c r="X18" s="8">
        <f t="shared" ref="X18:X23" si="26">V18-W18</f>
        <v>693.8599999999999</v>
      </c>
      <c r="Y18" s="36">
        <f t="shared" ref="Y18:Y23" si="27">X18/V18</f>
        <v>0.46463009589114479</v>
      </c>
      <c r="Z18" s="58">
        <v>0</v>
      </c>
      <c r="AA18" s="95">
        <f t="shared" ref="AA18:AA23" si="28">(E18-K18-S18)/W18</f>
        <v>-6.7329831144465162</v>
      </c>
      <c r="AB18" s="95">
        <f t="shared" ref="AB18:AB23" si="29">(D18-J18-R18)/V18</f>
        <v>80.328909305191004</v>
      </c>
      <c r="AC18" s="36">
        <f t="shared" ref="AC18:AC23" si="30">(E18-K18-S18)/E18</f>
        <v>-2.1834359236136882E-2</v>
      </c>
      <c r="AD18" s="60">
        <f>SUM(D18-H18)/D18</f>
        <v>0.26668554540982442</v>
      </c>
      <c r="AE18" s="80"/>
      <c r="AG18" t="s">
        <v>91</v>
      </c>
      <c r="AH18">
        <f>AK23</f>
        <v>-799.5</v>
      </c>
      <c r="AK18" s="7">
        <f>SUM(W19-W18)</f>
        <v>57.75</v>
      </c>
      <c r="AL18" s="94">
        <f>SUM(K19-K18)</f>
        <v>-918.25999999998021</v>
      </c>
    </row>
    <row r="19" spans="1:38">
      <c r="A19" s="7"/>
      <c r="B19" s="71"/>
      <c r="C19" s="93" t="s">
        <v>92</v>
      </c>
      <c r="D19" s="56">
        <v>449818.08</v>
      </c>
      <c r="E19" s="56">
        <v>364039.73</v>
      </c>
      <c r="F19" s="40">
        <f t="shared" ref="F19:F23" si="31">D19-E19</f>
        <v>85778.350000000035</v>
      </c>
      <c r="G19" s="36">
        <f t="shared" ref="G19:G23" si="32">F19/D19</f>
        <v>0.19069564744929779</v>
      </c>
      <c r="H19" s="40">
        <v>329858.09999999998</v>
      </c>
      <c r="I19" s="40">
        <v>253347.64</v>
      </c>
      <c r="J19" s="56">
        <f>SUM(H19-R19)</f>
        <v>255282.18999999997</v>
      </c>
      <c r="K19" s="56">
        <f t="shared" ref="K19:K23" si="33">SUM(I19-S19)</f>
        <v>218185.12000000002</v>
      </c>
      <c r="L19" s="40">
        <f t="shared" si="24"/>
        <v>37097.069999999949</v>
      </c>
      <c r="M19" s="36">
        <f t="shared" ref="M19:M23" si="34">L19/J19</f>
        <v>0.14531789311271559</v>
      </c>
      <c r="N19" s="58"/>
      <c r="O19" s="58"/>
      <c r="P19" s="58"/>
      <c r="Q19" s="58"/>
      <c r="R19" s="56">
        <v>74575.91</v>
      </c>
      <c r="S19" s="56">
        <v>35162.519999999997</v>
      </c>
      <c r="T19" s="40">
        <f t="shared" ref="T19:T23" si="35">R19-S19</f>
        <v>39413.390000000007</v>
      </c>
      <c r="U19" s="36">
        <f t="shared" si="25"/>
        <v>0.52850028916844605</v>
      </c>
      <c r="V19" s="44">
        <v>1493.36</v>
      </c>
      <c r="W19" s="44">
        <v>857.25</v>
      </c>
      <c r="X19" s="8">
        <f t="shared" si="26"/>
        <v>636.1099999999999</v>
      </c>
      <c r="Y19" s="36">
        <f t="shared" si="27"/>
        <v>0.42595891144800979</v>
      </c>
      <c r="Z19" s="58">
        <v>0.1</v>
      </c>
      <c r="AA19" s="95">
        <f t="shared" si="28"/>
        <v>129.12463108778064</v>
      </c>
      <c r="AB19" s="95">
        <f t="shared" si="29"/>
        <v>80.328909305191004</v>
      </c>
      <c r="AC19" s="36">
        <f t="shared" si="30"/>
        <v>0.3040659600533161</v>
      </c>
      <c r="AD19" s="60">
        <f t="shared" ref="AD19:AD22" si="36">SUM(D19-H19)/D19</f>
        <v>0.26668554540982442</v>
      </c>
      <c r="AE19" s="80"/>
      <c r="AG19" t="s">
        <v>93</v>
      </c>
      <c r="AH19" s="42">
        <f>AL23</f>
        <v>-219103.38</v>
      </c>
      <c r="AK19" s="7">
        <f>SUM(W20-W19)</f>
        <v>93.75</v>
      </c>
      <c r="AL19" s="94">
        <f>SUM(K20-K19)</f>
        <v>5813.6900000000023</v>
      </c>
    </row>
    <row r="20" spans="1:38">
      <c r="A20" s="7"/>
      <c r="B20" s="71"/>
      <c r="C20" s="93" t="s">
        <v>94</v>
      </c>
      <c r="D20" s="56">
        <v>449818.08</v>
      </c>
      <c r="E20" s="56">
        <v>364039.73</v>
      </c>
      <c r="F20" s="40">
        <f t="shared" si="31"/>
        <v>85778.350000000035</v>
      </c>
      <c r="G20" s="36">
        <f t="shared" si="32"/>
        <v>0.19069564744929779</v>
      </c>
      <c r="H20" s="40">
        <v>329858.09999999998</v>
      </c>
      <c r="I20" s="40">
        <v>262942.02</v>
      </c>
      <c r="J20" s="56">
        <f>SUM(H20-R20)</f>
        <v>255282.18999999997</v>
      </c>
      <c r="K20" s="56">
        <f>SUM(I20-S20)</f>
        <v>223998.81000000003</v>
      </c>
      <c r="L20" s="40">
        <f>J20-K20</f>
        <v>31283.379999999946</v>
      </c>
      <c r="M20" s="36">
        <f t="shared" si="34"/>
        <v>0.12254431067047783</v>
      </c>
      <c r="N20" s="58"/>
      <c r="O20" s="58"/>
      <c r="P20" s="58"/>
      <c r="Q20" s="58"/>
      <c r="R20" s="56">
        <v>74575.91</v>
      </c>
      <c r="S20" s="56">
        <v>38943.21</v>
      </c>
      <c r="T20" s="40">
        <f t="shared" si="35"/>
        <v>35632.700000000004</v>
      </c>
      <c r="U20" s="36">
        <f>T20/R20</f>
        <v>0.47780442773008069</v>
      </c>
      <c r="V20" s="44">
        <v>1493.36</v>
      </c>
      <c r="W20" s="44">
        <v>951</v>
      </c>
      <c r="X20" s="8">
        <f>V20-W20</f>
        <v>542.3599999999999</v>
      </c>
      <c r="Y20" s="36">
        <f>X20/V20</f>
        <v>0.36318101462473878</v>
      </c>
      <c r="Z20" s="58">
        <v>0.15</v>
      </c>
      <c r="AA20" s="95">
        <f>(E20-K20-S20)/W20</f>
        <v>106.30674027339639</v>
      </c>
      <c r="AB20" s="95">
        <f>(D20-J20-R20)/V20</f>
        <v>80.328909305191004</v>
      </c>
      <c r="AC20" s="36">
        <f>(E20-K20-S20)/E20</f>
        <v>0.27771064987879202</v>
      </c>
      <c r="AD20" s="60">
        <f t="shared" si="36"/>
        <v>0.26668554540982442</v>
      </c>
      <c r="AE20" s="80"/>
      <c r="AK20" s="7">
        <f>SUM(W21-W20)</f>
        <v>-951</v>
      </c>
      <c r="AL20" s="94">
        <f>SUM(K21-K20)</f>
        <v>-223998.81000000003</v>
      </c>
    </row>
    <row r="21" spans="1:38">
      <c r="A21" s="7"/>
      <c r="B21" s="71"/>
      <c r="C21" s="93" t="s">
        <v>95</v>
      </c>
      <c r="D21" s="56"/>
      <c r="E21" s="56"/>
      <c r="F21" s="40">
        <f t="shared" si="31"/>
        <v>0</v>
      </c>
      <c r="G21" s="36" t="e">
        <f t="shared" si="32"/>
        <v>#DIV/0!</v>
      </c>
      <c r="H21" s="40"/>
      <c r="I21" s="40"/>
      <c r="J21" s="56">
        <f>SUM(H21-R21)</f>
        <v>0</v>
      </c>
      <c r="K21" s="56">
        <f t="shared" si="33"/>
        <v>0</v>
      </c>
      <c r="L21" s="40">
        <f t="shared" si="24"/>
        <v>0</v>
      </c>
      <c r="M21" s="36" t="e">
        <f t="shared" si="34"/>
        <v>#DIV/0!</v>
      </c>
      <c r="N21" s="58"/>
      <c r="O21" s="58"/>
      <c r="P21" s="58"/>
      <c r="Q21" s="58"/>
      <c r="R21" s="56"/>
      <c r="S21" s="56"/>
      <c r="T21" s="40">
        <f t="shared" si="35"/>
        <v>0</v>
      </c>
      <c r="U21" s="36" t="e">
        <f t="shared" si="25"/>
        <v>#DIV/0!</v>
      </c>
      <c r="V21" s="44"/>
      <c r="W21" s="44"/>
      <c r="X21" s="8">
        <f t="shared" si="26"/>
        <v>0</v>
      </c>
      <c r="Y21" s="36" t="e">
        <f t="shared" si="27"/>
        <v>#DIV/0!</v>
      </c>
      <c r="Z21" s="58">
        <v>0.03</v>
      </c>
      <c r="AA21" s="95" t="e">
        <f t="shared" si="28"/>
        <v>#DIV/0!</v>
      </c>
      <c r="AB21" s="95" t="e">
        <f t="shared" si="29"/>
        <v>#DIV/0!</v>
      </c>
      <c r="AC21" s="36" t="e">
        <f t="shared" si="30"/>
        <v>#DIV/0!</v>
      </c>
      <c r="AD21" s="60" t="e">
        <f t="shared" si="36"/>
        <v>#DIV/0!</v>
      </c>
      <c r="AE21" s="80"/>
      <c r="AG21" t="s">
        <v>96</v>
      </c>
      <c r="AH21" s="42">
        <v>0</v>
      </c>
      <c r="AK21" s="7">
        <f>SUM(W22-W21)</f>
        <v>0</v>
      </c>
      <c r="AL21" s="94">
        <f>SUM(K22-K21)</f>
        <v>0</v>
      </c>
    </row>
    <row r="22" spans="1:38">
      <c r="A22" s="7"/>
      <c r="B22" s="71"/>
      <c r="C22" s="93" t="s">
        <v>97</v>
      </c>
      <c r="D22" s="56"/>
      <c r="E22" s="56"/>
      <c r="F22" s="40">
        <f t="shared" si="31"/>
        <v>0</v>
      </c>
      <c r="G22" s="36" t="e">
        <f t="shared" si="32"/>
        <v>#DIV/0!</v>
      </c>
      <c r="H22" s="40"/>
      <c r="I22" s="40"/>
      <c r="J22" s="56">
        <f>SUM(H22-R22)</f>
        <v>0</v>
      </c>
      <c r="K22" s="56">
        <f t="shared" si="33"/>
        <v>0</v>
      </c>
      <c r="L22" s="40">
        <f t="shared" si="24"/>
        <v>0</v>
      </c>
      <c r="M22" s="36" t="e">
        <f t="shared" si="34"/>
        <v>#DIV/0!</v>
      </c>
      <c r="N22" s="58"/>
      <c r="O22" s="58"/>
      <c r="P22" s="58"/>
      <c r="Q22" s="58"/>
      <c r="R22" s="56"/>
      <c r="S22" s="56"/>
      <c r="T22" s="40">
        <f t="shared" si="35"/>
        <v>0</v>
      </c>
      <c r="U22" s="36" t="e">
        <f t="shared" si="25"/>
        <v>#DIV/0!</v>
      </c>
      <c r="V22" s="44"/>
      <c r="W22" s="44"/>
      <c r="X22" s="8">
        <f t="shared" si="26"/>
        <v>0</v>
      </c>
      <c r="Y22" s="36" t="e">
        <f t="shared" si="27"/>
        <v>#DIV/0!</v>
      </c>
      <c r="Z22" s="58">
        <v>0.03</v>
      </c>
      <c r="AA22" s="95" t="e">
        <f t="shared" si="28"/>
        <v>#DIV/0!</v>
      </c>
      <c r="AB22" s="95" t="e">
        <f t="shared" si="29"/>
        <v>#DIV/0!</v>
      </c>
      <c r="AC22" s="36" t="e">
        <f t="shared" si="30"/>
        <v>#DIV/0!</v>
      </c>
      <c r="AD22" s="60" t="e">
        <f t="shared" si="36"/>
        <v>#DIV/0!</v>
      </c>
      <c r="AE22" s="80"/>
      <c r="AK22" s="7">
        <f>SUM(W23-W22)</f>
        <v>0</v>
      </c>
      <c r="AL22" s="94">
        <f>SUM(K23-K22)</f>
        <v>0</v>
      </c>
    </row>
    <row r="23" spans="1:38">
      <c r="A23" s="7"/>
      <c r="B23" s="71"/>
      <c r="C23" s="93" t="s">
        <v>98</v>
      </c>
      <c r="D23" s="56"/>
      <c r="E23" s="56"/>
      <c r="F23" s="40">
        <f t="shared" si="31"/>
        <v>0</v>
      </c>
      <c r="G23" s="36" t="e">
        <f t="shared" si="32"/>
        <v>#DIV/0!</v>
      </c>
      <c r="H23" s="40"/>
      <c r="I23" s="40"/>
      <c r="J23" s="56">
        <f>SUM(H23-R23)</f>
        <v>0</v>
      </c>
      <c r="K23" s="56">
        <f t="shared" si="33"/>
        <v>0</v>
      </c>
      <c r="L23" s="40">
        <f t="shared" si="24"/>
        <v>0</v>
      </c>
      <c r="M23" s="36" t="e">
        <f t="shared" si="34"/>
        <v>#DIV/0!</v>
      </c>
      <c r="N23" s="58">
        <v>0.9</v>
      </c>
      <c r="O23" s="58"/>
      <c r="P23" s="58"/>
      <c r="Q23" s="58"/>
      <c r="R23" s="56"/>
      <c r="S23" s="56"/>
      <c r="T23" s="40">
        <f t="shared" si="35"/>
        <v>0</v>
      </c>
      <c r="U23" s="36" t="e">
        <f t="shared" si="25"/>
        <v>#DIV/0!</v>
      </c>
      <c r="V23" s="44"/>
      <c r="W23" s="44"/>
      <c r="X23" s="8">
        <f t="shared" si="26"/>
        <v>0</v>
      </c>
      <c r="Y23" s="36" t="e">
        <f t="shared" si="27"/>
        <v>#DIV/0!</v>
      </c>
      <c r="Z23" s="58">
        <v>0.65</v>
      </c>
      <c r="AA23" s="95" t="e">
        <f t="shared" si="28"/>
        <v>#DIV/0!</v>
      </c>
      <c r="AB23" s="95" t="e">
        <f t="shared" si="29"/>
        <v>#DIV/0!</v>
      </c>
      <c r="AC23" s="36" t="e">
        <f t="shared" si="30"/>
        <v>#DIV/0!</v>
      </c>
      <c r="AD23" s="60" t="e">
        <f>SUM(D23-H23)/D23</f>
        <v>#DIV/0!</v>
      </c>
      <c r="AE23" s="80"/>
      <c r="AK23" s="9">
        <f>SUM(AK18,AK19,AK20,AK21,AK22)</f>
        <v>-799.5</v>
      </c>
      <c r="AL23" s="97">
        <f>SUM(AL18,AL19,AL20,AL21,AL22)</f>
        <v>-219103.38</v>
      </c>
    </row>
    <row r="24" spans="1:38" ht="9" customHeight="1">
      <c r="A24" s="274"/>
      <c r="B24" s="275"/>
      <c r="C24" s="275"/>
      <c r="D24" s="275"/>
      <c r="E24" s="275"/>
      <c r="F24" s="275"/>
      <c r="G24" s="275"/>
      <c r="H24" s="275"/>
      <c r="I24" s="275"/>
      <c r="J24" s="275"/>
      <c r="K24" s="275"/>
      <c r="L24" s="275"/>
      <c r="M24" s="275"/>
      <c r="N24" s="275"/>
      <c r="O24" s="275"/>
      <c r="P24" s="275"/>
      <c r="Q24" s="275"/>
      <c r="R24" s="275"/>
      <c r="S24" s="275"/>
      <c r="T24" s="275"/>
      <c r="U24" s="275"/>
      <c r="V24" s="275"/>
      <c r="W24" s="275"/>
      <c r="X24" s="275"/>
      <c r="Y24" s="275"/>
      <c r="Z24" s="275"/>
      <c r="AA24" s="275"/>
      <c r="AB24" s="275"/>
      <c r="AC24" s="275"/>
      <c r="AD24" s="276"/>
    </row>
    <row r="25" spans="1:38">
      <c r="A25" s="7">
        <f>'Main Sheet'!A10</f>
        <v>8127</v>
      </c>
      <c r="B25" s="71" t="str">
        <f>'Main Sheet'!B10</f>
        <v>Rolly Autowash</v>
      </c>
      <c r="C25" s="93" t="s">
        <v>90</v>
      </c>
      <c r="D25" s="56">
        <v>38856.959999999999</v>
      </c>
      <c r="E25" s="56">
        <v>0</v>
      </c>
      <c r="F25" s="40">
        <f>D25-E25</f>
        <v>38856.959999999999</v>
      </c>
      <c r="G25" s="36">
        <f>F25/D25</f>
        <v>1</v>
      </c>
      <c r="H25" s="40">
        <v>27050.880000000001</v>
      </c>
      <c r="I25" s="40">
        <v>1129.1199999999999</v>
      </c>
      <c r="J25" s="56">
        <f>SUM(H25-R25)</f>
        <v>16492.080000000002</v>
      </c>
      <c r="K25" s="56">
        <f>SUM(I25-S25)</f>
        <v>1129.1199999999999</v>
      </c>
      <c r="L25" s="40">
        <f t="shared" ref="L25:L30" si="37">J25-K25</f>
        <v>15362.960000000003</v>
      </c>
      <c r="M25" s="36">
        <f t="shared" ref="M25:M30" si="38">L25/J25</f>
        <v>0.93153562194701944</v>
      </c>
      <c r="N25" s="58">
        <v>0</v>
      </c>
      <c r="O25" s="58"/>
      <c r="P25" s="58"/>
      <c r="Q25" s="58"/>
      <c r="R25" s="56">
        <v>10558.8</v>
      </c>
      <c r="S25" s="56">
        <v>0</v>
      </c>
      <c r="T25" s="40">
        <f t="shared" ref="T25:T30" si="39">R25-S25</f>
        <v>10558.8</v>
      </c>
      <c r="U25" s="36">
        <f>T25/R25</f>
        <v>1</v>
      </c>
      <c r="V25" s="44">
        <v>213</v>
      </c>
      <c r="W25" s="44">
        <v>0</v>
      </c>
      <c r="X25" s="8">
        <f t="shared" ref="X25:X30" si="40">V25-W25</f>
        <v>213</v>
      </c>
      <c r="Y25" s="36">
        <f t="shared" ref="Y25:Y30" si="41">X25/V25</f>
        <v>1</v>
      </c>
      <c r="Z25" s="58">
        <v>0</v>
      </c>
      <c r="AA25" s="95" t="e">
        <f t="shared" ref="AA25:AA30" si="42">(E25-K25-S25)/W25</f>
        <v>#DIV/0!</v>
      </c>
      <c r="AB25" s="95">
        <f t="shared" ref="AB25:AB30" si="43">(D25-J25-R25)/V25</f>
        <v>55.427605633802806</v>
      </c>
      <c r="AC25" s="36" t="e">
        <f t="shared" ref="AC25:AC30" si="44">(E25-K25-S25)/E25</f>
        <v>#DIV/0!</v>
      </c>
      <c r="AD25" s="60">
        <f>SUM(D25-H25)/D25</f>
        <v>0.30383437098527516</v>
      </c>
      <c r="AE25" s="80"/>
      <c r="AG25" t="s">
        <v>91</v>
      </c>
      <c r="AH25">
        <f>AK30</f>
        <v>0</v>
      </c>
      <c r="AK25" s="7">
        <f>SUM(W26-W25)</f>
        <v>9.25</v>
      </c>
      <c r="AL25" s="94">
        <f>SUM(K26-K25)</f>
        <v>5779.58</v>
      </c>
    </row>
    <row r="26" spans="1:38">
      <c r="A26" s="7"/>
      <c r="B26" s="71"/>
      <c r="C26" s="93" t="s">
        <v>92</v>
      </c>
      <c r="D26" s="56">
        <v>38856.959999999999</v>
      </c>
      <c r="E26" s="56">
        <v>0</v>
      </c>
      <c r="F26" s="40">
        <f t="shared" ref="F26:F30" si="45">D26-E26</f>
        <v>38856.959999999999</v>
      </c>
      <c r="G26" s="36">
        <f t="shared" ref="G26:G30" si="46">F26/D26</f>
        <v>1</v>
      </c>
      <c r="H26" s="40">
        <v>27050.880000000001</v>
      </c>
      <c r="I26" s="40">
        <v>7293.59</v>
      </c>
      <c r="J26" s="56">
        <f>SUM(H26-R26)</f>
        <v>16492.080000000002</v>
      </c>
      <c r="K26" s="56">
        <f>SUM(I26-S26)</f>
        <v>6908.7</v>
      </c>
      <c r="L26" s="40">
        <f t="shared" si="37"/>
        <v>9583.380000000001</v>
      </c>
      <c r="M26" s="36">
        <f t="shared" si="38"/>
        <v>0.58108983221037003</v>
      </c>
      <c r="N26" s="58">
        <v>0</v>
      </c>
      <c r="O26" s="58"/>
      <c r="P26" s="58"/>
      <c r="Q26" s="58"/>
      <c r="R26" s="56">
        <v>10558.8</v>
      </c>
      <c r="S26" s="56">
        <v>384.89</v>
      </c>
      <c r="T26" s="40">
        <f t="shared" si="39"/>
        <v>10173.91</v>
      </c>
      <c r="U26" s="36">
        <f t="shared" ref="U26:U30" si="47">T26/R26</f>
        <v>0.96354794105390773</v>
      </c>
      <c r="V26" s="44">
        <v>213.13</v>
      </c>
      <c r="W26" s="44">
        <v>9.25</v>
      </c>
      <c r="X26" s="8">
        <f t="shared" si="40"/>
        <v>203.88</v>
      </c>
      <c r="Y26" s="36">
        <f t="shared" si="41"/>
        <v>0.95659925866841833</v>
      </c>
      <c r="Z26" s="58">
        <v>0</v>
      </c>
      <c r="AA26" s="95">
        <f t="shared" si="42"/>
        <v>-788.49621621621623</v>
      </c>
      <c r="AB26" s="95">
        <f t="shared" si="43"/>
        <v>55.3937972129686</v>
      </c>
      <c r="AC26" s="36" t="e">
        <f t="shared" si="44"/>
        <v>#DIV/0!</v>
      </c>
      <c r="AD26" s="60">
        <f t="shared" ref="AD26:AD29" si="48">SUM(D26-H26)/D26</f>
        <v>0.30383437098527516</v>
      </c>
      <c r="AE26" s="80"/>
      <c r="AG26" t="s">
        <v>93</v>
      </c>
      <c r="AH26" s="42">
        <f>AL30</f>
        <v>-1129.119999999999</v>
      </c>
      <c r="AK26" s="7">
        <f>SUM(W27-W26)</f>
        <v>101.75</v>
      </c>
      <c r="AL26" s="94">
        <f>SUM(K27-K26)</f>
        <v>6796.1299999999983</v>
      </c>
    </row>
    <row r="27" spans="1:38">
      <c r="A27" s="7"/>
      <c r="B27" s="71"/>
      <c r="C27" s="93" t="s">
        <v>94</v>
      </c>
      <c r="D27" s="56">
        <v>38856.959999999999</v>
      </c>
      <c r="E27" s="56">
        <v>0</v>
      </c>
      <c r="F27" s="40">
        <f t="shared" si="45"/>
        <v>38856.959999999999</v>
      </c>
      <c r="G27" s="36">
        <f t="shared" si="46"/>
        <v>1</v>
      </c>
      <c r="H27" s="40">
        <v>27050.880000000001</v>
      </c>
      <c r="I27" s="40">
        <v>18431.21</v>
      </c>
      <c r="J27" s="56">
        <f>SUM(H27-R27)</f>
        <v>16492.080000000002</v>
      </c>
      <c r="K27" s="56">
        <f>SUM(I27-S27)</f>
        <v>13704.829999999998</v>
      </c>
      <c r="L27" s="40">
        <f>J27-K27</f>
        <v>2787.2500000000036</v>
      </c>
      <c r="M27" s="36">
        <f>L27/J27</f>
        <v>0.16900536499944235</v>
      </c>
      <c r="N27" s="58">
        <v>0</v>
      </c>
      <c r="O27" s="58"/>
      <c r="P27" s="58"/>
      <c r="Q27" s="58"/>
      <c r="R27" s="56">
        <v>10558.8</v>
      </c>
      <c r="S27" s="56">
        <v>4726.38</v>
      </c>
      <c r="T27" s="40">
        <f>R27-S27</f>
        <v>5832.4199999999992</v>
      </c>
      <c r="U27" s="36">
        <f t="shared" si="47"/>
        <v>0.552375269917036</v>
      </c>
      <c r="V27" s="44">
        <v>213.13</v>
      </c>
      <c r="W27" s="44">
        <v>111</v>
      </c>
      <c r="X27" s="8">
        <f>V27-W27</f>
        <v>102.13</v>
      </c>
      <c r="Y27" s="36">
        <f>X27/V27</f>
        <v>0.47919110402102</v>
      </c>
      <c r="Z27" s="58">
        <v>0</v>
      </c>
      <c r="AA27" s="95">
        <f>(E27-K27-S27)/W27</f>
        <v>-166.04693693693693</v>
      </c>
      <c r="AB27" s="95">
        <f>(D27-J27-R27)/V27</f>
        <v>55.3937972129686</v>
      </c>
      <c r="AC27" s="36" t="e">
        <f>(E27-K27-S27)/E27</f>
        <v>#DIV/0!</v>
      </c>
      <c r="AD27" s="60">
        <f t="shared" si="48"/>
        <v>0.30383437098527516</v>
      </c>
      <c r="AE27" s="80"/>
      <c r="AK27" s="7">
        <f>SUM(W28-W27)</f>
        <v>-111</v>
      </c>
      <c r="AL27" s="94">
        <f>SUM(K28-K27)</f>
        <v>-13704.829999999998</v>
      </c>
    </row>
    <row r="28" spans="1:38">
      <c r="A28" s="7"/>
      <c r="B28" s="71"/>
      <c r="C28" s="93" t="s">
        <v>95</v>
      </c>
      <c r="D28" s="56"/>
      <c r="E28" s="56">
        <v>0</v>
      </c>
      <c r="F28" s="40">
        <f t="shared" si="45"/>
        <v>0</v>
      </c>
      <c r="G28" s="36" t="e">
        <f t="shared" si="46"/>
        <v>#DIV/0!</v>
      </c>
      <c r="H28" s="40"/>
      <c r="I28" s="40"/>
      <c r="J28" s="56">
        <f>SUM(H28-R28)</f>
        <v>0</v>
      </c>
      <c r="K28" s="56">
        <f>SUM(I28-S28)</f>
        <v>0</v>
      </c>
      <c r="L28" s="40">
        <f t="shared" si="37"/>
        <v>0</v>
      </c>
      <c r="M28" s="36" t="e">
        <f t="shared" si="38"/>
        <v>#DIV/0!</v>
      </c>
      <c r="N28" s="58">
        <v>0</v>
      </c>
      <c r="O28" s="58"/>
      <c r="P28" s="58"/>
      <c r="Q28" s="58"/>
      <c r="R28" s="56"/>
      <c r="S28" s="56">
        <v>0</v>
      </c>
      <c r="T28" s="40">
        <f t="shared" si="39"/>
        <v>0</v>
      </c>
      <c r="U28" s="36" t="e">
        <f t="shared" si="47"/>
        <v>#DIV/0!</v>
      </c>
      <c r="V28" s="44"/>
      <c r="W28" s="44">
        <v>0</v>
      </c>
      <c r="X28" s="8">
        <f t="shared" si="40"/>
        <v>0</v>
      </c>
      <c r="Y28" s="36" t="e">
        <f t="shared" si="41"/>
        <v>#DIV/0!</v>
      </c>
      <c r="Z28" s="58">
        <v>0</v>
      </c>
      <c r="AA28" s="95" t="e">
        <f t="shared" si="42"/>
        <v>#DIV/0!</v>
      </c>
      <c r="AB28" s="95" t="e">
        <f t="shared" si="43"/>
        <v>#DIV/0!</v>
      </c>
      <c r="AC28" s="36" t="e">
        <f t="shared" si="44"/>
        <v>#DIV/0!</v>
      </c>
      <c r="AD28" s="60" t="e">
        <f t="shared" si="48"/>
        <v>#DIV/0!</v>
      </c>
      <c r="AE28" s="80"/>
      <c r="AG28" t="s">
        <v>96</v>
      </c>
      <c r="AH28" s="42">
        <v>0</v>
      </c>
      <c r="AK28" s="7">
        <f>SUM(W29-W28)</f>
        <v>0</v>
      </c>
      <c r="AL28" s="94">
        <f>SUM(K29-K28)</f>
        <v>0</v>
      </c>
    </row>
    <row r="29" spans="1:38">
      <c r="A29" s="7"/>
      <c r="B29" s="71"/>
      <c r="C29" s="93" t="s">
        <v>97</v>
      </c>
      <c r="D29" s="56"/>
      <c r="E29" s="56">
        <v>0</v>
      </c>
      <c r="F29" s="40">
        <f t="shared" si="45"/>
        <v>0</v>
      </c>
      <c r="G29" s="36" t="e">
        <f t="shared" si="46"/>
        <v>#DIV/0!</v>
      </c>
      <c r="H29" s="40"/>
      <c r="I29" s="40"/>
      <c r="J29" s="56">
        <f>SUM(H29-R29)</f>
        <v>0</v>
      </c>
      <c r="K29" s="56">
        <f>SUM(I29-S29)</f>
        <v>0</v>
      </c>
      <c r="L29" s="40">
        <f t="shared" si="37"/>
        <v>0</v>
      </c>
      <c r="M29" s="36" t="e">
        <f t="shared" si="38"/>
        <v>#DIV/0!</v>
      </c>
      <c r="N29" s="58">
        <v>0</v>
      </c>
      <c r="O29" s="58"/>
      <c r="P29" s="58"/>
      <c r="Q29" s="58"/>
      <c r="R29" s="56"/>
      <c r="S29" s="56">
        <v>0</v>
      </c>
      <c r="T29" s="40">
        <f t="shared" si="39"/>
        <v>0</v>
      </c>
      <c r="U29" s="36" t="e">
        <f t="shared" si="47"/>
        <v>#DIV/0!</v>
      </c>
      <c r="V29" s="44"/>
      <c r="W29" s="44">
        <v>0</v>
      </c>
      <c r="X29" s="8">
        <f t="shared" si="40"/>
        <v>0</v>
      </c>
      <c r="Y29" s="36" t="e">
        <f t="shared" si="41"/>
        <v>#DIV/0!</v>
      </c>
      <c r="Z29" s="58">
        <v>0</v>
      </c>
      <c r="AA29" s="95" t="e">
        <f t="shared" si="42"/>
        <v>#DIV/0!</v>
      </c>
      <c r="AB29" s="95" t="e">
        <f t="shared" si="43"/>
        <v>#DIV/0!</v>
      </c>
      <c r="AC29" s="36" t="e">
        <f t="shared" si="44"/>
        <v>#DIV/0!</v>
      </c>
      <c r="AD29" s="60" t="e">
        <f t="shared" si="48"/>
        <v>#DIV/0!</v>
      </c>
      <c r="AE29" s="80"/>
      <c r="AK29" s="7">
        <f>SUM(W30-W29)</f>
        <v>0</v>
      </c>
      <c r="AL29" s="94">
        <f>SUM(K30-K29)</f>
        <v>0</v>
      </c>
    </row>
    <row r="30" spans="1:38">
      <c r="A30" s="7"/>
      <c r="B30" s="71"/>
      <c r="C30" s="93" t="s">
        <v>98</v>
      </c>
      <c r="D30" s="56"/>
      <c r="E30" s="56">
        <v>0</v>
      </c>
      <c r="F30" s="40">
        <f t="shared" si="45"/>
        <v>0</v>
      </c>
      <c r="G30" s="36" t="e">
        <f t="shared" si="46"/>
        <v>#DIV/0!</v>
      </c>
      <c r="H30" s="40"/>
      <c r="I30" s="40"/>
      <c r="J30" s="56">
        <f>SUM(H30-R30)</f>
        <v>0</v>
      </c>
      <c r="K30" s="56">
        <f>SUM(I30-S30)</f>
        <v>0</v>
      </c>
      <c r="L30" s="40">
        <f t="shared" si="37"/>
        <v>0</v>
      </c>
      <c r="M30" s="36" t="e">
        <f t="shared" si="38"/>
        <v>#DIV/0!</v>
      </c>
      <c r="N30" s="58">
        <v>0</v>
      </c>
      <c r="O30" s="58"/>
      <c r="P30" s="58"/>
      <c r="Q30" s="58"/>
      <c r="R30" s="56"/>
      <c r="S30" s="56">
        <v>0</v>
      </c>
      <c r="T30" s="40">
        <f t="shared" si="39"/>
        <v>0</v>
      </c>
      <c r="U30" s="36" t="e">
        <f t="shared" si="47"/>
        <v>#DIV/0!</v>
      </c>
      <c r="V30" s="44"/>
      <c r="W30" s="44">
        <v>0</v>
      </c>
      <c r="X30" s="8">
        <f t="shared" si="40"/>
        <v>0</v>
      </c>
      <c r="Y30" s="36" t="e">
        <f t="shared" si="41"/>
        <v>#DIV/0!</v>
      </c>
      <c r="Z30" s="58">
        <v>0</v>
      </c>
      <c r="AA30" s="95" t="e">
        <f t="shared" si="42"/>
        <v>#DIV/0!</v>
      </c>
      <c r="AB30" s="95" t="e">
        <f t="shared" si="43"/>
        <v>#DIV/0!</v>
      </c>
      <c r="AC30" s="36" t="e">
        <f t="shared" si="44"/>
        <v>#DIV/0!</v>
      </c>
      <c r="AD30" s="60" t="e">
        <f>SUM(D30-H30)/D30</f>
        <v>#DIV/0!</v>
      </c>
      <c r="AE30" s="80"/>
      <c r="AK30" s="9">
        <f>SUM(AK25,AK26,AK27,AK28,AK29)</f>
        <v>0</v>
      </c>
      <c r="AL30" s="97">
        <f>SUM(AL25,AL26,AL27,AL28,AL29)</f>
        <v>-1129.119999999999</v>
      </c>
    </row>
    <row r="31" spans="1:38" ht="9" customHeight="1">
      <c r="A31" s="274"/>
      <c r="B31" s="275"/>
      <c r="C31" s="275"/>
      <c r="D31" s="275"/>
      <c r="E31" s="275"/>
      <c r="F31" s="275"/>
      <c r="G31" s="275"/>
      <c r="H31" s="275"/>
      <c r="I31" s="275"/>
      <c r="J31" s="275"/>
      <c r="K31" s="275"/>
      <c r="L31" s="275"/>
      <c r="M31" s="275"/>
      <c r="N31" s="275"/>
      <c r="O31" s="275"/>
      <c r="P31" s="275"/>
      <c r="Q31" s="275"/>
      <c r="R31" s="275"/>
      <c r="S31" s="275"/>
      <c r="T31" s="275"/>
      <c r="U31" s="275"/>
      <c r="V31" s="275"/>
      <c r="W31" s="275"/>
      <c r="X31" s="275"/>
      <c r="Y31" s="275"/>
      <c r="Z31" s="275"/>
      <c r="AA31" s="275"/>
      <c r="AB31" s="275"/>
      <c r="AC31" s="275"/>
      <c r="AD31" s="276"/>
    </row>
    <row r="32" spans="1:38">
      <c r="A32" s="7">
        <f>'Main Sheet'!A12</f>
        <v>8183</v>
      </c>
      <c r="B32" s="71" t="str">
        <f>'Main Sheet'!B12</f>
        <v>Murney - 1 Freight Drive + 109 Iport</v>
      </c>
      <c r="C32" s="93" t="s">
        <v>90</v>
      </c>
      <c r="D32" s="56">
        <v>69191.710000000006</v>
      </c>
      <c r="E32" s="56">
        <v>0</v>
      </c>
      <c r="F32" s="40">
        <f>D32-E32</f>
        <v>69191.710000000006</v>
      </c>
      <c r="G32" s="36">
        <f>F32/D32</f>
        <v>1</v>
      </c>
      <c r="H32" s="40">
        <v>53243.87</v>
      </c>
      <c r="I32" s="40">
        <v>641.28</v>
      </c>
      <c r="J32" s="56">
        <f>SUM(H32-R32)</f>
        <v>41588.94</v>
      </c>
      <c r="K32" s="56">
        <f>SUM(I32-S32)</f>
        <v>171.83999999999997</v>
      </c>
      <c r="L32" s="40">
        <f t="shared" ref="L32:L37" si="49">J32-K32</f>
        <v>41417.100000000006</v>
      </c>
      <c r="M32" s="36">
        <f t="shared" ref="M32:M37" si="50">L32/J32</f>
        <v>0.99586813224862192</v>
      </c>
      <c r="N32" s="58"/>
      <c r="O32" s="58"/>
      <c r="P32" s="58"/>
      <c r="Q32" s="58"/>
      <c r="R32" s="56">
        <v>11654.93</v>
      </c>
      <c r="S32" s="56">
        <v>469.44</v>
      </c>
      <c r="T32" s="40">
        <f t="shared" ref="T32:T37" si="51">R32-S32</f>
        <v>11185.49</v>
      </c>
      <c r="U32" s="36">
        <f t="shared" ref="U32:U37" si="52">T32/R32</f>
        <v>0.95972176581069124</v>
      </c>
      <c r="V32" s="44">
        <v>233.59</v>
      </c>
      <c r="W32" s="44">
        <v>12.5</v>
      </c>
      <c r="X32" s="8">
        <f t="shared" ref="X32:X37" si="53">V32-W32</f>
        <v>221.09</v>
      </c>
      <c r="Y32" s="36">
        <f t="shared" ref="Y32:Y37" si="54">X32/V32</f>
        <v>0.94648743524979662</v>
      </c>
      <c r="Z32" s="58">
        <v>0</v>
      </c>
      <c r="AA32" s="95">
        <f t="shared" ref="AA32:AA37" si="55">(E32-K32-S32)/W32</f>
        <v>-51.302399999999999</v>
      </c>
      <c r="AB32" s="95">
        <f t="shared" ref="AB32:AB37" si="56">(D32-J32-R32)/V32</f>
        <v>68.272785650070645</v>
      </c>
      <c r="AC32" s="36" t="e">
        <f t="shared" ref="AC32:AC37" si="57">(E32-K32-S32)/E32</f>
        <v>#DIV/0!</v>
      </c>
      <c r="AD32" s="60">
        <f>SUM(D32-H32)/D32</f>
        <v>0.23048772750377181</v>
      </c>
      <c r="AE32" s="80"/>
      <c r="AG32" t="s">
        <v>91</v>
      </c>
      <c r="AH32">
        <f>AK37</f>
        <v>-12.5</v>
      </c>
      <c r="AK32" s="7">
        <f>SUM(W33-W32)</f>
        <v>4.5</v>
      </c>
      <c r="AL32" s="94">
        <f>SUM(K33-K32)</f>
        <v>13.949999999999989</v>
      </c>
    </row>
    <row r="33" spans="1:38">
      <c r="A33" s="7"/>
      <c r="B33" s="71"/>
      <c r="C33" s="93" t="s">
        <v>92</v>
      </c>
      <c r="D33" s="56">
        <v>69191.710000000006</v>
      </c>
      <c r="E33" s="56">
        <v>1364.78</v>
      </c>
      <c r="F33" s="40">
        <f t="shared" ref="F33:F37" si="58">D33-E33</f>
        <v>67826.930000000008</v>
      </c>
      <c r="G33" s="36">
        <f t="shared" ref="G33:G37" si="59">F33/D33</f>
        <v>0.98027538270119352</v>
      </c>
      <c r="H33" s="40">
        <v>53243.87</v>
      </c>
      <c r="I33" s="40">
        <v>844.77</v>
      </c>
      <c r="J33" s="56">
        <f>SUM(H33-R33)</f>
        <v>41588.94</v>
      </c>
      <c r="K33" s="56">
        <f>SUM(I33-S33)</f>
        <v>185.78999999999996</v>
      </c>
      <c r="L33" s="40">
        <f t="shared" si="49"/>
        <v>41403.15</v>
      </c>
      <c r="M33" s="36">
        <f t="shared" si="50"/>
        <v>0.99553270653207315</v>
      </c>
      <c r="N33" s="58"/>
      <c r="O33" s="58"/>
      <c r="P33" s="58"/>
      <c r="Q33" s="58"/>
      <c r="R33" s="56">
        <v>11654.93</v>
      </c>
      <c r="S33" s="56">
        <v>658.98</v>
      </c>
      <c r="T33" s="40">
        <f t="shared" si="51"/>
        <v>10995.95</v>
      </c>
      <c r="U33" s="36">
        <f t="shared" si="52"/>
        <v>0.94345911987459385</v>
      </c>
      <c r="V33" s="44">
        <v>233.59</v>
      </c>
      <c r="W33" s="44">
        <v>17</v>
      </c>
      <c r="X33" s="8">
        <f t="shared" si="53"/>
        <v>216.59</v>
      </c>
      <c r="Y33" s="36">
        <f t="shared" si="54"/>
        <v>0.92722291193972339</v>
      </c>
      <c r="Z33" s="58"/>
      <c r="AA33" s="95">
        <f t="shared" si="55"/>
        <v>30.588823529411766</v>
      </c>
      <c r="AB33" s="95">
        <f t="shared" si="56"/>
        <v>68.272785650070645</v>
      </c>
      <c r="AC33" s="36">
        <f t="shared" si="57"/>
        <v>0.38102111695657909</v>
      </c>
      <c r="AD33" s="60">
        <f t="shared" ref="AD33:AD36" si="60">SUM(D33-H33)/D33</f>
        <v>0.23048772750377181</v>
      </c>
      <c r="AE33" s="80"/>
      <c r="AG33" t="s">
        <v>93</v>
      </c>
      <c r="AH33" s="42">
        <f>AL37</f>
        <v>-171.84000000000015</v>
      </c>
      <c r="AK33" s="7">
        <f>SUM(W34-W33)</f>
        <v>3</v>
      </c>
      <c r="AL33" s="94">
        <f>SUM(K34-K33)</f>
        <v>3907.37</v>
      </c>
    </row>
    <row r="34" spans="1:38">
      <c r="A34" s="7"/>
      <c r="B34" s="71"/>
      <c r="C34" s="93" t="s">
        <v>94</v>
      </c>
      <c r="D34" s="56">
        <v>69191.710000000006</v>
      </c>
      <c r="E34" s="56">
        <v>1364.78</v>
      </c>
      <c r="F34" s="40">
        <f t="shared" si="58"/>
        <v>67826.930000000008</v>
      </c>
      <c r="G34" s="36">
        <f t="shared" si="59"/>
        <v>0.98027538270119352</v>
      </c>
      <c r="H34" s="40">
        <v>53243.87</v>
      </c>
      <c r="I34" s="40">
        <v>4850.24</v>
      </c>
      <c r="J34" s="56">
        <f>SUM(H34-R34)</f>
        <v>41588.94</v>
      </c>
      <c r="K34" s="56">
        <f>SUM(I34-S34)</f>
        <v>4093.16</v>
      </c>
      <c r="L34" s="40">
        <f t="shared" si="49"/>
        <v>37495.78</v>
      </c>
      <c r="M34" s="36">
        <f t="shared" si="50"/>
        <v>0.90158056444814405</v>
      </c>
      <c r="N34" s="58"/>
      <c r="O34" s="58"/>
      <c r="P34" s="58"/>
      <c r="Q34" s="58"/>
      <c r="R34" s="56">
        <v>11654.93</v>
      </c>
      <c r="S34" s="56">
        <v>757.08</v>
      </c>
      <c r="T34" s="40">
        <f t="shared" si="51"/>
        <v>10897.85</v>
      </c>
      <c r="U34" s="36">
        <f t="shared" si="52"/>
        <v>0.93504208090481877</v>
      </c>
      <c r="V34" s="44">
        <v>233.59</v>
      </c>
      <c r="W34" s="44">
        <v>20</v>
      </c>
      <c r="X34" s="8">
        <f t="shared" si="53"/>
        <v>213.59</v>
      </c>
      <c r="Y34" s="36">
        <f t="shared" si="54"/>
        <v>0.91437989639967465</v>
      </c>
      <c r="Z34" s="58"/>
      <c r="AA34" s="95">
        <f t="shared" si="55"/>
        <v>-174.273</v>
      </c>
      <c r="AB34" s="95">
        <f t="shared" si="56"/>
        <v>68.272785650070645</v>
      </c>
      <c r="AC34" s="36">
        <f t="shared" si="57"/>
        <v>-2.5538621609343632</v>
      </c>
      <c r="AD34" s="60">
        <f t="shared" si="60"/>
        <v>0.23048772750377181</v>
      </c>
      <c r="AE34" s="80"/>
      <c r="AK34" s="7">
        <f>SUM(W35-W34)</f>
        <v>-20</v>
      </c>
      <c r="AL34" s="94">
        <f>SUM(K35-K34)</f>
        <v>-4093.16</v>
      </c>
    </row>
    <row r="35" spans="1:38">
      <c r="A35" s="7"/>
      <c r="B35" s="71"/>
      <c r="C35" s="93" t="s">
        <v>95</v>
      </c>
      <c r="D35" s="56"/>
      <c r="E35" s="56"/>
      <c r="F35" s="40">
        <f t="shared" si="58"/>
        <v>0</v>
      </c>
      <c r="G35" s="36" t="e">
        <f t="shared" si="59"/>
        <v>#DIV/0!</v>
      </c>
      <c r="H35" s="40"/>
      <c r="I35" s="40"/>
      <c r="J35" s="56">
        <f>SUM(H35-R35)</f>
        <v>0</v>
      </c>
      <c r="K35" s="56">
        <f>SUM(I35-S35)</f>
        <v>0</v>
      </c>
      <c r="L35" s="40">
        <f t="shared" si="49"/>
        <v>0</v>
      </c>
      <c r="M35" s="36" t="e">
        <f t="shared" si="50"/>
        <v>#DIV/0!</v>
      </c>
      <c r="N35" s="58"/>
      <c r="O35" s="58"/>
      <c r="P35" s="58"/>
      <c r="Q35" s="58"/>
      <c r="R35" s="56"/>
      <c r="S35" s="56"/>
      <c r="T35" s="40">
        <f t="shared" si="51"/>
        <v>0</v>
      </c>
      <c r="U35" s="36" t="e">
        <f t="shared" si="52"/>
        <v>#DIV/0!</v>
      </c>
      <c r="V35" s="44"/>
      <c r="W35" s="44"/>
      <c r="X35" s="8">
        <f t="shared" si="53"/>
        <v>0</v>
      </c>
      <c r="Y35" s="36" t="e">
        <f t="shared" si="54"/>
        <v>#DIV/0!</v>
      </c>
      <c r="Z35" s="58"/>
      <c r="AA35" s="95" t="e">
        <f t="shared" si="55"/>
        <v>#DIV/0!</v>
      </c>
      <c r="AB35" s="95" t="e">
        <f t="shared" si="56"/>
        <v>#DIV/0!</v>
      </c>
      <c r="AC35" s="36" t="e">
        <f t="shared" si="57"/>
        <v>#DIV/0!</v>
      </c>
      <c r="AD35" s="60" t="e">
        <f t="shared" si="60"/>
        <v>#DIV/0!</v>
      </c>
      <c r="AE35" s="80"/>
      <c r="AG35" t="s">
        <v>96</v>
      </c>
      <c r="AH35" s="42">
        <v>0</v>
      </c>
      <c r="AK35" s="7">
        <f>SUM(W36-W35)</f>
        <v>0</v>
      </c>
      <c r="AL35" s="94">
        <f>SUM(K36-K35)</f>
        <v>0</v>
      </c>
    </row>
    <row r="36" spans="1:38">
      <c r="A36" s="7"/>
      <c r="B36" s="71"/>
      <c r="C36" s="93" t="s">
        <v>97</v>
      </c>
      <c r="D36" s="56"/>
      <c r="E36" s="56"/>
      <c r="F36" s="40">
        <f t="shared" si="58"/>
        <v>0</v>
      </c>
      <c r="G36" s="36" t="e">
        <f t="shared" si="59"/>
        <v>#DIV/0!</v>
      </c>
      <c r="H36" s="40"/>
      <c r="I36" s="40"/>
      <c r="J36" s="56">
        <f>SUM(H36-R36)</f>
        <v>0</v>
      </c>
      <c r="K36" s="56">
        <f>SUM(I36-S36)</f>
        <v>0</v>
      </c>
      <c r="L36" s="40">
        <f t="shared" si="49"/>
        <v>0</v>
      </c>
      <c r="M36" s="36" t="e">
        <f t="shared" si="50"/>
        <v>#DIV/0!</v>
      </c>
      <c r="N36" s="58"/>
      <c r="O36" s="58"/>
      <c r="P36" s="58"/>
      <c r="Q36" s="58"/>
      <c r="R36" s="56"/>
      <c r="S36" s="56"/>
      <c r="T36" s="40">
        <f t="shared" si="51"/>
        <v>0</v>
      </c>
      <c r="U36" s="36" t="e">
        <f t="shared" si="52"/>
        <v>#DIV/0!</v>
      </c>
      <c r="V36" s="44"/>
      <c r="W36" s="44"/>
      <c r="X36" s="8">
        <f t="shared" si="53"/>
        <v>0</v>
      </c>
      <c r="Y36" s="36" t="e">
        <f t="shared" si="54"/>
        <v>#DIV/0!</v>
      </c>
      <c r="Z36" s="58"/>
      <c r="AA36" s="95" t="e">
        <f t="shared" si="55"/>
        <v>#DIV/0!</v>
      </c>
      <c r="AB36" s="95" t="e">
        <f t="shared" si="56"/>
        <v>#DIV/0!</v>
      </c>
      <c r="AC36" s="36" t="e">
        <f t="shared" si="57"/>
        <v>#DIV/0!</v>
      </c>
      <c r="AD36" s="60" t="e">
        <f t="shared" si="60"/>
        <v>#DIV/0!</v>
      </c>
      <c r="AE36" s="80"/>
      <c r="AK36" s="7">
        <f>SUM(W37-W36)</f>
        <v>0</v>
      </c>
      <c r="AL36" s="94">
        <f>SUM(K37-K36)</f>
        <v>0</v>
      </c>
    </row>
    <row r="37" spans="1:38">
      <c r="A37" s="7"/>
      <c r="B37" s="71"/>
      <c r="C37" s="93" t="s">
        <v>98</v>
      </c>
      <c r="D37" s="56"/>
      <c r="E37" s="56"/>
      <c r="F37" s="40">
        <f t="shared" si="58"/>
        <v>0</v>
      </c>
      <c r="G37" s="36" t="e">
        <f t="shared" si="59"/>
        <v>#DIV/0!</v>
      </c>
      <c r="H37" s="40"/>
      <c r="I37" s="40"/>
      <c r="J37" s="56">
        <f>SUM(H37-R37)</f>
        <v>0</v>
      </c>
      <c r="K37" s="56">
        <f>SUM(I37-S37)</f>
        <v>0</v>
      </c>
      <c r="L37" s="40">
        <f t="shared" si="49"/>
        <v>0</v>
      </c>
      <c r="M37" s="36" t="e">
        <f t="shared" si="50"/>
        <v>#DIV/0!</v>
      </c>
      <c r="N37" s="58"/>
      <c r="O37" s="58"/>
      <c r="P37" s="58"/>
      <c r="Q37" s="58"/>
      <c r="R37" s="56"/>
      <c r="S37" s="56"/>
      <c r="T37" s="40">
        <f t="shared" si="51"/>
        <v>0</v>
      </c>
      <c r="U37" s="36" t="e">
        <f t="shared" si="52"/>
        <v>#DIV/0!</v>
      </c>
      <c r="V37" s="44"/>
      <c r="W37" s="44"/>
      <c r="X37" s="8">
        <f t="shared" si="53"/>
        <v>0</v>
      </c>
      <c r="Y37" s="36" t="e">
        <f t="shared" si="54"/>
        <v>#DIV/0!</v>
      </c>
      <c r="Z37" s="58"/>
      <c r="AA37" s="95" t="e">
        <f t="shared" si="55"/>
        <v>#DIV/0!</v>
      </c>
      <c r="AB37" s="95" t="e">
        <f t="shared" si="56"/>
        <v>#DIV/0!</v>
      </c>
      <c r="AC37" s="36" t="e">
        <f t="shared" si="57"/>
        <v>#DIV/0!</v>
      </c>
      <c r="AD37" s="60" t="e">
        <f>SUM(D37-H37)/D37</f>
        <v>#DIV/0!</v>
      </c>
      <c r="AE37" s="80"/>
      <c r="AK37" s="9">
        <f>SUM(AK32,AK33,AK34,AK35,AK36)</f>
        <v>-12.5</v>
      </c>
      <c r="AL37" s="97">
        <f>SUM(AL32,AL33,AL34,AL35,AL36)</f>
        <v>-171.84000000000015</v>
      </c>
    </row>
    <row r="38" spans="1:38" ht="9" customHeight="1">
      <c r="A38" s="274"/>
      <c r="B38" s="275"/>
      <c r="C38" s="275"/>
      <c r="D38" s="275"/>
      <c r="E38" s="275"/>
      <c r="F38" s="275"/>
      <c r="G38" s="275"/>
      <c r="H38" s="275"/>
      <c r="I38" s="275"/>
      <c r="J38" s="275"/>
      <c r="K38" s="275"/>
      <c r="L38" s="275"/>
      <c r="M38" s="275"/>
      <c r="N38" s="275"/>
      <c r="O38" s="275"/>
      <c r="P38" s="275"/>
      <c r="Q38" s="275"/>
      <c r="R38" s="275"/>
      <c r="S38" s="275"/>
      <c r="T38" s="275"/>
      <c r="U38" s="275"/>
      <c r="V38" s="275"/>
      <c r="W38" s="275"/>
      <c r="X38" s="275"/>
      <c r="Y38" s="275"/>
      <c r="Z38" s="275"/>
      <c r="AA38" s="275"/>
      <c r="AB38" s="275"/>
      <c r="AC38" s="275"/>
      <c r="AD38" s="276"/>
    </row>
    <row r="39" spans="1:38">
      <c r="A39" s="7">
        <f>'Main Sheet'!A14</f>
        <v>8886</v>
      </c>
      <c r="B39" s="71" t="str">
        <f>'Main Sheet'!B14</f>
        <v>Monkey Toe - Fisher fit out</v>
      </c>
      <c r="C39" s="93" t="s">
        <v>90</v>
      </c>
      <c r="D39" s="56">
        <v>44956.29</v>
      </c>
      <c r="E39" s="56"/>
      <c r="F39" s="40">
        <f>D39-E39</f>
        <v>44956.29</v>
      </c>
      <c r="G39" s="36">
        <f>F39/D39</f>
        <v>1</v>
      </c>
      <c r="H39" s="40">
        <v>30585.67</v>
      </c>
      <c r="I39" s="40">
        <v>0</v>
      </c>
      <c r="J39" s="56">
        <f>SUM(H39-R39)</f>
        <v>19268.79</v>
      </c>
      <c r="K39" s="56">
        <f>SUM(I39-S39)</f>
        <v>0</v>
      </c>
      <c r="L39" s="40">
        <f t="shared" ref="L39:L44" si="61">J39-K39</f>
        <v>19268.79</v>
      </c>
      <c r="M39" s="36">
        <f t="shared" ref="M39:M44" si="62">L39/J39</f>
        <v>1</v>
      </c>
      <c r="N39" s="58"/>
      <c r="O39" s="58"/>
      <c r="P39" s="58"/>
      <c r="Q39" s="58"/>
      <c r="R39" s="56">
        <v>11316.88</v>
      </c>
      <c r="S39" s="56"/>
      <c r="T39" s="40">
        <f t="shared" ref="T39:T44" si="63">R39-S39</f>
        <v>11316.88</v>
      </c>
      <c r="U39" s="36">
        <f t="shared" ref="U39:U44" si="64">T39/R39</f>
        <v>1</v>
      </c>
      <c r="V39" s="44">
        <v>234.28</v>
      </c>
      <c r="W39" s="44">
        <v>0</v>
      </c>
      <c r="X39" s="8">
        <f>V39-W39</f>
        <v>234.28</v>
      </c>
      <c r="Y39" s="36">
        <f>X39/V39</f>
        <v>1</v>
      </c>
      <c r="Z39" s="58">
        <v>0.8</v>
      </c>
      <c r="AA39" s="95" t="e">
        <f t="shared" ref="AA39:AA44" si="65">(E39-K39-S39)/W39</f>
        <v>#DIV/0!</v>
      </c>
      <c r="AB39" s="95">
        <f>(D39-J39-R39)/V39</f>
        <v>61.339508280689778</v>
      </c>
      <c r="AC39" s="36" t="e">
        <f t="shared" ref="AC39:AC44" si="66">(E39-K39-S39)/E39</f>
        <v>#DIV/0!</v>
      </c>
      <c r="AD39" s="60">
        <f>SUM(D39-H39)/D39</f>
        <v>0.31965760519829378</v>
      </c>
      <c r="AE39" s="80"/>
      <c r="AG39" t="s">
        <v>91</v>
      </c>
      <c r="AH39">
        <f>AK44</f>
        <v>0</v>
      </c>
      <c r="AK39" s="7">
        <f>SUM(W40-W39)</f>
        <v>0</v>
      </c>
      <c r="AL39" s="94">
        <f>SUM(K40-K39)</f>
        <v>0</v>
      </c>
    </row>
    <row r="40" spans="1:38">
      <c r="A40" s="7"/>
      <c r="B40" s="71"/>
      <c r="C40" s="93" t="s">
        <v>92</v>
      </c>
      <c r="D40" s="56">
        <v>44956.29</v>
      </c>
      <c r="E40" s="56"/>
      <c r="F40" s="40">
        <f>D40-E40</f>
        <v>44956.29</v>
      </c>
      <c r="G40" s="36">
        <f t="shared" ref="G40:G44" si="67">F40/D40</f>
        <v>1</v>
      </c>
      <c r="H40" s="40">
        <v>30585.67</v>
      </c>
      <c r="I40" s="40"/>
      <c r="J40" s="56">
        <f>SUM(H40-R40)</f>
        <v>19268.79</v>
      </c>
      <c r="K40" s="56">
        <f t="shared" ref="K40:K44" si="68">SUM(I40-S40)</f>
        <v>0</v>
      </c>
      <c r="L40" s="40">
        <f t="shared" si="61"/>
        <v>19268.79</v>
      </c>
      <c r="M40" s="36">
        <f t="shared" si="62"/>
        <v>1</v>
      </c>
      <c r="N40" s="58"/>
      <c r="O40" s="58"/>
      <c r="P40" s="58"/>
      <c r="Q40" s="58"/>
      <c r="R40" s="56">
        <v>11316.88</v>
      </c>
      <c r="S40" s="56"/>
      <c r="T40" s="40">
        <f t="shared" si="63"/>
        <v>11316.88</v>
      </c>
      <c r="U40" s="36">
        <f t="shared" si="64"/>
        <v>1</v>
      </c>
      <c r="V40" s="44">
        <v>234.28</v>
      </c>
      <c r="W40" s="44">
        <v>0</v>
      </c>
      <c r="X40" s="8">
        <f>V40-W40</f>
        <v>234.28</v>
      </c>
      <c r="Y40" s="36">
        <f>X40/V40</f>
        <v>1</v>
      </c>
      <c r="Z40" s="58">
        <v>0.95</v>
      </c>
      <c r="AA40" s="95" t="e">
        <f t="shared" si="65"/>
        <v>#DIV/0!</v>
      </c>
      <c r="AB40" s="95">
        <f>(D40-J40-R40)/V40</f>
        <v>61.339508280689778</v>
      </c>
      <c r="AC40" s="36" t="e">
        <f t="shared" si="66"/>
        <v>#DIV/0!</v>
      </c>
      <c r="AD40" s="60">
        <f t="shared" ref="AD40:AD44" si="69">SUM(D40-H40)/D40</f>
        <v>0.31965760519829378</v>
      </c>
      <c r="AE40" s="80"/>
      <c r="AG40" t="s">
        <v>93</v>
      </c>
      <c r="AH40" s="42">
        <f>AL44</f>
        <v>0</v>
      </c>
      <c r="AK40" s="7">
        <f>SUM(W41-W40)</f>
        <v>2.5</v>
      </c>
      <c r="AL40" s="94">
        <f>SUM(K41-K40)</f>
        <v>0</v>
      </c>
    </row>
    <row r="41" spans="1:38">
      <c r="A41" s="7"/>
      <c r="B41" s="71"/>
      <c r="C41" s="93" t="s">
        <v>94</v>
      </c>
      <c r="D41" s="56">
        <v>44956.29</v>
      </c>
      <c r="E41" s="56"/>
      <c r="F41" s="40">
        <f t="shared" ref="F41:F44" si="70">D41-E41</f>
        <v>44956.29</v>
      </c>
      <c r="G41" s="36">
        <f t="shared" si="67"/>
        <v>1</v>
      </c>
      <c r="H41" s="40">
        <v>30585.67</v>
      </c>
      <c r="I41" s="40">
        <v>112.35</v>
      </c>
      <c r="J41" s="56">
        <f>SUM(H41-R41)</f>
        <v>19268.79</v>
      </c>
      <c r="K41" s="56">
        <f t="shared" si="68"/>
        <v>0</v>
      </c>
      <c r="L41" s="40">
        <f t="shared" si="61"/>
        <v>19268.79</v>
      </c>
      <c r="M41" s="36">
        <f t="shared" si="62"/>
        <v>1</v>
      </c>
      <c r="N41" s="58"/>
      <c r="O41" s="58"/>
      <c r="P41" s="58"/>
      <c r="Q41" s="58"/>
      <c r="R41" s="56">
        <v>11316.88</v>
      </c>
      <c r="S41" s="56">
        <v>112.35</v>
      </c>
      <c r="T41" s="40">
        <f t="shared" si="63"/>
        <v>11204.529999999999</v>
      </c>
      <c r="U41" s="36">
        <f t="shared" si="64"/>
        <v>0.99007235209704436</v>
      </c>
      <c r="V41" s="44">
        <v>234.28</v>
      </c>
      <c r="W41" s="44">
        <v>2.5</v>
      </c>
      <c r="X41" s="8">
        <f>V41-W41</f>
        <v>231.78</v>
      </c>
      <c r="Y41" s="36">
        <f>X41/V41</f>
        <v>0.98932900802458601</v>
      </c>
      <c r="Z41" s="58">
        <v>0.98</v>
      </c>
      <c r="AA41" s="95">
        <f t="shared" si="65"/>
        <v>-44.94</v>
      </c>
      <c r="AB41" s="95">
        <f>(D41-J41-R41)/V41</f>
        <v>61.339508280689778</v>
      </c>
      <c r="AC41" s="36" t="e">
        <f t="shared" si="66"/>
        <v>#DIV/0!</v>
      </c>
      <c r="AD41" s="60">
        <f t="shared" si="69"/>
        <v>0.31965760519829378</v>
      </c>
      <c r="AE41" s="80"/>
      <c r="AK41" s="7">
        <f>SUM(W42-W41)</f>
        <v>-2.5</v>
      </c>
      <c r="AL41" s="94">
        <f>SUM(K42-K41)</f>
        <v>0</v>
      </c>
    </row>
    <row r="42" spans="1:38">
      <c r="A42" s="7"/>
      <c r="B42" s="71"/>
      <c r="C42" s="93" t="s">
        <v>95</v>
      </c>
      <c r="D42" s="56"/>
      <c r="E42" s="56"/>
      <c r="F42" s="40">
        <f t="shared" si="70"/>
        <v>0</v>
      </c>
      <c r="G42" s="36" t="e">
        <f t="shared" si="67"/>
        <v>#DIV/0!</v>
      </c>
      <c r="H42" s="40"/>
      <c r="I42" s="40"/>
      <c r="J42" s="56">
        <f>SUM(H42-R42)</f>
        <v>0</v>
      </c>
      <c r="K42" s="56">
        <f t="shared" si="68"/>
        <v>0</v>
      </c>
      <c r="L42" s="40">
        <f t="shared" si="61"/>
        <v>0</v>
      </c>
      <c r="M42" s="36" t="e">
        <f t="shared" si="62"/>
        <v>#DIV/0!</v>
      </c>
      <c r="N42" s="58"/>
      <c r="O42" s="58"/>
      <c r="P42" s="58"/>
      <c r="Q42" s="58"/>
      <c r="R42" s="56"/>
      <c r="S42" s="56"/>
      <c r="T42" s="40">
        <f t="shared" si="63"/>
        <v>0</v>
      </c>
      <c r="U42" s="36" t="e">
        <f t="shared" si="64"/>
        <v>#DIV/0!</v>
      </c>
      <c r="V42" s="44"/>
      <c r="W42" s="44">
        <v>0</v>
      </c>
      <c r="X42" s="8">
        <f>V42-W42</f>
        <v>0</v>
      </c>
      <c r="Y42" s="36">
        <f>X42/V41</f>
        <v>0</v>
      </c>
      <c r="Z42" s="58">
        <v>1</v>
      </c>
      <c r="AA42" s="95" t="e">
        <f t="shared" si="65"/>
        <v>#DIV/0!</v>
      </c>
      <c r="AB42" s="95">
        <f>(D42-J42-R42)/V41</f>
        <v>0</v>
      </c>
      <c r="AC42" s="36" t="e">
        <f t="shared" si="66"/>
        <v>#DIV/0!</v>
      </c>
      <c r="AD42" s="60" t="e">
        <f t="shared" si="69"/>
        <v>#DIV/0!</v>
      </c>
      <c r="AE42" s="80"/>
      <c r="AG42" t="s">
        <v>96</v>
      </c>
      <c r="AH42" s="42">
        <v>0</v>
      </c>
      <c r="AK42" s="7">
        <f>SUM(W43-W42)</f>
        <v>0</v>
      </c>
      <c r="AL42" s="94">
        <f>SUM(K43-K42)</f>
        <v>0</v>
      </c>
    </row>
    <row r="43" spans="1:38">
      <c r="A43" s="7"/>
      <c r="B43" s="71"/>
      <c r="C43" s="93" t="s">
        <v>97</v>
      </c>
      <c r="D43" s="56"/>
      <c r="E43" s="56"/>
      <c r="F43" s="40">
        <f t="shared" si="70"/>
        <v>0</v>
      </c>
      <c r="G43" s="36" t="e">
        <f t="shared" si="67"/>
        <v>#DIV/0!</v>
      </c>
      <c r="H43" s="40"/>
      <c r="I43" s="40"/>
      <c r="J43" s="56">
        <f>SUM(H43-R43)</f>
        <v>0</v>
      </c>
      <c r="K43" s="56">
        <f t="shared" si="68"/>
        <v>0</v>
      </c>
      <c r="L43" s="40">
        <f t="shared" si="61"/>
        <v>0</v>
      </c>
      <c r="M43" s="36" t="e">
        <f t="shared" si="62"/>
        <v>#DIV/0!</v>
      </c>
      <c r="N43" s="58"/>
      <c r="O43" s="58"/>
      <c r="P43" s="58"/>
      <c r="Q43" s="58"/>
      <c r="R43" s="56"/>
      <c r="S43" s="56"/>
      <c r="T43" s="40">
        <f t="shared" si="63"/>
        <v>0</v>
      </c>
      <c r="U43" s="36" t="e">
        <f t="shared" si="64"/>
        <v>#DIV/0!</v>
      </c>
      <c r="V43" s="44"/>
      <c r="W43" s="44">
        <v>0</v>
      </c>
      <c r="X43" s="8">
        <f>V43-W43</f>
        <v>0</v>
      </c>
      <c r="Y43" s="36" t="e">
        <f>X43/V43</f>
        <v>#DIV/0!</v>
      </c>
      <c r="Z43" s="58">
        <v>1</v>
      </c>
      <c r="AA43" s="95" t="e">
        <f t="shared" si="65"/>
        <v>#DIV/0!</v>
      </c>
      <c r="AB43" s="95" t="e">
        <f>(D43-J43-R43)/V43</f>
        <v>#DIV/0!</v>
      </c>
      <c r="AC43" s="36" t="e">
        <f t="shared" si="66"/>
        <v>#DIV/0!</v>
      </c>
      <c r="AD43" s="60" t="e">
        <f t="shared" si="69"/>
        <v>#DIV/0!</v>
      </c>
      <c r="AE43" s="80"/>
      <c r="AK43" s="7">
        <f>SUM(W44-W43)</f>
        <v>0</v>
      </c>
      <c r="AL43" s="94">
        <f>SUM(K44-K43)</f>
        <v>0</v>
      </c>
    </row>
    <row r="44" spans="1:38">
      <c r="A44" s="7"/>
      <c r="B44" s="71"/>
      <c r="C44" s="93" t="s">
        <v>98</v>
      </c>
      <c r="D44" s="56"/>
      <c r="E44" s="56"/>
      <c r="F44" s="40">
        <f t="shared" si="70"/>
        <v>0</v>
      </c>
      <c r="G44" s="36" t="e">
        <f t="shared" si="67"/>
        <v>#DIV/0!</v>
      </c>
      <c r="H44" s="40"/>
      <c r="I44" s="40"/>
      <c r="J44" s="56">
        <f>SUM(H44-R44)</f>
        <v>0</v>
      </c>
      <c r="K44" s="56">
        <f t="shared" si="68"/>
        <v>0</v>
      </c>
      <c r="L44" s="40">
        <f t="shared" si="61"/>
        <v>0</v>
      </c>
      <c r="M44" s="36" t="e">
        <f t="shared" si="62"/>
        <v>#DIV/0!</v>
      </c>
      <c r="N44" s="58"/>
      <c r="O44" s="58"/>
      <c r="P44" s="58"/>
      <c r="Q44" s="58"/>
      <c r="R44" s="56"/>
      <c r="S44" s="56"/>
      <c r="T44" s="40">
        <f t="shared" si="63"/>
        <v>0</v>
      </c>
      <c r="U44" s="36" t="e">
        <f t="shared" si="64"/>
        <v>#DIV/0!</v>
      </c>
      <c r="V44" s="44"/>
      <c r="W44" s="44">
        <v>0</v>
      </c>
      <c r="X44" s="8">
        <f>V44-W44</f>
        <v>0</v>
      </c>
      <c r="Y44" s="36" t="e">
        <f>X44/V44</f>
        <v>#DIV/0!</v>
      </c>
      <c r="Z44" s="58">
        <v>1</v>
      </c>
      <c r="AA44" s="95" t="e">
        <f t="shared" si="65"/>
        <v>#DIV/0!</v>
      </c>
      <c r="AB44" s="95" t="e">
        <f>(D44-J44-R44)/V44</f>
        <v>#DIV/0!</v>
      </c>
      <c r="AC44" s="36" t="e">
        <f t="shared" si="66"/>
        <v>#DIV/0!</v>
      </c>
      <c r="AD44" s="60" t="e">
        <f t="shared" si="69"/>
        <v>#DIV/0!</v>
      </c>
      <c r="AE44" s="80"/>
      <c r="AK44" s="9">
        <f>SUM(AK39,AK40,AK41,AK42,AK43)</f>
        <v>0</v>
      </c>
      <c r="AL44" s="97">
        <f>SUM(AL39,AL40,AL41,AL42,AL43)</f>
        <v>0</v>
      </c>
    </row>
    <row r="45" spans="1:38" ht="9" customHeight="1">
      <c r="A45" s="274"/>
      <c r="B45" s="275"/>
      <c r="C45" s="275"/>
      <c r="D45" s="275"/>
      <c r="E45" s="275"/>
      <c r="F45" s="275"/>
      <c r="G45" s="275"/>
      <c r="H45" s="275"/>
      <c r="I45" s="275"/>
      <c r="J45" s="275"/>
      <c r="K45" s="275"/>
      <c r="L45" s="275"/>
      <c r="M45" s="275"/>
      <c r="N45" s="275"/>
      <c r="O45" s="275"/>
      <c r="P45" s="275"/>
      <c r="Q45" s="275"/>
      <c r="R45" s="275"/>
      <c r="S45" s="275"/>
      <c r="T45" s="275"/>
      <c r="U45" s="275"/>
      <c r="V45" s="275"/>
      <c r="W45" s="275"/>
      <c r="X45" s="275"/>
      <c r="Y45" s="275"/>
      <c r="Z45" s="275"/>
      <c r="AA45" s="275"/>
      <c r="AB45" s="275"/>
      <c r="AC45" s="275"/>
      <c r="AD45" s="276"/>
    </row>
    <row r="46" spans="1:38">
      <c r="A46" s="7">
        <f>'Main Sheet'!A16</f>
        <v>8887</v>
      </c>
      <c r="B46" s="71" t="str">
        <f>'Main Sheet'!B16</f>
        <v>Tenancy 2 - Fisher Fit out</v>
      </c>
      <c r="C46" s="93" t="s">
        <v>90</v>
      </c>
      <c r="D46" s="56">
        <v>7495.54</v>
      </c>
      <c r="E46" s="56">
        <v>0</v>
      </c>
      <c r="F46" s="40">
        <f>D46-E46</f>
        <v>7495.54</v>
      </c>
      <c r="G46" s="36">
        <f>F46/D46</f>
        <v>1</v>
      </c>
      <c r="H46" s="40">
        <v>5659.85</v>
      </c>
      <c r="I46" s="40">
        <v>0</v>
      </c>
      <c r="J46" s="56">
        <f>SUM(H46-R46)</f>
        <v>3768.0300000000007</v>
      </c>
      <c r="K46" s="56">
        <f>SUM(I46-S46)</f>
        <v>0</v>
      </c>
      <c r="L46" s="40">
        <f t="shared" ref="L46:L51" si="71">J46-K46</f>
        <v>3768.0300000000007</v>
      </c>
      <c r="M46" s="36">
        <f t="shared" ref="M46:M51" si="72">L46/J46</f>
        <v>1</v>
      </c>
      <c r="N46" s="58">
        <v>0</v>
      </c>
      <c r="O46" s="58"/>
      <c r="P46" s="58"/>
      <c r="Q46" s="58"/>
      <c r="R46" s="56">
        <v>1891.82</v>
      </c>
      <c r="S46" s="56">
        <v>0</v>
      </c>
      <c r="T46" s="40">
        <f>R46-S46</f>
        <v>1891.82</v>
      </c>
      <c r="U46" s="36">
        <f>T46/R46</f>
        <v>1</v>
      </c>
      <c r="V46" s="44">
        <v>37.840000000000003</v>
      </c>
      <c r="W46" s="44">
        <v>0</v>
      </c>
      <c r="X46" s="8">
        <f>V46-W46</f>
        <v>37.840000000000003</v>
      </c>
      <c r="Y46" s="36">
        <f>X46/V46</f>
        <v>1</v>
      </c>
      <c r="Z46" s="58">
        <v>0</v>
      </c>
      <c r="AA46" s="95" t="e">
        <f>(E46-K46-S46)/W46</f>
        <v>#DIV/0!</v>
      </c>
      <c r="AB46" s="95">
        <f>(D46-J46-R46)/V46</f>
        <v>48.511892177589829</v>
      </c>
      <c r="AC46" s="36" t="e">
        <f>(E46-K46-S46)/E46</f>
        <v>#DIV/0!</v>
      </c>
      <c r="AD46" s="60">
        <f>SUM(D46-H46)/D46</f>
        <v>0.24490430309223879</v>
      </c>
      <c r="AE46" s="80"/>
      <c r="AG46" t="s">
        <v>91</v>
      </c>
      <c r="AH46">
        <f>AK51</f>
        <v>0</v>
      </c>
      <c r="AK46" s="7">
        <f>SUM(W47-W46)</f>
        <v>0</v>
      </c>
      <c r="AL46" s="94">
        <f>SUM(K47-K46)</f>
        <v>0</v>
      </c>
    </row>
    <row r="47" spans="1:38">
      <c r="A47" s="7"/>
      <c r="B47" s="71"/>
      <c r="C47" s="93" t="s">
        <v>92</v>
      </c>
      <c r="D47" s="56">
        <v>7495.54</v>
      </c>
      <c r="E47" s="56">
        <v>0</v>
      </c>
      <c r="F47" s="40">
        <f t="shared" ref="F47:F51" si="73">D47-E47</f>
        <v>7495.54</v>
      </c>
      <c r="G47" s="36">
        <f t="shared" ref="G47:G51" si="74">F47/D47</f>
        <v>1</v>
      </c>
      <c r="H47" s="40">
        <v>5659.85</v>
      </c>
      <c r="I47" s="40">
        <v>0</v>
      </c>
      <c r="J47" s="56">
        <f>SUM(H47-R47)</f>
        <v>3768.0300000000007</v>
      </c>
      <c r="K47" s="56">
        <f>SUM(I47-S47)</f>
        <v>0</v>
      </c>
      <c r="L47" s="40">
        <f t="shared" si="71"/>
        <v>3768.0300000000007</v>
      </c>
      <c r="M47" s="36">
        <f t="shared" si="72"/>
        <v>1</v>
      </c>
      <c r="N47" s="58">
        <v>0</v>
      </c>
      <c r="O47" s="58"/>
      <c r="P47" s="58"/>
      <c r="Q47" s="58"/>
      <c r="R47" s="56">
        <v>1891.82</v>
      </c>
      <c r="S47" s="56">
        <v>0</v>
      </c>
      <c r="T47" s="40">
        <f t="shared" ref="T47:T51" si="75">R47-S47</f>
        <v>1891.82</v>
      </c>
      <c r="U47" s="36">
        <f t="shared" ref="U47:U51" si="76">T47/R47</f>
        <v>1</v>
      </c>
      <c r="V47" s="44">
        <v>37.840000000000003</v>
      </c>
      <c r="W47" s="44">
        <v>0</v>
      </c>
      <c r="X47" s="8">
        <f t="shared" ref="X47:X51" si="77">V47-W47</f>
        <v>37.840000000000003</v>
      </c>
      <c r="Y47" s="36">
        <f t="shared" ref="Y47:Y51" si="78">X47/V47</f>
        <v>1</v>
      </c>
      <c r="Z47" s="58">
        <v>0</v>
      </c>
      <c r="AA47" s="95" t="e">
        <f t="shared" ref="AA47:AA51" si="79">(E47-K47-S47)/W47</f>
        <v>#DIV/0!</v>
      </c>
      <c r="AB47" s="95">
        <f t="shared" ref="AB47:AB51" si="80">(D47-J47-R47)/V47</f>
        <v>48.511892177589829</v>
      </c>
      <c r="AC47" s="36" t="e">
        <f t="shared" ref="AC47:AC51" si="81">(E47-K47-S47)/E47</f>
        <v>#DIV/0!</v>
      </c>
      <c r="AD47" s="60">
        <f t="shared" ref="AD47:AD50" si="82">SUM(D47-H47)/D47</f>
        <v>0.24490430309223879</v>
      </c>
      <c r="AE47" s="80"/>
      <c r="AG47" t="s">
        <v>93</v>
      </c>
      <c r="AH47" s="42">
        <f>AL51</f>
        <v>0</v>
      </c>
      <c r="AK47" s="7">
        <f>SUM(W48-W47)</f>
        <v>0</v>
      </c>
      <c r="AL47" s="94">
        <f>SUM(K48-K47)</f>
        <v>0</v>
      </c>
    </row>
    <row r="48" spans="1:38">
      <c r="A48" s="7"/>
      <c r="B48" s="71"/>
      <c r="C48" s="93" t="s">
        <v>94</v>
      </c>
      <c r="D48" s="56">
        <v>7495.54</v>
      </c>
      <c r="E48" s="56">
        <v>0</v>
      </c>
      <c r="F48" s="40">
        <f t="shared" si="73"/>
        <v>7495.54</v>
      </c>
      <c r="G48" s="36">
        <f t="shared" si="74"/>
        <v>1</v>
      </c>
      <c r="H48" s="40">
        <v>5659.85</v>
      </c>
      <c r="I48" s="40">
        <v>0</v>
      </c>
      <c r="J48" s="56">
        <f>SUM(H48-R48)</f>
        <v>3768.0300000000007</v>
      </c>
      <c r="K48" s="56">
        <f>SUM(I48-S48)</f>
        <v>0</v>
      </c>
      <c r="L48" s="40">
        <f>J48-K48</f>
        <v>3768.0300000000007</v>
      </c>
      <c r="M48" s="36">
        <f>L48/J48</f>
        <v>1</v>
      </c>
      <c r="N48" s="58">
        <v>0</v>
      </c>
      <c r="O48" s="58"/>
      <c r="P48" s="58"/>
      <c r="Q48" s="58"/>
      <c r="R48" s="56">
        <v>1891.82</v>
      </c>
      <c r="S48" s="56">
        <v>0</v>
      </c>
      <c r="T48" s="40">
        <f t="shared" si="75"/>
        <v>1891.82</v>
      </c>
      <c r="U48" s="36">
        <f t="shared" si="76"/>
        <v>1</v>
      </c>
      <c r="V48" s="44">
        <v>37.840000000000003</v>
      </c>
      <c r="W48" s="44">
        <v>0</v>
      </c>
      <c r="X48" s="8">
        <f t="shared" si="77"/>
        <v>37.840000000000003</v>
      </c>
      <c r="Y48" s="36">
        <f t="shared" si="78"/>
        <v>1</v>
      </c>
      <c r="Z48" s="58">
        <v>0</v>
      </c>
      <c r="AA48" s="95" t="e">
        <f t="shared" si="79"/>
        <v>#DIV/0!</v>
      </c>
      <c r="AB48" s="95">
        <f t="shared" si="80"/>
        <v>48.511892177589829</v>
      </c>
      <c r="AC48" s="36" t="e">
        <f t="shared" si="81"/>
        <v>#DIV/0!</v>
      </c>
      <c r="AD48" s="60">
        <f t="shared" si="82"/>
        <v>0.24490430309223879</v>
      </c>
      <c r="AE48" s="80"/>
      <c r="AK48" s="7">
        <f>SUM(W49-W48)</f>
        <v>0</v>
      </c>
      <c r="AL48" s="94">
        <f>SUM(K49-K48)</f>
        <v>0</v>
      </c>
    </row>
    <row r="49" spans="1:38">
      <c r="A49" s="7"/>
      <c r="B49" s="71"/>
      <c r="C49" s="93" t="s">
        <v>95</v>
      </c>
      <c r="D49" s="56"/>
      <c r="E49" s="56">
        <v>0</v>
      </c>
      <c r="F49" s="40">
        <f t="shared" si="73"/>
        <v>0</v>
      </c>
      <c r="G49" s="36" t="e">
        <f t="shared" si="74"/>
        <v>#DIV/0!</v>
      </c>
      <c r="H49" s="40"/>
      <c r="I49" s="40"/>
      <c r="J49" s="56">
        <f>SUM(H49-R49)</f>
        <v>0</v>
      </c>
      <c r="K49" s="56">
        <f>SUM(I49-S49)</f>
        <v>0</v>
      </c>
      <c r="L49" s="40">
        <f t="shared" si="71"/>
        <v>0</v>
      </c>
      <c r="M49" s="36" t="e">
        <f t="shared" si="72"/>
        <v>#DIV/0!</v>
      </c>
      <c r="N49" s="58">
        <v>0</v>
      </c>
      <c r="O49" s="58"/>
      <c r="P49" s="58"/>
      <c r="Q49" s="58"/>
      <c r="R49" s="56"/>
      <c r="S49" s="56">
        <v>0</v>
      </c>
      <c r="T49" s="40">
        <f t="shared" si="75"/>
        <v>0</v>
      </c>
      <c r="U49" s="36" t="e">
        <f t="shared" si="76"/>
        <v>#DIV/0!</v>
      </c>
      <c r="V49" s="44"/>
      <c r="W49" s="44">
        <v>0</v>
      </c>
      <c r="X49" s="8">
        <f t="shared" si="77"/>
        <v>0</v>
      </c>
      <c r="Y49" s="36" t="e">
        <f t="shared" si="78"/>
        <v>#DIV/0!</v>
      </c>
      <c r="Z49" s="58"/>
      <c r="AA49" s="95" t="e">
        <f t="shared" si="79"/>
        <v>#DIV/0!</v>
      </c>
      <c r="AB49" s="95" t="e">
        <f t="shared" si="80"/>
        <v>#DIV/0!</v>
      </c>
      <c r="AC49" s="36" t="e">
        <f t="shared" si="81"/>
        <v>#DIV/0!</v>
      </c>
      <c r="AD49" s="60" t="e">
        <f t="shared" si="82"/>
        <v>#DIV/0!</v>
      </c>
      <c r="AE49" s="80"/>
      <c r="AG49" t="s">
        <v>96</v>
      </c>
      <c r="AH49" s="42">
        <v>0</v>
      </c>
      <c r="AK49" s="7">
        <f>SUM(W50-W49)</f>
        <v>0</v>
      </c>
      <c r="AL49" s="94">
        <f>SUM(K50-K49)</f>
        <v>0</v>
      </c>
    </row>
    <row r="50" spans="1:38">
      <c r="A50" s="7"/>
      <c r="B50" s="71"/>
      <c r="C50" s="93" t="s">
        <v>97</v>
      </c>
      <c r="D50" s="56"/>
      <c r="E50" s="56">
        <v>0</v>
      </c>
      <c r="F50" s="40">
        <f t="shared" si="73"/>
        <v>0</v>
      </c>
      <c r="G50" s="36" t="e">
        <f t="shared" si="74"/>
        <v>#DIV/0!</v>
      </c>
      <c r="H50" s="40"/>
      <c r="I50" s="40"/>
      <c r="J50" s="56">
        <f>SUM(H50-R50)</f>
        <v>0</v>
      </c>
      <c r="K50" s="56">
        <f>SUM(I50-S50)</f>
        <v>0</v>
      </c>
      <c r="L50" s="40">
        <f t="shared" si="71"/>
        <v>0</v>
      </c>
      <c r="M50" s="36" t="e">
        <f t="shared" si="72"/>
        <v>#DIV/0!</v>
      </c>
      <c r="N50" s="58">
        <v>0</v>
      </c>
      <c r="O50" s="58"/>
      <c r="P50" s="58"/>
      <c r="Q50" s="58"/>
      <c r="R50" s="56"/>
      <c r="S50" s="56">
        <v>0</v>
      </c>
      <c r="T50" s="40">
        <f t="shared" si="75"/>
        <v>0</v>
      </c>
      <c r="U50" s="36" t="e">
        <f t="shared" si="76"/>
        <v>#DIV/0!</v>
      </c>
      <c r="V50" s="44"/>
      <c r="W50" s="44">
        <v>0</v>
      </c>
      <c r="X50" s="8">
        <f t="shared" si="77"/>
        <v>0</v>
      </c>
      <c r="Y50" s="36" t="e">
        <f t="shared" si="78"/>
        <v>#DIV/0!</v>
      </c>
      <c r="Z50" s="58"/>
      <c r="AA50" s="95" t="e">
        <f t="shared" si="79"/>
        <v>#DIV/0!</v>
      </c>
      <c r="AB50" s="95" t="e">
        <f t="shared" si="80"/>
        <v>#DIV/0!</v>
      </c>
      <c r="AC50" s="36" t="e">
        <f t="shared" si="81"/>
        <v>#DIV/0!</v>
      </c>
      <c r="AD50" s="60" t="e">
        <f t="shared" si="82"/>
        <v>#DIV/0!</v>
      </c>
      <c r="AE50" s="80"/>
      <c r="AK50" s="7">
        <f>SUM(W51-W50)</f>
        <v>0</v>
      </c>
      <c r="AL50" s="94">
        <f>SUM(K51-K50)</f>
        <v>0</v>
      </c>
    </row>
    <row r="51" spans="1:38">
      <c r="A51" s="7"/>
      <c r="B51" s="71"/>
      <c r="C51" s="93" t="s">
        <v>98</v>
      </c>
      <c r="D51" s="56"/>
      <c r="E51" s="56">
        <v>0</v>
      </c>
      <c r="F51" s="40">
        <f t="shared" si="73"/>
        <v>0</v>
      </c>
      <c r="G51" s="36" t="e">
        <f t="shared" si="74"/>
        <v>#DIV/0!</v>
      </c>
      <c r="H51" s="40"/>
      <c r="I51" s="40"/>
      <c r="J51" s="56">
        <f>SUM(H51-R51)</f>
        <v>0</v>
      </c>
      <c r="K51" s="56">
        <f>SUM(I51-S51)</f>
        <v>0</v>
      </c>
      <c r="L51" s="40">
        <f t="shared" si="71"/>
        <v>0</v>
      </c>
      <c r="M51" s="36" t="e">
        <f t="shared" si="72"/>
        <v>#DIV/0!</v>
      </c>
      <c r="N51" s="58">
        <v>0</v>
      </c>
      <c r="O51" s="58"/>
      <c r="P51" s="58"/>
      <c r="Q51" s="58"/>
      <c r="R51" s="56"/>
      <c r="S51" s="56">
        <v>0</v>
      </c>
      <c r="T51" s="40">
        <f t="shared" si="75"/>
        <v>0</v>
      </c>
      <c r="U51" s="36" t="e">
        <f t="shared" si="76"/>
        <v>#DIV/0!</v>
      </c>
      <c r="V51" s="44"/>
      <c r="W51" s="44">
        <v>0</v>
      </c>
      <c r="X51" s="8">
        <f t="shared" si="77"/>
        <v>0</v>
      </c>
      <c r="Y51" s="36" t="e">
        <f t="shared" si="78"/>
        <v>#DIV/0!</v>
      </c>
      <c r="Z51" s="58"/>
      <c r="AA51" s="95" t="e">
        <f t="shared" si="79"/>
        <v>#DIV/0!</v>
      </c>
      <c r="AB51" s="95" t="e">
        <f t="shared" si="80"/>
        <v>#DIV/0!</v>
      </c>
      <c r="AC51" s="36" t="e">
        <f t="shared" si="81"/>
        <v>#DIV/0!</v>
      </c>
      <c r="AD51" s="60" t="e">
        <f>SUM(D51-H51)/D51</f>
        <v>#DIV/0!</v>
      </c>
      <c r="AE51" s="80"/>
      <c r="AK51" s="9">
        <f>SUM(AK46,AK47,AK48,AK49,AK50)</f>
        <v>0</v>
      </c>
      <c r="AL51" s="97">
        <f>SUM(AL46,AL47,AL48,AL49,AL50)</f>
        <v>0</v>
      </c>
    </row>
    <row r="52" spans="1:38" ht="9" customHeight="1">
      <c r="A52" s="274"/>
      <c r="B52" s="275"/>
      <c r="C52" s="275"/>
      <c r="D52" s="275"/>
      <c r="E52" s="275"/>
      <c r="F52" s="275"/>
      <c r="G52" s="275"/>
      <c r="H52" s="275"/>
      <c r="I52" s="275"/>
      <c r="J52" s="275"/>
      <c r="K52" s="275"/>
      <c r="L52" s="275"/>
      <c r="M52" s="275"/>
      <c r="N52" s="275"/>
      <c r="O52" s="275"/>
      <c r="P52" s="275"/>
      <c r="Q52" s="275"/>
      <c r="R52" s="275"/>
      <c r="S52" s="275"/>
      <c r="T52" s="275"/>
      <c r="U52" s="275"/>
      <c r="V52" s="275"/>
      <c r="W52" s="275"/>
      <c r="X52" s="275"/>
      <c r="Y52" s="275"/>
      <c r="Z52" s="275"/>
      <c r="AA52" s="275"/>
      <c r="AB52" s="275"/>
      <c r="AC52" s="275"/>
      <c r="AD52" s="276"/>
    </row>
    <row r="53" spans="1:38">
      <c r="A53" s="7">
        <f>'Main Sheet'!A18</f>
        <v>8670</v>
      </c>
      <c r="B53" s="71" t="str">
        <f>'Main Sheet'!B18</f>
        <v>Studio DB - tautara fit out</v>
      </c>
      <c r="C53" s="93" t="s">
        <v>90</v>
      </c>
      <c r="D53" s="56">
        <v>100348.26</v>
      </c>
      <c r="E53" s="56">
        <v>91153</v>
      </c>
      <c r="F53" s="40">
        <f>D53-E53</f>
        <v>9195.2599999999948</v>
      </c>
      <c r="G53" s="36">
        <f>F53/D53</f>
        <v>9.1633477252121717E-2</v>
      </c>
      <c r="H53" s="40">
        <v>79103.460000000006</v>
      </c>
      <c r="I53" s="40">
        <v>64224.89</v>
      </c>
      <c r="J53" s="56">
        <f>SUM(H53-R53)</f>
        <v>62144.610000000008</v>
      </c>
      <c r="K53" s="56">
        <f>SUM(I53-S53)</f>
        <v>54357.06</v>
      </c>
      <c r="L53" s="40">
        <f t="shared" ref="L53:L58" si="83">J53-K53</f>
        <v>7787.5500000000102</v>
      </c>
      <c r="M53" s="36">
        <f t="shared" ref="M53:M58" si="84">L53/J53</f>
        <v>0.12531336185069</v>
      </c>
      <c r="N53" s="58">
        <v>0</v>
      </c>
      <c r="O53" s="58"/>
      <c r="P53" s="58"/>
      <c r="Q53" s="58"/>
      <c r="R53" s="56">
        <v>16958.849999999999</v>
      </c>
      <c r="S53" s="56">
        <v>9867.83</v>
      </c>
      <c r="T53" s="40">
        <f t="shared" ref="T53:T58" si="85">R53-S53</f>
        <v>7091.0199999999986</v>
      </c>
      <c r="U53" s="36">
        <f t="shared" ref="U53:U58" si="86">T53/R53</f>
        <v>0.4181309463790292</v>
      </c>
      <c r="V53" s="44">
        <v>340.12</v>
      </c>
      <c r="W53" s="44">
        <v>262</v>
      </c>
      <c r="X53" s="8">
        <f t="shared" ref="X53:X58" si="87">V53-W53</f>
        <v>78.12</v>
      </c>
      <c r="Y53" s="36">
        <f t="shared" ref="Y53:Y58" si="88">X53/V53</f>
        <v>0.22968364106785841</v>
      </c>
      <c r="Z53" s="58">
        <v>0</v>
      </c>
      <c r="AA53" s="95">
        <f t="shared" ref="AA53:AA58" si="89">(E53-K53-S53)/W53</f>
        <v>102.77904580152672</v>
      </c>
      <c r="AB53" s="95">
        <f>(D53-J53-R53)/V53</f>
        <v>62.462660237563178</v>
      </c>
      <c r="AC53" s="36">
        <f t="shared" ref="AC53:AC58" si="90">(E53-K53-S53)/E53</f>
        <v>0.29541660724276764</v>
      </c>
      <c r="AD53" s="60">
        <f>SUM(D53-H53)/D53</f>
        <v>0.21171069632896464</v>
      </c>
      <c r="AE53" s="80"/>
      <c r="AG53" t="s">
        <v>91</v>
      </c>
      <c r="AH53">
        <f>AK58</f>
        <v>-262</v>
      </c>
      <c r="AK53" s="7">
        <f>SUM(W54-W53)</f>
        <v>10</v>
      </c>
      <c r="AL53" s="94">
        <f>SUM(K54-K53)</f>
        <v>1582.9199999999983</v>
      </c>
    </row>
    <row r="54" spans="1:38">
      <c r="A54" s="7"/>
      <c r="B54" s="71"/>
      <c r="C54" s="93" t="s">
        <v>92</v>
      </c>
      <c r="D54" s="56">
        <v>100348.26</v>
      </c>
      <c r="E54" s="56">
        <v>91153</v>
      </c>
      <c r="F54" s="40">
        <f>D54-E54</f>
        <v>9195.2599999999948</v>
      </c>
      <c r="G54" s="36">
        <f>F54/D54</f>
        <v>9.1633477252121717E-2</v>
      </c>
      <c r="H54" s="40">
        <v>79103.460000000006</v>
      </c>
      <c r="I54" s="40">
        <v>66212.81</v>
      </c>
      <c r="J54" s="56">
        <f>SUM(H54-R54)</f>
        <v>62144.610000000008</v>
      </c>
      <c r="K54" s="56">
        <f>SUM(I54-S54)</f>
        <v>55939.979999999996</v>
      </c>
      <c r="L54" s="40">
        <f t="shared" si="83"/>
        <v>6204.6300000000119</v>
      </c>
      <c r="M54" s="36">
        <f t="shared" si="84"/>
        <v>9.984180446220535E-2</v>
      </c>
      <c r="N54" s="58"/>
      <c r="O54" s="58"/>
      <c r="P54" s="58"/>
      <c r="Q54" s="58"/>
      <c r="R54" s="56">
        <v>16958.849999999999</v>
      </c>
      <c r="S54" s="56">
        <v>10272.83</v>
      </c>
      <c r="T54" s="40">
        <f t="shared" si="85"/>
        <v>6686.0199999999986</v>
      </c>
      <c r="U54" s="36">
        <f t="shared" si="86"/>
        <v>0.39424961008558951</v>
      </c>
      <c r="V54" s="44">
        <v>340.12</v>
      </c>
      <c r="W54" s="44">
        <v>272</v>
      </c>
      <c r="X54" s="8">
        <f t="shared" si="87"/>
        <v>68.12</v>
      </c>
      <c r="Y54" s="36">
        <f t="shared" si="88"/>
        <v>0.20028225332235683</v>
      </c>
      <c r="Z54" s="58"/>
      <c r="AA54" s="95">
        <f t="shared" si="89"/>
        <v>91.69187500000001</v>
      </c>
      <c r="AB54" s="95">
        <f>(D54-J54-R54)/V54</f>
        <v>62.462660237563178</v>
      </c>
      <c r="AC54" s="36">
        <f t="shared" si="90"/>
        <v>0.27360799973670646</v>
      </c>
      <c r="AD54" s="60">
        <f>SUM(D54-H54)/D54</f>
        <v>0.21171069632896464</v>
      </c>
      <c r="AE54" s="80"/>
      <c r="AG54" t="s">
        <v>93</v>
      </c>
      <c r="AH54" s="42">
        <f>AL58</f>
        <v>-54357.06</v>
      </c>
      <c r="AK54" s="7">
        <f>SUM(W55-W54)</f>
        <v>44.25</v>
      </c>
      <c r="AL54" s="94">
        <f>SUM(K55-K54)</f>
        <v>218.20000000000437</v>
      </c>
    </row>
    <row r="55" spans="1:38">
      <c r="A55" s="7"/>
      <c r="B55" s="71"/>
      <c r="C55" s="93" t="s">
        <v>94</v>
      </c>
      <c r="D55" s="56">
        <v>100348.26</v>
      </c>
      <c r="E55" s="56">
        <v>91153</v>
      </c>
      <c r="F55" s="40">
        <f t="shared" ref="F55:F58" si="91">D55-E55</f>
        <v>9195.2599999999948</v>
      </c>
      <c r="G55" s="36">
        <f t="shared" ref="G55:G58" si="92">F55/D55</f>
        <v>9.1633477252121717E-2</v>
      </c>
      <c r="H55" s="40">
        <v>79103.460000000006</v>
      </c>
      <c r="I55" s="40">
        <v>68039.14</v>
      </c>
      <c r="J55" s="56">
        <f>SUM(H55-R55)</f>
        <v>62144.610000000008</v>
      </c>
      <c r="K55" s="56">
        <f>SUM(I55-S55)</f>
        <v>56158.18</v>
      </c>
      <c r="L55" s="40">
        <f>J55-K55</f>
        <v>5986.4300000000076</v>
      </c>
      <c r="M55" s="36">
        <f>L55/J55</f>
        <v>9.6330639133466386E-2</v>
      </c>
      <c r="N55" s="58"/>
      <c r="O55" s="58"/>
      <c r="P55" s="58"/>
      <c r="Q55" s="58"/>
      <c r="R55" s="56">
        <v>16958.849999999999</v>
      </c>
      <c r="S55" s="56">
        <v>11880.96</v>
      </c>
      <c r="T55" s="40">
        <f>R55-S55</f>
        <v>5077.8899999999994</v>
      </c>
      <c r="U55" s="36">
        <f>T55/R55</f>
        <v>0.29942419444714707</v>
      </c>
      <c r="V55" s="44">
        <v>340.12</v>
      </c>
      <c r="W55" s="44">
        <v>316.25</v>
      </c>
      <c r="X55" s="8">
        <f>V55-W55</f>
        <v>23.870000000000005</v>
      </c>
      <c r="Y55" s="36">
        <f>X55/V55</f>
        <v>7.0181112548512309E-2</v>
      </c>
      <c r="Z55" s="58"/>
      <c r="AA55" s="95">
        <f>(E55-K55-S55)/W55</f>
        <v>73.087304347826091</v>
      </c>
      <c r="AB55" s="95">
        <f>(D55-J55-R55)/V55</f>
        <v>62.462660237563178</v>
      </c>
      <c r="AC55" s="36">
        <f>(E55-K55-S55)/E55</f>
        <v>0.25357212598597961</v>
      </c>
      <c r="AD55" s="60">
        <f t="shared" ref="AD55:AD57" si="93">SUM(D55-H55)/D55</f>
        <v>0.21171069632896464</v>
      </c>
      <c r="AE55" s="80"/>
      <c r="AK55" s="7">
        <f>SUM(W56-W55)</f>
        <v>-316.25</v>
      </c>
      <c r="AL55" s="94">
        <f>SUM(K56-K55)</f>
        <v>-56158.18</v>
      </c>
    </row>
    <row r="56" spans="1:38">
      <c r="A56" s="7"/>
      <c r="B56" s="71"/>
      <c r="C56" s="93" t="s">
        <v>95</v>
      </c>
      <c r="D56" s="56"/>
      <c r="E56" s="56"/>
      <c r="F56" s="40">
        <f t="shared" si="91"/>
        <v>0</v>
      </c>
      <c r="G56" s="36" t="e">
        <f t="shared" si="92"/>
        <v>#DIV/0!</v>
      </c>
      <c r="H56" s="40"/>
      <c r="I56" s="40"/>
      <c r="J56" s="56">
        <f>SUM(H56-R56)</f>
        <v>0</v>
      </c>
      <c r="K56" s="56">
        <f>SUM(I56-S56)</f>
        <v>0</v>
      </c>
      <c r="L56" s="40">
        <f t="shared" si="83"/>
        <v>0</v>
      </c>
      <c r="M56" s="36" t="e">
        <f t="shared" si="84"/>
        <v>#DIV/0!</v>
      </c>
      <c r="N56" s="58"/>
      <c r="O56" s="58"/>
      <c r="P56" s="58"/>
      <c r="Q56" s="58"/>
      <c r="R56" s="56"/>
      <c r="S56" s="56"/>
      <c r="T56" s="40">
        <f t="shared" si="85"/>
        <v>0</v>
      </c>
      <c r="U56" s="36" t="e">
        <f t="shared" si="86"/>
        <v>#DIV/0!</v>
      </c>
      <c r="V56" s="44"/>
      <c r="W56" s="44"/>
      <c r="X56" s="8">
        <f t="shared" si="87"/>
        <v>0</v>
      </c>
      <c r="Y56" s="36" t="e">
        <f t="shared" si="88"/>
        <v>#DIV/0!</v>
      </c>
      <c r="Z56" s="58"/>
      <c r="AA56" s="95" t="e">
        <f t="shared" si="89"/>
        <v>#DIV/0!</v>
      </c>
      <c r="AB56" s="95" t="e">
        <f t="shared" ref="AB56:AB58" si="94">(D56-J56-R56)/V56</f>
        <v>#DIV/0!</v>
      </c>
      <c r="AC56" s="36" t="e">
        <f t="shared" si="90"/>
        <v>#DIV/0!</v>
      </c>
      <c r="AD56" s="60" t="e">
        <f t="shared" si="93"/>
        <v>#DIV/0!</v>
      </c>
      <c r="AE56" s="80"/>
      <c r="AG56" t="s">
        <v>96</v>
      </c>
      <c r="AH56" s="42">
        <v>0</v>
      </c>
      <c r="AK56" s="7">
        <f>SUM(W57-W56)</f>
        <v>0</v>
      </c>
      <c r="AL56" s="94">
        <f>SUM(K57-K56)</f>
        <v>0</v>
      </c>
    </row>
    <row r="57" spans="1:38">
      <c r="A57" s="7"/>
      <c r="B57" s="71"/>
      <c r="C57" s="93" t="s">
        <v>97</v>
      </c>
      <c r="D57" s="56"/>
      <c r="E57" s="56"/>
      <c r="F57" s="40">
        <f t="shared" si="91"/>
        <v>0</v>
      </c>
      <c r="G57" s="36" t="e">
        <f t="shared" si="92"/>
        <v>#DIV/0!</v>
      </c>
      <c r="H57" s="40"/>
      <c r="I57" s="40"/>
      <c r="J57" s="56">
        <f>SUM(H57-R57)</f>
        <v>0</v>
      </c>
      <c r="K57" s="56">
        <f>SUM(I57-S57)</f>
        <v>0</v>
      </c>
      <c r="L57" s="40">
        <f t="shared" si="83"/>
        <v>0</v>
      </c>
      <c r="M57" s="36" t="e">
        <f t="shared" si="84"/>
        <v>#DIV/0!</v>
      </c>
      <c r="N57" s="58"/>
      <c r="O57" s="58"/>
      <c r="P57" s="58"/>
      <c r="Q57" s="58"/>
      <c r="R57" s="56"/>
      <c r="S57" s="56"/>
      <c r="T57" s="40">
        <f t="shared" si="85"/>
        <v>0</v>
      </c>
      <c r="U57" s="36" t="e">
        <f t="shared" si="86"/>
        <v>#DIV/0!</v>
      </c>
      <c r="V57" s="44"/>
      <c r="W57" s="44"/>
      <c r="X57" s="8">
        <f t="shared" si="87"/>
        <v>0</v>
      </c>
      <c r="Y57" s="36" t="e">
        <f t="shared" si="88"/>
        <v>#DIV/0!</v>
      </c>
      <c r="Z57" s="58"/>
      <c r="AA57" s="95" t="e">
        <f t="shared" si="89"/>
        <v>#DIV/0!</v>
      </c>
      <c r="AB57" s="95" t="e">
        <f t="shared" si="94"/>
        <v>#DIV/0!</v>
      </c>
      <c r="AC57" s="36" t="e">
        <f t="shared" si="90"/>
        <v>#DIV/0!</v>
      </c>
      <c r="AD57" s="60" t="e">
        <f t="shared" si="93"/>
        <v>#DIV/0!</v>
      </c>
      <c r="AE57" s="80"/>
      <c r="AK57" s="7">
        <f>SUM(W58-W57)</f>
        <v>0</v>
      </c>
      <c r="AL57" s="94">
        <f>SUM(K58-K57)</f>
        <v>0</v>
      </c>
    </row>
    <row r="58" spans="1:38">
      <c r="A58" s="7"/>
      <c r="B58" s="71"/>
      <c r="C58" s="93" t="s">
        <v>98</v>
      </c>
      <c r="D58" s="56"/>
      <c r="E58" s="56"/>
      <c r="F58" s="40">
        <f t="shared" si="91"/>
        <v>0</v>
      </c>
      <c r="G58" s="36" t="e">
        <f t="shared" si="92"/>
        <v>#DIV/0!</v>
      </c>
      <c r="H58" s="40"/>
      <c r="I58" s="40"/>
      <c r="J58" s="56">
        <f>SUM(H58-R58)</f>
        <v>0</v>
      </c>
      <c r="K58" s="56">
        <f>SUM(I58-S58)</f>
        <v>0</v>
      </c>
      <c r="L58" s="40">
        <f t="shared" si="83"/>
        <v>0</v>
      </c>
      <c r="M58" s="36" t="e">
        <f t="shared" si="84"/>
        <v>#DIV/0!</v>
      </c>
      <c r="N58" s="58">
        <v>0.9</v>
      </c>
      <c r="O58" s="58"/>
      <c r="P58" s="58"/>
      <c r="Q58" s="58"/>
      <c r="R58" s="56"/>
      <c r="S58" s="56"/>
      <c r="T58" s="40">
        <f t="shared" si="85"/>
        <v>0</v>
      </c>
      <c r="U58" s="36" t="e">
        <f t="shared" si="86"/>
        <v>#DIV/0!</v>
      </c>
      <c r="V58" s="44"/>
      <c r="W58" s="44"/>
      <c r="X58" s="8">
        <f t="shared" si="87"/>
        <v>0</v>
      </c>
      <c r="Y58" s="36" t="e">
        <f t="shared" si="88"/>
        <v>#DIV/0!</v>
      </c>
      <c r="Z58" s="58">
        <v>0.9</v>
      </c>
      <c r="AA58" s="95" t="e">
        <f t="shared" si="89"/>
        <v>#DIV/0!</v>
      </c>
      <c r="AB58" s="95" t="e">
        <f t="shared" si="94"/>
        <v>#DIV/0!</v>
      </c>
      <c r="AC58" s="36" t="e">
        <f t="shared" si="90"/>
        <v>#DIV/0!</v>
      </c>
      <c r="AD58" s="60" t="e">
        <f>SUM(D58-H58)/D58</f>
        <v>#DIV/0!</v>
      </c>
      <c r="AE58" s="80"/>
      <c r="AK58" s="9">
        <f>SUM(AK53,AK54,AK55,AK56,AK57)</f>
        <v>-262</v>
      </c>
      <c r="AL58" s="97">
        <f>SUM(AL53,AL54,AL55,AL56,AL57)</f>
        <v>-54357.06</v>
      </c>
    </row>
    <row r="59" spans="1:38" ht="9" customHeight="1">
      <c r="A59" s="274"/>
      <c r="B59" s="275"/>
      <c r="C59" s="275"/>
      <c r="D59" s="275"/>
      <c r="E59" s="275"/>
      <c r="F59" s="275"/>
      <c r="G59" s="275"/>
      <c r="H59" s="275"/>
      <c r="I59" s="275"/>
      <c r="J59" s="275"/>
      <c r="K59" s="275"/>
      <c r="L59" s="275"/>
      <c r="M59" s="275"/>
      <c r="N59" s="275"/>
      <c r="O59" s="275"/>
      <c r="P59" s="275"/>
      <c r="Q59" s="275"/>
      <c r="R59" s="275"/>
      <c r="S59" s="275"/>
      <c r="T59" s="275"/>
      <c r="U59" s="275"/>
      <c r="V59" s="275"/>
      <c r="W59" s="275"/>
      <c r="X59" s="275"/>
      <c r="Y59" s="275"/>
      <c r="Z59" s="275"/>
      <c r="AA59" s="275"/>
      <c r="AB59" s="275"/>
      <c r="AC59" s="275"/>
      <c r="AD59" s="276"/>
    </row>
    <row r="60" spans="1:38">
      <c r="A60" s="7">
        <f>'Main Sheet'!A20</f>
        <v>8907</v>
      </c>
      <c r="B60" s="71" t="str">
        <f>'Main Sheet'!B20</f>
        <v>35 Mania</v>
      </c>
      <c r="C60" s="93" t="s">
        <v>90</v>
      </c>
      <c r="D60" s="56">
        <v>98524.85</v>
      </c>
      <c r="E60" s="56">
        <v>42682.559999999998</v>
      </c>
      <c r="F60" s="40">
        <f>D60-E60</f>
        <v>55842.290000000008</v>
      </c>
      <c r="G60" s="36">
        <f>F60/D60</f>
        <v>0.56678381139377532</v>
      </c>
      <c r="H60" s="40">
        <v>82927.42</v>
      </c>
      <c r="I60" s="40">
        <v>59094.67</v>
      </c>
      <c r="J60" s="56">
        <f>SUM(H60-R60)</f>
        <v>64755.289999999994</v>
      </c>
      <c r="K60" s="56">
        <f>SUM(I60-S60)</f>
        <v>50345.39</v>
      </c>
      <c r="L60" s="40">
        <f t="shared" ref="L60:L65" si="95">J60-K60</f>
        <v>14409.899999999994</v>
      </c>
      <c r="M60" s="36">
        <f t="shared" ref="M60:M65" si="96">L60/J60</f>
        <v>0.222528537822933</v>
      </c>
      <c r="N60" s="58"/>
      <c r="O60" s="58"/>
      <c r="P60" s="58"/>
      <c r="Q60" s="58"/>
      <c r="R60" s="56">
        <v>18172.13</v>
      </c>
      <c r="S60" s="56">
        <v>8749.2800000000007</v>
      </c>
      <c r="T60" s="40">
        <f t="shared" ref="T60:T65" si="97">R60-S60</f>
        <v>9422.85</v>
      </c>
      <c r="U60" s="36">
        <f t="shared" ref="U60:U65" si="98">T60/R60</f>
        <v>0.51853305033587149</v>
      </c>
      <c r="V60" s="44">
        <v>363.99</v>
      </c>
      <c r="W60" s="44">
        <v>218.25</v>
      </c>
      <c r="X60" s="8">
        <f t="shared" ref="X60:X65" si="99">V60-W60</f>
        <v>145.74</v>
      </c>
      <c r="Y60" s="36">
        <f t="shared" ref="Y60:Y65" si="100">X60/V60</f>
        <v>0.40039561526415562</v>
      </c>
      <c r="Z60" s="58">
        <v>0</v>
      </c>
      <c r="AA60" s="95">
        <f t="shared" ref="AA60:AA65" si="101">(E60-K60-S60)/W60</f>
        <v>-75.198671248568161</v>
      </c>
      <c r="AB60" s="95">
        <f t="shared" ref="AB60:AB65" si="102">(D60-J60-R60)/V60</f>
        <v>42.851259649990411</v>
      </c>
      <c r="AC60" s="36">
        <f t="shared" ref="AC60:AC65" si="103">(E60-K60-S60)/E60</f>
        <v>-0.38451559606546565</v>
      </c>
      <c r="AD60" s="60">
        <f>SUM(D60-H60)/D60</f>
        <v>0.15830960412525374</v>
      </c>
      <c r="AE60" s="80"/>
      <c r="AG60" t="s">
        <v>91</v>
      </c>
      <c r="AH60">
        <f>AK65</f>
        <v>-218.25</v>
      </c>
      <c r="AK60" s="7">
        <f>SUM(W61-W60)</f>
        <v>163.25</v>
      </c>
      <c r="AL60" s="94">
        <f>SUM(K61-K60)</f>
        <v>7441.3800000000047</v>
      </c>
    </row>
    <row r="61" spans="1:38">
      <c r="A61" s="7"/>
      <c r="B61" s="71"/>
      <c r="C61" s="93" t="s">
        <v>92</v>
      </c>
      <c r="D61" s="56">
        <v>98524.85</v>
      </c>
      <c r="E61" s="56">
        <v>93329.71</v>
      </c>
      <c r="F61" s="40">
        <f t="shared" ref="F61:F65" si="104">D61-E61</f>
        <v>5195.1399999999994</v>
      </c>
      <c r="G61" s="36">
        <f t="shared" ref="G61:G65" si="105">F61/D61</f>
        <v>5.2729235314745458E-2</v>
      </c>
      <c r="H61" s="40">
        <v>82927.42</v>
      </c>
      <c r="I61" s="40">
        <v>73161.13</v>
      </c>
      <c r="J61" s="56">
        <f>SUM(H61-R61)</f>
        <v>64755.289999999994</v>
      </c>
      <c r="K61" s="56">
        <f t="shared" ref="K61:K65" si="106">SUM(I61-S61)</f>
        <v>57786.770000000004</v>
      </c>
      <c r="L61" s="40">
        <f t="shared" si="95"/>
        <v>6968.5199999999895</v>
      </c>
      <c r="M61" s="36">
        <f t="shared" si="96"/>
        <v>0.10761313863315244</v>
      </c>
      <c r="N61" s="58"/>
      <c r="O61" s="58"/>
      <c r="P61" s="58"/>
      <c r="Q61" s="58"/>
      <c r="R61" s="56">
        <v>18172.13</v>
      </c>
      <c r="S61" s="56">
        <v>15374.36</v>
      </c>
      <c r="T61" s="40">
        <f t="shared" si="97"/>
        <v>2797.7700000000004</v>
      </c>
      <c r="U61" s="36">
        <f t="shared" si="98"/>
        <v>0.15395938725950123</v>
      </c>
      <c r="V61" s="44">
        <v>363.99</v>
      </c>
      <c r="W61" s="44">
        <v>381.5</v>
      </c>
      <c r="X61" s="8">
        <f t="shared" si="99"/>
        <v>-17.509999999999991</v>
      </c>
      <c r="Y61" s="36">
        <f t="shared" si="100"/>
        <v>-4.8105717190032669E-2</v>
      </c>
      <c r="Z61" s="58">
        <v>0.2</v>
      </c>
      <c r="AA61" s="95">
        <f t="shared" si="101"/>
        <v>52.86652686762779</v>
      </c>
      <c r="AB61" s="95">
        <f t="shared" si="102"/>
        <v>42.851259649990411</v>
      </c>
      <c r="AC61" s="36">
        <f t="shared" si="103"/>
        <v>0.21610031789448397</v>
      </c>
      <c r="AD61" s="60">
        <f t="shared" ref="AD61:AD65" si="107">SUM(D61-H61)/D61</f>
        <v>0.15830960412525374</v>
      </c>
      <c r="AE61" s="80"/>
      <c r="AG61" t="s">
        <v>93</v>
      </c>
      <c r="AH61" s="42">
        <f>AL65</f>
        <v>-50345.39</v>
      </c>
      <c r="AK61" s="7">
        <f>SUM(W62-W61)</f>
        <v>2</v>
      </c>
      <c r="AL61" s="94">
        <f>SUM(K62-K61)</f>
        <v>728.09999999999854</v>
      </c>
    </row>
    <row r="62" spans="1:38">
      <c r="A62" s="7"/>
      <c r="B62" s="71"/>
      <c r="C62" s="93" t="s">
        <v>94</v>
      </c>
      <c r="D62" s="56">
        <v>98524.85</v>
      </c>
      <c r="E62" s="56">
        <v>93329.71</v>
      </c>
      <c r="F62" s="40">
        <f t="shared" si="104"/>
        <v>5195.1399999999994</v>
      </c>
      <c r="G62" s="36">
        <f t="shared" si="105"/>
        <v>5.2729235314745458E-2</v>
      </c>
      <c r="H62" s="40">
        <v>82927.42</v>
      </c>
      <c r="I62" s="40">
        <v>73980.77</v>
      </c>
      <c r="J62" s="56">
        <f>SUM(H62-R62)</f>
        <v>64755.289999999994</v>
      </c>
      <c r="K62" s="56">
        <f>SUM(I62-S62)</f>
        <v>58514.87</v>
      </c>
      <c r="L62" s="40">
        <f>J62-K62</f>
        <v>6240.419999999991</v>
      </c>
      <c r="M62" s="36">
        <f>L62/J62</f>
        <v>9.6369269599441088E-2</v>
      </c>
      <c r="N62" s="58"/>
      <c r="O62" s="58"/>
      <c r="P62" s="58"/>
      <c r="Q62" s="58"/>
      <c r="R62" s="56">
        <v>18172.13</v>
      </c>
      <c r="S62" s="56">
        <v>15465.9</v>
      </c>
      <c r="T62" s="40">
        <f>R62-S62</f>
        <v>2706.2300000000014</v>
      </c>
      <c r="U62" s="36">
        <f>T62/R62</f>
        <v>0.14892200308934622</v>
      </c>
      <c r="V62" s="44">
        <v>363.99</v>
      </c>
      <c r="W62" s="44">
        <v>383.5</v>
      </c>
      <c r="X62" s="8">
        <f>V62-W62</f>
        <v>-19.509999999999991</v>
      </c>
      <c r="Y62" s="36">
        <f>X62/V62</f>
        <v>-5.3600373636638346E-2</v>
      </c>
      <c r="Z62" s="58">
        <v>0.25</v>
      </c>
      <c r="AA62" s="95">
        <f>(E62-K62-S62)/W62</f>
        <v>50.453559322033904</v>
      </c>
      <c r="AB62" s="95">
        <f>(D62-J62-R62)/V62</f>
        <v>42.851259649990411</v>
      </c>
      <c r="AC62" s="36">
        <f>(E62-K62-S62)/E62</f>
        <v>0.20731811981415138</v>
      </c>
      <c r="AD62" s="60">
        <f t="shared" si="107"/>
        <v>0.15830960412525374</v>
      </c>
      <c r="AE62" s="80"/>
      <c r="AK62" s="7">
        <f>SUM(W63-W62)</f>
        <v>-383.5</v>
      </c>
      <c r="AL62" s="94">
        <f>SUM(K63-K62)</f>
        <v>-58514.87</v>
      </c>
    </row>
    <row r="63" spans="1:38">
      <c r="A63" s="7"/>
      <c r="B63" s="71"/>
      <c r="C63" s="93" t="s">
        <v>95</v>
      </c>
      <c r="D63" s="56"/>
      <c r="E63" s="56"/>
      <c r="F63" s="40">
        <f t="shared" si="104"/>
        <v>0</v>
      </c>
      <c r="G63" s="36" t="e">
        <f t="shared" si="105"/>
        <v>#DIV/0!</v>
      </c>
      <c r="H63" s="40"/>
      <c r="I63" s="40"/>
      <c r="J63" s="56">
        <f>SUM(H63-R63)</f>
        <v>0</v>
      </c>
      <c r="K63" s="56">
        <f t="shared" si="106"/>
        <v>0</v>
      </c>
      <c r="L63" s="40">
        <f t="shared" si="95"/>
        <v>0</v>
      </c>
      <c r="M63" s="36" t="e">
        <f t="shared" si="96"/>
        <v>#DIV/0!</v>
      </c>
      <c r="N63" s="58">
        <v>0.05</v>
      </c>
      <c r="O63" s="58"/>
      <c r="P63" s="58"/>
      <c r="Q63" s="58"/>
      <c r="R63" s="56"/>
      <c r="S63" s="56"/>
      <c r="T63" s="40">
        <f t="shared" si="97"/>
        <v>0</v>
      </c>
      <c r="U63" s="36" t="e">
        <f t="shared" si="98"/>
        <v>#DIV/0!</v>
      </c>
      <c r="V63" s="44"/>
      <c r="W63" s="44"/>
      <c r="X63" s="8">
        <f t="shared" si="99"/>
        <v>0</v>
      </c>
      <c r="Y63" s="36" t="e">
        <f t="shared" si="100"/>
        <v>#DIV/0!</v>
      </c>
      <c r="Z63" s="58">
        <v>0.02</v>
      </c>
      <c r="AA63" s="95" t="e">
        <f t="shared" si="101"/>
        <v>#DIV/0!</v>
      </c>
      <c r="AB63" s="95" t="e">
        <f t="shared" si="102"/>
        <v>#DIV/0!</v>
      </c>
      <c r="AC63" s="36" t="e">
        <f t="shared" si="103"/>
        <v>#DIV/0!</v>
      </c>
      <c r="AD63" s="60" t="e">
        <f t="shared" si="107"/>
        <v>#DIV/0!</v>
      </c>
      <c r="AE63" s="80"/>
      <c r="AG63" t="s">
        <v>96</v>
      </c>
      <c r="AH63" s="42">
        <v>0</v>
      </c>
      <c r="AK63" s="7">
        <f>SUM(W64-W63)</f>
        <v>0</v>
      </c>
      <c r="AL63" s="94">
        <f>SUM(K64-K63)</f>
        <v>0</v>
      </c>
    </row>
    <row r="64" spans="1:38">
      <c r="A64" s="7"/>
      <c r="B64" s="71"/>
      <c r="C64" s="93" t="s">
        <v>97</v>
      </c>
      <c r="D64" s="56"/>
      <c r="E64" s="56"/>
      <c r="F64" s="40">
        <f t="shared" si="104"/>
        <v>0</v>
      </c>
      <c r="G64" s="36" t="e">
        <f t="shared" si="105"/>
        <v>#DIV/0!</v>
      </c>
      <c r="H64" s="40"/>
      <c r="I64" s="40"/>
      <c r="J64" s="56">
        <f>SUM(H64-R64)</f>
        <v>0</v>
      </c>
      <c r="K64" s="56">
        <f t="shared" si="106"/>
        <v>0</v>
      </c>
      <c r="L64" s="40">
        <f t="shared" si="95"/>
        <v>0</v>
      </c>
      <c r="M64" s="36" t="e">
        <f t="shared" si="96"/>
        <v>#DIV/0!</v>
      </c>
      <c r="N64" s="58">
        <v>0.25</v>
      </c>
      <c r="O64" s="58"/>
      <c r="P64" s="58"/>
      <c r="Q64" s="58"/>
      <c r="R64" s="56"/>
      <c r="S64" s="56"/>
      <c r="T64" s="40">
        <f t="shared" si="97"/>
        <v>0</v>
      </c>
      <c r="U64" s="36" t="e">
        <f t="shared" si="98"/>
        <v>#DIV/0!</v>
      </c>
      <c r="V64" s="44"/>
      <c r="W64" s="44"/>
      <c r="X64" s="8">
        <f t="shared" si="99"/>
        <v>0</v>
      </c>
      <c r="Y64" s="36" t="e">
        <f t="shared" si="100"/>
        <v>#DIV/0!</v>
      </c>
      <c r="Z64" s="58">
        <v>0.1</v>
      </c>
      <c r="AA64" s="95" t="e">
        <f t="shared" si="101"/>
        <v>#DIV/0!</v>
      </c>
      <c r="AB64" s="95" t="e">
        <f t="shared" si="102"/>
        <v>#DIV/0!</v>
      </c>
      <c r="AC64" s="36" t="e">
        <f t="shared" si="103"/>
        <v>#DIV/0!</v>
      </c>
      <c r="AD64" s="60" t="e">
        <f t="shared" si="107"/>
        <v>#DIV/0!</v>
      </c>
      <c r="AE64" s="80"/>
      <c r="AK64" s="7">
        <f>SUM(W65-W64)</f>
        <v>0</v>
      </c>
      <c r="AL64" s="94">
        <f>SUM(K65-K64)</f>
        <v>0</v>
      </c>
    </row>
    <row r="65" spans="1:38">
      <c r="A65" s="7"/>
      <c r="B65" s="71"/>
      <c r="C65" s="93" t="s">
        <v>98</v>
      </c>
      <c r="D65" s="56"/>
      <c r="E65" s="56"/>
      <c r="F65" s="40">
        <f t="shared" si="104"/>
        <v>0</v>
      </c>
      <c r="G65" s="36" t="e">
        <f t="shared" si="105"/>
        <v>#DIV/0!</v>
      </c>
      <c r="H65" s="40"/>
      <c r="I65" s="40"/>
      <c r="J65" s="56">
        <f>SUM(H65-R65)</f>
        <v>0</v>
      </c>
      <c r="K65" s="56">
        <f t="shared" si="106"/>
        <v>0</v>
      </c>
      <c r="L65" s="40">
        <f t="shared" si="95"/>
        <v>0</v>
      </c>
      <c r="M65" s="36" t="e">
        <f t="shared" si="96"/>
        <v>#DIV/0!</v>
      </c>
      <c r="N65" s="58">
        <v>0.95</v>
      </c>
      <c r="O65" s="58"/>
      <c r="P65" s="58"/>
      <c r="Q65" s="58"/>
      <c r="R65" s="56"/>
      <c r="S65" s="56"/>
      <c r="T65" s="40">
        <f t="shared" si="97"/>
        <v>0</v>
      </c>
      <c r="U65" s="36" t="e">
        <f t="shared" si="98"/>
        <v>#DIV/0!</v>
      </c>
      <c r="V65" s="44"/>
      <c r="W65" s="44"/>
      <c r="X65" s="8">
        <f t="shared" si="99"/>
        <v>0</v>
      </c>
      <c r="Y65" s="36" t="e">
        <f t="shared" si="100"/>
        <v>#DIV/0!</v>
      </c>
      <c r="Z65" s="58">
        <v>0.1</v>
      </c>
      <c r="AA65" s="95" t="e">
        <f t="shared" si="101"/>
        <v>#DIV/0!</v>
      </c>
      <c r="AB65" s="95" t="e">
        <f t="shared" si="102"/>
        <v>#DIV/0!</v>
      </c>
      <c r="AC65" s="36" t="e">
        <f t="shared" si="103"/>
        <v>#DIV/0!</v>
      </c>
      <c r="AD65" s="60" t="e">
        <f t="shared" si="107"/>
        <v>#DIV/0!</v>
      </c>
      <c r="AE65" s="80"/>
      <c r="AK65" s="9">
        <f>SUM(AK60,AK61,AK62,AK63,AK64)</f>
        <v>-218.25</v>
      </c>
      <c r="AL65" s="97">
        <f>SUM(AL60,AL61,AL62,AL63,AL64)</f>
        <v>-50345.39</v>
      </c>
    </row>
    <row r="66" spans="1:38" ht="9" customHeight="1">
      <c r="A66" s="274"/>
      <c r="B66" s="275"/>
      <c r="C66" s="275"/>
      <c r="D66" s="275"/>
      <c r="E66" s="275"/>
      <c r="F66" s="275"/>
      <c r="G66" s="275"/>
      <c r="H66" s="275"/>
      <c r="I66" s="275"/>
      <c r="J66" s="275"/>
      <c r="K66" s="275"/>
      <c r="L66" s="275"/>
      <c r="M66" s="275"/>
      <c r="N66" s="275"/>
      <c r="O66" s="275"/>
      <c r="P66" s="275"/>
      <c r="Q66" s="275"/>
      <c r="R66" s="275"/>
      <c r="S66" s="275"/>
      <c r="T66" s="275"/>
      <c r="U66" s="275"/>
      <c r="V66" s="275"/>
      <c r="W66" s="275"/>
      <c r="X66" s="275"/>
      <c r="Y66" s="275"/>
      <c r="Z66" s="275"/>
      <c r="AA66" s="275"/>
      <c r="AB66" s="275"/>
      <c r="AC66" s="275"/>
      <c r="AD66" s="276"/>
    </row>
    <row r="67" spans="1:38">
      <c r="A67" s="7">
        <f>'Main Sheet'!A22</f>
        <v>9065</v>
      </c>
      <c r="B67" s="71" t="str">
        <f>'Main Sheet'!B22</f>
        <v>Cooltranz stage 4</v>
      </c>
      <c r="C67" s="93" t="s">
        <v>90</v>
      </c>
      <c r="D67" s="56">
        <v>87970.61</v>
      </c>
      <c r="E67" s="56">
        <v>48945.78</v>
      </c>
      <c r="F67" s="40">
        <f>D67-E67</f>
        <v>39024.83</v>
      </c>
      <c r="G67" s="36">
        <f>F67/D67</f>
        <v>0.44361213364327018</v>
      </c>
      <c r="H67" s="40">
        <v>68471.73</v>
      </c>
      <c r="I67" s="40">
        <v>49900.98</v>
      </c>
      <c r="J67" s="56">
        <f>SUM(H67-R67)</f>
        <v>52300.56</v>
      </c>
      <c r="K67" s="56">
        <f>SUM(I67-S67)</f>
        <v>37733.03</v>
      </c>
      <c r="L67" s="40">
        <f t="shared" ref="L67:L72" si="108">J67-K67</f>
        <v>14567.529999999999</v>
      </c>
      <c r="M67" s="36">
        <f t="shared" ref="M67:M72" si="109">L67/J67</f>
        <v>0.27853487610840111</v>
      </c>
      <c r="N67" s="58"/>
      <c r="O67" s="58"/>
      <c r="P67" s="58"/>
      <c r="Q67" s="58"/>
      <c r="R67" s="56">
        <v>16171.17</v>
      </c>
      <c r="S67" s="56">
        <v>12167.95</v>
      </c>
      <c r="T67" s="40">
        <f t="shared" ref="T67:T72" si="110">R67-S67</f>
        <v>4003.2199999999993</v>
      </c>
      <c r="U67" s="36">
        <f t="shared" ref="U67:U72" si="111">T67/R67</f>
        <v>0.24755289815146334</v>
      </c>
      <c r="V67" s="44">
        <v>323.99</v>
      </c>
      <c r="W67" s="44">
        <v>350</v>
      </c>
      <c r="X67" s="8">
        <f t="shared" ref="X67:X72" si="112">V67-W67</f>
        <v>-26.009999999999991</v>
      </c>
      <c r="Y67" s="36">
        <f t="shared" ref="Y67:Y72" si="113">X67/V67</f>
        <v>-8.0280255563443287E-2</v>
      </c>
      <c r="Z67" s="58"/>
      <c r="AA67" s="95">
        <f t="shared" ref="AA67:AA72" si="114">(E67-K67-S67)/W67</f>
        <v>-2.7291428571428593</v>
      </c>
      <c r="AB67" s="95">
        <f t="shared" ref="AB67:AB72" si="115">(D67-J67-R67)/V67</f>
        <v>60.183585913145478</v>
      </c>
      <c r="AC67" s="36">
        <f t="shared" ref="AC67:AC72" si="116">(E67-K67-S67)/E67</f>
        <v>-1.9515472018220993E-2</v>
      </c>
      <c r="AD67" s="60">
        <f>SUM(D67-H67)/D67</f>
        <v>0.2216522086183102</v>
      </c>
      <c r="AE67" s="80"/>
      <c r="AG67" t="s">
        <v>91</v>
      </c>
      <c r="AH67">
        <f>AK72</f>
        <v>-350</v>
      </c>
      <c r="AK67" s="7">
        <f>SUM(W68-W67)</f>
        <v>-39.5</v>
      </c>
      <c r="AL67" s="94">
        <f>SUM(K68-K67)</f>
        <v>321.16000000000349</v>
      </c>
    </row>
    <row r="68" spans="1:38">
      <c r="A68" s="7"/>
      <c r="B68" s="71"/>
      <c r="C68" s="93" t="s">
        <v>92</v>
      </c>
      <c r="D68" s="56">
        <v>87970.61</v>
      </c>
      <c r="E68" s="56">
        <v>85555.47</v>
      </c>
      <c r="F68" s="40">
        <f t="shared" ref="F68:F72" si="117">D68-E68</f>
        <v>2415.1399999999994</v>
      </c>
      <c r="G68" s="36">
        <f t="shared" ref="G68:G72" si="118">F68/D68</f>
        <v>2.7453941719853932E-2</v>
      </c>
      <c r="H68" s="40">
        <v>68471.73</v>
      </c>
      <c r="I68" s="40">
        <v>50194.400000000001</v>
      </c>
      <c r="J68" s="56">
        <f>SUM(H68-R68)</f>
        <v>52300.56</v>
      </c>
      <c r="K68" s="56">
        <f t="shared" ref="K68:K79" si="119">SUM(I68-S68)</f>
        <v>38054.19</v>
      </c>
      <c r="L68" s="40">
        <f t="shared" si="108"/>
        <v>14246.369999999995</v>
      </c>
      <c r="M68" s="36">
        <f t="shared" si="109"/>
        <v>0.27239421528182484</v>
      </c>
      <c r="N68" s="58"/>
      <c r="O68" s="58"/>
      <c r="P68" s="58"/>
      <c r="Q68" s="58"/>
      <c r="R68" s="56">
        <v>16171.17</v>
      </c>
      <c r="S68" s="56">
        <v>12140.21</v>
      </c>
      <c r="T68" s="40">
        <f t="shared" si="110"/>
        <v>4030.9600000000009</v>
      </c>
      <c r="U68" s="36">
        <f t="shared" si="111"/>
        <v>0.24926829660438923</v>
      </c>
      <c r="V68" s="44">
        <v>323.99</v>
      </c>
      <c r="W68" s="44">
        <v>310.5</v>
      </c>
      <c r="X68" s="8">
        <f t="shared" si="112"/>
        <v>13.490000000000009</v>
      </c>
      <c r="Y68" s="36">
        <f t="shared" si="113"/>
        <v>4.1637087564431026E-2</v>
      </c>
      <c r="Z68" s="58">
        <v>0.3</v>
      </c>
      <c r="AA68" s="95">
        <f t="shared" si="114"/>
        <v>113.88428341384864</v>
      </c>
      <c r="AB68" s="95">
        <f t="shared" si="115"/>
        <v>60.183585913145478</v>
      </c>
      <c r="AC68" s="36">
        <f t="shared" si="116"/>
        <v>0.41331162110382891</v>
      </c>
      <c r="AD68" s="60">
        <f t="shared" ref="AD68:AD72" si="120">SUM(D68-H68)/D68</f>
        <v>0.2216522086183102</v>
      </c>
      <c r="AE68" s="80"/>
      <c r="AG68" t="s">
        <v>93</v>
      </c>
      <c r="AH68" s="42">
        <f>AL72</f>
        <v>-37733.03</v>
      </c>
      <c r="AK68" s="7">
        <f>SUM(W69-W68)</f>
        <v>-310.5</v>
      </c>
      <c r="AL68" s="94">
        <f>SUM(K69-K68)</f>
        <v>-38054.19</v>
      </c>
    </row>
    <row r="69" spans="1:38">
      <c r="A69" s="7"/>
      <c r="B69" s="71"/>
      <c r="C69" s="93" t="s">
        <v>94</v>
      </c>
      <c r="D69" s="56"/>
      <c r="E69" s="56"/>
      <c r="F69" s="40">
        <f t="shared" si="117"/>
        <v>0</v>
      </c>
      <c r="G69" s="36" t="e">
        <f t="shared" si="118"/>
        <v>#DIV/0!</v>
      </c>
      <c r="H69" s="40"/>
      <c r="I69" s="40"/>
      <c r="J69" s="56">
        <f>SUM(H69-R69)</f>
        <v>0</v>
      </c>
      <c r="K69" s="56">
        <f t="shared" si="119"/>
        <v>0</v>
      </c>
      <c r="L69" s="40">
        <f>J69-K69</f>
        <v>0</v>
      </c>
      <c r="M69" s="36" t="e">
        <f>L69/J69</f>
        <v>#DIV/0!</v>
      </c>
      <c r="N69" s="58"/>
      <c r="O69" s="58"/>
      <c r="P69" s="58"/>
      <c r="Q69" s="58"/>
      <c r="R69" s="56"/>
      <c r="S69" s="56"/>
      <c r="T69" s="40">
        <f>R69-S69</f>
        <v>0</v>
      </c>
      <c r="U69" s="36" t="e">
        <f>T69/R69</f>
        <v>#DIV/0!</v>
      </c>
      <c r="V69" s="44"/>
      <c r="W69" s="44"/>
      <c r="X69" s="8">
        <f>V69-W69</f>
        <v>0</v>
      </c>
      <c r="Y69" s="36" t="e">
        <f>X69/V69</f>
        <v>#DIV/0!</v>
      </c>
      <c r="Z69" s="58">
        <v>0.3</v>
      </c>
      <c r="AA69" s="95" t="e">
        <f>(E69-K69-S69)/W69</f>
        <v>#DIV/0!</v>
      </c>
      <c r="AB69" s="95" t="e">
        <f>(D69-J69-R69)/V69</f>
        <v>#DIV/0!</v>
      </c>
      <c r="AC69" s="36" t="e">
        <f>(E69-K69-S69)/E69</f>
        <v>#DIV/0!</v>
      </c>
      <c r="AD69" s="60" t="e">
        <f t="shared" si="120"/>
        <v>#DIV/0!</v>
      </c>
      <c r="AE69" s="80"/>
      <c r="AK69" s="7">
        <f>SUM(W70-W69)</f>
        <v>0</v>
      </c>
      <c r="AL69" s="94">
        <f>SUM(K70-K69)</f>
        <v>0</v>
      </c>
    </row>
    <row r="70" spans="1:38">
      <c r="A70" s="7"/>
      <c r="B70" s="71"/>
      <c r="C70" s="93" t="s">
        <v>95</v>
      </c>
      <c r="D70" s="56"/>
      <c r="E70" s="56"/>
      <c r="F70" s="40">
        <f t="shared" si="117"/>
        <v>0</v>
      </c>
      <c r="G70" s="36" t="e">
        <f t="shared" si="118"/>
        <v>#DIV/0!</v>
      </c>
      <c r="H70" s="40"/>
      <c r="I70" s="40"/>
      <c r="J70" s="56">
        <f>SUM(H70-R70)</f>
        <v>0</v>
      </c>
      <c r="K70" s="56">
        <f t="shared" si="119"/>
        <v>0</v>
      </c>
      <c r="L70" s="40">
        <f t="shared" si="108"/>
        <v>0</v>
      </c>
      <c r="M70" s="36" t="e">
        <f t="shared" si="109"/>
        <v>#DIV/0!</v>
      </c>
      <c r="N70" s="58"/>
      <c r="O70" s="58"/>
      <c r="P70" s="58"/>
      <c r="Q70" s="58"/>
      <c r="R70" s="56"/>
      <c r="S70" s="56"/>
      <c r="T70" s="40">
        <f t="shared" si="110"/>
        <v>0</v>
      </c>
      <c r="U70" s="36" t="e">
        <f t="shared" si="111"/>
        <v>#DIV/0!</v>
      </c>
      <c r="V70" s="44"/>
      <c r="W70" s="44"/>
      <c r="X70" s="8">
        <f t="shared" si="112"/>
        <v>0</v>
      </c>
      <c r="Y70" s="36" t="e">
        <f t="shared" si="113"/>
        <v>#DIV/0!</v>
      </c>
      <c r="Z70" s="58">
        <v>0.1</v>
      </c>
      <c r="AA70" s="95" t="e">
        <f t="shared" si="114"/>
        <v>#DIV/0!</v>
      </c>
      <c r="AB70" s="95" t="e">
        <f t="shared" si="115"/>
        <v>#DIV/0!</v>
      </c>
      <c r="AC70" s="36" t="e">
        <f t="shared" si="116"/>
        <v>#DIV/0!</v>
      </c>
      <c r="AD70" s="60" t="e">
        <f t="shared" si="120"/>
        <v>#DIV/0!</v>
      </c>
      <c r="AE70" s="80"/>
      <c r="AG70" t="s">
        <v>96</v>
      </c>
      <c r="AH70" s="42">
        <v>0</v>
      </c>
      <c r="AK70" s="7">
        <f>SUM(W71-W70)</f>
        <v>0</v>
      </c>
      <c r="AL70" s="94">
        <f>SUM(K71-K70)</f>
        <v>0</v>
      </c>
    </row>
    <row r="71" spans="1:38">
      <c r="A71" s="7"/>
      <c r="B71" s="71"/>
      <c r="C71" s="93" t="s">
        <v>97</v>
      </c>
      <c r="D71" s="56"/>
      <c r="E71" s="56"/>
      <c r="F71" s="40">
        <f t="shared" si="117"/>
        <v>0</v>
      </c>
      <c r="G71" s="36" t="e">
        <f t="shared" si="118"/>
        <v>#DIV/0!</v>
      </c>
      <c r="H71" s="40"/>
      <c r="I71" s="40"/>
      <c r="J71" s="56">
        <f>SUM(H71-R71)</f>
        <v>0</v>
      </c>
      <c r="K71" s="56">
        <f t="shared" si="119"/>
        <v>0</v>
      </c>
      <c r="L71" s="40">
        <f t="shared" si="108"/>
        <v>0</v>
      </c>
      <c r="M71" s="36" t="e">
        <f t="shared" si="109"/>
        <v>#DIV/0!</v>
      </c>
      <c r="N71" s="58"/>
      <c r="O71" s="58"/>
      <c r="P71" s="58"/>
      <c r="Q71" s="58"/>
      <c r="R71" s="56"/>
      <c r="S71" s="56"/>
      <c r="T71" s="40">
        <f t="shared" si="110"/>
        <v>0</v>
      </c>
      <c r="U71" s="36" t="e">
        <f t="shared" si="111"/>
        <v>#DIV/0!</v>
      </c>
      <c r="V71" s="44"/>
      <c r="W71" s="44"/>
      <c r="X71" s="8">
        <f t="shared" si="112"/>
        <v>0</v>
      </c>
      <c r="Y71" s="36" t="e">
        <f t="shared" si="113"/>
        <v>#DIV/0!</v>
      </c>
      <c r="Z71" s="58">
        <v>0.1</v>
      </c>
      <c r="AA71" s="95" t="e">
        <f t="shared" si="114"/>
        <v>#DIV/0!</v>
      </c>
      <c r="AB71" s="95" t="e">
        <f t="shared" si="115"/>
        <v>#DIV/0!</v>
      </c>
      <c r="AC71" s="36" t="e">
        <f t="shared" si="116"/>
        <v>#DIV/0!</v>
      </c>
      <c r="AD71" s="60" t="e">
        <f t="shared" si="120"/>
        <v>#DIV/0!</v>
      </c>
      <c r="AE71" s="80"/>
      <c r="AK71" s="7">
        <f>SUM(W72-W71)</f>
        <v>0</v>
      </c>
      <c r="AL71" s="94">
        <f>SUM(K72-K71)</f>
        <v>0</v>
      </c>
    </row>
    <row r="72" spans="1:38">
      <c r="A72" s="7"/>
      <c r="B72" s="71"/>
      <c r="C72" s="93" t="s">
        <v>98</v>
      </c>
      <c r="D72" s="56"/>
      <c r="E72" s="56"/>
      <c r="F72" s="40">
        <f>D72-E72</f>
        <v>0</v>
      </c>
      <c r="G72" s="36" t="e">
        <f t="shared" si="118"/>
        <v>#DIV/0!</v>
      </c>
      <c r="H72" s="40"/>
      <c r="I72" s="40"/>
      <c r="J72" s="56">
        <f>SUM(H72-R72)</f>
        <v>0</v>
      </c>
      <c r="K72" s="56">
        <f t="shared" si="119"/>
        <v>0</v>
      </c>
      <c r="L72" s="40">
        <f t="shared" si="108"/>
        <v>0</v>
      </c>
      <c r="M72" s="36" t="e">
        <f t="shared" si="109"/>
        <v>#DIV/0!</v>
      </c>
      <c r="N72" s="58"/>
      <c r="O72" s="58"/>
      <c r="P72" s="58"/>
      <c r="Q72" s="58"/>
      <c r="R72" s="56"/>
      <c r="S72" s="56"/>
      <c r="T72" s="40">
        <f t="shared" si="110"/>
        <v>0</v>
      </c>
      <c r="U72" s="36" t="e">
        <f t="shared" si="111"/>
        <v>#DIV/0!</v>
      </c>
      <c r="V72" s="44"/>
      <c r="W72" s="44"/>
      <c r="X72" s="8">
        <f t="shared" si="112"/>
        <v>0</v>
      </c>
      <c r="Y72" s="36" t="e">
        <f t="shared" si="113"/>
        <v>#DIV/0!</v>
      </c>
      <c r="Z72" s="58"/>
      <c r="AA72" s="95" t="e">
        <f t="shared" si="114"/>
        <v>#DIV/0!</v>
      </c>
      <c r="AB72" s="95" t="e">
        <f t="shared" si="115"/>
        <v>#DIV/0!</v>
      </c>
      <c r="AC72" s="36" t="e">
        <f t="shared" si="116"/>
        <v>#DIV/0!</v>
      </c>
      <c r="AD72" s="60" t="e">
        <f t="shared" si="120"/>
        <v>#DIV/0!</v>
      </c>
      <c r="AE72" s="80"/>
      <c r="AK72" s="9">
        <f>SUM(AK67,AK68,AK69,AK70,AK71)</f>
        <v>-350</v>
      </c>
      <c r="AL72" s="97">
        <f>SUM(AL67,AL68,AL69,AL70,AL71)</f>
        <v>-37733.03</v>
      </c>
    </row>
    <row r="73" spans="1:38" ht="9" customHeight="1">
      <c r="A73" s="274"/>
      <c r="B73" s="275"/>
      <c r="C73" s="275"/>
      <c r="D73" s="275"/>
      <c r="E73" s="275"/>
      <c r="F73" s="275"/>
      <c r="G73" s="275"/>
      <c r="H73" s="275"/>
      <c r="I73" s="275"/>
      <c r="J73" s="275"/>
      <c r="K73" s="275"/>
      <c r="L73" s="275"/>
      <c r="M73" s="275"/>
      <c r="N73" s="275"/>
      <c r="O73" s="275"/>
      <c r="P73" s="275"/>
      <c r="Q73" s="275"/>
      <c r="R73" s="275"/>
      <c r="S73" s="275"/>
      <c r="T73" s="275"/>
      <c r="U73" s="275"/>
      <c r="V73" s="275"/>
      <c r="W73" s="275"/>
      <c r="X73" s="275"/>
      <c r="Y73" s="275"/>
      <c r="Z73" s="275"/>
      <c r="AA73" s="275"/>
      <c r="AB73" s="275"/>
      <c r="AC73" s="275"/>
      <c r="AD73" s="276"/>
    </row>
    <row r="74" spans="1:38">
      <c r="A74" s="7">
        <f>'Main Sheet'!A24</f>
        <v>9259</v>
      </c>
      <c r="B74" s="71" t="str">
        <f>'Main Sheet'!B24</f>
        <v>Andrew Reeve Stage 2</v>
      </c>
      <c r="C74" s="93" t="s">
        <v>90</v>
      </c>
      <c r="D74" s="56">
        <v>210242.4</v>
      </c>
      <c r="E74" s="56">
        <v>14860.85</v>
      </c>
      <c r="F74" s="40">
        <f>D74-E74</f>
        <v>195381.55</v>
      </c>
      <c r="G74" s="36">
        <f>F74/D74</f>
        <v>0.92931563756882529</v>
      </c>
      <c r="H74" s="40">
        <v>188013.59</v>
      </c>
      <c r="I74" s="40">
        <v>33639.160000000003</v>
      </c>
      <c r="J74" s="56">
        <f>SUM(H74-R74)</f>
        <v>167291.62</v>
      </c>
      <c r="K74" s="56">
        <f t="shared" si="119"/>
        <v>33639.160000000003</v>
      </c>
      <c r="L74" s="40">
        <f>J74-K74</f>
        <v>133652.46</v>
      </c>
      <c r="M74" s="36">
        <f>L74/J74</f>
        <v>0.79891903730742753</v>
      </c>
      <c r="N74" s="58">
        <v>0</v>
      </c>
      <c r="O74" s="58"/>
      <c r="P74" s="58"/>
      <c r="Q74" s="58"/>
      <c r="R74" s="56">
        <v>20721.97</v>
      </c>
      <c r="S74" s="56">
        <v>0</v>
      </c>
      <c r="T74" s="40">
        <f>R74-S74</f>
        <v>20721.97</v>
      </c>
      <c r="U74" s="36">
        <f>T74/R74</f>
        <v>1</v>
      </c>
      <c r="V74" s="44">
        <v>416.73</v>
      </c>
      <c r="W74" s="44">
        <v>0</v>
      </c>
      <c r="X74" s="8">
        <f>V74-W74</f>
        <v>416.73</v>
      </c>
      <c r="Y74" s="36">
        <f>X74/V74</f>
        <v>1</v>
      </c>
      <c r="Z74" s="58">
        <v>0</v>
      </c>
      <c r="AA74" s="95" t="e">
        <f>(E74-K74-S74)/W74</f>
        <v>#DIV/0!</v>
      </c>
      <c r="AB74" s="95">
        <f>(D74-J74-R74)/V74</f>
        <v>53.341036162503293</v>
      </c>
      <c r="AC74" s="36">
        <f>(E74-K74-S74)/E74</f>
        <v>-1.263609416688817</v>
      </c>
      <c r="AD74" s="60">
        <f>SUM(D74-H74)/D74</f>
        <v>0.10572943421498232</v>
      </c>
      <c r="AE74" s="80"/>
      <c r="AG74" t="s">
        <v>91</v>
      </c>
      <c r="AH74">
        <f>AK79</f>
        <v>0</v>
      </c>
      <c r="AK74" s="7">
        <f>SUM(W75-W74)</f>
        <v>0</v>
      </c>
      <c r="AL74" s="94">
        <f>SUM(K75-K74)</f>
        <v>16474.449999999997</v>
      </c>
    </row>
    <row r="75" spans="1:38">
      <c r="A75" s="7"/>
      <c r="B75" s="71"/>
      <c r="C75" s="93" t="s">
        <v>92</v>
      </c>
      <c r="D75" s="56">
        <v>210242.4</v>
      </c>
      <c r="E75" s="56">
        <v>67511.23</v>
      </c>
      <c r="F75" s="40">
        <f t="shared" ref="F75:F79" si="121">D75-E75</f>
        <v>142731.16999999998</v>
      </c>
      <c r="G75" s="36">
        <f t="shared" ref="G75:G79" si="122">F75/D75</f>
        <v>0.67888860667496176</v>
      </c>
      <c r="H75" s="40">
        <v>188013.59</v>
      </c>
      <c r="I75" s="40">
        <v>50113.61</v>
      </c>
      <c r="J75" s="56">
        <f>SUM(H75-R75)</f>
        <v>167291.62</v>
      </c>
      <c r="K75" s="56">
        <f t="shared" si="119"/>
        <v>50113.61</v>
      </c>
      <c r="L75" s="40">
        <f t="shared" ref="L75:L79" si="123">J75-K75</f>
        <v>117178.01</v>
      </c>
      <c r="M75" s="36">
        <f t="shared" ref="M75:M79" si="124">L75/J75</f>
        <v>0.70044160012318613</v>
      </c>
      <c r="N75" s="58">
        <v>0</v>
      </c>
      <c r="O75" s="58"/>
      <c r="P75" s="58"/>
      <c r="Q75" s="58"/>
      <c r="R75" s="56">
        <v>20721.97</v>
      </c>
      <c r="S75" s="56"/>
      <c r="T75" s="40">
        <f t="shared" ref="T75:T79" si="125">R75-S75</f>
        <v>20721.97</v>
      </c>
      <c r="U75" s="36">
        <f t="shared" ref="U75:U79" si="126">T75/R75</f>
        <v>1</v>
      </c>
      <c r="V75" s="44">
        <v>416.73</v>
      </c>
      <c r="W75" s="44">
        <v>0</v>
      </c>
      <c r="X75" s="8">
        <f t="shared" ref="X75:X79" si="127">V75-W75</f>
        <v>416.73</v>
      </c>
      <c r="Y75" s="36">
        <f t="shared" ref="Y75:Y79" si="128">X75/V75</f>
        <v>1</v>
      </c>
      <c r="Z75" s="58">
        <v>0</v>
      </c>
      <c r="AA75" s="95" t="e">
        <f t="shared" ref="AA75:AA79" si="129">(E75-K75-S75)/W75</f>
        <v>#DIV/0!</v>
      </c>
      <c r="AB75" s="95">
        <f t="shared" ref="AB75:AB79" si="130">(D75-J75-R75)/V75</f>
        <v>53.341036162503293</v>
      </c>
      <c r="AC75" s="36">
        <f t="shared" ref="AC75:AC79" si="131">(E75-K75-S75)/E75</f>
        <v>0.25769964493314662</v>
      </c>
      <c r="AD75" s="60">
        <f t="shared" ref="AD75:AD78" si="132">SUM(D75-H75)/D75</f>
        <v>0.10572943421498232</v>
      </c>
      <c r="AE75" s="80"/>
      <c r="AG75" t="s">
        <v>93</v>
      </c>
      <c r="AH75" s="42">
        <f>AL79</f>
        <v>-33639.160000000003</v>
      </c>
      <c r="AK75" s="7">
        <f>SUM(W76-W75)</f>
        <v>0</v>
      </c>
      <c r="AL75" s="94">
        <f>SUM(K76-K75)</f>
        <v>1067.6999999999971</v>
      </c>
    </row>
    <row r="76" spans="1:38">
      <c r="A76" s="7"/>
      <c r="B76" s="71"/>
      <c r="C76" s="93" t="s">
        <v>94</v>
      </c>
      <c r="D76" s="56">
        <v>210242.4</v>
      </c>
      <c r="E76" s="56">
        <v>67511.23</v>
      </c>
      <c r="F76" s="40">
        <f t="shared" si="121"/>
        <v>142731.16999999998</v>
      </c>
      <c r="G76" s="36">
        <f t="shared" si="122"/>
        <v>0.67888860667496176</v>
      </c>
      <c r="H76" s="40">
        <v>188013.59</v>
      </c>
      <c r="I76" s="40">
        <v>51181.31</v>
      </c>
      <c r="J76" s="56">
        <f>SUM(H76-R76)</f>
        <v>167216.60999999999</v>
      </c>
      <c r="K76" s="56">
        <f>SUM(I76-S76)</f>
        <v>51181.31</v>
      </c>
      <c r="L76" s="40">
        <f t="shared" si="123"/>
        <v>116035.29999999999</v>
      </c>
      <c r="M76" s="36">
        <f t="shared" si="124"/>
        <v>0.69392209302652408</v>
      </c>
      <c r="N76" s="58">
        <v>0</v>
      </c>
      <c r="O76" s="58"/>
      <c r="P76" s="58"/>
      <c r="Q76" s="58"/>
      <c r="R76" s="56">
        <v>20796.98</v>
      </c>
      <c r="S76" s="56"/>
      <c r="T76" s="40">
        <f t="shared" si="125"/>
        <v>20796.98</v>
      </c>
      <c r="U76" s="36">
        <f t="shared" si="126"/>
        <v>1</v>
      </c>
      <c r="V76" s="44">
        <v>416.73</v>
      </c>
      <c r="W76" s="44">
        <v>0</v>
      </c>
      <c r="X76" s="8">
        <f t="shared" si="127"/>
        <v>416.73</v>
      </c>
      <c r="Y76" s="36">
        <f t="shared" si="128"/>
        <v>1</v>
      </c>
      <c r="Z76" s="58">
        <v>0</v>
      </c>
      <c r="AA76" s="95" t="e">
        <f t="shared" si="129"/>
        <v>#DIV/0!</v>
      </c>
      <c r="AB76" s="95">
        <f t="shared" si="130"/>
        <v>53.341036162503315</v>
      </c>
      <c r="AC76" s="36">
        <f t="shared" si="131"/>
        <v>0.24188449832716719</v>
      </c>
      <c r="AD76" s="60">
        <f t="shared" si="132"/>
        <v>0.10572943421498232</v>
      </c>
      <c r="AE76" s="80"/>
      <c r="AK76" s="7">
        <f>SUM(W77-W76)</f>
        <v>0</v>
      </c>
      <c r="AL76" s="94">
        <f>SUM(K77-K76)</f>
        <v>-51181.31</v>
      </c>
    </row>
    <row r="77" spans="1:38">
      <c r="A77" s="7"/>
      <c r="B77" s="71"/>
      <c r="C77" s="93" t="s">
        <v>95</v>
      </c>
      <c r="D77" s="56"/>
      <c r="E77" s="56"/>
      <c r="F77" s="40">
        <f t="shared" si="121"/>
        <v>0</v>
      </c>
      <c r="G77" s="36" t="e">
        <f t="shared" si="122"/>
        <v>#DIV/0!</v>
      </c>
      <c r="H77" s="40"/>
      <c r="I77" s="40"/>
      <c r="J77" s="56">
        <f>SUM(H77-R77)</f>
        <v>0</v>
      </c>
      <c r="K77" s="56">
        <f t="shared" si="119"/>
        <v>0</v>
      </c>
      <c r="L77" s="40">
        <f t="shared" si="123"/>
        <v>0</v>
      </c>
      <c r="M77" s="36" t="e">
        <f t="shared" si="124"/>
        <v>#DIV/0!</v>
      </c>
      <c r="N77" s="58">
        <v>0</v>
      </c>
      <c r="O77" s="58"/>
      <c r="P77" s="58"/>
      <c r="Q77" s="58"/>
      <c r="R77" s="56"/>
      <c r="S77" s="56"/>
      <c r="T77" s="40">
        <f t="shared" si="125"/>
        <v>0</v>
      </c>
      <c r="U77" s="36" t="e">
        <f t="shared" si="126"/>
        <v>#DIV/0!</v>
      </c>
      <c r="V77" s="44"/>
      <c r="W77" s="44">
        <v>0</v>
      </c>
      <c r="X77" s="8">
        <f t="shared" si="127"/>
        <v>0</v>
      </c>
      <c r="Y77" s="36" t="e">
        <f t="shared" si="128"/>
        <v>#DIV/0!</v>
      </c>
      <c r="Z77" s="58">
        <v>0</v>
      </c>
      <c r="AA77" s="95" t="e">
        <f t="shared" si="129"/>
        <v>#DIV/0!</v>
      </c>
      <c r="AB77" s="95" t="e">
        <f t="shared" si="130"/>
        <v>#DIV/0!</v>
      </c>
      <c r="AC77" s="36" t="e">
        <f t="shared" si="131"/>
        <v>#DIV/0!</v>
      </c>
      <c r="AD77" s="60" t="e">
        <f t="shared" si="132"/>
        <v>#DIV/0!</v>
      </c>
      <c r="AE77" s="80"/>
      <c r="AG77" t="s">
        <v>96</v>
      </c>
      <c r="AH77" s="42">
        <v>0</v>
      </c>
      <c r="AK77" s="7">
        <f>SUM(W78-W77)</f>
        <v>0</v>
      </c>
      <c r="AL77" s="94">
        <f>SUM(K78-K77)</f>
        <v>0</v>
      </c>
    </row>
    <row r="78" spans="1:38">
      <c r="A78" s="7"/>
      <c r="B78" s="71"/>
      <c r="C78" s="93" t="s">
        <v>97</v>
      </c>
      <c r="D78" s="56"/>
      <c r="E78" s="56"/>
      <c r="F78" s="40">
        <f t="shared" si="121"/>
        <v>0</v>
      </c>
      <c r="G78" s="36" t="e">
        <f t="shared" si="122"/>
        <v>#DIV/0!</v>
      </c>
      <c r="H78" s="40"/>
      <c r="I78" s="40"/>
      <c r="J78" s="56">
        <f>SUM(H78-R78)</f>
        <v>0</v>
      </c>
      <c r="K78" s="56">
        <f t="shared" si="119"/>
        <v>0</v>
      </c>
      <c r="L78" s="40">
        <f t="shared" si="123"/>
        <v>0</v>
      </c>
      <c r="M78" s="36" t="e">
        <f t="shared" si="124"/>
        <v>#DIV/0!</v>
      </c>
      <c r="N78" s="58">
        <v>0</v>
      </c>
      <c r="O78" s="58"/>
      <c r="P78" s="58"/>
      <c r="Q78" s="58"/>
      <c r="R78" s="56"/>
      <c r="S78" s="56">
        <v>0</v>
      </c>
      <c r="T78" s="40">
        <f t="shared" si="125"/>
        <v>0</v>
      </c>
      <c r="U78" s="36" t="e">
        <f t="shared" si="126"/>
        <v>#DIV/0!</v>
      </c>
      <c r="V78" s="44"/>
      <c r="W78" s="44">
        <v>0</v>
      </c>
      <c r="X78" s="8">
        <f t="shared" si="127"/>
        <v>0</v>
      </c>
      <c r="Y78" s="36" t="e">
        <f t="shared" si="128"/>
        <v>#DIV/0!</v>
      </c>
      <c r="Z78" s="58">
        <v>0</v>
      </c>
      <c r="AA78" s="95" t="e">
        <f t="shared" si="129"/>
        <v>#DIV/0!</v>
      </c>
      <c r="AB78" s="95" t="e">
        <f t="shared" si="130"/>
        <v>#DIV/0!</v>
      </c>
      <c r="AC78" s="36" t="e">
        <f t="shared" si="131"/>
        <v>#DIV/0!</v>
      </c>
      <c r="AD78" s="60" t="e">
        <f t="shared" si="132"/>
        <v>#DIV/0!</v>
      </c>
      <c r="AE78" s="80"/>
      <c r="AK78" s="7">
        <f>SUM(W79-W78)</f>
        <v>0</v>
      </c>
      <c r="AL78" s="94">
        <f>SUM(K79-K78)</f>
        <v>0</v>
      </c>
    </row>
    <row r="79" spans="1:38">
      <c r="A79" s="7"/>
      <c r="B79" s="71"/>
      <c r="C79" s="93" t="s">
        <v>98</v>
      </c>
      <c r="D79" s="56"/>
      <c r="E79" s="56"/>
      <c r="F79" s="40">
        <f t="shared" si="121"/>
        <v>0</v>
      </c>
      <c r="G79" s="36" t="e">
        <f t="shared" si="122"/>
        <v>#DIV/0!</v>
      </c>
      <c r="H79" s="40"/>
      <c r="I79" s="40"/>
      <c r="J79" s="56">
        <f>SUM(H79-R79)</f>
        <v>0</v>
      </c>
      <c r="K79" s="56">
        <f t="shared" si="119"/>
        <v>0</v>
      </c>
      <c r="L79" s="40">
        <f t="shared" si="123"/>
        <v>0</v>
      </c>
      <c r="M79" s="36" t="e">
        <f t="shared" si="124"/>
        <v>#DIV/0!</v>
      </c>
      <c r="N79" s="58">
        <v>0</v>
      </c>
      <c r="O79" s="58"/>
      <c r="P79" s="58"/>
      <c r="Q79" s="58"/>
      <c r="R79" s="56"/>
      <c r="S79" s="56">
        <v>0</v>
      </c>
      <c r="T79" s="40">
        <f t="shared" si="125"/>
        <v>0</v>
      </c>
      <c r="U79" s="36" t="e">
        <f t="shared" si="126"/>
        <v>#DIV/0!</v>
      </c>
      <c r="V79" s="44"/>
      <c r="W79" s="44">
        <v>0</v>
      </c>
      <c r="X79" s="8">
        <f t="shared" si="127"/>
        <v>0</v>
      </c>
      <c r="Y79" s="36" t="e">
        <f t="shared" si="128"/>
        <v>#DIV/0!</v>
      </c>
      <c r="Z79" s="58">
        <v>0</v>
      </c>
      <c r="AA79" s="95" t="e">
        <f t="shared" si="129"/>
        <v>#DIV/0!</v>
      </c>
      <c r="AB79" s="95" t="e">
        <f t="shared" si="130"/>
        <v>#DIV/0!</v>
      </c>
      <c r="AC79" s="36" t="e">
        <f t="shared" si="131"/>
        <v>#DIV/0!</v>
      </c>
      <c r="AD79" s="60" t="e">
        <f>SUM(D79-H79)/D79</f>
        <v>#DIV/0!</v>
      </c>
      <c r="AE79" s="80"/>
      <c r="AK79" s="9">
        <f>SUM(AK74,AK75,AK76,AK77,AK78)</f>
        <v>0</v>
      </c>
      <c r="AL79" s="97">
        <f>SUM(AL74,AL75,AL76,AL77,AL78)</f>
        <v>-33639.160000000003</v>
      </c>
    </row>
    <row r="80" spans="1:38" ht="9" customHeight="1">
      <c r="A80" s="279"/>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1"/>
    </row>
    <row r="81" spans="1:38">
      <c r="A81" s="7">
        <f>'Main Sheet'!A26</f>
        <v>8352</v>
      </c>
      <c r="B81" s="71" t="str">
        <f>'Main Sheet'!B26</f>
        <v>5 Sanscrit Place</v>
      </c>
      <c r="C81" s="93" t="s">
        <v>90</v>
      </c>
      <c r="D81" s="56">
        <v>43448.62</v>
      </c>
      <c r="E81" s="56">
        <v>19551.87</v>
      </c>
      <c r="F81" s="40">
        <f>D81-E81</f>
        <v>23896.750000000004</v>
      </c>
      <c r="G81" s="36">
        <f>F81/D81</f>
        <v>0.55000020714121656</v>
      </c>
      <c r="H81" s="40">
        <v>31063.54</v>
      </c>
      <c r="I81" s="40">
        <v>25863.55</v>
      </c>
      <c r="J81" s="56">
        <f>SUM(H81-R81)</f>
        <v>16447.560000000001</v>
      </c>
      <c r="K81" s="56">
        <f>SUM(I81-S81)</f>
        <v>18255.629999999997</v>
      </c>
      <c r="L81" s="40">
        <f>J81-K81</f>
        <v>-1808.0699999999961</v>
      </c>
      <c r="M81" s="36">
        <f>L81/J81</f>
        <v>-0.10992937554263343</v>
      </c>
      <c r="N81" s="58">
        <v>0</v>
      </c>
      <c r="O81" s="58"/>
      <c r="P81" s="58"/>
      <c r="Q81" s="58"/>
      <c r="R81" s="56">
        <v>14615.98</v>
      </c>
      <c r="S81" s="56">
        <v>7607.92</v>
      </c>
      <c r="T81" s="40">
        <f>R81-S81</f>
        <v>7008.0599999999995</v>
      </c>
      <c r="U81" s="36">
        <f>T81/R81</f>
        <v>0.47947930963233393</v>
      </c>
      <c r="V81" s="44">
        <v>292.93</v>
      </c>
      <c r="W81" s="44">
        <v>181.5</v>
      </c>
      <c r="X81" s="8">
        <f>V81-W81</f>
        <v>111.43</v>
      </c>
      <c r="Y81" s="36">
        <f>X81/V81</f>
        <v>0.38039804731505822</v>
      </c>
      <c r="Z81" s="58">
        <v>0</v>
      </c>
      <c r="AA81" s="95">
        <f>(E81-K81-S81)/W81</f>
        <v>-34.775096418732772</v>
      </c>
      <c r="AB81" s="95">
        <f>(D81-J81-R81)/V81</f>
        <v>42.279998634486063</v>
      </c>
      <c r="AC81" s="36">
        <f>(E81-K81-S81)/E81</f>
        <v>-0.3228172036741242</v>
      </c>
      <c r="AD81" s="60">
        <f>SUM(D81-H81)/D81</f>
        <v>0.28505117078517112</v>
      </c>
      <c r="AE81" s="80"/>
      <c r="AG81" t="s">
        <v>91</v>
      </c>
      <c r="AH81">
        <f>AK86</f>
        <v>-181.5</v>
      </c>
      <c r="AK81" s="7">
        <f>SUM(W82-W81)</f>
        <v>0</v>
      </c>
      <c r="AL81" s="94">
        <f>SUM(K82-K81)</f>
        <v>979.13000000000466</v>
      </c>
    </row>
    <row r="82" spans="1:38">
      <c r="A82" s="7"/>
      <c r="B82" s="71"/>
      <c r="C82" s="93" t="s">
        <v>92</v>
      </c>
      <c r="D82" s="56">
        <v>43448.62</v>
      </c>
      <c r="E82" s="56">
        <v>34758.89</v>
      </c>
      <c r="F82" s="40">
        <f t="shared" ref="F82:F86" si="133">D82-E82</f>
        <v>8689.7300000000032</v>
      </c>
      <c r="G82" s="36">
        <f t="shared" ref="G82:G86" si="134">F82/D82</f>
        <v>0.20000013809414435</v>
      </c>
      <c r="H82" s="40">
        <v>31063.54</v>
      </c>
      <c r="I82" s="40">
        <v>26842.68</v>
      </c>
      <c r="J82" s="56">
        <f>SUM(H82-R82)</f>
        <v>16447.560000000001</v>
      </c>
      <c r="K82" s="56">
        <f>SUM(I82-S82)</f>
        <v>19234.760000000002</v>
      </c>
      <c r="L82" s="40">
        <f t="shared" ref="L82:L86" si="135">J82-K82</f>
        <v>-2787.2000000000007</v>
      </c>
      <c r="M82" s="36">
        <f t="shared" ref="M82:M86" si="136">L82/J82</f>
        <v>-0.16945978613241117</v>
      </c>
      <c r="N82" s="58">
        <v>0</v>
      </c>
      <c r="O82" s="58"/>
      <c r="P82" s="58"/>
      <c r="Q82" s="58"/>
      <c r="R82" s="56">
        <v>14615.98</v>
      </c>
      <c r="S82" s="56">
        <v>7607.92</v>
      </c>
      <c r="T82" s="40">
        <f t="shared" ref="T82:T86" si="137">R82-S82</f>
        <v>7008.0599999999995</v>
      </c>
      <c r="U82" s="36">
        <f t="shared" ref="U82:U86" si="138">T82/R82</f>
        <v>0.47947930963233393</v>
      </c>
      <c r="V82" s="44">
        <v>292.93</v>
      </c>
      <c r="W82" s="44">
        <v>181.5</v>
      </c>
      <c r="X82" s="8">
        <f t="shared" ref="X82:X86" si="139">V82-W82</f>
        <v>111.43</v>
      </c>
      <c r="Y82" s="36">
        <f t="shared" ref="Y82:Y86" si="140">X82/V82</f>
        <v>0.38039804731505822</v>
      </c>
      <c r="Z82" s="58">
        <v>0</v>
      </c>
      <c r="AA82" s="95">
        <f t="shared" ref="AA82:AA86" si="141">(E82-K82-S82)/W82</f>
        <v>43.6154820936639</v>
      </c>
      <c r="AB82" s="95">
        <f t="shared" ref="AB82:AB86" si="142">(D82-J82-R82)/V82</f>
        <v>42.279998634486063</v>
      </c>
      <c r="AC82" s="36">
        <f t="shared" ref="AC82:AC86" si="143">(E82-K82-S82)/E82</f>
        <v>0.22774634057646828</v>
      </c>
      <c r="AD82" s="60">
        <f t="shared" ref="AD82:AD85" si="144">SUM(D82-H82)/D82</f>
        <v>0.28505117078517112</v>
      </c>
      <c r="AE82" s="80"/>
      <c r="AG82" t="s">
        <v>93</v>
      </c>
      <c r="AH82" s="42">
        <f>AL86</f>
        <v>-18255.629999999997</v>
      </c>
      <c r="AK82" s="7">
        <f>SUM(W83-W82)</f>
        <v>-181.5</v>
      </c>
      <c r="AL82" s="94">
        <f>SUM(K83-K82)</f>
        <v>-19234.760000000002</v>
      </c>
    </row>
    <row r="83" spans="1:38">
      <c r="A83" s="7"/>
      <c r="B83" s="71"/>
      <c r="C83" s="93" t="s">
        <v>94</v>
      </c>
      <c r="D83" s="56">
        <v>0</v>
      </c>
      <c r="E83" s="56">
        <v>0</v>
      </c>
      <c r="F83" s="40">
        <f t="shared" si="133"/>
        <v>0</v>
      </c>
      <c r="G83" s="36" t="e">
        <f t="shared" si="134"/>
        <v>#DIV/0!</v>
      </c>
      <c r="H83" s="40">
        <v>0</v>
      </c>
      <c r="I83" s="40">
        <v>0</v>
      </c>
      <c r="J83" s="56">
        <f>SUM(H83-R83)</f>
        <v>0</v>
      </c>
      <c r="K83" s="56">
        <f>SUM(I83-S83)</f>
        <v>0</v>
      </c>
      <c r="L83" s="40">
        <f t="shared" si="135"/>
        <v>0</v>
      </c>
      <c r="M83" s="36" t="e">
        <f t="shared" si="136"/>
        <v>#DIV/0!</v>
      </c>
      <c r="N83" s="58"/>
      <c r="O83" s="58"/>
      <c r="P83" s="58"/>
      <c r="Q83" s="58"/>
      <c r="R83" s="56">
        <v>0</v>
      </c>
      <c r="S83" s="56">
        <v>0</v>
      </c>
      <c r="T83" s="40">
        <f t="shared" si="137"/>
        <v>0</v>
      </c>
      <c r="U83" s="36" t="e">
        <f t="shared" si="138"/>
        <v>#DIV/0!</v>
      </c>
      <c r="V83" s="44">
        <v>0</v>
      </c>
      <c r="W83" s="44">
        <v>0</v>
      </c>
      <c r="X83" s="8">
        <f t="shared" si="139"/>
        <v>0</v>
      </c>
      <c r="Y83" s="36" t="e">
        <f t="shared" si="140"/>
        <v>#DIV/0!</v>
      </c>
      <c r="Z83" s="58">
        <v>0</v>
      </c>
      <c r="AA83" s="95" t="e">
        <f t="shared" si="141"/>
        <v>#DIV/0!</v>
      </c>
      <c r="AB83" s="95" t="e">
        <f t="shared" si="142"/>
        <v>#DIV/0!</v>
      </c>
      <c r="AC83" s="36" t="e">
        <f t="shared" si="143"/>
        <v>#DIV/0!</v>
      </c>
      <c r="AD83" s="60" t="e">
        <f t="shared" si="144"/>
        <v>#DIV/0!</v>
      </c>
      <c r="AE83" s="80"/>
      <c r="AK83" s="7">
        <f>SUM(W84-W83)</f>
        <v>0</v>
      </c>
      <c r="AL83" s="94">
        <f>SUM(K84-K83)</f>
        <v>0</v>
      </c>
    </row>
    <row r="84" spans="1:38">
      <c r="A84" s="7"/>
      <c r="B84" s="71"/>
      <c r="C84" s="93" t="s">
        <v>95</v>
      </c>
      <c r="D84" s="56">
        <v>0</v>
      </c>
      <c r="E84" s="56">
        <v>0</v>
      </c>
      <c r="F84" s="40">
        <f t="shared" si="133"/>
        <v>0</v>
      </c>
      <c r="G84" s="36" t="e">
        <f t="shared" si="134"/>
        <v>#DIV/0!</v>
      </c>
      <c r="H84" s="40">
        <v>0</v>
      </c>
      <c r="I84" s="40">
        <v>0</v>
      </c>
      <c r="J84" s="56">
        <f>SUM(H84-R84)</f>
        <v>0</v>
      </c>
      <c r="K84" s="56">
        <f>SUM(I84-S84)</f>
        <v>0</v>
      </c>
      <c r="L84" s="40">
        <f t="shared" si="135"/>
        <v>0</v>
      </c>
      <c r="M84" s="36" t="e">
        <f t="shared" si="136"/>
        <v>#DIV/0!</v>
      </c>
      <c r="N84" s="58"/>
      <c r="O84" s="58"/>
      <c r="P84" s="58"/>
      <c r="Q84" s="58"/>
      <c r="R84" s="56">
        <v>0</v>
      </c>
      <c r="S84" s="56">
        <v>0</v>
      </c>
      <c r="T84" s="40">
        <f t="shared" si="137"/>
        <v>0</v>
      </c>
      <c r="U84" s="36" t="e">
        <f t="shared" si="138"/>
        <v>#DIV/0!</v>
      </c>
      <c r="V84" s="44">
        <v>0</v>
      </c>
      <c r="W84" s="44">
        <v>0</v>
      </c>
      <c r="X84" s="8">
        <f t="shared" si="139"/>
        <v>0</v>
      </c>
      <c r="Y84" s="36" t="e">
        <f t="shared" si="140"/>
        <v>#DIV/0!</v>
      </c>
      <c r="Z84" s="58">
        <v>0</v>
      </c>
      <c r="AA84" s="95" t="e">
        <f t="shared" si="141"/>
        <v>#DIV/0!</v>
      </c>
      <c r="AB84" s="95" t="e">
        <f t="shared" si="142"/>
        <v>#DIV/0!</v>
      </c>
      <c r="AC84" s="36" t="e">
        <f t="shared" si="143"/>
        <v>#DIV/0!</v>
      </c>
      <c r="AD84" s="60" t="e">
        <f t="shared" si="144"/>
        <v>#DIV/0!</v>
      </c>
      <c r="AE84" s="80"/>
      <c r="AG84" t="s">
        <v>96</v>
      </c>
      <c r="AH84" s="42">
        <v>0</v>
      </c>
      <c r="AK84" s="7">
        <f>SUM(W85-W84)</f>
        <v>0</v>
      </c>
      <c r="AL84" s="94">
        <f>SUM(K85-K84)</f>
        <v>0</v>
      </c>
    </row>
    <row r="85" spans="1:38">
      <c r="A85" s="7"/>
      <c r="B85" s="71"/>
      <c r="C85" s="93" t="s">
        <v>97</v>
      </c>
      <c r="D85" s="56">
        <v>0</v>
      </c>
      <c r="E85" s="56">
        <v>0</v>
      </c>
      <c r="F85" s="40">
        <f t="shared" si="133"/>
        <v>0</v>
      </c>
      <c r="G85" s="36" t="e">
        <f t="shared" si="134"/>
        <v>#DIV/0!</v>
      </c>
      <c r="H85" s="40">
        <v>0</v>
      </c>
      <c r="I85" s="40">
        <v>0</v>
      </c>
      <c r="J85" s="56">
        <f>SUM(H85-R85)</f>
        <v>0</v>
      </c>
      <c r="K85" s="56">
        <f>SUM(I85-S85)</f>
        <v>0</v>
      </c>
      <c r="L85" s="40">
        <f t="shared" si="135"/>
        <v>0</v>
      </c>
      <c r="M85" s="36" t="e">
        <f t="shared" si="136"/>
        <v>#DIV/0!</v>
      </c>
      <c r="N85" s="58"/>
      <c r="O85" s="58"/>
      <c r="P85" s="58"/>
      <c r="Q85" s="58"/>
      <c r="R85" s="56">
        <v>0</v>
      </c>
      <c r="S85" s="56">
        <v>0</v>
      </c>
      <c r="T85" s="40">
        <f t="shared" si="137"/>
        <v>0</v>
      </c>
      <c r="U85" s="36" t="e">
        <f t="shared" si="138"/>
        <v>#DIV/0!</v>
      </c>
      <c r="V85" s="44">
        <v>0</v>
      </c>
      <c r="W85" s="44">
        <v>0</v>
      </c>
      <c r="X85" s="8">
        <f t="shared" si="139"/>
        <v>0</v>
      </c>
      <c r="Y85" s="36" t="e">
        <f t="shared" si="140"/>
        <v>#DIV/0!</v>
      </c>
      <c r="Z85" s="58"/>
      <c r="AA85" s="95" t="e">
        <f t="shared" si="141"/>
        <v>#DIV/0!</v>
      </c>
      <c r="AB85" s="95" t="e">
        <f t="shared" si="142"/>
        <v>#DIV/0!</v>
      </c>
      <c r="AC85" s="36" t="e">
        <f t="shared" si="143"/>
        <v>#DIV/0!</v>
      </c>
      <c r="AD85" s="60" t="e">
        <f t="shared" si="144"/>
        <v>#DIV/0!</v>
      </c>
      <c r="AE85" s="80"/>
      <c r="AK85" s="7">
        <f>SUM(W86-W85)</f>
        <v>0</v>
      </c>
      <c r="AL85" s="94">
        <f>SUM(K86-K85)</f>
        <v>0</v>
      </c>
    </row>
    <row r="86" spans="1:38">
      <c r="A86" s="7"/>
      <c r="B86" s="71"/>
      <c r="C86" s="93" t="s">
        <v>98</v>
      </c>
      <c r="D86" s="56">
        <v>0</v>
      </c>
      <c r="E86" s="56">
        <v>0</v>
      </c>
      <c r="F86" s="40">
        <f t="shared" si="133"/>
        <v>0</v>
      </c>
      <c r="G86" s="36" t="e">
        <f t="shared" si="134"/>
        <v>#DIV/0!</v>
      </c>
      <c r="H86" s="40">
        <v>0</v>
      </c>
      <c r="I86" s="40">
        <v>0</v>
      </c>
      <c r="J86" s="56">
        <f>SUM(H86-R86)</f>
        <v>0</v>
      </c>
      <c r="K86" s="56">
        <f>SUM(I86-S86)</f>
        <v>0</v>
      </c>
      <c r="L86" s="40">
        <f t="shared" si="135"/>
        <v>0</v>
      </c>
      <c r="M86" s="36" t="e">
        <f t="shared" si="136"/>
        <v>#DIV/0!</v>
      </c>
      <c r="N86" s="58"/>
      <c r="O86" s="58"/>
      <c r="P86" s="58"/>
      <c r="Q86" s="58"/>
      <c r="R86" s="56">
        <v>0</v>
      </c>
      <c r="S86" s="56">
        <v>0</v>
      </c>
      <c r="T86" s="40">
        <f t="shared" si="137"/>
        <v>0</v>
      </c>
      <c r="U86" s="36" t="e">
        <f t="shared" si="138"/>
        <v>#DIV/0!</v>
      </c>
      <c r="V86" s="44">
        <v>0</v>
      </c>
      <c r="W86" s="44">
        <v>0</v>
      </c>
      <c r="X86" s="8">
        <f t="shared" si="139"/>
        <v>0</v>
      </c>
      <c r="Y86" s="36" t="e">
        <f t="shared" si="140"/>
        <v>#DIV/0!</v>
      </c>
      <c r="Z86" s="58"/>
      <c r="AA86" s="95" t="e">
        <f t="shared" si="141"/>
        <v>#DIV/0!</v>
      </c>
      <c r="AB86" s="95" t="e">
        <f t="shared" si="142"/>
        <v>#DIV/0!</v>
      </c>
      <c r="AC86" s="36" t="e">
        <f t="shared" si="143"/>
        <v>#DIV/0!</v>
      </c>
      <c r="AD86" s="60" t="e">
        <f>SUM(D86-H86)/D86</f>
        <v>#DIV/0!</v>
      </c>
      <c r="AE86" s="80"/>
      <c r="AK86" s="9">
        <f>SUM(AK81,AK82,AK83,AK84,AK85)</f>
        <v>-181.5</v>
      </c>
      <c r="AL86" s="97">
        <f>SUM(AL81,AL82,AL83,AL84,AL85)</f>
        <v>-18255.629999999997</v>
      </c>
    </row>
    <row r="87" spans="1:38" ht="9" customHeight="1">
      <c r="A87" s="274"/>
      <c r="B87" s="275"/>
      <c r="C87" s="275"/>
      <c r="D87" s="275"/>
      <c r="E87" s="275"/>
      <c r="F87" s="275"/>
      <c r="G87" s="275"/>
      <c r="H87" s="275"/>
      <c r="I87" s="275"/>
      <c r="J87" s="275"/>
      <c r="K87" s="275"/>
      <c r="L87" s="275"/>
      <c r="M87" s="275"/>
      <c r="N87" s="275"/>
      <c r="O87" s="275"/>
      <c r="P87" s="275"/>
      <c r="Q87" s="275"/>
      <c r="R87" s="275"/>
      <c r="S87" s="275"/>
      <c r="T87" s="275"/>
      <c r="U87" s="275"/>
      <c r="V87" s="275"/>
      <c r="W87" s="275"/>
      <c r="X87" s="275"/>
      <c r="Y87" s="275"/>
      <c r="Z87" s="275"/>
      <c r="AA87" s="275"/>
      <c r="AB87" s="275"/>
      <c r="AC87" s="275"/>
      <c r="AD87" s="276"/>
    </row>
    <row r="88" spans="1:38">
      <c r="A88" s="7">
        <f>'Main Sheet'!A28</f>
        <v>8234</v>
      </c>
      <c r="B88" s="71" t="str">
        <f>'Main Sheet'!B28</f>
        <v>Melhuish House</v>
      </c>
      <c r="C88" s="93" t="s">
        <v>90</v>
      </c>
      <c r="D88" s="100">
        <v>49964.93</v>
      </c>
      <c r="E88" s="100">
        <v>25359.22</v>
      </c>
      <c r="F88" s="40">
        <f>D88-E88</f>
        <v>24605.71</v>
      </c>
      <c r="G88" s="36">
        <f>F88/D88</f>
        <v>0.49245961117127551</v>
      </c>
      <c r="H88" s="40">
        <v>43768.91</v>
      </c>
      <c r="I88" s="40">
        <v>25556.81</v>
      </c>
      <c r="J88" s="56">
        <f>SUM(H88-R88)</f>
        <v>37199.620000000003</v>
      </c>
      <c r="K88" s="56">
        <f>SUM(I88-S88)</f>
        <v>20554.230000000003</v>
      </c>
      <c r="L88" s="40">
        <f>J88-K88</f>
        <v>16645.39</v>
      </c>
      <c r="M88" s="36">
        <f>L88/J88</f>
        <v>0.44746129127125489</v>
      </c>
      <c r="N88" s="58">
        <v>0</v>
      </c>
      <c r="O88" s="58"/>
      <c r="P88" s="58"/>
      <c r="Q88" s="58"/>
      <c r="R88" s="56">
        <v>6569.29</v>
      </c>
      <c r="S88" s="56">
        <v>5002.58</v>
      </c>
      <c r="T88" s="40">
        <f>R88-S88</f>
        <v>1566.71</v>
      </c>
      <c r="U88" s="36">
        <f>T88/R88</f>
        <v>0.23849000424703432</v>
      </c>
      <c r="V88" s="114">
        <v>131.78</v>
      </c>
      <c r="W88" s="114">
        <v>113.75</v>
      </c>
      <c r="X88" s="8">
        <f>V88-W88</f>
        <v>18.03</v>
      </c>
      <c r="Y88" s="36">
        <f>X88/V88</f>
        <v>0.13681894065867356</v>
      </c>
      <c r="Z88" s="58">
        <v>0</v>
      </c>
      <c r="AA88" s="95">
        <f>(E88-K88-S88)/W88</f>
        <v>-1.7370549450549624</v>
      </c>
      <c r="AB88" s="95">
        <f>(D88-J88-R88)/V88</f>
        <v>47.017908635604776</v>
      </c>
      <c r="AC88" s="36">
        <f>(E88-K88-S88)/E88</f>
        <v>-7.7916434338280889E-3</v>
      </c>
      <c r="AD88" s="60">
        <f>SUM(D88-H88)/D88</f>
        <v>0.12400737877547305</v>
      </c>
      <c r="AE88" s="80"/>
      <c r="AG88" t="s">
        <v>91</v>
      </c>
      <c r="AH88">
        <f>AK93</f>
        <v>-113.75</v>
      </c>
      <c r="AK88" s="7">
        <f>SUM(W89-W88)</f>
        <v>58</v>
      </c>
      <c r="AL88" s="94">
        <f>SUM(K89-K88)</f>
        <v>7824.2199999999975</v>
      </c>
    </row>
    <row r="89" spans="1:38">
      <c r="A89" s="7"/>
      <c r="B89" s="71"/>
      <c r="C89" s="93" t="s">
        <v>92</v>
      </c>
      <c r="D89" s="100">
        <v>49964.93</v>
      </c>
      <c r="E89" s="100">
        <v>45361.39</v>
      </c>
      <c r="F89" s="40">
        <f t="shared" ref="F89:F93" si="145">D89-E89</f>
        <v>4603.5400000000009</v>
      </c>
      <c r="G89" s="36">
        <f t="shared" ref="G89:G93" si="146">F89/D89</f>
        <v>9.2135423786243689E-2</v>
      </c>
      <c r="H89" s="40">
        <v>43768.91</v>
      </c>
      <c r="I89" s="40">
        <v>35776.29</v>
      </c>
      <c r="J89" s="56">
        <f>SUM(H89-R89)</f>
        <v>37199.620000000003</v>
      </c>
      <c r="K89" s="56">
        <f>SUM(I89-S89)</f>
        <v>28378.45</v>
      </c>
      <c r="L89" s="40">
        <f t="shared" ref="L89:L93" si="147">J89-K89</f>
        <v>8821.1700000000019</v>
      </c>
      <c r="M89" s="36">
        <f t="shared" ref="M89:M93" si="148">L89/J89</f>
        <v>0.23713064810877105</v>
      </c>
      <c r="N89" s="58"/>
      <c r="O89" s="58"/>
      <c r="P89" s="58"/>
      <c r="Q89" s="58"/>
      <c r="R89" s="56">
        <v>6569.29</v>
      </c>
      <c r="S89" s="56">
        <v>7397.84</v>
      </c>
      <c r="T89" s="40">
        <f t="shared" ref="T89:T93" si="149">R89-S89</f>
        <v>-828.55000000000018</v>
      </c>
      <c r="U89" s="36">
        <f t="shared" ref="U89:U93" si="150">T89/R89</f>
        <v>-0.12612474102985258</v>
      </c>
      <c r="V89" s="114">
        <v>131.78</v>
      </c>
      <c r="W89" s="114">
        <v>171.75</v>
      </c>
      <c r="X89" s="8">
        <f t="shared" ref="X89:X93" si="151">V89-W89</f>
        <v>-39.97</v>
      </c>
      <c r="Y89" s="36">
        <f t="shared" ref="Y89:Y93" si="152">X89/V89</f>
        <v>-0.30330854454393685</v>
      </c>
      <c r="Z89" s="58"/>
      <c r="AA89" s="95">
        <f t="shared" ref="AA89:AA93" si="153">(E89-K89-S89)/W89</f>
        <v>55.808442503639</v>
      </c>
      <c r="AB89" s="95">
        <f t="shared" ref="AB89:AB93" si="154">(D89-J89-R89)/V89</f>
        <v>47.017908635604776</v>
      </c>
      <c r="AC89" s="36">
        <f t="shared" ref="AC89:AC93" si="155">(E89-K89-S89)/E89</f>
        <v>0.21130525321203777</v>
      </c>
      <c r="AD89" s="60">
        <f t="shared" ref="AD89:AD92" si="156">SUM(D89-H89)/D89</f>
        <v>0.12400737877547305</v>
      </c>
      <c r="AE89" s="80"/>
      <c r="AG89" t="s">
        <v>93</v>
      </c>
      <c r="AH89" s="42">
        <f>AL93</f>
        <v>-20554.230000000003</v>
      </c>
      <c r="AK89" s="7">
        <f>SUM(W90-W89)</f>
        <v>-171.75</v>
      </c>
      <c r="AL89" s="94">
        <f>SUM(K90-K89)</f>
        <v>-28378.45</v>
      </c>
    </row>
    <row r="90" spans="1:38">
      <c r="A90" s="7"/>
      <c r="B90" s="71"/>
      <c r="C90" s="93" t="s">
        <v>94</v>
      </c>
      <c r="D90" s="100">
        <v>0</v>
      </c>
      <c r="E90" s="100">
        <v>0</v>
      </c>
      <c r="F90" s="40">
        <f t="shared" si="145"/>
        <v>0</v>
      </c>
      <c r="G90" s="36" t="e">
        <f t="shared" si="146"/>
        <v>#DIV/0!</v>
      </c>
      <c r="H90" s="40">
        <v>0</v>
      </c>
      <c r="I90" s="40">
        <v>0</v>
      </c>
      <c r="J90" s="56">
        <f>SUM(H90-R90)</f>
        <v>0</v>
      </c>
      <c r="K90" s="56">
        <f>SUM(I90-S90)</f>
        <v>0</v>
      </c>
      <c r="L90" s="40">
        <f t="shared" si="147"/>
        <v>0</v>
      </c>
      <c r="M90" s="36" t="e">
        <f t="shared" si="148"/>
        <v>#DIV/0!</v>
      </c>
      <c r="N90" s="58"/>
      <c r="O90" s="58"/>
      <c r="P90" s="58"/>
      <c r="Q90" s="58"/>
      <c r="R90" s="56">
        <v>0</v>
      </c>
      <c r="S90" s="56">
        <v>0</v>
      </c>
      <c r="T90" s="40">
        <f t="shared" si="149"/>
        <v>0</v>
      </c>
      <c r="U90" s="36" t="e">
        <f t="shared" si="150"/>
        <v>#DIV/0!</v>
      </c>
      <c r="V90" s="114">
        <v>0</v>
      </c>
      <c r="W90" s="114">
        <v>0</v>
      </c>
      <c r="X90" s="8">
        <f t="shared" si="151"/>
        <v>0</v>
      </c>
      <c r="Y90" s="36" t="e">
        <f t="shared" si="152"/>
        <v>#DIV/0!</v>
      </c>
      <c r="Z90" s="58"/>
      <c r="AA90" s="95" t="e">
        <f t="shared" si="153"/>
        <v>#DIV/0!</v>
      </c>
      <c r="AB90" s="95" t="e">
        <f t="shared" si="154"/>
        <v>#DIV/0!</v>
      </c>
      <c r="AC90" s="36" t="e">
        <f t="shared" si="155"/>
        <v>#DIV/0!</v>
      </c>
      <c r="AD90" s="60" t="e">
        <f t="shared" si="156"/>
        <v>#DIV/0!</v>
      </c>
      <c r="AE90" s="80"/>
      <c r="AK90" s="7">
        <f>SUM(W91-W90)</f>
        <v>0</v>
      </c>
      <c r="AL90" s="94">
        <f>SUM(K91-K90)</f>
        <v>0</v>
      </c>
    </row>
    <row r="91" spans="1:38">
      <c r="A91" s="7"/>
      <c r="B91" s="71"/>
      <c r="C91" s="93" t="s">
        <v>95</v>
      </c>
      <c r="D91" s="100">
        <v>0</v>
      </c>
      <c r="E91" s="100">
        <v>0</v>
      </c>
      <c r="F91" s="40">
        <f t="shared" si="145"/>
        <v>0</v>
      </c>
      <c r="G91" s="36" t="e">
        <f t="shared" si="146"/>
        <v>#DIV/0!</v>
      </c>
      <c r="H91" s="40">
        <v>0</v>
      </c>
      <c r="I91" s="40">
        <v>0</v>
      </c>
      <c r="J91" s="56">
        <f>SUM(H91-R91)</f>
        <v>0</v>
      </c>
      <c r="K91" s="56">
        <f>SUM(I91-S91)</f>
        <v>0</v>
      </c>
      <c r="L91" s="40">
        <f t="shared" si="147"/>
        <v>0</v>
      </c>
      <c r="M91" s="36" t="e">
        <f t="shared" si="148"/>
        <v>#DIV/0!</v>
      </c>
      <c r="N91" s="58"/>
      <c r="O91" s="58"/>
      <c r="P91" s="58"/>
      <c r="Q91" s="58"/>
      <c r="R91" s="56">
        <v>0</v>
      </c>
      <c r="S91" s="56">
        <v>0</v>
      </c>
      <c r="T91" s="40">
        <f t="shared" si="149"/>
        <v>0</v>
      </c>
      <c r="U91" s="36" t="e">
        <f t="shared" si="150"/>
        <v>#DIV/0!</v>
      </c>
      <c r="V91" s="114">
        <v>0</v>
      </c>
      <c r="W91" s="114">
        <v>0</v>
      </c>
      <c r="X91" s="8">
        <f t="shared" si="151"/>
        <v>0</v>
      </c>
      <c r="Y91" s="36" t="e">
        <f t="shared" si="152"/>
        <v>#DIV/0!</v>
      </c>
      <c r="Z91" s="58"/>
      <c r="AA91" s="95" t="e">
        <f t="shared" si="153"/>
        <v>#DIV/0!</v>
      </c>
      <c r="AB91" s="95" t="e">
        <f t="shared" si="154"/>
        <v>#DIV/0!</v>
      </c>
      <c r="AC91" s="36" t="e">
        <f t="shared" si="155"/>
        <v>#DIV/0!</v>
      </c>
      <c r="AD91" s="60" t="e">
        <f t="shared" si="156"/>
        <v>#DIV/0!</v>
      </c>
      <c r="AE91" s="80"/>
      <c r="AG91" t="s">
        <v>96</v>
      </c>
      <c r="AH91" s="42">
        <v>0</v>
      </c>
      <c r="AK91" s="7">
        <f>SUM(W92-W91)</f>
        <v>0</v>
      </c>
      <c r="AL91" s="94">
        <f>SUM(K92-K91)</f>
        <v>0</v>
      </c>
    </row>
    <row r="92" spans="1:38">
      <c r="A92" s="7"/>
      <c r="B92" s="71"/>
      <c r="C92" s="93" t="s">
        <v>97</v>
      </c>
      <c r="D92" s="100">
        <v>0</v>
      </c>
      <c r="E92" s="100">
        <v>0</v>
      </c>
      <c r="F92" s="40">
        <f t="shared" si="145"/>
        <v>0</v>
      </c>
      <c r="G92" s="36" t="e">
        <f t="shared" si="146"/>
        <v>#DIV/0!</v>
      </c>
      <c r="H92" s="40">
        <v>0</v>
      </c>
      <c r="I92" s="40">
        <v>0</v>
      </c>
      <c r="J92" s="56">
        <f>SUM(H92-R92)</f>
        <v>0</v>
      </c>
      <c r="K92" s="56">
        <f>SUM(I92-S92)</f>
        <v>0</v>
      </c>
      <c r="L92" s="40">
        <f t="shared" si="147"/>
        <v>0</v>
      </c>
      <c r="M92" s="36" t="e">
        <f t="shared" si="148"/>
        <v>#DIV/0!</v>
      </c>
      <c r="N92" s="58"/>
      <c r="O92" s="58"/>
      <c r="P92" s="58"/>
      <c r="Q92" s="58"/>
      <c r="R92" s="56">
        <v>0</v>
      </c>
      <c r="S92" s="56">
        <v>0</v>
      </c>
      <c r="T92" s="40">
        <f t="shared" si="149"/>
        <v>0</v>
      </c>
      <c r="U92" s="36" t="e">
        <f t="shared" si="150"/>
        <v>#DIV/0!</v>
      </c>
      <c r="V92" s="114">
        <v>0</v>
      </c>
      <c r="W92" s="114">
        <v>0</v>
      </c>
      <c r="X92" s="8">
        <f t="shared" si="151"/>
        <v>0</v>
      </c>
      <c r="Y92" s="36" t="e">
        <f t="shared" si="152"/>
        <v>#DIV/0!</v>
      </c>
      <c r="Z92" s="58"/>
      <c r="AA92" s="95" t="e">
        <f t="shared" si="153"/>
        <v>#DIV/0!</v>
      </c>
      <c r="AB92" s="95" t="e">
        <f t="shared" si="154"/>
        <v>#DIV/0!</v>
      </c>
      <c r="AC92" s="36" t="e">
        <f t="shared" si="155"/>
        <v>#DIV/0!</v>
      </c>
      <c r="AD92" s="60" t="e">
        <f t="shared" si="156"/>
        <v>#DIV/0!</v>
      </c>
      <c r="AE92" s="80"/>
      <c r="AK92" s="7">
        <f>SUM(W93-W92)</f>
        <v>0</v>
      </c>
      <c r="AL92" s="94">
        <f>SUM(K93-K92)</f>
        <v>0</v>
      </c>
    </row>
    <row r="93" spans="1:38">
      <c r="A93" s="7"/>
      <c r="B93" s="71"/>
      <c r="C93" s="93" t="s">
        <v>98</v>
      </c>
      <c r="D93" s="100">
        <v>0</v>
      </c>
      <c r="E93" s="100">
        <v>0</v>
      </c>
      <c r="F93" s="40">
        <f t="shared" si="145"/>
        <v>0</v>
      </c>
      <c r="G93" s="36" t="e">
        <f t="shared" si="146"/>
        <v>#DIV/0!</v>
      </c>
      <c r="H93" s="40">
        <v>0</v>
      </c>
      <c r="I93" s="40">
        <v>0</v>
      </c>
      <c r="J93" s="56">
        <f>SUM(H93-R93)</f>
        <v>0</v>
      </c>
      <c r="K93" s="56">
        <f>SUM(I93-S93)</f>
        <v>0</v>
      </c>
      <c r="L93" s="40">
        <f t="shared" si="147"/>
        <v>0</v>
      </c>
      <c r="M93" s="36" t="e">
        <f t="shared" si="148"/>
        <v>#DIV/0!</v>
      </c>
      <c r="N93" s="58"/>
      <c r="O93" s="58"/>
      <c r="P93" s="58"/>
      <c r="Q93" s="58"/>
      <c r="R93" s="56">
        <v>0</v>
      </c>
      <c r="S93" s="56">
        <v>0</v>
      </c>
      <c r="T93" s="40">
        <f t="shared" si="149"/>
        <v>0</v>
      </c>
      <c r="U93" s="36" t="e">
        <f t="shared" si="150"/>
        <v>#DIV/0!</v>
      </c>
      <c r="V93" s="114">
        <v>0</v>
      </c>
      <c r="W93" s="114">
        <v>0</v>
      </c>
      <c r="X93" s="8">
        <f t="shared" si="151"/>
        <v>0</v>
      </c>
      <c r="Y93" s="36" t="e">
        <f t="shared" si="152"/>
        <v>#DIV/0!</v>
      </c>
      <c r="Z93" s="58"/>
      <c r="AA93" s="95" t="e">
        <f t="shared" si="153"/>
        <v>#DIV/0!</v>
      </c>
      <c r="AB93" s="95" t="e">
        <f t="shared" si="154"/>
        <v>#DIV/0!</v>
      </c>
      <c r="AC93" s="36" t="e">
        <f t="shared" si="155"/>
        <v>#DIV/0!</v>
      </c>
      <c r="AD93" s="60" t="e">
        <f>SUM(D93-H93)/D93</f>
        <v>#DIV/0!</v>
      </c>
      <c r="AE93" s="80"/>
      <c r="AK93" s="9">
        <f>SUM(AK88,AK89,AK90,AK91,AK92)</f>
        <v>-113.75</v>
      </c>
      <c r="AL93" s="97">
        <f>SUM(AL88,AL89,AL90,AL91,AL92)</f>
        <v>-20554.230000000003</v>
      </c>
    </row>
    <row r="94" spans="1:38" ht="9" customHeight="1">
      <c r="A94" s="274"/>
      <c r="B94" s="275"/>
      <c r="C94" s="275"/>
      <c r="D94" s="275"/>
      <c r="E94" s="275"/>
      <c r="F94" s="275"/>
      <c r="G94" s="275"/>
      <c r="H94" s="275"/>
      <c r="I94" s="275"/>
      <c r="J94" s="275"/>
      <c r="K94" s="275"/>
      <c r="L94" s="275"/>
      <c r="M94" s="275"/>
      <c r="N94" s="275"/>
      <c r="O94" s="275"/>
      <c r="P94" s="275"/>
      <c r="Q94" s="275"/>
      <c r="R94" s="275"/>
      <c r="S94" s="275"/>
      <c r="T94" s="275"/>
      <c r="U94" s="275"/>
      <c r="V94" s="275"/>
      <c r="W94" s="275"/>
      <c r="X94" s="275"/>
      <c r="Y94" s="275"/>
      <c r="Z94" s="275"/>
      <c r="AA94" s="275"/>
      <c r="AB94" s="275"/>
      <c r="AC94" s="275"/>
      <c r="AD94" s="276"/>
    </row>
    <row r="95" spans="1:38">
      <c r="A95" s="7">
        <f>'Main Sheet'!A30</f>
        <v>8214</v>
      </c>
      <c r="B95" s="71" t="str">
        <f>'Main Sheet'!B30</f>
        <v>6 Tiroroa Lane</v>
      </c>
      <c r="C95" s="93" t="s">
        <v>90</v>
      </c>
      <c r="D95" s="56">
        <v>109103.76</v>
      </c>
      <c r="E95" s="56">
        <v>51323.57</v>
      </c>
      <c r="F95" s="40">
        <f>D95-E95</f>
        <v>57780.189999999995</v>
      </c>
      <c r="G95" s="36">
        <f>F95/D95</f>
        <v>0.52958935604052504</v>
      </c>
      <c r="H95" s="40">
        <v>81158.83</v>
      </c>
      <c r="I95" s="40">
        <v>40300.160000000003</v>
      </c>
      <c r="J95" s="56">
        <f>SUM(H95-R95)</f>
        <v>52391.31</v>
      </c>
      <c r="K95" s="56">
        <f>SUM(I95-S95)</f>
        <v>27621.500000000004</v>
      </c>
      <c r="L95" s="40">
        <f>J95-K95</f>
        <v>24769.809999999994</v>
      </c>
      <c r="M95" s="36">
        <f>L95/J95</f>
        <v>0.47278470418090318</v>
      </c>
      <c r="N95" s="58">
        <v>0.2</v>
      </c>
      <c r="O95" s="58"/>
      <c r="P95" s="58"/>
      <c r="Q95" s="58"/>
      <c r="R95" s="56">
        <v>28767.52</v>
      </c>
      <c r="S95" s="56">
        <v>12678.66</v>
      </c>
      <c r="T95" s="40">
        <f>R95-S95</f>
        <v>16088.86</v>
      </c>
      <c r="U95" s="36">
        <f>T95/R95</f>
        <v>0.55927170642446755</v>
      </c>
      <c r="V95" s="44">
        <v>577.33000000000004</v>
      </c>
      <c r="W95" s="44">
        <v>295.5</v>
      </c>
      <c r="X95" s="8">
        <f>V95-W95</f>
        <v>281.83000000000004</v>
      </c>
      <c r="Y95" s="36">
        <f>X95/V95</f>
        <v>0.48816101709594167</v>
      </c>
      <c r="Z95" s="58">
        <v>0</v>
      </c>
      <c r="AA95" s="95">
        <f>(E95-K95-S95)/W95</f>
        <v>37.304263959390852</v>
      </c>
      <c r="AB95" s="95">
        <f>(D95-J95-R95)/V95</f>
        <v>48.403737896870062</v>
      </c>
      <c r="AC95" s="36">
        <f>(E95-K95-S95)/E95</f>
        <v>0.21478260378223876</v>
      </c>
      <c r="AD95" s="60">
        <f>SUM(D95-H95)/D95</f>
        <v>0.25613168602072006</v>
      </c>
      <c r="AE95" s="80"/>
      <c r="AG95" t="s">
        <v>91</v>
      </c>
      <c r="AH95">
        <f>AK100</f>
        <v>-295.5</v>
      </c>
      <c r="AK95" s="7">
        <f>SUM(W96-W95)</f>
        <v>19.25</v>
      </c>
      <c r="AL95" s="94">
        <f>SUM(K96-K95)</f>
        <v>1.9599999999954889</v>
      </c>
    </row>
    <row r="96" spans="1:38">
      <c r="A96" s="7"/>
      <c r="B96" s="71"/>
      <c r="C96" s="93" t="s">
        <v>92</v>
      </c>
      <c r="D96" s="56">
        <v>109103.76</v>
      </c>
      <c r="E96" s="56">
        <v>77821.91</v>
      </c>
      <c r="F96" s="40">
        <f t="shared" ref="F96:F100" si="157">D96-E96</f>
        <v>31281.849999999991</v>
      </c>
      <c r="G96" s="36">
        <f t="shared" ref="G96:G100" si="158">F96/D96</f>
        <v>0.28671651646102747</v>
      </c>
      <c r="H96" s="40">
        <v>81158.83</v>
      </c>
      <c r="I96" s="40">
        <v>41214.74</v>
      </c>
      <c r="J96" s="56">
        <f>SUM(H96-R96)</f>
        <v>52391.31</v>
      </c>
      <c r="K96" s="56">
        <f>SUM(I96-S96)</f>
        <v>27623.46</v>
      </c>
      <c r="L96" s="40">
        <f t="shared" ref="L96:L100" si="159">J96-K96</f>
        <v>24767.85</v>
      </c>
      <c r="M96" s="36">
        <f t="shared" ref="M96:M100" si="160">L96/J96</f>
        <v>0.47274729339655758</v>
      </c>
      <c r="N96" s="58">
        <v>0.2</v>
      </c>
      <c r="O96" s="58"/>
      <c r="P96" s="58"/>
      <c r="Q96" s="58"/>
      <c r="R96" s="56">
        <v>28767.52</v>
      </c>
      <c r="S96" s="56">
        <v>13591.28</v>
      </c>
      <c r="T96" s="40">
        <f t="shared" ref="T96:T100" si="161">R96-S96</f>
        <v>15176.24</v>
      </c>
      <c r="U96" s="36">
        <f t="shared" ref="U96:U100" si="162">T96/R96</f>
        <v>0.52754773438933911</v>
      </c>
      <c r="V96" s="44">
        <v>577.33000000000004</v>
      </c>
      <c r="W96" s="44">
        <v>314.75</v>
      </c>
      <c r="X96" s="8">
        <f t="shared" ref="X96:X100" si="163">V96-W96</f>
        <v>262.58000000000004</v>
      </c>
      <c r="Y96" s="36">
        <f t="shared" ref="Y96:Y100" si="164">X96/V96</f>
        <v>0.4548178684634438</v>
      </c>
      <c r="Z96" s="58">
        <v>0</v>
      </c>
      <c r="AA96" s="95">
        <f t="shared" ref="AA96:AA100" si="165">(E96-K96-S96)/W96</f>
        <v>116.30554408260527</v>
      </c>
      <c r="AB96" s="95">
        <f t="shared" ref="AB96:AB100" si="166">(D96-J96-R96)/V96</f>
        <v>48.403737896870062</v>
      </c>
      <c r="AC96" s="36">
        <f t="shared" ref="AC96:AC100" si="167">(E96-K96-S96)/E96</f>
        <v>0.47039670447564191</v>
      </c>
      <c r="AD96" s="60">
        <f t="shared" ref="AD96:AD99" si="168">SUM(D96-H96)/D96</f>
        <v>0.25613168602072006</v>
      </c>
      <c r="AE96" s="80"/>
      <c r="AG96" t="s">
        <v>93</v>
      </c>
      <c r="AH96" s="42">
        <f>AL100</f>
        <v>-27621.500000000004</v>
      </c>
      <c r="AK96" s="7">
        <f>SUM(W97-W96)</f>
        <v>-314.75</v>
      </c>
      <c r="AL96" s="94">
        <f>SUM(K97-K96)</f>
        <v>-27623.46</v>
      </c>
    </row>
    <row r="97" spans="1:38">
      <c r="A97" s="7"/>
      <c r="B97" s="71"/>
      <c r="C97" s="93" t="s">
        <v>94</v>
      </c>
      <c r="D97" s="56">
        <v>0</v>
      </c>
      <c r="E97" s="56">
        <v>0</v>
      </c>
      <c r="F97" s="40">
        <f t="shared" si="157"/>
        <v>0</v>
      </c>
      <c r="G97" s="36" t="e">
        <f t="shared" si="158"/>
        <v>#DIV/0!</v>
      </c>
      <c r="H97" s="40">
        <v>0</v>
      </c>
      <c r="I97" s="40">
        <v>0</v>
      </c>
      <c r="J97" s="56">
        <f>SUM(H97-R97)</f>
        <v>0</v>
      </c>
      <c r="K97" s="56">
        <f>SUM(I97-S97)</f>
        <v>0</v>
      </c>
      <c r="L97" s="40">
        <f t="shared" si="159"/>
        <v>0</v>
      </c>
      <c r="M97" s="36" t="e">
        <f t="shared" si="160"/>
        <v>#DIV/0!</v>
      </c>
      <c r="N97" s="58">
        <v>0.2</v>
      </c>
      <c r="O97" s="58"/>
      <c r="P97" s="58"/>
      <c r="Q97" s="58"/>
      <c r="R97" s="56">
        <v>0</v>
      </c>
      <c r="S97" s="56">
        <v>0</v>
      </c>
      <c r="T97" s="40">
        <f t="shared" si="161"/>
        <v>0</v>
      </c>
      <c r="U97" s="36" t="e">
        <f t="shared" si="162"/>
        <v>#DIV/0!</v>
      </c>
      <c r="V97" s="44">
        <v>0</v>
      </c>
      <c r="W97" s="44">
        <v>0</v>
      </c>
      <c r="X97" s="8">
        <f t="shared" si="163"/>
        <v>0</v>
      </c>
      <c r="Y97" s="36" t="e">
        <f t="shared" si="164"/>
        <v>#DIV/0!</v>
      </c>
      <c r="Z97" s="58">
        <v>0.2</v>
      </c>
      <c r="AA97" s="95" t="e">
        <f t="shared" si="165"/>
        <v>#DIV/0!</v>
      </c>
      <c r="AB97" s="95" t="e">
        <f t="shared" si="166"/>
        <v>#DIV/0!</v>
      </c>
      <c r="AC97" s="36" t="e">
        <f t="shared" si="167"/>
        <v>#DIV/0!</v>
      </c>
      <c r="AD97" s="60" t="e">
        <f t="shared" si="168"/>
        <v>#DIV/0!</v>
      </c>
      <c r="AE97" s="80"/>
      <c r="AK97" s="7">
        <f>SUM(W98-W97)</f>
        <v>0</v>
      </c>
      <c r="AL97" s="94">
        <f>SUM(K98-K97)</f>
        <v>0</v>
      </c>
    </row>
    <row r="98" spans="1:38">
      <c r="A98" s="7"/>
      <c r="B98" s="71"/>
      <c r="C98" s="93" t="s">
        <v>95</v>
      </c>
      <c r="D98" s="56">
        <v>0</v>
      </c>
      <c r="E98" s="56">
        <v>0</v>
      </c>
      <c r="F98" s="40">
        <f t="shared" si="157"/>
        <v>0</v>
      </c>
      <c r="G98" s="36" t="e">
        <f t="shared" si="158"/>
        <v>#DIV/0!</v>
      </c>
      <c r="H98" s="40">
        <v>0</v>
      </c>
      <c r="I98" s="40">
        <v>0</v>
      </c>
      <c r="J98" s="56">
        <f>SUM(H98-R98)</f>
        <v>0</v>
      </c>
      <c r="K98" s="56">
        <f>SUM(I98-S98)</f>
        <v>0</v>
      </c>
      <c r="L98" s="40">
        <f t="shared" si="159"/>
        <v>0</v>
      </c>
      <c r="M98" s="36" t="e">
        <f t="shared" si="160"/>
        <v>#DIV/0!</v>
      </c>
      <c r="N98" s="58">
        <v>0</v>
      </c>
      <c r="O98" s="58"/>
      <c r="P98" s="58"/>
      <c r="Q98" s="58"/>
      <c r="R98" s="56">
        <v>0</v>
      </c>
      <c r="S98" s="56">
        <v>0</v>
      </c>
      <c r="T98" s="40">
        <f t="shared" si="161"/>
        <v>0</v>
      </c>
      <c r="U98" s="36" t="e">
        <f t="shared" si="162"/>
        <v>#DIV/0!</v>
      </c>
      <c r="V98" s="44">
        <v>0</v>
      </c>
      <c r="W98" s="44">
        <v>0</v>
      </c>
      <c r="X98" s="8">
        <f t="shared" si="163"/>
        <v>0</v>
      </c>
      <c r="Y98" s="36" t="e">
        <f t="shared" si="164"/>
        <v>#DIV/0!</v>
      </c>
      <c r="Z98" s="58">
        <v>0.25</v>
      </c>
      <c r="AA98" s="95" t="e">
        <f t="shared" si="165"/>
        <v>#DIV/0!</v>
      </c>
      <c r="AB98" s="95" t="e">
        <f t="shared" si="166"/>
        <v>#DIV/0!</v>
      </c>
      <c r="AC98" s="36" t="e">
        <f t="shared" si="167"/>
        <v>#DIV/0!</v>
      </c>
      <c r="AD98" s="60" t="e">
        <f t="shared" si="168"/>
        <v>#DIV/0!</v>
      </c>
      <c r="AE98" s="80"/>
      <c r="AG98" t="s">
        <v>96</v>
      </c>
      <c r="AH98" s="42">
        <v>0</v>
      </c>
      <c r="AK98" s="7">
        <f>SUM(W99-W98)</f>
        <v>0</v>
      </c>
      <c r="AL98" s="94">
        <f>SUM(K99-K98)</f>
        <v>0</v>
      </c>
    </row>
    <row r="99" spans="1:38">
      <c r="A99" s="7"/>
      <c r="B99" s="71"/>
      <c r="C99" s="93" t="s">
        <v>97</v>
      </c>
      <c r="D99" s="56">
        <v>0</v>
      </c>
      <c r="E99" s="56">
        <v>0</v>
      </c>
      <c r="F99" s="40">
        <f t="shared" si="157"/>
        <v>0</v>
      </c>
      <c r="G99" s="36" t="e">
        <f t="shared" si="158"/>
        <v>#DIV/0!</v>
      </c>
      <c r="H99" s="40">
        <v>0</v>
      </c>
      <c r="I99" s="40">
        <v>0</v>
      </c>
      <c r="J99" s="56">
        <f>SUM(H99-R99)</f>
        <v>0</v>
      </c>
      <c r="K99" s="56">
        <f>SUM(I99-S99)</f>
        <v>0</v>
      </c>
      <c r="L99" s="40">
        <f t="shared" si="159"/>
        <v>0</v>
      </c>
      <c r="M99" s="36" t="e">
        <f t="shared" si="160"/>
        <v>#DIV/0!</v>
      </c>
      <c r="N99" s="58">
        <v>0</v>
      </c>
      <c r="O99" s="58"/>
      <c r="P99" s="58"/>
      <c r="Q99" s="58"/>
      <c r="R99" s="56">
        <v>0</v>
      </c>
      <c r="S99" s="56">
        <v>0</v>
      </c>
      <c r="T99" s="40">
        <f t="shared" si="161"/>
        <v>0</v>
      </c>
      <c r="U99" s="36" t="e">
        <f t="shared" si="162"/>
        <v>#DIV/0!</v>
      </c>
      <c r="V99" s="44">
        <v>0</v>
      </c>
      <c r="W99" s="44">
        <v>0</v>
      </c>
      <c r="X99" s="8">
        <f t="shared" si="163"/>
        <v>0</v>
      </c>
      <c r="Y99" s="36" t="e">
        <f t="shared" si="164"/>
        <v>#DIV/0!</v>
      </c>
      <c r="Z99" s="58"/>
      <c r="AA99" s="95" t="e">
        <f t="shared" si="165"/>
        <v>#DIV/0!</v>
      </c>
      <c r="AB99" s="95" t="e">
        <f t="shared" si="166"/>
        <v>#DIV/0!</v>
      </c>
      <c r="AC99" s="36" t="e">
        <f t="shared" si="167"/>
        <v>#DIV/0!</v>
      </c>
      <c r="AD99" s="60" t="e">
        <f t="shared" si="168"/>
        <v>#DIV/0!</v>
      </c>
      <c r="AE99" s="80"/>
      <c r="AK99" s="7">
        <f>SUM(W100-W99)</f>
        <v>0</v>
      </c>
      <c r="AL99" s="94">
        <f>SUM(K100-K99)</f>
        <v>0</v>
      </c>
    </row>
    <row r="100" spans="1:38">
      <c r="A100" s="7"/>
      <c r="B100" s="71"/>
      <c r="C100" s="93" t="s">
        <v>98</v>
      </c>
      <c r="D100" s="56">
        <v>0</v>
      </c>
      <c r="E100" s="56">
        <v>0</v>
      </c>
      <c r="F100" s="40">
        <f t="shared" si="157"/>
        <v>0</v>
      </c>
      <c r="G100" s="36" t="e">
        <f t="shared" si="158"/>
        <v>#DIV/0!</v>
      </c>
      <c r="H100" s="40">
        <v>0</v>
      </c>
      <c r="I100" s="40">
        <v>0</v>
      </c>
      <c r="J100" s="56">
        <f>SUM(H100-R100)</f>
        <v>0</v>
      </c>
      <c r="K100" s="56">
        <f>SUM(I100-S100)</f>
        <v>0</v>
      </c>
      <c r="L100" s="40">
        <f t="shared" si="159"/>
        <v>0</v>
      </c>
      <c r="M100" s="36" t="e">
        <f t="shared" si="160"/>
        <v>#DIV/0!</v>
      </c>
      <c r="N100" s="58">
        <v>0</v>
      </c>
      <c r="O100" s="58"/>
      <c r="P100" s="58"/>
      <c r="Q100" s="58"/>
      <c r="R100" s="56">
        <v>0</v>
      </c>
      <c r="S100" s="56">
        <v>0</v>
      </c>
      <c r="T100" s="40">
        <f t="shared" si="161"/>
        <v>0</v>
      </c>
      <c r="U100" s="36" t="e">
        <f t="shared" si="162"/>
        <v>#DIV/0!</v>
      </c>
      <c r="V100" s="44">
        <v>0</v>
      </c>
      <c r="W100" s="44">
        <v>0</v>
      </c>
      <c r="X100" s="8">
        <f t="shared" si="163"/>
        <v>0</v>
      </c>
      <c r="Y100" s="36" t="e">
        <f t="shared" si="164"/>
        <v>#DIV/0!</v>
      </c>
      <c r="Z100" s="58"/>
      <c r="AA100" s="95" t="e">
        <f t="shared" si="165"/>
        <v>#DIV/0!</v>
      </c>
      <c r="AB100" s="95" t="e">
        <f t="shared" si="166"/>
        <v>#DIV/0!</v>
      </c>
      <c r="AC100" s="36" t="e">
        <f t="shared" si="167"/>
        <v>#DIV/0!</v>
      </c>
      <c r="AD100" s="60" t="e">
        <f>SUM(D100-H100)/D100</f>
        <v>#DIV/0!</v>
      </c>
      <c r="AE100" s="80"/>
      <c r="AK100" s="9">
        <f>SUM(AK95,AK96,AK97,AK98,AK99)</f>
        <v>-295.5</v>
      </c>
      <c r="AL100" s="97">
        <f>SUM(AL95,AL96,AL97,AL98,AL99)</f>
        <v>-27621.500000000004</v>
      </c>
    </row>
    <row r="101" spans="1:38" ht="9" customHeight="1">
      <c r="A101" s="274"/>
      <c r="B101" s="275"/>
      <c r="C101" s="275"/>
      <c r="D101" s="275"/>
      <c r="E101" s="275"/>
      <c r="F101" s="275"/>
      <c r="G101" s="275"/>
      <c r="H101" s="275"/>
      <c r="I101" s="275"/>
      <c r="J101" s="275"/>
      <c r="K101" s="275"/>
      <c r="L101" s="275"/>
      <c r="M101" s="275"/>
      <c r="N101" s="275"/>
      <c r="O101" s="275"/>
      <c r="P101" s="275"/>
      <c r="Q101" s="275"/>
      <c r="R101" s="275"/>
      <c r="S101" s="275"/>
      <c r="T101" s="275"/>
      <c r="U101" s="275"/>
      <c r="V101" s="275"/>
      <c r="W101" s="275"/>
      <c r="X101" s="275"/>
      <c r="Y101" s="275"/>
      <c r="Z101" s="275"/>
      <c r="AA101" s="275"/>
      <c r="AB101" s="275"/>
      <c r="AC101" s="275"/>
      <c r="AD101" s="276"/>
    </row>
    <row r="102" spans="1:38">
      <c r="A102" s="7">
        <f>'Main Sheet'!A32</f>
        <v>6792</v>
      </c>
      <c r="B102" s="71" t="str">
        <f>'Main Sheet'!B32</f>
        <v xml:space="preserve">Major Hornbrook </v>
      </c>
      <c r="C102" s="93" t="s">
        <v>90</v>
      </c>
      <c r="D102" s="56">
        <v>27742.44</v>
      </c>
      <c r="E102" s="56">
        <v>0</v>
      </c>
      <c r="F102" s="40">
        <f>D102-E102</f>
        <v>27742.44</v>
      </c>
      <c r="G102" s="36">
        <f>F102/D102</f>
        <v>1</v>
      </c>
      <c r="H102" s="40">
        <v>20094.240000000002</v>
      </c>
      <c r="I102" s="40">
        <v>405.4</v>
      </c>
      <c r="J102" s="56">
        <f>SUM(H102-R102)</f>
        <v>11429.460000000001</v>
      </c>
      <c r="K102" s="56">
        <f>SUM(I102-S102)</f>
        <v>73.739999999999952</v>
      </c>
      <c r="L102" s="40">
        <f>J102-K102</f>
        <v>11355.720000000001</v>
      </c>
      <c r="M102" s="36">
        <f>L102/J102</f>
        <v>0.9935482516234363</v>
      </c>
      <c r="N102" s="58">
        <v>0</v>
      </c>
      <c r="O102" s="58"/>
      <c r="P102" s="58"/>
      <c r="Q102" s="58"/>
      <c r="R102" s="56">
        <v>8664.7800000000007</v>
      </c>
      <c r="S102" s="56">
        <v>331.66</v>
      </c>
      <c r="T102" s="40">
        <f>R102-S102</f>
        <v>8333.1200000000008</v>
      </c>
      <c r="U102" s="36">
        <f>T102/R102</f>
        <v>0.96172320589789928</v>
      </c>
      <c r="V102" s="44">
        <v>173.8</v>
      </c>
      <c r="W102" s="44">
        <v>7.75</v>
      </c>
      <c r="X102" s="8">
        <f>V102-W102</f>
        <v>166.05</v>
      </c>
      <c r="Y102" s="36">
        <f>X102/V102</f>
        <v>0.95540851553509787</v>
      </c>
      <c r="Z102" s="58"/>
      <c r="AA102" s="95">
        <f>(E102-K102-S102)/W102</f>
        <v>-52.309677419354834</v>
      </c>
      <c r="AB102" s="95">
        <f>(D102-J102-R102)/V102</f>
        <v>44.005753739930938</v>
      </c>
      <c r="AC102" s="36" t="e">
        <f>(E102-K102-S102)/E102</f>
        <v>#DIV/0!</v>
      </c>
      <c r="AD102" s="60">
        <f>SUM(D102-H102)/D102</f>
        <v>0.27568591659565622</v>
      </c>
      <c r="AE102" s="80"/>
      <c r="AG102" t="s">
        <v>91</v>
      </c>
      <c r="AH102">
        <f>AK107</f>
        <v>-7.75</v>
      </c>
      <c r="AK102" s="7">
        <f>SUM(W103-W102)</f>
        <v>0</v>
      </c>
      <c r="AL102" s="94">
        <f>SUM(K103-K102)</f>
        <v>-13.889999999999986</v>
      </c>
    </row>
    <row r="103" spans="1:38">
      <c r="A103" s="7"/>
      <c r="B103" s="71"/>
      <c r="C103" s="93" t="s">
        <v>92</v>
      </c>
      <c r="D103" s="56">
        <v>27861.41</v>
      </c>
      <c r="E103" s="116">
        <v>0</v>
      </c>
      <c r="F103" s="40">
        <f t="shared" ref="F103:F107" si="169">D103-E103</f>
        <v>27861.41</v>
      </c>
      <c r="G103" s="36">
        <f t="shared" ref="G103:G107" si="170">F103/D103</f>
        <v>1</v>
      </c>
      <c r="H103" s="40">
        <v>20162.080000000002</v>
      </c>
      <c r="I103" s="40">
        <v>392.27</v>
      </c>
      <c r="J103" s="56">
        <f>SUM(H103-R103)</f>
        <v>11464.04</v>
      </c>
      <c r="K103" s="56">
        <f>SUM(I103-S103)</f>
        <v>59.849999999999966</v>
      </c>
      <c r="L103" s="40">
        <f t="shared" ref="L103:L107" si="171">J103-K103</f>
        <v>11404.19</v>
      </c>
      <c r="M103" s="36">
        <f t="shared" ref="M103:M107" si="172">L103/J103</f>
        <v>0.99477932735754582</v>
      </c>
      <c r="N103" s="58">
        <v>0</v>
      </c>
      <c r="O103" s="58"/>
      <c r="P103" s="58"/>
      <c r="Q103" s="58"/>
      <c r="R103" s="56">
        <v>8698.0400000000009</v>
      </c>
      <c r="S103" s="56">
        <v>332.42</v>
      </c>
      <c r="T103" s="40">
        <f t="shared" ref="T103:T107" si="173">R103-S103</f>
        <v>8365.6200000000008</v>
      </c>
      <c r="U103" s="36">
        <f t="shared" ref="U103:U107" si="174">T103/R103</f>
        <v>0.96178219460936032</v>
      </c>
      <c r="V103" s="44">
        <v>174.46</v>
      </c>
      <c r="W103" s="44">
        <v>7.75</v>
      </c>
      <c r="X103" s="8">
        <f t="shared" ref="X103:X107" si="175">V103-W103</f>
        <v>166.71</v>
      </c>
      <c r="Y103" s="36">
        <f t="shared" ref="Y103:Y107" si="176">X103/V103</f>
        <v>0.95557720967557036</v>
      </c>
      <c r="Z103" s="58"/>
      <c r="AA103" s="95">
        <f t="shared" ref="AA103:AA107" si="177">(E103-K103-S103)/W103</f>
        <v>-50.615483870967736</v>
      </c>
      <c r="AB103" s="95">
        <f t="shared" ref="AB103:AB107" si="178">(D103-J103-R103)/V103</f>
        <v>44.132351255302062</v>
      </c>
      <c r="AC103" s="36" t="e">
        <f t="shared" ref="AC103:AC107" si="179">(E103-K103-S103)/E103</f>
        <v>#DIV/0!</v>
      </c>
      <c r="AD103" s="60">
        <f t="shared" ref="AD103:AD106" si="180">SUM(D103-H103)/D103</f>
        <v>0.27634387491516038</v>
      </c>
      <c r="AE103" s="80"/>
      <c r="AG103" t="s">
        <v>93</v>
      </c>
      <c r="AH103" s="42">
        <f>AL107</f>
        <v>-73.739999999999952</v>
      </c>
      <c r="AK103" s="7">
        <f>SUM(W104-W103)</f>
        <v>-7.75</v>
      </c>
      <c r="AL103" s="94">
        <f>SUM(K104-K103)</f>
        <v>-59.849999999999966</v>
      </c>
    </row>
    <row r="104" spans="1:38">
      <c r="A104" s="7"/>
      <c r="B104" s="71"/>
      <c r="C104" s="93" t="s">
        <v>94</v>
      </c>
      <c r="D104" s="56">
        <v>0</v>
      </c>
      <c r="E104" s="100">
        <v>0</v>
      </c>
      <c r="F104" s="40">
        <f t="shared" si="169"/>
        <v>0</v>
      </c>
      <c r="G104" s="36" t="e">
        <f t="shared" si="170"/>
        <v>#DIV/0!</v>
      </c>
      <c r="H104" s="40">
        <v>0</v>
      </c>
      <c r="I104" s="40">
        <v>0</v>
      </c>
      <c r="J104" s="56">
        <f>SUM(H104-R104)</f>
        <v>0</v>
      </c>
      <c r="K104" s="56">
        <f>SUM(I104-S104)</f>
        <v>0</v>
      </c>
      <c r="L104" s="40">
        <f t="shared" si="171"/>
        <v>0</v>
      </c>
      <c r="M104" s="36" t="e">
        <f t="shared" si="172"/>
        <v>#DIV/0!</v>
      </c>
      <c r="N104" s="58">
        <v>0</v>
      </c>
      <c r="O104" s="58"/>
      <c r="P104" s="58"/>
      <c r="Q104" s="58"/>
      <c r="R104" s="56">
        <v>0</v>
      </c>
      <c r="S104" s="56">
        <v>0</v>
      </c>
      <c r="T104" s="40">
        <f t="shared" si="173"/>
        <v>0</v>
      </c>
      <c r="U104" s="36" t="e">
        <f t="shared" si="174"/>
        <v>#DIV/0!</v>
      </c>
      <c r="V104" s="44">
        <v>0</v>
      </c>
      <c r="W104" s="44">
        <v>0</v>
      </c>
      <c r="X104" s="8">
        <f t="shared" si="175"/>
        <v>0</v>
      </c>
      <c r="Y104" s="36" t="e">
        <f t="shared" si="176"/>
        <v>#DIV/0!</v>
      </c>
      <c r="Z104" s="58"/>
      <c r="AA104" s="95" t="e">
        <f t="shared" si="177"/>
        <v>#DIV/0!</v>
      </c>
      <c r="AB104" s="95" t="e">
        <f t="shared" si="178"/>
        <v>#DIV/0!</v>
      </c>
      <c r="AC104" s="36" t="e">
        <f t="shared" si="179"/>
        <v>#DIV/0!</v>
      </c>
      <c r="AD104" s="60" t="e">
        <f t="shared" si="180"/>
        <v>#DIV/0!</v>
      </c>
      <c r="AE104" s="80"/>
      <c r="AK104" s="7">
        <f>SUM(W105-W104)</f>
        <v>0</v>
      </c>
      <c r="AL104" s="94">
        <f>SUM(K105-K104)</f>
        <v>0</v>
      </c>
    </row>
    <row r="105" spans="1:38">
      <c r="A105" s="7"/>
      <c r="B105" s="71"/>
      <c r="C105" s="93" t="s">
        <v>95</v>
      </c>
      <c r="D105" s="56">
        <v>0</v>
      </c>
      <c r="E105" s="100">
        <v>0</v>
      </c>
      <c r="F105" s="40">
        <f t="shared" si="169"/>
        <v>0</v>
      </c>
      <c r="G105" s="36" t="e">
        <f t="shared" si="170"/>
        <v>#DIV/0!</v>
      </c>
      <c r="H105" s="40">
        <v>0</v>
      </c>
      <c r="I105" s="40">
        <v>0</v>
      </c>
      <c r="J105" s="56">
        <f>SUM(H105-R105)</f>
        <v>0</v>
      </c>
      <c r="K105" s="56">
        <f>SUM(I105-S105)</f>
        <v>0</v>
      </c>
      <c r="L105" s="40">
        <f t="shared" si="171"/>
        <v>0</v>
      </c>
      <c r="M105" s="36" t="e">
        <f t="shared" si="172"/>
        <v>#DIV/0!</v>
      </c>
      <c r="N105" s="58">
        <v>0</v>
      </c>
      <c r="O105" s="58"/>
      <c r="P105" s="58"/>
      <c r="Q105" s="58"/>
      <c r="R105" s="56">
        <v>0</v>
      </c>
      <c r="S105" s="56">
        <v>0</v>
      </c>
      <c r="T105" s="40">
        <f t="shared" si="173"/>
        <v>0</v>
      </c>
      <c r="U105" s="36" t="e">
        <f t="shared" si="174"/>
        <v>#DIV/0!</v>
      </c>
      <c r="V105" s="44">
        <v>0</v>
      </c>
      <c r="W105" s="44">
        <v>0</v>
      </c>
      <c r="X105" s="8">
        <f t="shared" si="175"/>
        <v>0</v>
      </c>
      <c r="Y105" s="36" t="e">
        <f t="shared" si="176"/>
        <v>#DIV/0!</v>
      </c>
      <c r="Z105" s="58"/>
      <c r="AA105" s="95" t="e">
        <f t="shared" si="177"/>
        <v>#DIV/0!</v>
      </c>
      <c r="AB105" s="95" t="e">
        <f t="shared" si="178"/>
        <v>#DIV/0!</v>
      </c>
      <c r="AC105" s="36" t="e">
        <f t="shared" si="179"/>
        <v>#DIV/0!</v>
      </c>
      <c r="AD105" s="60" t="e">
        <f t="shared" si="180"/>
        <v>#DIV/0!</v>
      </c>
      <c r="AE105" s="80"/>
      <c r="AG105" t="s">
        <v>96</v>
      </c>
      <c r="AH105" s="42">
        <v>0</v>
      </c>
      <c r="AK105" s="7">
        <f>SUM(W106-W105)</f>
        <v>0</v>
      </c>
      <c r="AL105" s="94">
        <f>SUM(K106-K105)</f>
        <v>0</v>
      </c>
    </row>
    <row r="106" spans="1:38">
      <c r="A106" s="7"/>
      <c r="B106" s="71"/>
      <c r="C106" s="93" t="s">
        <v>97</v>
      </c>
      <c r="D106" s="56">
        <v>0</v>
      </c>
      <c r="E106" s="100">
        <v>0</v>
      </c>
      <c r="F106" s="40">
        <f t="shared" si="169"/>
        <v>0</v>
      </c>
      <c r="G106" s="36" t="e">
        <f t="shared" si="170"/>
        <v>#DIV/0!</v>
      </c>
      <c r="H106" s="40">
        <v>0</v>
      </c>
      <c r="I106" s="40">
        <v>0</v>
      </c>
      <c r="J106" s="56">
        <f>SUM(H106-R106)</f>
        <v>0</v>
      </c>
      <c r="K106" s="56">
        <f>SUM(I106-S106)</f>
        <v>0</v>
      </c>
      <c r="L106" s="40">
        <f t="shared" si="171"/>
        <v>0</v>
      </c>
      <c r="M106" s="36" t="e">
        <f t="shared" si="172"/>
        <v>#DIV/0!</v>
      </c>
      <c r="N106" s="58">
        <v>0</v>
      </c>
      <c r="O106" s="58"/>
      <c r="P106" s="58"/>
      <c r="Q106" s="58"/>
      <c r="R106" s="56">
        <v>0</v>
      </c>
      <c r="S106" s="56">
        <v>0</v>
      </c>
      <c r="T106" s="40">
        <f t="shared" si="173"/>
        <v>0</v>
      </c>
      <c r="U106" s="36" t="e">
        <f t="shared" si="174"/>
        <v>#DIV/0!</v>
      </c>
      <c r="V106" s="44">
        <v>0</v>
      </c>
      <c r="W106" s="44">
        <v>0</v>
      </c>
      <c r="X106" s="8">
        <f t="shared" si="175"/>
        <v>0</v>
      </c>
      <c r="Y106" s="36" t="e">
        <f t="shared" si="176"/>
        <v>#DIV/0!</v>
      </c>
      <c r="Z106" s="58"/>
      <c r="AA106" s="95" t="e">
        <f t="shared" si="177"/>
        <v>#DIV/0!</v>
      </c>
      <c r="AB106" s="95" t="e">
        <f t="shared" si="178"/>
        <v>#DIV/0!</v>
      </c>
      <c r="AC106" s="36" t="e">
        <f t="shared" si="179"/>
        <v>#DIV/0!</v>
      </c>
      <c r="AD106" s="60" t="e">
        <f t="shared" si="180"/>
        <v>#DIV/0!</v>
      </c>
      <c r="AE106" s="80"/>
      <c r="AK106" s="7">
        <f>SUM(W107-W106)</f>
        <v>0</v>
      </c>
      <c r="AL106" s="94">
        <f>SUM(K107-K106)</f>
        <v>0</v>
      </c>
    </row>
    <row r="107" spans="1:38">
      <c r="A107" s="7"/>
      <c r="B107" s="71"/>
      <c r="C107" s="93" t="s">
        <v>98</v>
      </c>
      <c r="D107" s="56">
        <v>0</v>
      </c>
      <c r="E107" s="100">
        <v>0</v>
      </c>
      <c r="F107" s="40">
        <f t="shared" si="169"/>
        <v>0</v>
      </c>
      <c r="G107" s="36" t="e">
        <f t="shared" si="170"/>
        <v>#DIV/0!</v>
      </c>
      <c r="H107" s="40">
        <v>0</v>
      </c>
      <c r="I107" s="40">
        <v>0</v>
      </c>
      <c r="J107" s="56">
        <f>SUM(H107-R107)</f>
        <v>0</v>
      </c>
      <c r="K107" s="56">
        <f>SUM(I107-S107)</f>
        <v>0</v>
      </c>
      <c r="L107" s="40">
        <f t="shared" si="171"/>
        <v>0</v>
      </c>
      <c r="M107" s="36" t="e">
        <f t="shared" si="172"/>
        <v>#DIV/0!</v>
      </c>
      <c r="N107" s="58">
        <v>0</v>
      </c>
      <c r="O107" s="58"/>
      <c r="P107" s="58"/>
      <c r="Q107" s="58"/>
      <c r="R107" s="56">
        <v>0</v>
      </c>
      <c r="S107" s="56">
        <v>0</v>
      </c>
      <c r="T107" s="40">
        <f t="shared" si="173"/>
        <v>0</v>
      </c>
      <c r="U107" s="36" t="e">
        <f t="shared" si="174"/>
        <v>#DIV/0!</v>
      </c>
      <c r="V107" s="44">
        <v>0</v>
      </c>
      <c r="W107" s="44">
        <v>0</v>
      </c>
      <c r="X107" s="8">
        <f t="shared" si="175"/>
        <v>0</v>
      </c>
      <c r="Y107" s="36" t="e">
        <f t="shared" si="176"/>
        <v>#DIV/0!</v>
      </c>
      <c r="Z107" s="58"/>
      <c r="AA107" s="95" t="e">
        <f t="shared" si="177"/>
        <v>#DIV/0!</v>
      </c>
      <c r="AB107" s="95" t="e">
        <f t="shared" si="178"/>
        <v>#DIV/0!</v>
      </c>
      <c r="AC107" s="36" t="e">
        <f t="shared" si="179"/>
        <v>#DIV/0!</v>
      </c>
      <c r="AD107" s="60" t="e">
        <f>SUM(D107-H107)/D107</f>
        <v>#DIV/0!</v>
      </c>
      <c r="AE107" s="80"/>
      <c r="AK107" s="9">
        <f>SUM(AK102,AK103,AK104,AK105,AK106)</f>
        <v>-7.75</v>
      </c>
      <c r="AL107" s="97">
        <f>SUM(AL102,AL103,AL104,AL105,AL106)</f>
        <v>-73.739999999999952</v>
      </c>
    </row>
    <row r="108" spans="1:38" ht="9" customHeight="1">
      <c r="A108" s="282"/>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4"/>
    </row>
    <row r="109" spans="1:38">
      <c r="A109" s="7">
        <f>'Main Sheet'!A34</f>
        <v>8840</v>
      </c>
      <c r="B109" s="71" t="str">
        <f>'Main Sheet'!B34</f>
        <v>Inline Architecture</v>
      </c>
      <c r="C109" s="93" t="s">
        <v>90</v>
      </c>
      <c r="D109" s="56">
        <v>21300.45</v>
      </c>
      <c r="E109" s="56">
        <v>5515.31</v>
      </c>
      <c r="F109" s="40">
        <f>D109-E109</f>
        <v>15785.14</v>
      </c>
      <c r="G109" s="36">
        <f>F109/D109</f>
        <v>0.74107072855268308</v>
      </c>
      <c r="H109" s="40">
        <v>11275.69</v>
      </c>
      <c r="I109" s="40">
        <v>5128.09</v>
      </c>
      <c r="J109" s="56">
        <f>SUM(H109-R109)</f>
        <v>4165.3900000000003</v>
      </c>
      <c r="K109" s="56">
        <v>815.93</v>
      </c>
      <c r="L109" s="40">
        <f>J109-K109</f>
        <v>3349.4600000000005</v>
      </c>
      <c r="M109" s="36">
        <f>L109/J109</f>
        <v>0.80411678138181542</v>
      </c>
      <c r="N109" s="58">
        <v>1</v>
      </c>
      <c r="O109" s="58"/>
      <c r="P109" s="58"/>
      <c r="Q109" s="58"/>
      <c r="R109" s="56">
        <v>7110.3</v>
      </c>
      <c r="S109" s="56">
        <v>1880.39</v>
      </c>
      <c r="T109" s="40">
        <f>R109-S109</f>
        <v>5229.91</v>
      </c>
      <c r="U109" s="36">
        <f>T109/R109</f>
        <v>0.73553999128025538</v>
      </c>
      <c r="V109" s="44">
        <v>142.36000000000001</v>
      </c>
      <c r="W109" s="44">
        <v>42.25</v>
      </c>
      <c r="X109" s="8">
        <f>V109-W109</f>
        <v>100.11000000000001</v>
      </c>
      <c r="Y109" s="36">
        <f>X109/V109</f>
        <v>0.70321719584152853</v>
      </c>
      <c r="Z109" s="58">
        <v>1</v>
      </c>
      <c r="AA109" s="95">
        <f>(E109-K109-S109)/W109</f>
        <v>66.721656804733726</v>
      </c>
      <c r="AB109" s="95">
        <f>(D109-J109-R109)/V109</f>
        <v>70.418375948300096</v>
      </c>
      <c r="AC109" s="36">
        <f>(E109-K109-S109)/E109</f>
        <v>0.51112086174666516</v>
      </c>
      <c r="AD109" s="60">
        <f>SUM(D109-H109)/D109</f>
        <v>0.47063606637418459</v>
      </c>
      <c r="AE109" s="80"/>
      <c r="AG109" t="s">
        <v>91</v>
      </c>
      <c r="AH109">
        <f>AK114</f>
        <v>-42.25</v>
      </c>
      <c r="AK109" s="7">
        <f>SUM(W110-W109)</f>
        <v>14.25</v>
      </c>
      <c r="AL109" s="94">
        <f>SUM(K110-K109)</f>
        <v>2844.8300000000004</v>
      </c>
    </row>
    <row r="110" spans="1:38">
      <c r="A110" s="7"/>
      <c r="B110" s="71"/>
      <c r="C110" s="93" t="s">
        <v>92</v>
      </c>
      <c r="D110" s="56">
        <v>21300.45</v>
      </c>
      <c r="E110" s="56">
        <v>10143.09</v>
      </c>
      <c r="F110" s="40">
        <f t="shared" ref="F110:F114" si="181">D110-E110</f>
        <v>11157.36</v>
      </c>
      <c r="G110" s="36">
        <f t="shared" ref="G110:G114" si="182">F110/D110</f>
        <v>0.52380865192988879</v>
      </c>
      <c r="H110" s="40">
        <v>11275.69</v>
      </c>
      <c r="I110" s="40">
        <v>6237.89</v>
      </c>
      <c r="J110" s="56">
        <f>SUM(H110-R110)</f>
        <v>4165.3900000000003</v>
      </c>
      <c r="K110" s="56">
        <f>SUM(I110-S110)</f>
        <v>3660.76</v>
      </c>
      <c r="L110" s="40">
        <f t="shared" ref="L110:L114" si="183">J110-K110</f>
        <v>504.63000000000011</v>
      </c>
      <c r="M110" s="36">
        <f t="shared" ref="M110:M114" si="184">L110/J110</f>
        <v>0.12114831984520058</v>
      </c>
      <c r="N110" s="58">
        <v>1</v>
      </c>
      <c r="O110" s="58"/>
      <c r="P110" s="58"/>
      <c r="Q110" s="58"/>
      <c r="R110" s="56">
        <v>7110.3</v>
      </c>
      <c r="S110" s="56">
        <v>2577.13</v>
      </c>
      <c r="T110" s="40">
        <f t="shared" ref="T110:T114" si="185">R110-S110</f>
        <v>4533.17</v>
      </c>
      <c r="U110" s="36">
        <f t="shared" ref="U110:U114" si="186">T110/R110</f>
        <v>0.6375497517685611</v>
      </c>
      <c r="V110" s="44">
        <v>142.36000000000001</v>
      </c>
      <c r="W110" s="44">
        <v>56.5</v>
      </c>
      <c r="X110" s="8">
        <f t="shared" ref="X110:X114" si="187">V110-W110</f>
        <v>85.860000000000014</v>
      </c>
      <c r="Y110" s="36">
        <f t="shared" ref="Y110:Y114" si="188">X110/V110</f>
        <v>0.60311885361056483</v>
      </c>
      <c r="Z110" s="58">
        <v>1</v>
      </c>
      <c r="AA110" s="95">
        <f t="shared" ref="AA110:AA114" si="189">(E110-K110-S110)/W110</f>
        <v>69.118584070796459</v>
      </c>
      <c r="AB110" s="95">
        <f t="shared" ref="AB110:AB114" si="190">(D110-J110-R110)/V110</f>
        <v>70.418375948300096</v>
      </c>
      <c r="AC110" s="36">
        <f t="shared" ref="AC110:AC114" si="191">(E110-K110-S110)/E110</f>
        <v>0.3850108793276999</v>
      </c>
      <c r="AD110" s="60">
        <f t="shared" ref="AD110:AD113" si="192">SUM(D110-H110)/D110</f>
        <v>0.47063606637418459</v>
      </c>
      <c r="AE110" s="80"/>
      <c r="AG110" t="s">
        <v>93</v>
      </c>
      <c r="AH110" s="42">
        <f>AL114</f>
        <v>-815.92999999999984</v>
      </c>
      <c r="AK110" s="7">
        <f>SUM(W111-W110)</f>
        <v>-56.5</v>
      </c>
      <c r="AL110" s="94">
        <f>SUM(K111-K110)</f>
        <v>-3660.76</v>
      </c>
    </row>
    <row r="111" spans="1:38">
      <c r="A111" s="7"/>
      <c r="B111" s="71"/>
      <c r="C111" s="93" t="s">
        <v>94</v>
      </c>
      <c r="D111" s="56">
        <v>0</v>
      </c>
      <c r="E111" s="56">
        <v>0</v>
      </c>
      <c r="F111" s="40">
        <f t="shared" si="181"/>
        <v>0</v>
      </c>
      <c r="G111" s="36" t="e">
        <f t="shared" si="182"/>
        <v>#DIV/0!</v>
      </c>
      <c r="H111" s="40">
        <v>0</v>
      </c>
      <c r="I111" s="40">
        <v>0</v>
      </c>
      <c r="J111" s="56">
        <f>SUM(H111-R111)</f>
        <v>0</v>
      </c>
      <c r="K111" s="56">
        <f>SUM(I111-S111)</f>
        <v>0</v>
      </c>
      <c r="L111" s="40">
        <f t="shared" si="183"/>
        <v>0</v>
      </c>
      <c r="M111" s="36" t="e">
        <f t="shared" si="184"/>
        <v>#DIV/0!</v>
      </c>
      <c r="N111" s="58">
        <v>1</v>
      </c>
      <c r="O111" s="58"/>
      <c r="P111" s="58"/>
      <c r="Q111" s="58"/>
      <c r="R111" s="56">
        <v>0</v>
      </c>
      <c r="S111" s="56">
        <v>0</v>
      </c>
      <c r="T111" s="40">
        <f t="shared" si="185"/>
        <v>0</v>
      </c>
      <c r="U111" s="36" t="e">
        <f t="shared" si="186"/>
        <v>#DIV/0!</v>
      </c>
      <c r="V111" s="44">
        <v>0</v>
      </c>
      <c r="W111" s="44">
        <v>0</v>
      </c>
      <c r="X111" s="8">
        <f t="shared" si="187"/>
        <v>0</v>
      </c>
      <c r="Y111" s="36" t="e">
        <f t="shared" si="188"/>
        <v>#DIV/0!</v>
      </c>
      <c r="Z111" s="58">
        <v>1</v>
      </c>
      <c r="AA111" s="95" t="e">
        <f t="shared" si="189"/>
        <v>#DIV/0!</v>
      </c>
      <c r="AB111" s="95" t="e">
        <f t="shared" si="190"/>
        <v>#DIV/0!</v>
      </c>
      <c r="AC111" s="36" t="e">
        <f t="shared" si="191"/>
        <v>#DIV/0!</v>
      </c>
      <c r="AD111" s="60" t="e">
        <f t="shared" si="192"/>
        <v>#DIV/0!</v>
      </c>
      <c r="AE111" s="80"/>
      <c r="AK111" s="7">
        <f>SUM(W112-W111)</f>
        <v>0</v>
      </c>
      <c r="AL111" s="94">
        <f>SUM(K112-K111)</f>
        <v>0</v>
      </c>
    </row>
    <row r="112" spans="1:38">
      <c r="A112" s="7"/>
      <c r="B112" s="71"/>
      <c r="C112" s="93" t="s">
        <v>95</v>
      </c>
      <c r="D112" s="56">
        <v>0</v>
      </c>
      <c r="E112" s="56">
        <v>0</v>
      </c>
      <c r="F112" s="40">
        <f t="shared" si="181"/>
        <v>0</v>
      </c>
      <c r="G112" s="36" t="e">
        <f t="shared" si="182"/>
        <v>#DIV/0!</v>
      </c>
      <c r="H112" s="40">
        <v>0</v>
      </c>
      <c r="I112" s="40">
        <v>0</v>
      </c>
      <c r="J112" s="56">
        <f>SUM(H112-R112)</f>
        <v>0</v>
      </c>
      <c r="K112" s="56">
        <f>SUM(I112-S112)</f>
        <v>0</v>
      </c>
      <c r="L112" s="40">
        <f t="shared" si="183"/>
        <v>0</v>
      </c>
      <c r="M112" s="36" t="e">
        <f t="shared" si="184"/>
        <v>#DIV/0!</v>
      </c>
      <c r="N112" s="58">
        <v>0</v>
      </c>
      <c r="O112" s="58"/>
      <c r="P112" s="58"/>
      <c r="Q112" s="58"/>
      <c r="R112" s="56">
        <v>0</v>
      </c>
      <c r="S112" s="56">
        <v>0</v>
      </c>
      <c r="T112" s="40">
        <f t="shared" si="185"/>
        <v>0</v>
      </c>
      <c r="U112" s="36" t="e">
        <f t="shared" si="186"/>
        <v>#DIV/0!</v>
      </c>
      <c r="V112" s="44">
        <v>0</v>
      </c>
      <c r="W112" s="44">
        <v>0</v>
      </c>
      <c r="X112" s="8">
        <f t="shared" si="187"/>
        <v>0</v>
      </c>
      <c r="Y112" s="36" t="e">
        <f t="shared" si="188"/>
        <v>#DIV/0!</v>
      </c>
      <c r="Z112" s="58">
        <v>0</v>
      </c>
      <c r="AA112" s="95" t="e">
        <f t="shared" si="189"/>
        <v>#DIV/0!</v>
      </c>
      <c r="AB112" s="95" t="e">
        <f t="shared" si="190"/>
        <v>#DIV/0!</v>
      </c>
      <c r="AC112" s="36" t="e">
        <f t="shared" si="191"/>
        <v>#DIV/0!</v>
      </c>
      <c r="AD112" s="60" t="e">
        <f t="shared" si="192"/>
        <v>#DIV/0!</v>
      </c>
      <c r="AE112" s="80"/>
      <c r="AG112" t="s">
        <v>96</v>
      </c>
      <c r="AH112" s="42">
        <v>0</v>
      </c>
      <c r="AK112" s="7">
        <f>SUM(W113-W112)</f>
        <v>0</v>
      </c>
      <c r="AL112" s="94">
        <f>SUM(K113-K112)</f>
        <v>0</v>
      </c>
    </row>
    <row r="113" spans="1:38">
      <c r="A113" s="7"/>
      <c r="B113" s="71"/>
      <c r="C113" s="93" t="s">
        <v>97</v>
      </c>
      <c r="D113" s="56">
        <v>0</v>
      </c>
      <c r="E113" s="56">
        <v>0</v>
      </c>
      <c r="F113" s="40">
        <f t="shared" si="181"/>
        <v>0</v>
      </c>
      <c r="G113" s="36" t="e">
        <f t="shared" si="182"/>
        <v>#DIV/0!</v>
      </c>
      <c r="H113" s="40">
        <v>0</v>
      </c>
      <c r="I113" s="40">
        <v>0</v>
      </c>
      <c r="J113" s="56">
        <f>SUM(H113-R113)</f>
        <v>0</v>
      </c>
      <c r="K113" s="56">
        <f>SUM(I113-S113)</f>
        <v>0</v>
      </c>
      <c r="L113" s="40">
        <f t="shared" si="183"/>
        <v>0</v>
      </c>
      <c r="M113" s="36" t="e">
        <f t="shared" si="184"/>
        <v>#DIV/0!</v>
      </c>
      <c r="N113" s="58">
        <v>0</v>
      </c>
      <c r="O113" s="58"/>
      <c r="P113" s="58"/>
      <c r="Q113" s="58"/>
      <c r="R113" s="56">
        <v>0</v>
      </c>
      <c r="S113" s="56">
        <v>0</v>
      </c>
      <c r="T113" s="40">
        <f t="shared" si="185"/>
        <v>0</v>
      </c>
      <c r="U113" s="36" t="e">
        <f t="shared" si="186"/>
        <v>#DIV/0!</v>
      </c>
      <c r="V113" s="44">
        <v>0</v>
      </c>
      <c r="W113" s="44">
        <v>0</v>
      </c>
      <c r="X113" s="8">
        <f t="shared" si="187"/>
        <v>0</v>
      </c>
      <c r="Y113" s="36" t="e">
        <f t="shared" si="188"/>
        <v>#DIV/0!</v>
      </c>
      <c r="Z113" s="58">
        <v>0</v>
      </c>
      <c r="AA113" s="95" t="e">
        <f t="shared" si="189"/>
        <v>#DIV/0!</v>
      </c>
      <c r="AB113" s="95" t="e">
        <f t="shared" si="190"/>
        <v>#DIV/0!</v>
      </c>
      <c r="AC113" s="36" t="e">
        <f t="shared" si="191"/>
        <v>#DIV/0!</v>
      </c>
      <c r="AD113" s="60" t="e">
        <f t="shared" si="192"/>
        <v>#DIV/0!</v>
      </c>
      <c r="AE113" s="80"/>
      <c r="AK113" s="7">
        <f>SUM(W114-W113)</f>
        <v>0</v>
      </c>
      <c r="AL113" s="94">
        <f>SUM(K114-K113)</f>
        <v>0</v>
      </c>
    </row>
    <row r="114" spans="1:38">
      <c r="A114" s="7"/>
      <c r="B114" s="71"/>
      <c r="C114" s="93" t="s">
        <v>98</v>
      </c>
      <c r="D114" s="56">
        <v>0</v>
      </c>
      <c r="E114" s="56">
        <v>0</v>
      </c>
      <c r="F114" s="40">
        <f t="shared" si="181"/>
        <v>0</v>
      </c>
      <c r="G114" s="36" t="e">
        <f t="shared" si="182"/>
        <v>#DIV/0!</v>
      </c>
      <c r="H114" s="40">
        <v>0</v>
      </c>
      <c r="I114" s="40">
        <v>0</v>
      </c>
      <c r="J114" s="56">
        <f>SUM(H114-R114)</f>
        <v>0</v>
      </c>
      <c r="K114" s="56">
        <f>SUM(I114-S114)</f>
        <v>0</v>
      </c>
      <c r="L114" s="40">
        <f t="shared" si="183"/>
        <v>0</v>
      </c>
      <c r="M114" s="36" t="e">
        <f t="shared" si="184"/>
        <v>#DIV/0!</v>
      </c>
      <c r="N114" s="58">
        <v>0</v>
      </c>
      <c r="O114" s="58"/>
      <c r="P114" s="58"/>
      <c r="Q114" s="58"/>
      <c r="R114" s="56">
        <v>0</v>
      </c>
      <c r="S114" s="56">
        <v>0</v>
      </c>
      <c r="T114" s="40">
        <f t="shared" si="185"/>
        <v>0</v>
      </c>
      <c r="U114" s="36" t="e">
        <f t="shared" si="186"/>
        <v>#DIV/0!</v>
      </c>
      <c r="V114" s="44">
        <v>0</v>
      </c>
      <c r="W114" s="44">
        <v>0</v>
      </c>
      <c r="X114" s="8">
        <f t="shared" si="187"/>
        <v>0</v>
      </c>
      <c r="Y114" s="36" t="e">
        <f t="shared" si="188"/>
        <v>#DIV/0!</v>
      </c>
      <c r="Z114" s="58">
        <v>0</v>
      </c>
      <c r="AA114" s="95" t="e">
        <f t="shared" si="189"/>
        <v>#DIV/0!</v>
      </c>
      <c r="AB114" s="95" t="e">
        <f t="shared" si="190"/>
        <v>#DIV/0!</v>
      </c>
      <c r="AC114" s="36" t="e">
        <f t="shared" si="191"/>
        <v>#DIV/0!</v>
      </c>
      <c r="AD114" s="60" t="e">
        <f>SUM(D114-H114)/D114</f>
        <v>#DIV/0!</v>
      </c>
      <c r="AE114" s="80"/>
      <c r="AK114" s="9">
        <f>SUM(AK109,AK110,AK111,AK112,AK113)</f>
        <v>-42.25</v>
      </c>
      <c r="AL114" s="97">
        <f>SUM(AL109,AL110,AL111,AL112,AL113)</f>
        <v>-815.92999999999984</v>
      </c>
    </row>
    <row r="115" spans="1:38" ht="9" customHeight="1">
      <c r="A115" s="108"/>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10"/>
    </row>
    <row r="116" spans="1:38">
      <c r="A116" s="7">
        <f>'Main Sheet'!A36</f>
        <v>8769</v>
      </c>
      <c r="B116" s="71" t="str">
        <f>'Main Sheet'!B36</f>
        <v>Percival Bach</v>
      </c>
      <c r="C116" s="93" t="s">
        <v>90</v>
      </c>
      <c r="D116" s="56">
        <v>63405.46</v>
      </c>
      <c r="E116" s="56">
        <v>0</v>
      </c>
      <c r="F116" s="40">
        <f>D116-E116</f>
        <v>63405.46</v>
      </c>
      <c r="G116" s="36">
        <f>F116/D116</f>
        <v>1</v>
      </c>
      <c r="H116" s="40">
        <v>43553.81</v>
      </c>
      <c r="I116" s="40">
        <v>9012.69</v>
      </c>
      <c r="J116" s="56">
        <f>SUM(H116-R116)</f>
        <v>29573.659999999996</v>
      </c>
      <c r="K116" s="56">
        <f>SUM(I116-S116)</f>
        <v>8270.880000000001</v>
      </c>
      <c r="L116" s="40">
        <f>J116-K116</f>
        <v>21302.779999999995</v>
      </c>
      <c r="M116" s="36">
        <f>L116/J116</f>
        <v>0.72032950943508511</v>
      </c>
      <c r="N116" s="58">
        <v>0</v>
      </c>
      <c r="O116" s="58"/>
      <c r="P116" s="58"/>
      <c r="Q116" s="58"/>
      <c r="R116" s="56">
        <v>13980.15</v>
      </c>
      <c r="S116" s="56">
        <v>741.81</v>
      </c>
      <c r="T116" s="40">
        <f>R116-S116</f>
        <v>13238.34</v>
      </c>
      <c r="U116" s="36">
        <f>T116/R116</f>
        <v>0.94693833757148527</v>
      </c>
      <c r="V116" s="44">
        <v>279.87</v>
      </c>
      <c r="W116" s="44">
        <v>52</v>
      </c>
      <c r="X116" s="8">
        <f>V116-W116</f>
        <v>227.87</v>
      </c>
      <c r="Y116" s="36">
        <f>X116/V116</f>
        <v>0.8141994497445243</v>
      </c>
      <c r="Z116" s="58">
        <v>0</v>
      </c>
      <c r="AA116" s="95">
        <f>(E116-K116-S116)/W116</f>
        <v>-173.32096153846155</v>
      </c>
      <c r="AB116" s="95">
        <f>(D116-J116-R116)/V116</f>
        <v>70.931682566906062</v>
      </c>
      <c r="AC116" s="36" t="e">
        <f>(E116-K116-S116)/E116</f>
        <v>#DIV/0!</v>
      </c>
      <c r="AD116" s="60">
        <f>SUM(D116-H116)/D116</f>
        <v>0.31309054456824381</v>
      </c>
      <c r="AE116" s="80"/>
      <c r="AG116" t="s">
        <v>91</v>
      </c>
      <c r="AH116">
        <f>AK121</f>
        <v>-52</v>
      </c>
      <c r="AK116" s="7">
        <f>SUM(W117-W116)</f>
        <v>36.5</v>
      </c>
      <c r="AL116" s="94">
        <f>SUM(K117-K116)</f>
        <v>3381.0399999999991</v>
      </c>
    </row>
    <row r="117" spans="1:38">
      <c r="A117" s="7"/>
      <c r="B117" s="71"/>
      <c r="C117" s="93" t="s">
        <v>92</v>
      </c>
      <c r="D117" s="56">
        <v>63405.46</v>
      </c>
      <c r="E117" s="56">
        <v>23507.97</v>
      </c>
      <c r="F117" s="40">
        <f t="shared" ref="F117:F121" si="193">D117-E117</f>
        <v>39897.49</v>
      </c>
      <c r="G117" s="36">
        <f t="shared" ref="G117:G121" si="194">F117/D117</f>
        <v>0.62924375913367714</v>
      </c>
      <c r="H117" s="40">
        <v>43553.81</v>
      </c>
      <c r="I117" s="40">
        <v>15599.26</v>
      </c>
      <c r="J117" s="56">
        <f>SUM(H117-R117)</f>
        <v>29573.659999999996</v>
      </c>
      <c r="K117" s="56">
        <f>SUM(I117-S117)</f>
        <v>11651.92</v>
      </c>
      <c r="L117" s="40">
        <f t="shared" ref="L117:L121" si="195">J117-K117</f>
        <v>17921.739999999998</v>
      </c>
      <c r="M117" s="36">
        <f t="shared" ref="M117:M121" si="196">L117/J117</f>
        <v>0.60600345036765824</v>
      </c>
      <c r="N117" s="58">
        <v>0</v>
      </c>
      <c r="O117" s="58"/>
      <c r="P117" s="58"/>
      <c r="Q117" s="58"/>
      <c r="R117" s="56">
        <v>13980.15</v>
      </c>
      <c r="S117" s="56">
        <v>3947.34</v>
      </c>
      <c r="T117" s="40">
        <f t="shared" ref="T117:T121" si="197">R117-S117</f>
        <v>10032.81</v>
      </c>
      <c r="U117" s="36">
        <f t="shared" ref="U117:U121" si="198">T117/R117</f>
        <v>0.71764680636473854</v>
      </c>
      <c r="V117" s="44">
        <v>279.87</v>
      </c>
      <c r="W117" s="44">
        <v>88.5</v>
      </c>
      <c r="X117" s="8">
        <f t="shared" ref="X117:X121" si="199">V117-W117</f>
        <v>191.37</v>
      </c>
      <c r="Y117" s="36">
        <f t="shared" ref="Y117:Y121" si="200">X117/V117</f>
        <v>0.68378175581519995</v>
      </c>
      <c r="Z117" s="58">
        <v>0</v>
      </c>
      <c r="AA117" s="95">
        <f t="shared" ref="AA117:AA121" si="201">(E117-K117-S117)/W117</f>
        <v>89.363954802259897</v>
      </c>
      <c r="AB117" s="95">
        <f t="shared" ref="AB117:AB121" si="202">(D117-J117-R117)/V117</f>
        <v>70.931682566906062</v>
      </c>
      <c r="AC117" s="36">
        <f t="shared" ref="AC117:AC121" si="203">(E117-K117-S117)/E117</f>
        <v>0.3364267522886919</v>
      </c>
      <c r="AD117" s="60">
        <f t="shared" ref="AD117:AD120" si="204">SUM(D117-H117)/D117</f>
        <v>0.31309054456824381</v>
      </c>
      <c r="AE117" s="80"/>
      <c r="AG117" t="s">
        <v>93</v>
      </c>
      <c r="AH117" s="42">
        <f>AL121</f>
        <v>-8270.880000000001</v>
      </c>
      <c r="AK117" s="7">
        <f>SUM(W118-W117)</f>
        <v>-88.5</v>
      </c>
      <c r="AL117" s="94">
        <f>SUM(K118-K117)</f>
        <v>-11651.92</v>
      </c>
    </row>
    <row r="118" spans="1:38">
      <c r="A118" s="7"/>
      <c r="B118" s="71"/>
      <c r="C118" s="93" t="s">
        <v>94</v>
      </c>
      <c r="D118" s="56">
        <v>0</v>
      </c>
      <c r="E118" s="56">
        <v>0</v>
      </c>
      <c r="F118" s="40">
        <f t="shared" si="193"/>
        <v>0</v>
      </c>
      <c r="G118" s="36" t="e">
        <f t="shared" si="194"/>
        <v>#DIV/0!</v>
      </c>
      <c r="H118" s="40">
        <v>0</v>
      </c>
      <c r="I118" s="40">
        <v>0</v>
      </c>
      <c r="J118" s="56">
        <f>SUM(H118-R118)</f>
        <v>0</v>
      </c>
      <c r="K118" s="56">
        <f>SUM(I118-S118)</f>
        <v>0</v>
      </c>
      <c r="L118" s="40">
        <f t="shared" si="195"/>
        <v>0</v>
      </c>
      <c r="M118" s="36" t="e">
        <f t="shared" si="196"/>
        <v>#DIV/0!</v>
      </c>
      <c r="N118" s="58">
        <v>0</v>
      </c>
      <c r="O118" s="58"/>
      <c r="P118" s="58"/>
      <c r="Q118" s="58"/>
      <c r="R118" s="56">
        <v>0</v>
      </c>
      <c r="S118" s="56">
        <v>0</v>
      </c>
      <c r="T118" s="40">
        <f t="shared" si="197"/>
        <v>0</v>
      </c>
      <c r="U118" s="36" t="e">
        <f t="shared" si="198"/>
        <v>#DIV/0!</v>
      </c>
      <c r="V118" s="44">
        <v>0</v>
      </c>
      <c r="W118" s="44">
        <v>0</v>
      </c>
      <c r="X118" s="8">
        <f t="shared" si="199"/>
        <v>0</v>
      </c>
      <c r="Y118" s="36" t="e">
        <f t="shared" si="200"/>
        <v>#DIV/0!</v>
      </c>
      <c r="Z118" s="58">
        <v>0</v>
      </c>
      <c r="AA118" s="95" t="e">
        <f t="shared" si="201"/>
        <v>#DIV/0!</v>
      </c>
      <c r="AB118" s="95" t="e">
        <f t="shared" si="202"/>
        <v>#DIV/0!</v>
      </c>
      <c r="AC118" s="36" t="e">
        <f t="shared" si="203"/>
        <v>#DIV/0!</v>
      </c>
      <c r="AD118" s="60" t="e">
        <f t="shared" si="204"/>
        <v>#DIV/0!</v>
      </c>
      <c r="AE118" s="80"/>
      <c r="AK118" s="7">
        <f>SUM(W119-W118)</f>
        <v>0</v>
      </c>
      <c r="AL118" s="94">
        <f>SUM(K119-K118)</f>
        <v>0</v>
      </c>
    </row>
    <row r="119" spans="1:38">
      <c r="A119" s="7"/>
      <c r="B119" s="71"/>
      <c r="C119" s="93" t="s">
        <v>95</v>
      </c>
      <c r="D119" s="56">
        <v>0</v>
      </c>
      <c r="E119" s="56">
        <v>0</v>
      </c>
      <c r="F119" s="40">
        <f t="shared" si="193"/>
        <v>0</v>
      </c>
      <c r="G119" s="36" t="e">
        <f t="shared" si="194"/>
        <v>#DIV/0!</v>
      </c>
      <c r="H119" s="40">
        <v>0</v>
      </c>
      <c r="I119" s="40">
        <v>0</v>
      </c>
      <c r="J119" s="56">
        <f>SUM(H119-R119)</f>
        <v>0</v>
      </c>
      <c r="K119" s="56">
        <f>SUM(I119-S119)</f>
        <v>0</v>
      </c>
      <c r="L119" s="40">
        <f t="shared" si="195"/>
        <v>0</v>
      </c>
      <c r="M119" s="36" t="e">
        <f t="shared" si="196"/>
        <v>#DIV/0!</v>
      </c>
      <c r="N119" s="58">
        <v>0</v>
      </c>
      <c r="O119" s="58"/>
      <c r="P119" s="58"/>
      <c r="Q119" s="58"/>
      <c r="R119" s="56">
        <v>0</v>
      </c>
      <c r="S119" s="56">
        <v>0</v>
      </c>
      <c r="T119" s="40">
        <f t="shared" si="197"/>
        <v>0</v>
      </c>
      <c r="U119" s="36" t="e">
        <f t="shared" si="198"/>
        <v>#DIV/0!</v>
      </c>
      <c r="V119" s="44">
        <v>0</v>
      </c>
      <c r="W119" s="44">
        <v>0</v>
      </c>
      <c r="X119" s="8">
        <f t="shared" si="199"/>
        <v>0</v>
      </c>
      <c r="Y119" s="36" t="e">
        <f t="shared" si="200"/>
        <v>#DIV/0!</v>
      </c>
      <c r="Z119" s="58">
        <v>0</v>
      </c>
      <c r="AA119" s="95" t="e">
        <f t="shared" si="201"/>
        <v>#DIV/0!</v>
      </c>
      <c r="AB119" s="95" t="e">
        <f t="shared" si="202"/>
        <v>#DIV/0!</v>
      </c>
      <c r="AC119" s="36" t="e">
        <f t="shared" si="203"/>
        <v>#DIV/0!</v>
      </c>
      <c r="AD119" s="60" t="e">
        <f t="shared" si="204"/>
        <v>#DIV/0!</v>
      </c>
      <c r="AE119" s="80"/>
      <c r="AG119" t="s">
        <v>96</v>
      </c>
      <c r="AH119" s="42">
        <v>0</v>
      </c>
      <c r="AK119" s="7">
        <f>SUM(W120-W119)</f>
        <v>0</v>
      </c>
      <c r="AL119" s="94">
        <f>SUM(K120-K119)</f>
        <v>0</v>
      </c>
    </row>
    <row r="120" spans="1:38">
      <c r="A120" s="7"/>
      <c r="B120" s="71"/>
      <c r="C120" s="93" t="s">
        <v>97</v>
      </c>
      <c r="D120" s="56">
        <v>0</v>
      </c>
      <c r="E120" s="56">
        <v>0</v>
      </c>
      <c r="F120" s="40">
        <f t="shared" si="193"/>
        <v>0</v>
      </c>
      <c r="G120" s="36" t="e">
        <f t="shared" si="194"/>
        <v>#DIV/0!</v>
      </c>
      <c r="H120" s="40">
        <v>0</v>
      </c>
      <c r="I120" s="40">
        <v>0</v>
      </c>
      <c r="J120" s="56">
        <f>SUM(H120-R120)</f>
        <v>0</v>
      </c>
      <c r="K120" s="56">
        <f>SUM(I120-S120)</f>
        <v>0</v>
      </c>
      <c r="L120" s="40">
        <f t="shared" si="195"/>
        <v>0</v>
      </c>
      <c r="M120" s="36" t="e">
        <f t="shared" si="196"/>
        <v>#DIV/0!</v>
      </c>
      <c r="N120" s="58">
        <v>0</v>
      </c>
      <c r="O120" s="58"/>
      <c r="P120" s="58"/>
      <c r="Q120" s="58"/>
      <c r="R120" s="56">
        <v>0</v>
      </c>
      <c r="S120" s="56">
        <v>0</v>
      </c>
      <c r="T120" s="40">
        <f t="shared" si="197"/>
        <v>0</v>
      </c>
      <c r="U120" s="36" t="e">
        <f t="shared" si="198"/>
        <v>#DIV/0!</v>
      </c>
      <c r="V120" s="44">
        <v>0</v>
      </c>
      <c r="W120" s="44">
        <v>0</v>
      </c>
      <c r="X120" s="8">
        <f t="shared" si="199"/>
        <v>0</v>
      </c>
      <c r="Y120" s="36" t="e">
        <f t="shared" si="200"/>
        <v>#DIV/0!</v>
      </c>
      <c r="Z120" s="58">
        <v>0</v>
      </c>
      <c r="AA120" s="95" t="e">
        <f t="shared" si="201"/>
        <v>#DIV/0!</v>
      </c>
      <c r="AB120" s="95" t="e">
        <f t="shared" si="202"/>
        <v>#DIV/0!</v>
      </c>
      <c r="AC120" s="36" t="e">
        <f t="shared" si="203"/>
        <v>#DIV/0!</v>
      </c>
      <c r="AD120" s="60" t="e">
        <f t="shared" si="204"/>
        <v>#DIV/0!</v>
      </c>
      <c r="AE120" s="80"/>
      <c r="AK120" s="7">
        <f>SUM(W121-W120)</f>
        <v>0</v>
      </c>
      <c r="AL120" s="94">
        <f>SUM(K121-K120)</f>
        <v>0</v>
      </c>
    </row>
    <row r="121" spans="1:38">
      <c r="A121" s="7"/>
      <c r="B121" s="71"/>
      <c r="C121" s="93" t="s">
        <v>98</v>
      </c>
      <c r="D121" s="56">
        <v>0</v>
      </c>
      <c r="E121" s="56">
        <v>0</v>
      </c>
      <c r="F121" s="40">
        <f t="shared" si="193"/>
        <v>0</v>
      </c>
      <c r="G121" s="36" t="e">
        <f t="shared" si="194"/>
        <v>#DIV/0!</v>
      </c>
      <c r="H121" s="40">
        <v>0</v>
      </c>
      <c r="I121" s="40">
        <v>0</v>
      </c>
      <c r="J121" s="56">
        <f>SUM(H121-R121)</f>
        <v>0</v>
      </c>
      <c r="K121" s="56">
        <f>SUM(I121-S121)</f>
        <v>0</v>
      </c>
      <c r="L121" s="40">
        <f t="shared" si="195"/>
        <v>0</v>
      </c>
      <c r="M121" s="36" t="e">
        <f t="shared" si="196"/>
        <v>#DIV/0!</v>
      </c>
      <c r="N121" s="58">
        <v>0</v>
      </c>
      <c r="O121" s="58"/>
      <c r="P121" s="58"/>
      <c r="Q121" s="58"/>
      <c r="R121" s="56">
        <v>0</v>
      </c>
      <c r="S121" s="56">
        <v>0</v>
      </c>
      <c r="T121" s="40">
        <f t="shared" si="197"/>
        <v>0</v>
      </c>
      <c r="U121" s="36" t="e">
        <f t="shared" si="198"/>
        <v>#DIV/0!</v>
      </c>
      <c r="V121" s="44">
        <v>0</v>
      </c>
      <c r="W121" s="44">
        <v>0</v>
      </c>
      <c r="X121" s="8">
        <f t="shared" si="199"/>
        <v>0</v>
      </c>
      <c r="Y121" s="36" t="e">
        <f t="shared" si="200"/>
        <v>#DIV/0!</v>
      </c>
      <c r="Z121" s="58">
        <v>0</v>
      </c>
      <c r="AA121" s="95" t="e">
        <f t="shared" si="201"/>
        <v>#DIV/0!</v>
      </c>
      <c r="AB121" s="95" t="e">
        <f t="shared" si="202"/>
        <v>#DIV/0!</v>
      </c>
      <c r="AC121" s="36" t="e">
        <f t="shared" si="203"/>
        <v>#DIV/0!</v>
      </c>
      <c r="AD121" s="60" t="e">
        <f>SUM(D121-H121)/D121</f>
        <v>#DIV/0!</v>
      </c>
      <c r="AE121" s="80"/>
      <c r="AK121" s="9">
        <f>SUM(AK116,AK117,AK118,AK119,AK120)</f>
        <v>-52</v>
      </c>
      <c r="AL121" s="97">
        <f>SUM(AL116,AL117,AL118,AL119,AL120)</f>
        <v>-8270.880000000001</v>
      </c>
    </row>
    <row r="122" spans="1:38" ht="9" customHeight="1">
      <c r="A122" s="274"/>
      <c r="B122" s="275"/>
      <c r="C122" s="275"/>
      <c r="D122" s="275"/>
      <c r="E122" s="275"/>
      <c r="F122" s="275"/>
      <c r="G122" s="275"/>
      <c r="H122" s="275"/>
      <c r="I122" s="275"/>
      <c r="J122" s="275"/>
      <c r="K122" s="275"/>
      <c r="L122" s="275"/>
      <c r="M122" s="275"/>
      <c r="N122" s="275"/>
      <c r="O122" s="275"/>
      <c r="P122" s="275"/>
      <c r="Q122" s="275"/>
      <c r="R122" s="275"/>
      <c r="S122" s="275"/>
      <c r="T122" s="275"/>
      <c r="U122" s="275"/>
      <c r="V122" s="275"/>
      <c r="W122" s="275"/>
      <c r="X122" s="275"/>
      <c r="Y122" s="275"/>
      <c r="Z122" s="275"/>
      <c r="AA122" s="275"/>
      <c r="AB122" s="275"/>
      <c r="AC122" s="275"/>
      <c r="AD122" s="276"/>
    </row>
    <row r="123" spans="1:38">
      <c r="A123" s="7">
        <f>'Main Sheet'!A38</f>
        <v>7901</v>
      </c>
      <c r="B123" s="71" t="str">
        <f>'Main Sheet'!B38</f>
        <v>St Albans Street</v>
      </c>
      <c r="C123" s="93" t="s">
        <v>90</v>
      </c>
      <c r="D123" s="56">
        <v>0</v>
      </c>
      <c r="E123" s="56">
        <v>0</v>
      </c>
      <c r="F123" s="40">
        <v>0</v>
      </c>
      <c r="G123" s="36" t="e">
        <f>F123/D123</f>
        <v>#DIV/0!</v>
      </c>
      <c r="H123" s="40">
        <v>0</v>
      </c>
      <c r="I123" s="40">
        <v>0</v>
      </c>
      <c r="J123" s="56">
        <f>SUM(H123-R123)</f>
        <v>0</v>
      </c>
      <c r="K123" s="56">
        <f>SUM(I123-S123)</f>
        <v>0</v>
      </c>
      <c r="L123" s="40">
        <f t="shared" ref="L123:L128" si="205">J123-K123</f>
        <v>0</v>
      </c>
      <c r="M123" s="36" t="e">
        <f t="shared" ref="M123:M128" si="206">L123/J123</f>
        <v>#DIV/0!</v>
      </c>
      <c r="N123" s="58">
        <v>0</v>
      </c>
      <c r="O123" s="58"/>
      <c r="P123" s="58"/>
      <c r="Q123" s="58"/>
      <c r="R123" s="56">
        <v>0</v>
      </c>
      <c r="S123" s="56">
        <v>0</v>
      </c>
      <c r="T123" s="40">
        <f>R123-S123</f>
        <v>0</v>
      </c>
      <c r="U123" s="36" t="e">
        <f>T123/R123</f>
        <v>#DIV/0!</v>
      </c>
      <c r="V123" s="44">
        <v>0</v>
      </c>
      <c r="W123" s="44">
        <v>0</v>
      </c>
      <c r="X123" s="8">
        <f>V123-W123</f>
        <v>0</v>
      </c>
      <c r="Y123" s="36" t="e">
        <f>X123/V123</f>
        <v>#DIV/0!</v>
      </c>
      <c r="Z123" s="58">
        <v>0</v>
      </c>
      <c r="AA123" s="95" t="e">
        <f>(E123-K123-S123)/W123</f>
        <v>#DIV/0!</v>
      </c>
      <c r="AB123" s="95" t="e">
        <f>(D123-J123-R123)/V123</f>
        <v>#DIV/0!</v>
      </c>
      <c r="AC123" s="36" t="e">
        <f>(E123-K123-S123)/E123</f>
        <v>#DIV/0!</v>
      </c>
      <c r="AD123" s="60" t="e">
        <f>SUM(D123-H123)/D123</f>
        <v>#DIV/0!</v>
      </c>
      <c r="AE123" s="80"/>
      <c r="AG123" t="s">
        <v>91</v>
      </c>
      <c r="AH123">
        <f>AK128</f>
        <v>0</v>
      </c>
      <c r="AK123" s="7">
        <f>SUM(W124-W123)</f>
        <v>0</v>
      </c>
      <c r="AL123" s="94">
        <f>SUM(K124-K123)</f>
        <v>0</v>
      </c>
    </row>
    <row r="124" spans="1:38">
      <c r="A124" s="7"/>
      <c r="B124" s="71"/>
      <c r="C124" s="93" t="s">
        <v>92</v>
      </c>
      <c r="D124" s="56">
        <v>0</v>
      </c>
      <c r="E124" s="56">
        <v>0</v>
      </c>
      <c r="F124" s="40">
        <f t="shared" ref="F124:F128" si="207">D124-E124</f>
        <v>0</v>
      </c>
      <c r="G124" s="36" t="e">
        <f t="shared" ref="G124:G128" si="208">F124/D124</f>
        <v>#DIV/0!</v>
      </c>
      <c r="H124" s="40">
        <v>0</v>
      </c>
      <c r="I124" s="40">
        <v>0</v>
      </c>
      <c r="J124" s="56">
        <f>SUM(H124-R124)</f>
        <v>0</v>
      </c>
      <c r="K124" s="56">
        <f>SUM(I124-S124)</f>
        <v>0</v>
      </c>
      <c r="L124" s="40">
        <f t="shared" si="205"/>
        <v>0</v>
      </c>
      <c r="M124" s="36" t="e">
        <f t="shared" si="206"/>
        <v>#DIV/0!</v>
      </c>
      <c r="N124" s="58"/>
      <c r="O124" s="58"/>
      <c r="P124" s="58"/>
      <c r="Q124" s="58"/>
      <c r="R124" s="56">
        <v>0</v>
      </c>
      <c r="S124" s="56">
        <v>0</v>
      </c>
      <c r="T124" s="40">
        <f t="shared" ref="T124:T128" si="209">R124-S124</f>
        <v>0</v>
      </c>
      <c r="U124" s="36" t="e">
        <f t="shared" ref="U124:U128" si="210">T124/R124</f>
        <v>#DIV/0!</v>
      </c>
      <c r="V124" s="44">
        <v>0</v>
      </c>
      <c r="W124" s="44">
        <v>0</v>
      </c>
      <c r="X124" s="8">
        <f t="shared" ref="X124:X128" si="211">V124-W124</f>
        <v>0</v>
      </c>
      <c r="Y124" s="36" t="e">
        <f t="shared" ref="Y124:Y128" si="212">X124/V124</f>
        <v>#DIV/0!</v>
      </c>
      <c r="Z124" s="58"/>
      <c r="AA124" s="95" t="e">
        <f t="shared" ref="AA124:AA128" si="213">(E124-K124-S124)/W124</f>
        <v>#DIV/0!</v>
      </c>
      <c r="AB124" s="95" t="e">
        <f t="shared" ref="AB124:AB128" si="214">(D124-J124-R124)/V124</f>
        <v>#DIV/0!</v>
      </c>
      <c r="AC124" s="36" t="e">
        <f t="shared" ref="AC124:AC128" si="215">(E124-K124-S124)/E124</f>
        <v>#DIV/0!</v>
      </c>
      <c r="AD124" s="60" t="e">
        <f t="shared" ref="AD124:AD127" si="216">SUM(D124-H124)/D124</f>
        <v>#DIV/0!</v>
      </c>
      <c r="AE124" s="80"/>
      <c r="AG124" t="s">
        <v>93</v>
      </c>
      <c r="AH124" s="42">
        <f>AL128</f>
        <v>0</v>
      </c>
      <c r="AK124" s="7">
        <f>SUM(W125-W124)</f>
        <v>0</v>
      </c>
      <c r="AL124" s="94">
        <f>SUM(K125-K124)</f>
        <v>0</v>
      </c>
    </row>
    <row r="125" spans="1:38">
      <c r="A125" s="7"/>
      <c r="B125" s="71"/>
      <c r="C125" s="93" t="s">
        <v>94</v>
      </c>
      <c r="D125" s="56">
        <v>0</v>
      </c>
      <c r="E125" s="56">
        <v>0</v>
      </c>
      <c r="F125" s="40">
        <f t="shared" si="207"/>
        <v>0</v>
      </c>
      <c r="G125" s="36" t="e">
        <f t="shared" si="208"/>
        <v>#DIV/0!</v>
      </c>
      <c r="H125" s="40">
        <v>0</v>
      </c>
      <c r="I125" s="40">
        <v>0</v>
      </c>
      <c r="J125" s="56">
        <f>SUM(H125-R125)</f>
        <v>0</v>
      </c>
      <c r="K125" s="56">
        <f>SUM(I125-S125)</f>
        <v>0</v>
      </c>
      <c r="L125" s="40">
        <f>J125-K125</f>
        <v>0</v>
      </c>
      <c r="M125" s="36" t="e">
        <f>L125/J125</f>
        <v>#DIV/0!</v>
      </c>
      <c r="N125" s="58"/>
      <c r="O125" s="58"/>
      <c r="P125" s="58"/>
      <c r="Q125" s="58"/>
      <c r="R125" s="56">
        <v>0</v>
      </c>
      <c r="S125" s="56">
        <v>0</v>
      </c>
      <c r="T125" s="40">
        <f t="shared" si="209"/>
        <v>0</v>
      </c>
      <c r="U125" s="36" t="e">
        <f t="shared" si="210"/>
        <v>#DIV/0!</v>
      </c>
      <c r="V125" s="44">
        <v>0</v>
      </c>
      <c r="W125" s="44">
        <v>0</v>
      </c>
      <c r="X125" s="8">
        <f t="shared" si="211"/>
        <v>0</v>
      </c>
      <c r="Y125" s="36" t="e">
        <f t="shared" si="212"/>
        <v>#DIV/0!</v>
      </c>
      <c r="Z125" s="58"/>
      <c r="AA125" s="95" t="e">
        <f t="shared" si="213"/>
        <v>#DIV/0!</v>
      </c>
      <c r="AB125" s="95" t="e">
        <f t="shared" si="214"/>
        <v>#DIV/0!</v>
      </c>
      <c r="AC125" s="36" t="e">
        <f t="shared" si="215"/>
        <v>#DIV/0!</v>
      </c>
      <c r="AD125" s="60" t="e">
        <f t="shared" si="216"/>
        <v>#DIV/0!</v>
      </c>
      <c r="AE125" s="80"/>
      <c r="AK125" s="7">
        <f>SUM(W126-W125)</f>
        <v>0</v>
      </c>
      <c r="AL125" s="94">
        <f>SUM(K126-K125)</f>
        <v>0</v>
      </c>
    </row>
    <row r="126" spans="1:38">
      <c r="A126" s="7"/>
      <c r="B126" s="71"/>
      <c r="C126" s="93" t="s">
        <v>95</v>
      </c>
      <c r="D126" s="56">
        <v>0</v>
      </c>
      <c r="E126" s="56">
        <v>0</v>
      </c>
      <c r="F126" s="40">
        <f t="shared" si="207"/>
        <v>0</v>
      </c>
      <c r="G126" s="36" t="e">
        <f t="shared" si="208"/>
        <v>#DIV/0!</v>
      </c>
      <c r="H126" s="40">
        <v>0</v>
      </c>
      <c r="I126" s="40">
        <v>0</v>
      </c>
      <c r="J126" s="56">
        <f>SUM(H126-R126)</f>
        <v>0</v>
      </c>
      <c r="K126" s="56">
        <f>SUM(I126-S126)</f>
        <v>0</v>
      </c>
      <c r="L126" s="40">
        <f t="shared" si="205"/>
        <v>0</v>
      </c>
      <c r="M126" s="36" t="e">
        <f t="shared" si="206"/>
        <v>#DIV/0!</v>
      </c>
      <c r="N126" s="58"/>
      <c r="O126" s="58"/>
      <c r="P126" s="58"/>
      <c r="Q126" s="58"/>
      <c r="R126" s="56">
        <v>0</v>
      </c>
      <c r="S126" s="56">
        <v>0</v>
      </c>
      <c r="T126" s="40">
        <f t="shared" si="209"/>
        <v>0</v>
      </c>
      <c r="U126" s="36" t="e">
        <f t="shared" si="210"/>
        <v>#DIV/0!</v>
      </c>
      <c r="V126" s="44">
        <v>0</v>
      </c>
      <c r="W126" s="44">
        <v>0</v>
      </c>
      <c r="X126" s="8">
        <f t="shared" si="211"/>
        <v>0</v>
      </c>
      <c r="Y126" s="36" t="e">
        <f t="shared" si="212"/>
        <v>#DIV/0!</v>
      </c>
      <c r="Z126" s="58"/>
      <c r="AA126" s="95" t="e">
        <f t="shared" si="213"/>
        <v>#DIV/0!</v>
      </c>
      <c r="AB126" s="95" t="e">
        <f t="shared" si="214"/>
        <v>#DIV/0!</v>
      </c>
      <c r="AC126" s="36" t="e">
        <f t="shared" si="215"/>
        <v>#DIV/0!</v>
      </c>
      <c r="AD126" s="60" t="e">
        <f t="shared" si="216"/>
        <v>#DIV/0!</v>
      </c>
      <c r="AE126" s="80"/>
      <c r="AG126" t="s">
        <v>96</v>
      </c>
      <c r="AH126" s="42">
        <v>0</v>
      </c>
      <c r="AK126" s="7">
        <f>SUM(W127-W126)</f>
        <v>0</v>
      </c>
      <c r="AL126" s="94">
        <f>SUM(K127-K126)</f>
        <v>0</v>
      </c>
    </row>
    <row r="127" spans="1:38">
      <c r="A127" s="7"/>
      <c r="B127" s="71"/>
      <c r="C127" s="93" t="s">
        <v>97</v>
      </c>
      <c r="D127" s="56">
        <v>0</v>
      </c>
      <c r="E127" s="56">
        <v>0</v>
      </c>
      <c r="F127" s="40">
        <f t="shared" si="207"/>
        <v>0</v>
      </c>
      <c r="G127" s="36" t="e">
        <f t="shared" si="208"/>
        <v>#DIV/0!</v>
      </c>
      <c r="H127" s="40">
        <v>0</v>
      </c>
      <c r="I127" s="40">
        <v>0</v>
      </c>
      <c r="J127" s="56">
        <f>SUM(H127-R127)</f>
        <v>0</v>
      </c>
      <c r="K127" s="56">
        <f>SUM(I127-S127)</f>
        <v>0</v>
      </c>
      <c r="L127" s="40">
        <f t="shared" si="205"/>
        <v>0</v>
      </c>
      <c r="M127" s="36" t="e">
        <f t="shared" si="206"/>
        <v>#DIV/0!</v>
      </c>
      <c r="N127" s="58"/>
      <c r="O127" s="58"/>
      <c r="P127" s="58"/>
      <c r="Q127" s="58"/>
      <c r="R127" s="56">
        <v>0</v>
      </c>
      <c r="S127" s="56">
        <v>0</v>
      </c>
      <c r="T127" s="40">
        <f t="shared" si="209"/>
        <v>0</v>
      </c>
      <c r="U127" s="36" t="e">
        <f t="shared" si="210"/>
        <v>#DIV/0!</v>
      </c>
      <c r="V127" s="44">
        <v>0</v>
      </c>
      <c r="W127" s="44">
        <v>0</v>
      </c>
      <c r="X127" s="8">
        <f t="shared" si="211"/>
        <v>0</v>
      </c>
      <c r="Y127" s="36" t="e">
        <f t="shared" si="212"/>
        <v>#DIV/0!</v>
      </c>
      <c r="Z127" s="58"/>
      <c r="AA127" s="95" t="e">
        <f t="shared" si="213"/>
        <v>#DIV/0!</v>
      </c>
      <c r="AB127" s="95" t="e">
        <f t="shared" si="214"/>
        <v>#DIV/0!</v>
      </c>
      <c r="AC127" s="36" t="e">
        <f t="shared" si="215"/>
        <v>#DIV/0!</v>
      </c>
      <c r="AD127" s="60" t="e">
        <f t="shared" si="216"/>
        <v>#DIV/0!</v>
      </c>
      <c r="AE127" s="80"/>
      <c r="AK127" s="7">
        <f>SUM(W128-W127)</f>
        <v>0</v>
      </c>
      <c r="AL127" s="94">
        <f>SUM(K128-K127)</f>
        <v>0</v>
      </c>
    </row>
    <row r="128" spans="1:38">
      <c r="A128" s="7"/>
      <c r="B128" s="71"/>
      <c r="C128" s="93" t="s">
        <v>98</v>
      </c>
      <c r="D128" s="56">
        <v>0</v>
      </c>
      <c r="E128" s="56">
        <v>0</v>
      </c>
      <c r="F128" s="40">
        <f t="shared" si="207"/>
        <v>0</v>
      </c>
      <c r="G128" s="36" t="e">
        <f t="shared" si="208"/>
        <v>#DIV/0!</v>
      </c>
      <c r="H128" s="40">
        <v>0</v>
      </c>
      <c r="I128" s="40">
        <v>0</v>
      </c>
      <c r="J128" s="56">
        <f>SUM(H128-R128)</f>
        <v>0</v>
      </c>
      <c r="K128" s="56">
        <f>SUM(I128-S128)</f>
        <v>0</v>
      </c>
      <c r="L128" s="40">
        <f t="shared" si="205"/>
        <v>0</v>
      </c>
      <c r="M128" s="36" t="e">
        <f t="shared" si="206"/>
        <v>#DIV/0!</v>
      </c>
      <c r="N128" s="58"/>
      <c r="O128" s="58"/>
      <c r="P128" s="58"/>
      <c r="Q128" s="58"/>
      <c r="R128" s="56">
        <v>0</v>
      </c>
      <c r="S128" s="56">
        <v>0</v>
      </c>
      <c r="T128" s="40">
        <f t="shared" si="209"/>
        <v>0</v>
      </c>
      <c r="U128" s="36" t="e">
        <f t="shared" si="210"/>
        <v>#DIV/0!</v>
      </c>
      <c r="V128" s="44">
        <v>0</v>
      </c>
      <c r="W128" s="44">
        <v>0</v>
      </c>
      <c r="X128" s="8">
        <f t="shared" si="211"/>
        <v>0</v>
      </c>
      <c r="Y128" s="36" t="e">
        <f t="shared" si="212"/>
        <v>#DIV/0!</v>
      </c>
      <c r="Z128" s="58"/>
      <c r="AA128" s="95" t="e">
        <f t="shared" si="213"/>
        <v>#DIV/0!</v>
      </c>
      <c r="AB128" s="95" t="e">
        <f t="shared" si="214"/>
        <v>#DIV/0!</v>
      </c>
      <c r="AC128" s="36" t="e">
        <f t="shared" si="215"/>
        <v>#DIV/0!</v>
      </c>
      <c r="AD128" s="60" t="e">
        <f>SUM(D128-H128)/D128</f>
        <v>#DIV/0!</v>
      </c>
      <c r="AE128" s="80"/>
      <c r="AK128" s="9">
        <f>SUM(AK123,AK124,AK125,AK126,AK127)</f>
        <v>0</v>
      </c>
      <c r="AL128" s="97">
        <f>SUM(AL123,AL124,AL125,AL126,AL127)</f>
        <v>0</v>
      </c>
    </row>
    <row r="129" spans="1:38" ht="9" customHeight="1">
      <c r="A129" s="274"/>
      <c r="B129" s="275"/>
      <c r="C129" s="275"/>
      <c r="D129" s="275"/>
      <c r="E129" s="275"/>
      <c r="F129" s="275"/>
      <c r="G129" s="275"/>
      <c r="H129" s="275"/>
      <c r="I129" s="275"/>
      <c r="J129" s="275"/>
      <c r="K129" s="275"/>
      <c r="L129" s="275"/>
      <c r="M129" s="275"/>
      <c r="N129" s="275"/>
      <c r="O129" s="275"/>
      <c r="P129" s="275"/>
      <c r="Q129" s="275"/>
      <c r="R129" s="275"/>
      <c r="S129" s="275"/>
      <c r="T129" s="275"/>
      <c r="U129" s="275"/>
      <c r="V129" s="275"/>
      <c r="W129" s="275"/>
      <c r="X129" s="275"/>
      <c r="Y129" s="275"/>
      <c r="Z129" s="275"/>
      <c r="AA129" s="275"/>
      <c r="AB129" s="275"/>
      <c r="AC129" s="275"/>
      <c r="AD129" s="276"/>
    </row>
    <row r="130" spans="1:38">
      <c r="A130" s="7">
        <f>'Main Sheet'!A40</f>
        <v>8923</v>
      </c>
      <c r="B130" s="71" t="str">
        <f>'Main Sheet'!B40</f>
        <v>4 Perry St</v>
      </c>
      <c r="C130" s="93" t="s">
        <v>90</v>
      </c>
      <c r="D130" s="56">
        <v>47191.69</v>
      </c>
      <c r="E130" s="56">
        <v>32679.16</v>
      </c>
      <c r="F130" s="40">
        <f>D130-E130</f>
        <v>14512.530000000002</v>
      </c>
      <c r="G130" s="36">
        <f>F130/D130</f>
        <v>0.30752299822278034</v>
      </c>
      <c r="H130" s="40">
        <v>30406.12</v>
      </c>
      <c r="I130" s="40">
        <v>21779.51</v>
      </c>
      <c r="J130" s="56">
        <f>SUM(H130-R130)</f>
        <v>15383.999999999998</v>
      </c>
      <c r="K130" s="56">
        <f>SUM(I130-S130)</f>
        <v>8004.4399999999987</v>
      </c>
      <c r="L130" s="40">
        <f>J130-K130</f>
        <v>7379.5599999999995</v>
      </c>
      <c r="M130" s="36">
        <f>L130/J130</f>
        <v>0.47969058762350497</v>
      </c>
      <c r="N130" s="58">
        <v>0</v>
      </c>
      <c r="O130" s="58"/>
      <c r="P130" s="58"/>
      <c r="Q130" s="58"/>
      <c r="R130" s="56">
        <v>15022.12</v>
      </c>
      <c r="S130" s="56">
        <v>13775.07</v>
      </c>
      <c r="T130" s="40">
        <f>R130-S130</f>
        <v>1247.0500000000011</v>
      </c>
      <c r="U130" s="36">
        <f>T130/R130</f>
        <v>8.3014248321808176E-2</v>
      </c>
      <c r="V130" s="44">
        <v>301.52999999999997</v>
      </c>
      <c r="W130" s="44">
        <v>180.75</v>
      </c>
      <c r="X130" s="8">
        <f>V130-W130</f>
        <v>120.77999999999997</v>
      </c>
      <c r="Y130" s="36">
        <f>X130/V130</f>
        <v>0.40055715849169232</v>
      </c>
      <c r="Z130" s="58">
        <v>0</v>
      </c>
      <c r="AA130" s="95">
        <f>(E130-K130-S130)/W130</f>
        <v>60.302351313969581</v>
      </c>
      <c r="AB130" s="95">
        <f>(D130-J130-R130)/V130</f>
        <v>55.667993234504031</v>
      </c>
      <c r="AC130" s="36">
        <f>(E130-K130-S130)/E130</f>
        <v>0.33353519490709066</v>
      </c>
      <c r="AD130" s="60">
        <f>SUM(D130-H130)/D130</f>
        <v>0.35568910543360499</v>
      </c>
      <c r="AE130" s="80"/>
      <c r="AG130" t="s">
        <v>91</v>
      </c>
      <c r="AH130">
        <f>AK135</f>
        <v>-180.75</v>
      </c>
      <c r="AK130" s="7">
        <f>SUM(W131-W130)</f>
        <v>4.5</v>
      </c>
      <c r="AL130" s="94">
        <f>SUM(K131-K130)</f>
        <v>5821.5200000000023</v>
      </c>
    </row>
    <row r="131" spans="1:38">
      <c r="A131" s="7"/>
      <c r="B131" s="71"/>
      <c r="C131" s="93" t="s">
        <v>92</v>
      </c>
      <c r="D131" s="56">
        <v>47191.69</v>
      </c>
      <c r="E131" s="56">
        <v>35940.5</v>
      </c>
      <c r="F131" s="40">
        <f t="shared" ref="F131:F135" si="217">D131-E131</f>
        <v>11251.190000000002</v>
      </c>
      <c r="G131" s="36">
        <f t="shared" ref="G131:G135" si="218">F131/D131</f>
        <v>0.23841464461221884</v>
      </c>
      <c r="H131" s="40">
        <v>30406.12</v>
      </c>
      <c r="I131" s="40">
        <v>22080.06</v>
      </c>
      <c r="J131" s="56">
        <f>SUM(H131-R131)</f>
        <v>15505.369999999999</v>
      </c>
      <c r="K131" s="56">
        <f>SUM(I131-S131)</f>
        <v>13825.960000000001</v>
      </c>
      <c r="L131" s="40">
        <f>J131-K131</f>
        <v>1679.409999999998</v>
      </c>
      <c r="M131" s="36">
        <f>L131/J131</f>
        <v>0.10831150756157371</v>
      </c>
      <c r="N131" s="58">
        <v>0</v>
      </c>
      <c r="O131" s="58"/>
      <c r="P131" s="58"/>
      <c r="Q131" s="58"/>
      <c r="R131" s="56">
        <v>14900.75</v>
      </c>
      <c r="S131" s="56">
        <v>8254.1</v>
      </c>
      <c r="T131" s="40">
        <f t="shared" ref="T131:T135" si="219">R131-S131</f>
        <v>6646.65</v>
      </c>
      <c r="U131" s="36">
        <f t="shared" ref="U131:U135" si="220">T131/R131</f>
        <v>0.44606143986040969</v>
      </c>
      <c r="V131" s="44">
        <v>301.52999999999997</v>
      </c>
      <c r="W131" s="44">
        <v>185.25</v>
      </c>
      <c r="X131" s="8">
        <f t="shared" ref="X131:X135" si="221">V131-W131</f>
        <v>116.27999999999997</v>
      </c>
      <c r="Y131" s="36">
        <f t="shared" ref="Y131:Y135" si="222">X131/V131</f>
        <v>0.38563327032136102</v>
      </c>
      <c r="Z131" s="58">
        <v>0</v>
      </c>
      <c r="AA131" s="95">
        <f t="shared" ref="AA131:AA135" si="223">(E131-K131-S131)/W131</f>
        <v>74.820188933873141</v>
      </c>
      <c r="AB131" s="95">
        <f t="shared" ref="AB131:AB135" si="224">(D131-J131-R131)/V131</f>
        <v>55.667993234504046</v>
      </c>
      <c r="AC131" s="36">
        <f t="shared" ref="AC131:AC135" si="225">(E131-K131-S131)/E131</f>
        <v>0.38564961533645886</v>
      </c>
      <c r="AD131" s="60">
        <f t="shared" ref="AD131:AD134" si="226">SUM(D131-H131)/D131</f>
        <v>0.35568910543360499</v>
      </c>
      <c r="AE131" s="80"/>
      <c r="AG131" t="s">
        <v>93</v>
      </c>
      <c r="AH131" s="42">
        <f>AL135</f>
        <v>-8004.4399999999987</v>
      </c>
      <c r="AK131" s="7">
        <f>SUM(W132-W131)</f>
        <v>-185.25</v>
      </c>
      <c r="AL131" s="94">
        <f>SUM(K132-K131)</f>
        <v>-13825.960000000001</v>
      </c>
    </row>
    <row r="132" spans="1:38">
      <c r="A132" s="7"/>
      <c r="B132" s="71"/>
      <c r="C132" s="93" t="s">
        <v>94</v>
      </c>
      <c r="D132" s="56">
        <v>0</v>
      </c>
      <c r="E132" s="56">
        <v>0</v>
      </c>
      <c r="F132" s="40">
        <f t="shared" si="217"/>
        <v>0</v>
      </c>
      <c r="G132" s="36" t="e">
        <f t="shared" si="218"/>
        <v>#DIV/0!</v>
      </c>
      <c r="H132" s="40">
        <v>0</v>
      </c>
      <c r="I132" s="40">
        <v>0</v>
      </c>
      <c r="J132" s="56">
        <f>SUM(H132-R132)</f>
        <v>0</v>
      </c>
      <c r="K132" s="56">
        <f>SUM(I132-S132)</f>
        <v>0</v>
      </c>
      <c r="L132" s="40">
        <f t="shared" ref="L132:L135" si="227">J132-K132</f>
        <v>0</v>
      </c>
      <c r="M132" s="36" t="e">
        <f t="shared" ref="M132:M135" si="228">L132/J132</f>
        <v>#DIV/0!</v>
      </c>
      <c r="N132" s="58"/>
      <c r="O132" s="58"/>
      <c r="P132" s="58"/>
      <c r="Q132" s="58"/>
      <c r="R132" s="56">
        <v>0</v>
      </c>
      <c r="S132" s="56">
        <v>0</v>
      </c>
      <c r="T132" s="40">
        <f t="shared" si="219"/>
        <v>0</v>
      </c>
      <c r="U132" s="36" t="e">
        <f t="shared" si="220"/>
        <v>#DIV/0!</v>
      </c>
      <c r="V132" s="44">
        <v>0</v>
      </c>
      <c r="W132" s="44">
        <v>0</v>
      </c>
      <c r="X132" s="8">
        <f t="shared" si="221"/>
        <v>0</v>
      </c>
      <c r="Y132" s="36" t="e">
        <f t="shared" si="222"/>
        <v>#DIV/0!</v>
      </c>
      <c r="Z132" s="58">
        <v>0</v>
      </c>
      <c r="AA132" s="95" t="e">
        <f t="shared" si="223"/>
        <v>#DIV/0!</v>
      </c>
      <c r="AB132" s="95" t="e">
        <f t="shared" si="224"/>
        <v>#DIV/0!</v>
      </c>
      <c r="AC132" s="36" t="e">
        <f t="shared" si="225"/>
        <v>#DIV/0!</v>
      </c>
      <c r="AD132" s="60" t="e">
        <f t="shared" si="226"/>
        <v>#DIV/0!</v>
      </c>
      <c r="AE132" s="80"/>
      <c r="AK132" s="7">
        <f>SUM(W133-W132)</f>
        <v>0</v>
      </c>
      <c r="AL132" s="94">
        <f>SUM(K133-K132)</f>
        <v>0</v>
      </c>
    </row>
    <row r="133" spans="1:38">
      <c r="A133" s="7"/>
      <c r="B133" s="71"/>
      <c r="C133" s="93" t="s">
        <v>95</v>
      </c>
      <c r="D133" s="56">
        <v>0</v>
      </c>
      <c r="E133" s="56">
        <v>0</v>
      </c>
      <c r="F133" s="40">
        <f t="shared" si="217"/>
        <v>0</v>
      </c>
      <c r="G133" s="36" t="e">
        <f t="shared" si="218"/>
        <v>#DIV/0!</v>
      </c>
      <c r="H133" s="40">
        <v>0</v>
      </c>
      <c r="I133" s="40">
        <v>0</v>
      </c>
      <c r="J133" s="56">
        <f>SUM(H133-R133)</f>
        <v>0</v>
      </c>
      <c r="K133" s="56">
        <f>SUM(I133-S133)</f>
        <v>0</v>
      </c>
      <c r="L133" s="40">
        <f t="shared" si="227"/>
        <v>0</v>
      </c>
      <c r="M133" s="36" t="e">
        <f t="shared" si="228"/>
        <v>#DIV/0!</v>
      </c>
      <c r="N133" s="58"/>
      <c r="O133" s="58"/>
      <c r="P133" s="58"/>
      <c r="Q133" s="58"/>
      <c r="R133" s="56">
        <v>0</v>
      </c>
      <c r="S133" s="56">
        <v>0</v>
      </c>
      <c r="T133" s="40">
        <f t="shared" si="219"/>
        <v>0</v>
      </c>
      <c r="U133" s="36" t="e">
        <f t="shared" si="220"/>
        <v>#DIV/0!</v>
      </c>
      <c r="V133" s="44">
        <v>0</v>
      </c>
      <c r="W133" s="44">
        <v>0</v>
      </c>
      <c r="X133" s="8">
        <f t="shared" si="221"/>
        <v>0</v>
      </c>
      <c r="Y133" s="36" t="e">
        <f t="shared" si="222"/>
        <v>#DIV/0!</v>
      </c>
      <c r="Z133" s="58">
        <v>0</v>
      </c>
      <c r="AA133" s="95" t="e">
        <f t="shared" si="223"/>
        <v>#DIV/0!</v>
      </c>
      <c r="AB133" s="95" t="e">
        <f t="shared" si="224"/>
        <v>#DIV/0!</v>
      </c>
      <c r="AC133" s="36" t="e">
        <f t="shared" si="225"/>
        <v>#DIV/0!</v>
      </c>
      <c r="AD133" s="60" t="e">
        <f t="shared" si="226"/>
        <v>#DIV/0!</v>
      </c>
      <c r="AE133" s="80"/>
      <c r="AG133" t="s">
        <v>96</v>
      </c>
      <c r="AH133" s="42">
        <v>0</v>
      </c>
      <c r="AK133" s="7">
        <f>SUM(W134-W133)</f>
        <v>0</v>
      </c>
      <c r="AL133" s="94">
        <f>SUM(K134-K133)</f>
        <v>0</v>
      </c>
    </row>
    <row r="134" spans="1:38">
      <c r="A134" s="7"/>
      <c r="B134" s="71"/>
      <c r="C134" s="93" t="s">
        <v>97</v>
      </c>
      <c r="D134" s="56">
        <v>0</v>
      </c>
      <c r="E134" s="56">
        <v>0</v>
      </c>
      <c r="F134" s="40">
        <f t="shared" si="217"/>
        <v>0</v>
      </c>
      <c r="G134" s="36" t="e">
        <f t="shared" si="218"/>
        <v>#DIV/0!</v>
      </c>
      <c r="H134" s="40">
        <v>0</v>
      </c>
      <c r="I134" s="40">
        <v>0</v>
      </c>
      <c r="J134" s="56">
        <f>SUM(H134-R134)</f>
        <v>0</v>
      </c>
      <c r="K134" s="56">
        <f>SUM(I134-S134)</f>
        <v>0</v>
      </c>
      <c r="L134" s="40">
        <f t="shared" si="227"/>
        <v>0</v>
      </c>
      <c r="M134" s="36" t="e">
        <f t="shared" si="228"/>
        <v>#DIV/0!</v>
      </c>
      <c r="N134" s="58"/>
      <c r="O134" s="58"/>
      <c r="P134" s="58"/>
      <c r="Q134" s="58"/>
      <c r="R134" s="56">
        <v>0</v>
      </c>
      <c r="S134" s="56">
        <v>0</v>
      </c>
      <c r="T134" s="40">
        <f t="shared" si="219"/>
        <v>0</v>
      </c>
      <c r="U134" s="36" t="e">
        <f t="shared" si="220"/>
        <v>#DIV/0!</v>
      </c>
      <c r="V134" s="44">
        <v>0</v>
      </c>
      <c r="W134" s="44">
        <v>0</v>
      </c>
      <c r="X134" s="8">
        <f t="shared" si="221"/>
        <v>0</v>
      </c>
      <c r="Y134" s="36" t="e">
        <f t="shared" si="222"/>
        <v>#DIV/0!</v>
      </c>
      <c r="Z134" s="58">
        <v>0</v>
      </c>
      <c r="AA134" s="95" t="e">
        <f t="shared" si="223"/>
        <v>#DIV/0!</v>
      </c>
      <c r="AB134" s="95" t="e">
        <f t="shared" si="224"/>
        <v>#DIV/0!</v>
      </c>
      <c r="AC134" s="36" t="e">
        <f t="shared" si="225"/>
        <v>#DIV/0!</v>
      </c>
      <c r="AD134" s="60" t="e">
        <f t="shared" si="226"/>
        <v>#DIV/0!</v>
      </c>
      <c r="AE134" s="80"/>
      <c r="AK134" s="7">
        <f>SUM(W135-W134)</f>
        <v>0</v>
      </c>
      <c r="AL134" s="94">
        <f>SUM(K135-K134)</f>
        <v>0</v>
      </c>
    </row>
    <row r="135" spans="1:38">
      <c r="A135" s="7"/>
      <c r="B135" s="71"/>
      <c r="C135" s="93" t="s">
        <v>98</v>
      </c>
      <c r="D135" s="56">
        <v>0</v>
      </c>
      <c r="E135" s="56">
        <v>0</v>
      </c>
      <c r="F135" s="40">
        <f t="shared" si="217"/>
        <v>0</v>
      </c>
      <c r="G135" s="36" t="e">
        <f t="shared" si="218"/>
        <v>#DIV/0!</v>
      </c>
      <c r="H135" s="40">
        <v>0</v>
      </c>
      <c r="I135" s="40">
        <v>0</v>
      </c>
      <c r="J135" s="56">
        <f>SUM(H135-R135)</f>
        <v>0</v>
      </c>
      <c r="K135" s="56">
        <f>SUM(I135-S135)</f>
        <v>0</v>
      </c>
      <c r="L135" s="40">
        <f t="shared" si="227"/>
        <v>0</v>
      </c>
      <c r="M135" s="36" t="e">
        <f t="shared" si="228"/>
        <v>#DIV/0!</v>
      </c>
      <c r="N135" s="58"/>
      <c r="O135" s="58"/>
      <c r="P135" s="58"/>
      <c r="Q135" s="58"/>
      <c r="R135" s="56">
        <v>0</v>
      </c>
      <c r="S135" s="56">
        <v>0</v>
      </c>
      <c r="T135" s="40">
        <f t="shared" si="219"/>
        <v>0</v>
      </c>
      <c r="U135" s="36" t="e">
        <f t="shared" si="220"/>
        <v>#DIV/0!</v>
      </c>
      <c r="V135" s="44">
        <v>0</v>
      </c>
      <c r="W135" s="44">
        <v>0</v>
      </c>
      <c r="X135" s="8">
        <f t="shared" si="221"/>
        <v>0</v>
      </c>
      <c r="Y135" s="36" t="e">
        <f t="shared" si="222"/>
        <v>#DIV/0!</v>
      </c>
      <c r="Z135" s="58">
        <v>0</v>
      </c>
      <c r="AA135" s="95" t="e">
        <f t="shared" si="223"/>
        <v>#DIV/0!</v>
      </c>
      <c r="AB135" s="95" t="e">
        <f t="shared" si="224"/>
        <v>#DIV/0!</v>
      </c>
      <c r="AC135" s="36" t="e">
        <f t="shared" si="225"/>
        <v>#DIV/0!</v>
      </c>
      <c r="AD135" s="60" t="e">
        <f>SUM(D135-H135)/D135</f>
        <v>#DIV/0!</v>
      </c>
      <c r="AE135" s="80"/>
      <c r="AK135" s="9">
        <f>SUM(AK130,AK131,AK132,AK133,AK134)</f>
        <v>-180.75</v>
      </c>
      <c r="AL135" s="97">
        <f>SUM(AL130,AL131,AL132,AL133,AL134)</f>
        <v>-8004.4399999999987</v>
      </c>
    </row>
    <row r="136" spans="1:38" ht="9" customHeight="1">
      <c r="A136" s="274"/>
      <c r="B136" s="275"/>
      <c r="C136" s="275"/>
      <c r="D136" s="275"/>
      <c r="E136" s="275"/>
      <c r="F136" s="275"/>
      <c r="G136" s="275"/>
      <c r="H136" s="275"/>
      <c r="I136" s="275"/>
      <c r="J136" s="275"/>
      <c r="K136" s="275"/>
      <c r="L136" s="275"/>
      <c r="M136" s="275"/>
      <c r="N136" s="275"/>
      <c r="O136" s="275"/>
      <c r="P136" s="275"/>
      <c r="Q136" s="275"/>
      <c r="R136" s="275"/>
      <c r="S136" s="275"/>
      <c r="T136" s="275"/>
      <c r="U136" s="275"/>
      <c r="V136" s="275"/>
      <c r="W136" s="275"/>
      <c r="X136" s="275"/>
      <c r="Y136" s="275"/>
      <c r="Z136" s="275"/>
      <c r="AA136" s="275"/>
      <c r="AB136" s="275"/>
      <c r="AC136" s="275"/>
      <c r="AD136" s="276"/>
    </row>
    <row r="137" spans="1:38">
      <c r="A137" s="7">
        <f>'Main Sheet'!A42</f>
        <v>7864</v>
      </c>
      <c r="B137" s="71" t="str">
        <f>'Main Sheet'!B42</f>
        <v>Ryans House</v>
      </c>
      <c r="C137" s="93" t="s">
        <v>90</v>
      </c>
      <c r="D137" s="56">
        <v>0</v>
      </c>
      <c r="E137" s="56">
        <v>0</v>
      </c>
      <c r="F137" s="40">
        <f>D137-E137</f>
        <v>0</v>
      </c>
      <c r="G137" s="36" t="e">
        <f>F137/D137</f>
        <v>#DIV/0!</v>
      </c>
      <c r="H137" s="40">
        <v>0</v>
      </c>
      <c r="I137" s="40">
        <v>0</v>
      </c>
      <c r="J137" s="56">
        <f>SUM(H137-R137)</f>
        <v>0</v>
      </c>
      <c r="K137" s="56">
        <f>SUM(I137-S137)</f>
        <v>0</v>
      </c>
      <c r="L137" s="40">
        <f>J137-K137</f>
        <v>0</v>
      </c>
      <c r="M137" s="36" t="e">
        <f>L137/J137</f>
        <v>#DIV/0!</v>
      </c>
      <c r="N137" s="58">
        <v>0</v>
      </c>
      <c r="O137" s="58"/>
      <c r="P137" s="58"/>
      <c r="Q137" s="58"/>
      <c r="R137" s="56">
        <v>0</v>
      </c>
      <c r="S137" s="56">
        <v>0</v>
      </c>
      <c r="T137" s="40">
        <f>R137-S137</f>
        <v>0</v>
      </c>
      <c r="U137" s="36" t="e">
        <f>T137/R137</f>
        <v>#DIV/0!</v>
      </c>
      <c r="V137" s="44">
        <v>473</v>
      </c>
      <c r="W137" s="44">
        <v>0</v>
      </c>
      <c r="X137" s="8">
        <f>V137-W137</f>
        <v>473</v>
      </c>
      <c r="Y137" s="36">
        <f>X137/V137</f>
        <v>1</v>
      </c>
      <c r="Z137" s="58">
        <v>0</v>
      </c>
      <c r="AA137" s="95" t="e">
        <f>(E137-K137-S137)/W137</f>
        <v>#DIV/0!</v>
      </c>
      <c r="AB137" s="95">
        <f>(D137-J137-R137)/V137</f>
        <v>0</v>
      </c>
      <c r="AC137" s="36" t="e">
        <f>(E137-K137-S137)/E137</f>
        <v>#DIV/0!</v>
      </c>
      <c r="AD137" s="60" t="e">
        <f>SUM(D137-H137)/D137</f>
        <v>#DIV/0!</v>
      </c>
      <c r="AE137" s="80"/>
      <c r="AG137" t="s">
        <v>91</v>
      </c>
      <c r="AH137">
        <f>AK142</f>
        <v>0</v>
      </c>
      <c r="AK137" s="7">
        <f>SUM(W138-W137)</f>
        <v>0</v>
      </c>
      <c r="AL137" s="94">
        <f>SUM(K138-K137)</f>
        <v>0</v>
      </c>
    </row>
    <row r="138" spans="1:38">
      <c r="A138" s="7"/>
      <c r="B138" s="71"/>
      <c r="C138" s="93" t="s">
        <v>92</v>
      </c>
      <c r="D138" s="56">
        <v>0</v>
      </c>
      <c r="E138" s="56">
        <v>0</v>
      </c>
      <c r="F138" s="40">
        <f t="shared" ref="F138:F142" si="229">D138-E138</f>
        <v>0</v>
      </c>
      <c r="G138" s="36" t="e">
        <f t="shared" ref="G138:G142" si="230">F138/D138</f>
        <v>#DIV/0!</v>
      </c>
      <c r="H138" s="40">
        <v>0</v>
      </c>
      <c r="I138" s="40">
        <v>0</v>
      </c>
      <c r="J138" s="56">
        <f>SUM(H138-R138)</f>
        <v>0</v>
      </c>
      <c r="K138" s="56">
        <f>SUM(I138-S138)</f>
        <v>0</v>
      </c>
      <c r="L138" s="40">
        <f t="shared" ref="L138:L142" si="231">J138-K138</f>
        <v>0</v>
      </c>
      <c r="M138" s="36" t="e">
        <f t="shared" ref="M138:M142" si="232">L138/J138</f>
        <v>#DIV/0!</v>
      </c>
      <c r="N138" s="58"/>
      <c r="O138" s="58"/>
      <c r="P138" s="58"/>
      <c r="Q138" s="58"/>
      <c r="R138" s="56">
        <v>0</v>
      </c>
      <c r="S138" s="56">
        <v>0</v>
      </c>
      <c r="T138" s="40">
        <f t="shared" ref="T138:T142" si="233">R138-S138</f>
        <v>0</v>
      </c>
      <c r="U138" s="36" t="e">
        <f t="shared" ref="U138:U142" si="234">T138/R138</f>
        <v>#DIV/0!</v>
      </c>
      <c r="V138" s="44"/>
      <c r="W138" s="44">
        <v>0</v>
      </c>
      <c r="X138" s="8">
        <f t="shared" ref="X138:X142" si="235">V138-W138</f>
        <v>0</v>
      </c>
      <c r="Y138" s="36" t="e">
        <f t="shared" ref="Y138:Y142" si="236">X138/V138</f>
        <v>#DIV/0!</v>
      </c>
      <c r="Z138" s="58"/>
      <c r="AA138" s="95" t="e">
        <f t="shared" ref="AA138:AA142" si="237">(E138-K138-S138)/W138</f>
        <v>#DIV/0!</v>
      </c>
      <c r="AB138" s="95" t="e">
        <f t="shared" ref="AB138:AB142" si="238">(D138-J138-R138)/V138</f>
        <v>#DIV/0!</v>
      </c>
      <c r="AC138" s="36" t="e">
        <f t="shared" ref="AC138:AC142" si="239">(E138-K138-S138)/E138</f>
        <v>#DIV/0!</v>
      </c>
      <c r="AD138" s="60" t="e">
        <f t="shared" ref="AD138:AD141" si="240">SUM(D138-H138)/D138</f>
        <v>#DIV/0!</v>
      </c>
      <c r="AE138" s="80"/>
      <c r="AG138" t="s">
        <v>93</v>
      </c>
      <c r="AH138" s="42">
        <f>AL142</f>
        <v>0</v>
      </c>
      <c r="AK138" s="7">
        <f>SUM(W139-W138)</f>
        <v>0</v>
      </c>
      <c r="AL138" s="94">
        <f>SUM(K139-K138)</f>
        <v>0</v>
      </c>
    </row>
    <row r="139" spans="1:38">
      <c r="A139" s="7"/>
      <c r="B139" s="71"/>
      <c r="C139" s="93" t="s">
        <v>94</v>
      </c>
      <c r="D139" s="56">
        <v>0</v>
      </c>
      <c r="E139" s="56">
        <v>0</v>
      </c>
      <c r="F139" s="40">
        <f t="shared" si="229"/>
        <v>0</v>
      </c>
      <c r="G139" s="36" t="e">
        <f t="shared" si="230"/>
        <v>#DIV/0!</v>
      </c>
      <c r="H139" s="40">
        <v>0</v>
      </c>
      <c r="I139" s="40">
        <v>0</v>
      </c>
      <c r="J139" s="56">
        <f>SUM(H139-R139)</f>
        <v>0</v>
      </c>
      <c r="K139" s="56">
        <f>SUM(I139-S139)</f>
        <v>0</v>
      </c>
      <c r="L139" s="40">
        <f t="shared" si="231"/>
        <v>0</v>
      </c>
      <c r="M139" s="36" t="e">
        <f t="shared" si="232"/>
        <v>#DIV/0!</v>
      </c>
      <c r="N139" s="58"/>
      <c r="O139" s="58"/>
      <c r="P139" s="58"/>
      <c r="Q139" s="58"/>
      <c r="R139" s="56">
        <v>0</v>
      </c>
      <c r="S139" s="56">
        <v>0</v>
      </c>
      <c r="T139" s="40">
        <f t="shared" si="233"/>
        <v>0</v>
      </c>
      <c r="U139" s="36" t="e">
        <f t="shared" si="234"/>
        <v>#DIV/0!</v>
      </c>
      <c r="V139" s="44"/>
      <c r="W139" s="44">
        <v>0</v>
      </c>
      <c r="X139" s="8">
        <f t="shared" si="235"/>
        <v>0</v>
      </c>
      <c r="Y139" s="36" t="e">
        <f t="shared" si="236"/>
        <v>#DIV/0!</v>
      </c>
      <c r="Z139" s="58"/>
      <c r="AA139" s="95" t="e">
        <f t="shared" si="237"/>
        <v>#DIV/0!</v>
      </c>
      <c r="AB139" s="95" t="e">
        <f t="shared" si="238"/>
        <v>#DIV/0!</v>
      </c>
      <c r="AC139" s="36" t="e">
        <f t="shared" si="239"/>
        <v>#DIV/0!</v>
      </c>
      <c r="AD139" s="60" t="e">
        <f t="shared" si="240"/>
        <v>#DIV/0!</v>
      </c>
      <c r="AE139" s="80"/>
      <c r="AK139" s="7">
        <f>SUM(W140-W139)</f>
        <v>0</v>
      </c>
      <c r="AL139" s="94">
        <f>SUM(K140-K139)</f>
        <v>0</v>
      </c>
    </row>
    <row r="140" spans="1:38">
      <c r="A140" s="7"/>
      <c r="B140" s="71"/>
      <c r="C140" s="93" t="s">
        <v>95</v>
      </c>
      <c r="D140" s="56">
        <v>0</v>
      </c>
      <c r="E140" s="56">
        <v>0</v>
      </c>
      <c r="F140" s="40">
        <f t="shared" si="229"/>
        <v>0</v>
      </c>
      <c r="G140" s="36" t="e">
        <f t="shared" si="230"/>
        <v>#DIV/0!</v>
      </c>
      <c r="H140" s="40">
        <v>0</v>
      </c>
      <c r="I140" s="40">
        <v>0</v>
      </c>
      <c r="J140" s="56">
        <f>SUM(H140-R140)</f>
        <v>0</v>
      </c>
      <c r="K140" s="56">
        <f>SUM(I140-S140)</f>
        <v>0</v>
      </c>
      <c r="L140" s="40">
        <f t="shared" si="231"/>
        <v>0</v>
      </c>
      <c r="M140" s="36" t="e">
        <f t="shared" si="232"/>
        <v>#DIV/0!</v>
      </c>
      <c r="N140" s="58"/>
      <c r="O140" s="58"/>
      <c r="P140" s="58"/>
      <c r="Q140" s="58"/>
      <c r="R140" s="56">
        <v>0</v>
      </c>
      <c r="S140" s="56">
        <v>0</v>
      </c>
      <c r="T140" s="40">
        <f t="shared" si="233"/>
        <v>0</v>
      </c>
      <c r="U140" s="36" t="e">
        <f t="shared" si="234"/>
        <v>#DIV/0!</v>
      </c>
      <c r="V140" s="44"/>
      <c r="W140" s="44"/>
      <c r="X140" s="8">
        <f t="shared" si="235"/>
        <v>0</v>
      </c>
      <c r="Y140" s="36" t="e">
        <f t="shared" si="236"/>
        <v>#DIV/0!</v>
      </c>
      <c r="Z140" s="58"/>
      <c r="AA140" s="95" t="e">
        <f t="shared" si="237"/>
        <v>#DIV/0!</v>
      </c>
      <c r="AB140" s="95" t="e">
        <f t="shared" si="238"/>
        <v>#DIV/0!</v>
      </c>
      <c r="AC140" s="36" t="e">
        <f t="shared" si="239"/>
        <v>#DIV/0!</v>
      </c>
      <c r="AD140" s="60" t="e">
        <f t="shared" si="240"/>
        <v>#DIV/0!</v>
      </c>
      <c r="AE140" s="80"/>
      <c r="AG140" t="s">
        <v>96</v>
      </c>
      <c r="AH140" s="42">
        <v>0</v>
      </c>
      <c r="AK140" s="7">
        <f>SUM(W141-W140)</f>
        <v>0</v>
      </c>
      <c r="AL140" s="94">
        <f>SUM(K141-K140)</f>
        <v>0</v>
      </c>
    </row>
    <row r="141" spans="1:38">
      <c r="A141" s="7"/>
      <c r="B141" s="71"/>
      <c r="C141" s="93" t="s">
        <v>97</v>
      </c>
      <c r="D141" s="56">
        <v>0</v>
      </c>
      <c r="E141" s="56">
        <v>0</v>
      </c>
      <c r="F141" s="40">
        <f t="shared" si="229"/>
        <v>0</v>
      </c>
      <c r="G141" s="36" t="e">
        <f t="shared" si="230"/>
        <v>#DIV/0!</v>
      </c>
      <c r="H141" s="40">
        <v>0</v>
      </c>
      <c r="I141" s="40">
        <v>0</v>
      </c>
      <c r="J141" s="56">
        <f>SUM(H141-R141)</f>
        <v>0</v>
      </c>
      <c r="K141" s="56">
        <f>SUM(I141-S141)</f>
        <v>0</v>
      </c>
      <c r="L141" s="40">
        <f t="shared" si="231"/>
        <v>0</v>
      </c>
      <c r="M141" s="36" t="e">
        <f t="shared" si="232"/>
        <v>#DIV/0!</v>
      </c>
      <c r="N141" s="58"/>
      <c r="O141" s="58"/>
      <c r="P141" s="58"/>
      <c r="Q141" s="58"/>
      <c r="R141" s="56">
        <v>0</v>
      </c>
      <c r="S141" s="56">
        <v>0</v>
      </c>
      <c r="T141" s="40">
        <f t="shared" si="233"/>
        <v>0</v>
      </c>
      <c r="U141" s="36" t="e">
        <f t="shared" si="234"/>
        <v>#DIV/0!</v>
      </c>
      <c r="V141" s="44"/>
      <c r="W141" s="44"/>
      <c r="X141" s="8">
        <f t="shared" si="235"/>
        <v>0</v>
      </c>
      <c r="Y141" s="36" t="e">
        <f t="shared" si="236"/>
        <v>#DIV/0!</v>
      </c>
      <c r="Z141" s="58"/>
      <c r="AA141" s="95" t="e">
        <f t="shared" si="237"/>
        <v>#DIV/0!</v>
      </c>
      <c r="AB141" s="95" t="e">
        <f t="shared" si="238"/>
        <v>#DIV/0!</v>
      </c>
      <c r="AC141" s="36" t="e">
        <f t="shared" si="239"/>
        <v>#DIV/0!</v>
      </c>
      <c r="AD141" s="60" t="e">
        <f t="shared" si="240"/>
        <v>#DIV/0!</v>
      </c>
      <c r="AE141" s="80"/>
      <c r="AK141" s="7">
        <f>SUM(W142-W141)</f>
        <v>0</v>
      </c>
      <c r="AL141" s="94">
        <f>SUM(K142-K141)</f>
        <v>0</v>
      </c>
    </row>
    <row r="142" spans="1:38">
      <c r="A142" s="7"/>
      <c r="B142" s="71"/>
      <c r="C142" s="93" t="s">
        <v>98</v>
      </c>
      <c r="D142" s="56">
        <v>0</v>
      </c>
      <c r="E142" s="56">
        <v>0</v>
      </c>
      <c r="F142" s="40">
        <f t="shared" si="229"/>
        <v>0</v>
      </c>
      <c r="G142" s="36" t="e">
        <f t="shared" si="230"/>
        <v>#DIV/0!</v>
      </c>
      <c r="H142" s="40">
        <v>0</v>
      </c>
      <c r="I142" s="40">
        <v>0</v>
      </c>
      <c r="J142" s="56">
        <f>SUM(H142-R142)</f>
        <v>0</v>
      </c>
      <c r="K142" s="56">
        <f>SUM(I142-S142)</f>
        <v>0</v>
      </c>
      <c r="L142" s="40">
        <f t="shared" si="231"/>
        <v>0</v>
      </c>
      <c r="M142" s="36" t="e">
        <f t="shared" si="232"/>
        <v>#DIV/0!</v>
      </c>
      <c r="N142" s="58"/>
      <c r="O142" s="58"/>
      <c r="P142" s="58"/>
      <c r="Q142" s="58"/>
      <c r="R142" s="56">
        <v>0</v>
      </c>
      <c r="S142" s="56">
        <v>0</v>
      </c>
      <c r="T142" s="40">
        <f t="shared" si="233"/>
        <v>0</v>
      </c>
      <c r="U142" s="36" t="e">
        <f t="shared" si="234"/>
        <v>#DIV/0!</v>
      </c>
      <c r="V142" s="44"/>
      <c r="W142" s="44"/>
      <c r="X142" s="8">
        <f t="shared" si="235"/>
        <v>0</v>
      </c>
      <c r="Y142" s="36" t="e">
        <f t="shared" si="236"/>
        <v>#DIV/0!</v>
      </c>
      <c r="Z142" s="58"/>
      <c r="AA142" s="95" t="e">
        <f t="shared" si="237"/>
        <v>#DIV/0!</v>
      </c>
      <c r="AB142" s="95" t="e">
        <f t="shared" si="238"/>
        <v>#DIV/0!</v>
      </c>
      <c r="AC142" s="36" t="e">
        <f t="shared" si="239"/>
        <v>#DIV/0!</v>
      </c>
      <c r="AD142" s="60" t="e">
        <f>SUM(D142-H142)/D142</f>
        <v>#DIV/0!</v>
      </c>
      <c r="AE142" s="80"/>
      <c r="AK142" s="9">
        <f>SUM(AK137,AK138,AK139,AK140,AK141)</f>
        <v>0</v>
      </c>
      <c r="AL142" s="97">
        <f>SUM(AL137,AL138,AL139,AL140,AL141)</f>
        <v>0</v>
      </c>
    </row>
    <row r="143" spans="1:38" ht="9" customHeight="1">
      <c r="A143" s="274"/>
      <c r="B143" s="275"/>
      <c r="C143" s="275"/>
      <c r="D143" s="275"/>
      <c r="E143" s="275"/>
      <c r="F143" s="275"/>
      <c r="G143" s="275"/>
      <c r="H143" s="275"/>
      <c r="I143" s="275"/>
      <c r="J143" s="275"/>
      <c r="K143" s="275"/>
      <c r="L143" s="275"/>
      <c r="M143" s="275"/>
      <c r="N143" s="275"/>
      <c r="O143" s="275"/>
      <c r="P143" s="275"/>
      <c r="Q143" s="275"/>
      <c r="R143" s="275"/>
      <c r="S143" s="275"/>
      <c r="T143" s="275"/>
      <c r="U143" s="275"/>
      <c r="V143" s="275"/>
      <c r="W143" s="275"/>
      <c r="X143" s="275"/>
      <c r="Y143" s="275"/>
      <c r="Z143" s="275"/>
      <c r="AA143" s="275"/>
      <c r="AB143" s="275"/>
      <c r="AC143" s="275"/>
      <c r="AD143" s="276"/>
    </row>
    <row r="144" spans="1:38">
      <c r="A144" s="7">
        <f>'Main Sheet'!A44</f>
        <v>7912</v>
      </c>
      <c r="B144" s="71" t="str">
        <f>'Main Sheet'!B44</f>
        <v xml:space="preserve">71A Fendalton Road </v>
      </c>
      <c r="C144" s="93" t="s">
        <v>90</v>
      </c>
      <c r="D144" s="56">
        <v>23650.59</v>
      </c>
      <c r="E144" s="56">
        <v>0</v>
      </c>
      <c r="F144" s="40">
        <f>D144-E144</f>
        <v>23650.59</v>
      </c>
      <c r="G144" s="36">
        <f>F144/D144</f>
        <v>1</v>
      </c>
      <c r="H144" s="40">
        <v>15376.98</v>
      </c>
      <c r="I144" s="40">
        <v>1628.64</v>
      </c>
      <c r="J144" s="56">
        <f>SUM(H144-R144)</f>
        <v>8582.0999999999985</v>
      </c>
      <c r="K144" s="56">
        <f>SUM(I144-S144)</f>
        <v>53.060000000000173</v>
      </c>
      <c r="L144" s="40">
        <f>J144-K144</f>
        <v>8529.0399999999991</v>
      </c>
      <c r="M144" s="36">
        <f>L144/J144</f>
        <v>0.99381736404842647</v>
      </c>
      <c r="N144" s="58"/>
      <c r="O144" s="58"/>
      <c r="P144" s="58"/>
      <c r="Q144" s="58"/>
      <c r="R144" s="56">
        <v>6794.88</v>
      </c>
      <c r="S144" s="56">
        <v>1575.58</v>
      </c>
      <c r="T144" s="40">
        <f>R144-S144</f>
        <v>5219.3</v>
      </c>
      <c r="U144" s="36">
        <f>T144/R144</f>
        <v>0.76812246868230194</v>
      </c>
      <c r="V144" s="44">
        <v>135.9</v>
      </c>
      <c r="W144" s="44">
        <v>30.5</v>
      </c>
      <c r="X144" s="8">
        <f>V144-W144</f>
        <v>105.4</v>
      </c>
      <c r="Y144" s="36">
        <f>X144/V144</f>
        <v>0.77557027225901398</v>
      </c>
      <c r="Z144" s="58"/>
      <c r="AA144" s="95">
        <f>(E144-K144-S144)/W144</f>
        <v>-53.398032786885253</v>
      </c>
      <c r="AB144" s="95">
        <f>(D144-J144-R144)/V144</f>
        <v>60.880132450331125</v>
      </c>
      <c r="AC144" s="36" t="e">
        <f>(E144-K144-S144)/E144</f>
        <v>#DIV/0!</v>
      </c>
      <c r="AD144" s="60">
        <f>SUM(D144-H144)/D144</f>
        <v>0.34982679079042006</v>
      </c>
      <c r="AE144" s="80"/>
      <c r="AG144" t="s">
        <v>91</v>
      </c>
      <c r="AH144">
        <f>AK149</f>
        <v>73.75</v>
      </c>
      <c r="AK144" s="7">
        <f>SUM(W145-W144)</f>
        <v>32.25</v>
      </c>
      <c r="AL144" s="94">
        <f>SUM(K145-K144)</f>
        <v>377.72999999999979</v>
      </c>
    </row>
    <row r="145" spans="1:38">
      <c r="A145" s="7"/>
      <c r="B145" s="71"/>
      <c r="C145" s="93" t="s">
        <v>92</v>
      </c>
      <c r="D145" s="56">
        <v>23650.59</v>
      </c>
      <c r="E145" s="56">
        <v>5602.1</v>
      </c>
      <c r="F145" s="40">
        <f t="shared" ref="F145:F149" si="241">D145-E145</f>
        <v>18048.489999999998</v>
      </c>
      <c r="G145" s="36">
        <f t="shared" ref="G145:G149" si="242">F145/D145</f>
        <v>0.76313064494374128</v>
      </c>
      <c r="H145" s="40">
        <v>15376.98</v>
      </c>
      <c r="I145" s="40">
        <v>3604.74</v>
      </c>
      <c r="J145" s="56">
        <f>SUM(H145-R145)</f>
        <v>8582.0999999999985</v>
      </c>
      <c r="K145" s="56">
        <f>SUM(I145-S145)</f>
        <v>430.78999999999996</v>
      </c>
      <c r="L145" s="40">
        <f t="shared" ref="L145:L149" si="243">J145-K145</f>
        <v>8151.3099999999986</v>
      </c>
      <c r="M145" s="36">
        <f t="shared" ref="M145:M149" si="244">L145/J145</f>
        <v>0.94980366110858649</v>
      </c>
      <c r="N145" s="58"/>
      <c r="O145" s="58"/>
      <c r="P145" s="58"/>
      <c r="Q145" s="58"/>
      <c r="R145" s="56">
        <v>6794.88</v>
      </c>
      <c r="S145" s="56">
        <v>3173.95</v>
      </c>
      <c r="T145" s="40">
        <f t="shared" ref="T145:T149" si="245">R145-S145</f>
        <v>3620.9300000000003</v>
      </c>
      <c r="U145" s="36">
        <f t="shared" ref="U145:U149" si="246">T145/R145</f>
        <v>0.53289094141471227</v>
      </c>
      <c r="V145" s="44">
        <v>135.9</v>
      </c>
      <c r="W145" s="44">
        <v>62.75</v>
      </c>
      <c r="X145" s="8">
        <f t="shared" ref="X145:X149" si="247">V145-W145</f>
        <v>73.150000000000006</v>
      </c>
      <c r="Y145" s="36">
        <f t="shared" ref="Y145:Y149" si="248">X145/V145</f>
        <v>0.53826342899190582</v>
      </c>
      <c r="Z145" s="58"/>
      <c r="AA145" s="95">
        <f t="shared" ref="AA145:AA149" si="249">(E145-K145-S145)/W145</f>
        <v>31.830438247011962</v>
      </c>
      <c r="AB145" s="95">
        <f t="shared" ref="AB145:AB149" si="250">(D145-J145-R145)/V145</f>
        <v>60.880132450331125</v>
      </c>
      <c r="AC145" s="36">
        <f t="shared" ref="AC145:AC149" si="251">(E145-K145-S145)/E145</f>
        <v>0.35653772692383223</v>
      </c>
      <c r="AD145" s="60">
        <f t="shared" ref="AD145:AD148" si="252">SUM(D145-H145)/D145</f>
        <v>0.34982679079042006</v>
      </c>
      <c r="AE145" s="80"/>
      <c r="AG145" t="s">
        <v>93</v>
      </c>
      <c r="AH145" s="42">
        <f>AL149</f>
        <v>3637.4400000000005</v>
      </c>
      <c r="AK145" s="7">
        <f>SUM(W146-W145)</f>
        <v>32</v>
      </c>
      <c r="AL145" s="94">
        <f>SUM(K146-K145)</f>
        <v>1239.42</v>
      </c>
    </row>
    <row r="146" spans="1:38">
      <c r="A146" s="7"/>
      <c r="B146" s="71"/>
      <c r="C146" s="93" t="s">
        <v>94</v>
      </c>
      <c r="D146" s="56">
        <v>23650.59</v>
      </c>
      <c r="E146" s="56">
        <v>5602.1</v>
      </c>
      <c r="F146" s="40">
        <f t="shared" si="241"/>
        <v>18048.489999999998</v>
      </c>
      <c r="G146" s="36">
        <f t="shared" si="242"/>
        <v>0.76313064494374128</v>
      </c>
      <c r="H146" s="40">
        <v>15376.98</v>
      </c>
      <c r="I146" s="40">
        <v>6523.55</v>
      </c>
      <c r="J146" s="56">
        <f>SUM(H146-R146)</f>
        <v>8582.0999999999985</v>
      </c>
      <c r="K146" s="56">
        <f>SUM(I146-S146)</f>
        <v>1670.21</v>
      </c>
      <c r="L146" s="40">
        <f t="shared" si="243"/>
        <v>6911.8899999999985</v>
      </c>
      <c r="M146" s="36">
        <f t="shared" si="244"/>
        <v>0.80538446301021893</v>
      </c>
      <c r="N146" s="58"/>
      <c r="O146" s="58"/>
      <c r="P146" s="58"/>
      <c r="Q146" s="58"/>
      <c r="R146" s="56">
        <v>6794.88</v>
      </c>
      <c r="S146" s="56">
        <v>4853.34</v>
      </c>
      <c r="T146" s="40">
        <f t="shared" si="245"/>
        <v>1941.54</v>
      </c>
      <c r="U146" s="36">
        <f t="shared" si="246"/>
        <v>0.28573573043232553</v>
      </c>
      <c r="V146" s="44">
        <v>135.9</v>
      </c>
      <c r="W146" s="44">
        <v>94.75</v>
      </c>
      <c r="X146" s="8">
        <f t="shared" si="247"/>
        <v>41.150000000000006</v>
      </c>
      <c r="Y146" s="36">
        <f t="shared" si="248"/>
        <v>0.30279617365710082</v>
      </c>
      <c r="Z146" s="58"/>
      <c r="AA146" s="95">
        <f t="shared" si="249"/>
        <v>-9.7250659630606844</v>
      </c>
      <c r="AB146" s="95">
        <f t="shared" si="250"/>
        <v>60.880132450331125</v>
      </c>
      <c r="AC146" s="36">
        <f t="shared" si="251"/>
        <v>-0.16448296174648788</v>
      </c>
      <c r="AD146" s="60">
        <f t="shared" si="252"/>
        <v>0.34982679079042006</v>
      </c>
      <c r="AE146" s="80"/>
      <c r="AK146" s="7">
        <f>SUM(W147-W146)</f>
        <v>0.5</v>
      </c>
      <c r="AL146" s="94">
        <f>SUM(K147-K146)</f>
        <v>2020.29</v>
      </c>
    </row>
    <row r="147" spans="1:38">
      <c r="A147" s="7"/>
      <c r="B147" s="71"/>
      <c r="C147" s="93" t="s">
        <v>95</v>
      </c>
      <c r="D147" s="56">
        <v>23650.59</v>
      </c>
      <c r="E147" s="56">
        <v>5602.1</v>
      </c>
      <c r="F147" s="40">
        <f t="shared" si="241"/>
        <v>18048.489999999998</v>
      </c>
      <c r="G147" s="36">
        <f t="shared" si="242"/>
        <v>0.76313064494374128</v>
      </c>
      <c r="H147" s="40">
        <v>15376.98</v>
      </c>
      <c r="I147" s="40">
        <v>8543.84</v>
      </c>
      <c r="J147" s="56">
        <f>SUM(H147-R147)</f>
        <v>8582.0999999999985</v>
      </c>
      <c r="K147" s="56">
        <f>SUM(I147-S147)</f>
        <v>3690.5</v>
      </c>
      <c r="L147" s="40">
        <f t="shared" si="243"/>
        <v>4891.5999999999985</v>
      </c>
      <c r="M147" s="36">
        <f t="shared" si="244"/>
        <v>0.5699770452453361</v>
      </c>
      <c r="N147" s="58"/>
      <c r="O147" s="58"/>
      <c r="P147" s="58"/>
      <c r="Q147" s="58"/>
      <c r="R147" s="56">
        <v>6794.88</v>
      </c>
      <c r="S147" s="56">
        <v>4853.34</v>
      </c>
      <c r="T147" s="40">
        <f t="shared" si="245"/>
        <v>1941.54</v>
      </c>
      <c r="U147" s="36">
        <f t="shared" si="246"/>
        <v>0.28573573043232553</v>
      </c>
      <c r="V147" s="44">
        <v>135.9</v>
      </c>
      <c r="W147" s="44">
        <v>95.25</v>
      </c>
      <c r="X147" s="8">
        <f t="shared" si="247"/>
        <v>40.650000000000006</v>
      </c>
      <c r="Y147" s="36">
        <f t="shared" si="248"/>
        <v>0.29911699779249451</v>
      </c>
      <c r="Z147" s="58"/>
      <c r="AA147" s="95">
        <f t="shared" si="249"/>
        <v>-30.884409448818896</v>
      </c>
      <c r="AB147" s="95">
        <f t="shared" si="250"/>
        <v>60.880132450331125</v>
      </c>
      <c r="AC147" s="36">
        <f t="shared" si="251"/>
        <v>-0.52511379661198476</v>
      </c>
      <c r="AD147" s="60">
        <f t="shared" si="252"/>
        <v>0.34982679079042006</v>
      </c>
      <c r="AE147" s="80"/>
      <c r="AG147" t="s">
        <v>96</v>
      </c>
      <c r="AH147" s="42">
        <v>0</v>
      </c>
      <c r="AK147" s="7">
        <f>SUM(W148-W147)</f>
        <v>9</v>
      </c>
      <c r="AL147" s="94">
        <f>SUM(K148-K147)</f>
        <v>9.0949470177292824E-13</v>
      </c>
    </row>
    <row r="148" spans="1:38">
      <c r="A148" s="7"/>
      <c r="B148" s="71"/>
      <c r="C148" s="93" t="s">
        <v>97</v>
      </c>
      <c r="D148" s="56">
        <v>23650.59</v>
      </c>
      <c r="E148" s="56">
        <v>5602.1</v>
      </c>
      <c r="F148" s="40">
        <f t="shared" si="241"/>
        <v>18048.489999999998</v>
      </c>
      <c r="G148" s="36">
        <f t="shared" si="242"/>
        <v>0.76313064494374128</v>
      </c>
      <c r="H148" s="40">
        <v>15376.98</v>
      </c>
      <c r="I148" s="40">
        <v>9041.5400000000009</v>
      </c>
      <c r="J148" s="56">
        <f>SUM(H148-R148)</f>
        <v>8582.0999999999985</v>
      </c>
      <c r="K148" s="56">
        <f>SUM(I148-S148)</f>
        <v>3690.5000000000009</v>
      </c>
      <c r="L148" s="40">
        <f t="shared" si="243"/>
        <v>4891.5999999999976</v>
      </c>
      <c r="M148" s="36">
        <f t="shared" si="244"/>
        <v>0.56997704524533599</v>
      </c>
      <c r="N148" s="58"/>
      <c r="O148" s="58"/>
      <c r="P148" s="58"/>
      <c r="Q148" s="58"/>
      <c r="R148" s="56">
        <v>6794.88</v>
      </c>
      <c r="S148" s="56">
        <v>5351.04</v>
      </c>
      <c r="T148" s="40">
        <f t="shared" si="245"/>
        <v>1443.8400000000001</v>
      </c>
      <c r="U148" s="36">
        <f t="shared" si="246"/>
        <v>0.21248940378638034</v>
      </c>
      <c r="V148" s="44">
        <v>135.9</v>
      </c>
      <c r="W148" s="44">
        <v>104.25</v>
      </c>
      <c r="X148" s="8">
        <f t="shared" si="247"/>
        <v>31.650000000000006</v>
      </c>
      <c r="Y148" s="36">
        <f t="shared" si="248"/>
        <v>0.2328918322295806</v>
      </c>
      <c r="Z148" s="58"/>
      <c r="AA148" s="95">
        <f t="shared" si="249"/>
        <v>-32.992230215827341</v>
      </c>
      <c r="AB148" s="95">
        <f t="shared" si="250"/>
        <v>60.880132450331125</v>
      </c>
      <c r="AC148" s="36">
        <f t="shared" si="251"/>
        <v>-0.61395548098034669</v>
      </c>
      <c r="AD148" s="60">
        <f t="shared" si="252"/>
        <v>0.34982679079042006</v>
      </c>
      <c r="AE148" s="80"/>
      <c r="AK148" s="7">
        <f>SUM(W149-W148)</f>
        <v>0</v>
      </c>
      <c r="AL148" s="94">
        <f>SUM(K149-K148)</f>
        <v>0</v>
      </c>
    </row>
    <row r="149" spans="1:38">
      <c r="A149" s="7"/>
      <c r="B149" s="71"/>
      <c r="C149" s="93" t="s">
        <v>98</v>
      </c>
      <c r="D149" s="56">
        <v>23650.59</v>
      </c>
      <c r="E149" s="56">
        <v>5602.1</v>
      </c>
      <c r="F149" s="40">
        <f t="shared" si="241"/>
        <v>18048.489999999998</v>
      </c>
      <c r="G149" s="36">
        <f t="shared" si="242"/>
        <v>0.76313064494374128</v>
      </c>
      <c r="H149" s="40">
        <v>15376.98</v>
      </c>
      <c r="I149" s="40">
        <v>9041.5400000000009</v>
      </c>
      <c r="J149" s="56">
        <f>SUM(H149-R149)</f>
        <v>8582.0999999999985</v>
      </c>
      <c r="K149" s="56">
        <f>SUM(I149-S149)</f>
        <v>3690.5000000000009</v>
      </c>
      <c r="L149" s="40">
        <f t="shared" si="243"/>
        <v>4891.5999999999976</v>
      </c>
      <c r="M149" s="36">
        <f t="shared" si="244"/>
        <v>0.56997704524533599</v>
      </c>
      <c r="N149" s="58"/>
      <c r="O149" s="58"/>
      <c r="P149" s="58"/>
      <c r="Q149" s="58"/>
      <c r="R149" s="56">
        <v>6794.88</v>
      </c>
      <c r="S149" s="56">
        <v>5351.04</v>
      </c>
      <c r="T149" s="40">
        <f t="shared" si="245"/>
        <v>1443.8400000000001</v>
      </c>
      <c r="U149" s="36">
        <f t="shared" si="246"/>
        <v>0.21248940378638034</v>
      </c>
      <c r="V149" s="44">
        <v>135.9</v>
      </c>
      <c r="W149" s="44">
        <v>104.25</v>
      </c>
      <c r="X149" s="8">
        <f t="shared" si="247"/>
        <v>31.650000000000006</v>
      </c>
      <c r="Y149" s="36">
        <f t="shared" si="248"/>
        <v>0.2328918322295806</v>
      </c>
      <c r="Z149" s="58"/>
      <c r="AA149" s="95">
        <f t="shared" si="249"/>
        <v>-32.992230215827341</v>
      </c>
      <c r="AB149" s="95">
        <f t="shared" si="250"/>
        <v>60.880132450331125</v>
      </c>
      <c r="AC149" s="36">
        <f t="shared" si="251"/>
        <v>-0.61395548098034669</v>
      </c>
      <c r="AD149" s="60">
        <f>SUM(D149-H149)/D149</f>
        <v>0.34982679079042006</v>
      </c>
      <c r="AE149" s="80"/>
      <c r="AK149" s="9">
        <f>SUM(AK144,AK145,AK146,AK147,AK148)</f>
        <v>73.75</v>
      </c>
      <c r="AL149" s="97">
        <f>SUM(AL144,AL145,AL146,AL147,AL148)</f>
        <v>3637.4400000000005</v>
      </c>
    </row>
    <row r="150" spans="1:38" ht="9" customHeight="1">
      <c r="A150" s="274"/>
      <c r="B150" s="275"/>
      <c r="C150" s="275"/>
      <c r="D150" s="275"/>
      <c r="E150" s="275"/>
      <c r="F150" s="275"/>
      <c r="G150" s="275"/>
      <c r="H150" s="275"/>
      <c r="I150" s="275"/>
      <c r="J150" s="275"/>
      <c r="K150" s="275"/>
      <c r="L150" s="275"/>
      <c r="M150" s="275"/>
      <c r="N150" s="275"/>
      <c r="O150" s="275"/>
      <c r="P150" s="275"/>
      <c r="Q150" s="275"/>
      <c r="R150" s="275"/>
      <c r="S150" s="275"/>
      <c r="T150" s="275"/>
      <c r="U150" s="275"/>
      <c r="V150" s="275"/>
      <c r="W150" s="275"/>
      <c r="X150" s="275"/>
      <c r="Y150" s="275"/>
      <c r="Z150" s="275"/>
      <c r="AA150" s="275"/>
      <c r="AB150" s="275"/>
      <c r="AC150" s="275"/>
      <c r="AD150" s="276"/>
    </row>
    <row r="151" spans="1:38">
      <c r="A151" s="7">
        <f>'Main Sheet'!A46</f>
        <v>8360</v>
      </c>
      <c r="B151" s="71" t="str">
        <f>'Main Sheet'!B46</f>
        <v>Dixon House</v>
      </c>
      <c r="C151" s="93" t="s">
        <v>90</v>
      </c>
      <c r="D151" s="56">
        <v>29188.19</v>
      </c>
      <c r="E151" s="56">
        <v>38245.410000000003</v>
      </c>
      <c r="F151" s="40">
        <f>D151-E151</f>
        <v>-9057.2200000000048</v>
      </c>
      <c r="G151" s="36">
        <f>F151/D151</f>
        <v>-0.31030427032303154</v>
      </c>
      <c r="H151" s="40">
        <v>17590</v>
      </c>
      <c r="I151" s="40">
        <v>36039.07</v>
      </c>
      <c r="J151" s="56">
        <f>SUM(H151-R151)</f>
        <v>9253.76</v>
      </c>
      <c r="K151" s="56">
        <f>SUM(I151-S151)</f>
        <v>35607.58</v>
      </c>
      <c r="L151" s="40">
        <f>J151-K151</f>
        <v>-26353.82</v>
      </c>
      <c r="M151" s="36">
        <f>L151/J151</f>
        <v>-2.8479039871360396</v>
      </c>
      <c r="N151" s="58"/>
      <c r="O151" s="58"/>
      <c r="P151" s="58"/>
      <c r="Q151" s="58"/>
      <c r="R151" s="56">
        <v>8336.24</v>
      </c>
      <c r="S151" s="56">
        <v>431.49</v>
      </c>
      <c r="T151" s="40">
        <f>R151-S151</f>
        <v>7904.75</v>
      </c>
      <c r="U151" s="36">
        <f>T151/R151</f>
        <v>0.94823925414815313</v>
      </c>
      <c r="V151" s="44">
        <v>166.98</v>
      </c>
      <c r="W151" s="44">
        <v>9.75</v>
      </c>
      <c r="X151" s="8">
        <f>V151-W151</f>
        <v>157.22999999999999</v>
      </c>
      <c r="Y151" s="36">
        <f>X151/V151</f>
        <v>0.94160977362558385</v>
      </c>
      <c r="Z151" s="58"/>
      <c r="AA151" s="95">
        <f>(E151-K151-S151)/W151</f>
        <v>226.29128205128225</v>
      </c>
      <c r="AB151" s="95">
        <f>(D151-J151-R151)/V151</f>
        <v>69.458557911127087</v>
      </c>
      <c r="AC151" s="36">
        <f>(E151-K151-S151)/E151</f>
        <v>5.7689014184970216E-2</v>
      </c>
      <c r="AD151" s="60">
        <f>SUM(D151-H151)/D151</f>
        <v>0.39735900033540961</v>
      </c>
      <c r="AE151" s="80"/>
      <c r="AG151" t="s">
        <v>91</v>
      </c>
      <c r="AH151">
        <f>AK156</f>
        <v>-9.75</v>
      </c>
      <c r="AK151" s="7">
        <f>SUM(W152-W151)</f>
        <v>0</v>
      </c>
      <c r="AL151" s="94">
        <f>SUM(K152-K151)</f>
        <v>0</v>
      </c>
    </row>
    <row r="152" spans="1:38">
      <c r="A152" s="7"/>
      <c r="B152" s="71"/>
      <c r="C152" s="93" t="s">
        <v>92</v>
      </c>
      <c r="D152" s="56">
        <v>29188.19</v>
      </c>
      <c r="E152" s="56">
        <v>38245.410000000003</v>
      </c>
      <c r="F152" s="40">
        <f t="shared" ref="F152:F156" si="253">D152-E152</f>
        <v>-9057.2200000000048</v>
      </c>
      <c r="G152" s="36">
        <f t="shared" ref="G152:G156" si="254">F152/D152</f>
        <v>-0.31030427032303154</v>
      </c>
      <c r="H152" s="40">
        <v>17590</v>
      </c>
      <c r="I152" s="40">
        <v>36039.07</v>
      </c>
      <c r="J152" s="56">
        <f>SUM(H152-R152)</f>
        <v>9253.76</v>
      </c>
      <c r="K152" s="56">
        <f>SUM(I152-S152)</f>
        <v>35607.58</v>
      </c>
      <c r="L152" s="40">
        <f t="shared" ref="L152:L156" si="255">J152-K152</f>
        <v>-26353.82</v>
      </c>
      <c r="M152" s="36">
        <f t="shared" ref="M152:M156" si="256">L152/J152</f>
        <v>-2.8479039871360396</v>
      </c>
      <c r="N152" s="58"/>
      <c r="O152" s="58"/>
      <c r="P152" s="58"/>
      <c r="Q152" s="58"/>
      <c r="R152" s="56">
        <v>8336.24</v>
      </c>
      <c r="S152" s="56">
        <v>431.49</v>
      </c>
      <c r="T152" s="40">
        <f t="shared" ref="T152:T156" si="257">R152-S152</f>
        <v>7904.75</v>
      </c>
      <c r="U152" s="36">
        <f t="shared" ref="U152:U156" si="258">T152/R152</f>
        <v>0.94823925414815313</v>
      </c>
      <c r="V152" s="44">
        <v>166.98</v>
      </c>
      <c r="W152" s="44">
        <v>9.75</v>
      </c>
      <c r="X152" s="8">
        <f t="shared" ref="X152:X156" si="259">V152-W152</f>
        <v>157.22999999999999</v>
      </c>
      <c r="Y152" s="36">
        <f t="shared" ref="Y152:Y156" si="260">X152/V152</f>
        <v>0.94160977362558385</v>
      </c>
      <c r="Z152" s="58"/>
      <c r="AA152" s="95">
        <f t="shared" ref="AA152:AA156" si="261">(E152-K152-S152)/W152</f>
        <v>226.29128205128225</v>
      </c>
      <c r="AB152" s="95">
        <f t="shared" ref="AB152:AB156" si="262">(D152-J152-R152)/V152</f>
        <v>69.458557911127087</v>
      </c>
      <c r="AC152" s="36">
        <f t="shared" ref="AC152:AC156" si="263">(E152-K152-S152)/E152</f>
        <v>5.7689014184970216E-2</v>
      </c>
      <c r="AD152" s="60">
        <f t="shared" ref="AD152:AD155" si="264">SUM(D152-H152)/D152</f>
        <v>0.39735900033540961</v>
      </c>
      <c r="AE152" s="80"/>
      <c r="AG152" t="s">
        <v>93</v>
      </c>
      <c r="AH152" s="42">
        <f>AL156</f>
        <v>-35607.58</v>
      </c>
      <c r="AK152" s="7">
        <f>SUM(W153-W152)</f>
        <v>4.5</v>
      </c>
      <c r="AL152" s="94">
        <f>SUM(K153-K152)</f>
        <v>-197.56000000000495</v>
      </c>
    </row>
    <row r="153" spans="1:38">
      <c r="A153" s="7"/>
      <c r="B153" s="71"/>
      <c r="C153" s="93" t="s">
        <v>94</v>
      </c>
      <c r="D153" s="56">
        <v>29188.19</v>
      </c>
      <c r="E153" s="56">
        <v>38245.410000000003</v>
      </c>
      <c r="F153" s="40">
        <f t="shared" si="253"/>
        <v>-9057.2200000000048</v>
      </c>
      <c r="G153" s="36">
        <f t="shared" si="254"/>
        <v>-0.31030427032303154</v>
      </c>
      <c r="H153" s="40">
        <v>17590</v>
      </c>
      <c r="I153" s="40">
        <v>36039.07</v>
      </c>
      <c r="J153" s="56">
        <f>SUM(H153-R153)</f>
        <v>9253.76</v>
      </c>
      <c r="K153" s="56">
        <f>SUM(I153-S153)</f>
        <v>35410.019999999997</v>
      </c>
      <c r="L153" s="40">
        <f t="shared" si="255"/>
        <v>-26156.259999999995</v>
      </c>
      <c r="M153" s="36">
        <f t="shared" si="256"/>
        <v>-2.8265548274431143</v>
      </c>
      <c r="N153" s="58"/>
      <c r="O153" s="58"/>
      <c r="P153" s="58"/>
      <c r="Q153" s="58"/>
      <c r="R153" s="56">
        <v>8336.24</v>
      </c>
      <c r="S153" s="56">
        <v>629.04999999999995</v>
      </c>
      <c r="T153" s="40">
        <f t="shared" si="257"/>
        <v>7707.19</v>
      </c>
      <c r="U153" s="36">
        <f t="shared" si="258"/>
        <v>0.92454032033626665</v>
      </c>
      <c r="V153" s="44">
        <v>166.98</v>
      </c>
      <c r="W153" s="44">
        <v>14.25</v>
      </c>
      <c r="X153" s="8">
        <f t="shared" si="259"/>
        <v>152.72999999999999</v>
      </c>
      <c r="Y153" s="36">
        <f t="shared" si="260"/>
        <v>0.91466043837585342</v>
      </c>
      <c r="Z153" s="58"/>
      <c r="AA153" s="95">
        <f t="shared" si="261"/>
        <v>154.83087719298291</v>
      </c>
      <c r="AB153" s="95">
        <f t="shared" si="262"/>
        <v>69.458557911127087</v>
      </c>
      <c r="AC153" s="36">
        <f t="shared" si="263"/>
        <v>5.7689014184970334E-2</v>
      </c>
      <c r="AD153" s="60">
        <f t="shared" si="264"/>
        <v>0.39735900033540961</v>
      </c>
      <c r="AE153" s="80"/>
      <c r="AK153" s="7">
        <f>SUM(W154-W153)</f>
        <v>7.25</v>
      </c>
      <c r="AL153" s="94">
        <f>SUM(K154-K153)</f>
        <v>646.81000000000495</v>
      </c>
    </row>
    <row r="154" spans="1:38">
      <c r="A154" s="7"/>
      <c r="B154" s="71"/>
      <c r="C154" s="93" t="s">
        <v>95</v>
      </c>
      <c r="D154" s="56">
        <v>29188.19</v>
      </c>
      <c r="E154" s="56">
        <v>38245.410000000003</v>
      </c>
      <c r="F154" s="40">
        <f t="shared" si="253"/>
        <v>-9057.2200000000048</v>
      </c>
      <c r="G154" s="36">
        <f t="shared" si="254"/>
        <v>-0.31030427032303154</v>
      </c>
      <c r="H154" s="40">
        <v>17590</v>
      </c>
      <c r="I154" s="40">
        <v>37012.71</v>
      </c>
      <c r="J154" s="56">
        <f>SUM(H154-R154)</f>
        <v>9253.76</v>
      </c>
      <c r="K154" s="56">
        <f>SUM(I154-S154)</f>
        <v>36056.83</v>
      </c>
      <c r="L154" s="40">
        <f t="shared" si="255"/>
        <v>-26803.07</v>
      </c>
      <c r="M154" s="36">
        <f t="shared" si="256"/>
        <v>-2.8964518206653294</v>
      </c>
      <c r="N154" s="58"/>
      <c r="O154" s="58"/>
      <c r="P154" s="58"/>
      <c r="Q154" s="58"/>
      <c r="R154" s="56">
        <v>8336.24</v>
      </c>
      <c r="S154" s="56">
        <v>955.88</v>
      </c>
      <c r="T154" s="40">
        <f t="shared" si="257"/>
        <v>7380.36</v>
      </c>
      <c r="U154" s="36">
        <f t="shared" si="258"/>
        <v>0.88533439536289738</v>
      </c>
      <c r="V154" s="44">
        <v>166.98</v>
      </c>
      <c r="W154" s="44">
        <v>21.5</v>
      </c>
      <c r="X154" s="8">
        <f t="shared" si="259"/>
        <v>145.47999999999999</v>
      </c>
      <c r="Y154" s="36">
        <f t="shared" si="260"/>
        <v>0.8712420649179542</v>
      </c>
      <c r="Z154" s="58"/>
      <c r="AA154" s="95">
        <f t="shared" si="261"/>
        <v>57.334883720930307</v>
      </c>
      <c r="AB154" s="95">
        <f t="shared" si="262"/>
        <v>69.458557911127087</v>
      </c>
      <c r="AC154" s="36">
        <f t="shared" si="263"/>
        <v>3.2231318738640831E-2</v>
      </c>
      <c r="AD154" s="60">
        <f t="shared" si="264"/>
        <v>0.39735900033540961</v>
      </c>
      <c r="AE154" s="80"/>
      <c r="AG154" t="s">
        <v>96</v>
      </c>
      <c r="AH154" s="42">
        <v>0</v>
      </c>
      <c r="AK154" s="7">
        <f>SUM(W155-W154)</f>
        <v>-21.5</v>
      </c>
      <c r="AL154" s="94">
        <f>SUM(K155-K154)</f>
        <v>-36056.83</v>
      </c>
    </row>
    <row r="155" spans="1:38">
      <c r="A155" s="7"/>
      <c r="B155" s="71"/>
      <c r="C155" s="93" t="s">
        <v>97</v>
      </c>
      <c r="D155" s="56"/>
      <c r="E155" s="56"/>
      <c r="F155" s="40">
        <f t="shared" si="253"/>
        <v>0</v>
      </c>
      <c r="G155" s="36" t="e">
        <f t="shared" si="254"/>
        <v>#DIV/0!</v>
      </c>
      <c r="H155" s="40"/>
      <c r="I155" s="40"/>
      <c r="J155" s="56">
        <f>SUM(H155-R155)</f>
        <v>0</v>
      </c>
      <c r="K155" s="56">
        <f>SUM(I155-S155)</f>
        <v>0</v>
      </c>
      <c r="L155" s="40">
        <f t="shared" si="255"/>
        <v>0</v>
      </c>
      <c r="M155" s="36" t="e">
        <f t="shared" si="256"/>
        <v>#DIV/0!</v>
      </c>
      <c r="N155" s="58"/>
      <c r="O155" s="58"/>
      <c r="P155" s="58"/>
      <c r="Q155" s="58"/>
      <c r="R155" s="56"/>
      <c r="S155" s="56"/>
      <c r="T155" s="40">
        <f t="shared" si="257"/>
        <v>0</v>
      </c>
      <c r="U155" s="36" t="e">
        <f t="shared" si="258"/>
        <v>#DIV/0!</v>
      </c>
      <c r="V155" s="44"/>
      <c r="W155" s="44"/>
      <c r="X155" s="8">
        <f t="shared" si="259"/>
        <v>0</v>
      </c>
      <c r="Y155" s="36" t="e">
        <f t="shared" si="260"/>
        <v>#DIV/0!</v>
      </c>
      <c r="Z155" s="58"/>
      <c r="AA155" s="95" t="e">
        <f t="shared" si="261"/>
        <v>#DIV/0!</v>
      </c>
      <c r="AB155" s="95" t="e">
        <f t="shared" si="262"/>
        <v>#DIV/0!</v>
      </c>
      <c r="AC155" s="36" t="e">
        <f t="shared" si="263"/>
        <v>#DIV/0!</v>
      </c>
      <c r="AD155" s="60" t="e">
        <f t="shared" si="264"/>
        <v>#DIV/0!</v>
      </c>
      <c r="AE155" s="80"/>
      <c r="AK155" s="7">
        <f>SUM(W156-W155)</f>
        <v>0</v>
      </c>
      <c r="AL155" s="94">
        <f>SUM(K156-K155)</f>
        <v>0</v>
      </c>
    </row>
    <row r="156" spans="1:38">
      <c r="A156" s="9"/>
      <c r="B156" s="72"/>
      <c r="C156" s="98" t="s">
        <v>98</v>
      </c>
      <c r="D156" s="56"/>
      <c r="E156" s="56"/>
      <c r="F156" s="40">
        <f t="shared" si="253"/>
        <v>0</v>
      </c>
      <c r="G156" s="36" t="e">
        <f t="shared" si="254"/>
        <v>#DIV/0!</v>
      </c>
      <c r="H156" s="40"/>
      <c r="I156" s="40"/>
      <c r="J156" s="56">
        <f>SUM(H156-R156)</f>
        <v>0</v>
      </c>
      <c r="K156" s="56">
        <f>SUM(I156-S156)</f>
        <v>0</v>
      </c>
      <c r="L156" s="40">
        <f t="shared" si="255"/>
        <v>0</v>
      </c>
      <c r="M156" s="36" t="e">
        <f t="shared" si="256"/>
        <v>#DIV/0!</v>
      </c>
      <c r="N156" s="58"/>
      <c r="O156" s="58"/>
      <c r="P156" s="58"/>
      <c r="Q156" s="58"/>
      <c r="R156" s="56"/>
      <c r="S156" s="56"/>
      <c r="T156" s="40">
        <f t="shared" si="257"/>
        <v>0</v>
      </c>
      <c r="U156" s="36" t="e">
        <f t="shared" si="258"/>
        <v>#DIV/0!</v>
      </c>
      <c r="V156" s="44"/>
      <c r="W156" s="44"/>
      <c r="X156" s="8">
        <f t="shared" si="259"/>
        <v>0</v>
      </c>
      <c r="Y156" s="36" t="e">
        <f t="shared" si="260"/>
        <v>#DIV/0!</v>
      </c>
      <c r="Z156" s="58"/>
      <c r="AA156" s="95" t="e">
        <f t="shared" si="261"/>
        <v>#DIV/0!</v>
      </c>
      <c r="AB156" s="95" t="e">
        <f t="shared" si="262"/>
        <v>#DIV/0!</v>
      </c>
      <c r="AC156" s="36" t="e">
        <f t="shared" si="263"/>
        <v>#DIV/0!</v>
      </c>
      <c r="AD156" s="60" t="e">
        <f>SUM(D156-H156)/D156</f>
        <v>#DIV/0!</v>
      </c>
      <c r="AE156" s="80"/>
      <c r="AK156" s="9">
        <f>SUM(AK151,AK152,AK153,AK154,AK155)</f>
        <v>-9.75</v>
      </c>
      <c r="AL156" s="97">
        <f>SUM(AL151,AL152,AL153,AL154,AL155)</f>
        <v>-35607.58</v>
      </c>
    </row>
    <row r="157" spans="1:38" ht="26.25" customHeight="1">
      <c r="A157" s="274"/>
      <c r="B157" s="275"/>
      <c r="C157" s="275"/>
      <c r="D157" s="275"/>
      <c r="E157" s="275"/>
      <c r="F157" s="275"/>
      <c r="G157" s="275"/>
      <c r="H157" s="275"/>
      <c r="I157" s="275"/>
      <c r="J157" s="275"/>
      <c r="K157" s="275"/>
      <c r="L157" s="275"/>
      <c r="M157" s="275"/>
      <c r="N157" s="275"/>
      <c r="O157" s="275"/>
      <c r="P157" s="275"/>
      <c r="Q157" s="275"/>
      <c r="R157" s="275"/>
      <c r="S157" s="275"/>
      <c r="T157" s="275"/>
      <c r="U157" s="275"/>
      <c r="V157" s="275"/>
      <c r="W157" s="275"/>
      <c r="X157" s="275"/>
      <c r="Y157" s="275"/>
      <c r="Z157" s="275"/>
      <c r="AA157" s="275"/>
      <c r="AB157" s="275"/>
      <c r="AC157" s="275"/>
      <c r="AD157" s="276"/>
    </row>
    <row r="158" spans="1:38">
      <c r="A158" s="7">
        <f>'Main Sheet'!A48</f>
        <v>8337</v>
      </c>
      <c r="B158" s="71" t="str">
        <f>'Main Sheet'!B48</f>
        <v xml:space="preserve">Waimak Dairys </v>
      </c>
      <c r="C158" s="93" t="s">
        <v>90</v>
      </c>
      <c r="D158" s="56">
        <v>15025.89</v>
      </c>
      <c r="E158" s="56">
        <v>0</v>
      </c>
      <c r="F158" s="40">
        <f>D158-E158</f>
        <v>15025.89</v>
      </c>
      <c r="G158" s="36">
        <f>F158/D158</f>
        <v>1</v>
      </c>
      <c r="H158" s="40">
        <v>10929.18</v>
      </c>
      <c r="I158" s="40">
        <v>0</v>
      </c>
      <c r="J158" s="56">
        <v>0</v>
      </c>
      <c r="K158" s="56">
        <v>0</v>
      </c>
      <c r="L158" s="40">
        <f>J158-K158</f>
        <v>0</v>
      </c>
      <c r="M158" s="36" t="e">
        <f>L158/J158</f>
        <v>#DIV/0!</v>
      </c>
      <c r="N158" s="58"/>
      <c r="O158" s="58"/>
      <c r="P158" s="58"/>
      <c r="Q158" s="58"/>
      <c r="R158" s="56">
        <v>5126.09</v>
      </c>
      <c r="S158" s="56">
        <v>0</v>
      </c>
      <c r="T158" s="40">
        <f>R158-S158</f>
        <v>5126.09</v>
      </c>
      <c r="U158" s="36">
        <f>T158/R158</f>
        <v>1</v>
      </c>
      <c r="V158" s="44">
        <v>102.81</v>
      </c>
      <c r="W158" s="44">
        <v>0</v>
      </c>
      <c r="X158" s="8">
        <f>V158-W158</f>
        <v>102.81</v>
      </c>
      <c r="Y158" s="36">
        <f>X158/V158</f>
        <v>1</v>
      </c>
      <c r="Z158" s="58"/>
      <c r="AA158" s="95" t="e">
        <f>(E158-K158-S158)/W158</f>
        <v>#DIV/0!</v>
      </c>
      <c r="AB158" s="95">
        <f>(D158-J158-R158)/V158</f>
        <v>96.292189475731917</v>
      </c>
      <c r="AC158" s="36" t="e">
        <f>(E158-K158-S158)/E158</f>
        <v>#DIV/0!</v>
      </c>
      <c r="AD158" s="60">
        <f>SUM(D158-H158)/D158</f>
        <v>0.27264341746146148</v>
      </c>
      <c r="AE158" s="80"/>
      <c r="AG158" t="s">
        <v>91</v>
      </c>
      <c r="AH158">
        <f>AK163</f>
        <v>0</v>
      </c>
      <c r="AK158" s="7">
        <f>SUM(W159-W158)</f>
        <v>0</v>
      </c>
      <c r="AL158" s="94">
        <f>SUM(K159-K158)</f>
        <v>0</v>
      </c>
    </row>
    <row r="159" spans="1:38">
      <c r="A159" s="7"/>
      <c r="B159" s="71"/>
      <c r="C159" s="93" t="s">
        <v>92</v>
      </c>
      <c r="D159" s="56">
        <v>0</v>
      </c>
      <c r="E159" s="56">
        <v>0</v>
      </c>
      <c r="F159" s="40">
        <v>0</v>
      </c>
      <c r="G159" s="36" t="e">
        <f t="shared" ref="G159:G163" si="265">F159/D159</f>
        <v>#DIV/0!</v>
      </c>
      <c r="H159" s="40">
        <v>0</v>
      </c>
      <c r="I159" s="40">
        <v>0</v>
      </c>
      <c r="J159" s="56">
        <v>0</v>
      </c>
      <c r="K159" s="56">
        <v>0</v>
      </c>
      <c r="L159" s="40">
        <f t="shared" ref="L159:L163" si="266">J159-K159</f>
        <v>0</v>
      </c>
      <c r="M159" s="36" t="e">
        <f t="shared" ref="M159:M163" si="267">L159/J159</f>
        <v>#DIV/0!</v>
      </c>
      <c r="N159" s="58"/>
      <c r="O159" s="58"/>
      <c r="P159" s="58"/>
      <c r="Q159" s="58"/>
      <c r="R159" s="56">
        <v>0</v>
      </c>
      <c r="S159" s="56">
        <v>0</v>
      </c>
      <c r="T159" s="40">
        <f t="shared" ref="T159:T163" si="268">R159-S159</f>
        <v>0</v>
      </c>
      <c r="U159" s="36" t="e">
        <f t="shared" ref="U159:U163" si="269">T159/R159</f>
        <v>#DIV/0!</v>
      </c>
      <c r="V159" s="44">
        <v>0</v>
      </c>
      <c r="W159" s="44">
        <v>0</v>
      </c>
      <c r="X159" s="8">
        <f t="shared" ref="X159:X163" si="270">V159-W159</f>
        <v>0</v>
      </c>
      <c r="Y159" s="36" t="e">
        <f t="shared" ref="Y159:Y163" si="271">X159/V159</f>
        <v>#DIV/0!</v>
      </c>
      <c r="Z159" s="58"/>
      <c r="AA159" s="95" t="e">
        <f t="shared" ref="AA159:AA163" si="272">(E159-K159-S159)/W159</f>
        <v>#DIV/0!</v>
      </c>
      <c r="AB159" s="95" t="e">
        <f t="shared" ref="AB159:AB163" si="273">(D159-J159-R159)/V159</f>
        <v>#DIV/0!</v>
      </c>
      <c r="AC159" s="36" t="e">
        <f t="shared" ref="AC159:AC163" si="274">(E159-K159-S159)/E159</f>
        <v>#DIV/0!</v>
      </c>
      <c r="AD159" s="60" t="e">
        <f t="shared" ref="AD159:AD162" si="275">SUM(D159-H159)/D159</f>
        <v>#DIV/0!</v>
      </c>
      <c r="AE159" s="80"/>
      <c r="AG159" t="s">
        <v>93</v>
      </c>
      <c r="AH159" s="42">
        <f>AL163</f>
        <v>0</v>
      </c>
      <c r="AK159" s="7">
        <f>SUM(W160-W159)</f>
        <v>0</v>
      </c>
      <c r="AL159" s="94">
        <f>SUM(K160-K159)</f>
        <v>0</v>
      </c>
    </row>
    <row r="160" spans="1:38">
      <c r="A160" s="7"/>
      <c r="B160" s="71"/>
      <c r="C160" s="93" t="s">
        <v>94</v>
      </c>
      <c r="D160" s="56"/>
      <c r="E160" s="56"/>
      <c r="F160" s="40">
        <f t="shared" ref="F160:F164" si="276">D160-E160</f>
        <v>0</v>
      </c>
      <c r="G160" s="36" t="e">
        <f t="shared" si="265"/>
        <v>#DIV/0!</v>
      </c>
      <c r="H160" s="40"/>
      <c r="I160" s="40"/>
      <c r="J160" s="56">
        <f>SUM(H160-R160)</f>
        <v>0</v>
      </c>
      <c r="K160" s="56">
        <f>SUM(I160-S160)</f>
        <v>0</v>
      </c>
      <c r="L160" s="40">
        <f t="shared" si="266"/>
        <v>0</v>
      </c>
      <c r="M160" s="36" t="e">
        <f t="shared" si="267"/>
        <v>#DIV/0!</v>
      </c>
      <c r="N160" s="58"/>
      <c r="O160" s="58"/>
      <c r="P160" s="58"/>
      <c r="Q160" s="58"/>
      <c r="R160" s="56"/>
      <c r="S160" s="56"/>
      <c r="T160" s="40">
        <f t="shared" si="268"/>
        <v>0</v>
      </c>
      <c r="U160" s="36" t="e">
        <f t="shared" si="269"/>
        <v>#DIV/0!</v>
      </c>
      <c r="V160" s="44"/>
      <c r="W160" s="44"/>
      <c r="X160" s="8">
        <f t="shared" si="270"/>
        <v>0</v>
      </c>
      <c r="Y160" s="36" t="e">
        <f t="shared" si="271"/>
        <v>#DIV/0!</v>
      </c>
      <c r="Z160" s="58"/>
      <c r="AA160" s="95" t="e">
        <f t="shared" si="272"/>
        <v>#DIV/0!</v>
      </c>
      <c r="AB160" s="95" t="e">
        <f t="shared" si="273"/>
        <v>#DIV/0!</v>
      </c>
      <c r="AC160" s="36" t="e">
        <f t="shared" si="274"/>
        <v>#DIV/0!</v>
      </c>
      <c r="AD160" s="60" t="e">
        <f t="shared" si="275"/>
        <v>#DIV/0!</v>
      </c>
      <c r="AE160" s="80"/>
      <c r="AK160" s="7">
        <f>SUM(W161-W160)</f>
        <v>0</v>
      </c>
      <c r="AL160" s="94">
        <f>SUM(K161-K160)</f>
        <v>0</v>
      </c>
    </row>
    <row r="161" spans="1:38">
      <c r="A161" s="7"/>
      <c r="B161" s="71"/>
      <c r="C161" s="93" t="s">
        <v>95</v>
      </c>
      <c r="D161" s="56"/>
      <c r="E161" s="56"/>
      <c r="F161" s="40">
        <f t="shared" si="276"/>
        <v>0</v>
      </c>
      <c r="G161" s="36" t="e">
        <f t="shared" si="265"/>
        <v>#DIV/0!</v>
      </c>
      <c r="H161" s="40"/>
      <c r="I161" s="40"/>
      <c r="J161" s="56">
        <f>SUM(H161-R161)</f>
        <v>0</v>
      </c>
      <c r="K161" s="56">
        <f>SUM(I161-S161)</f>
        <v>0</v>
      </c>
      <c r="L161" s="40">
        <f t="shared" si="266"/>
        <v>0</v>
      </c>
      <c r="M161" s="36" t="e">
        <f t="shared" si="267"/>
        <v>#DIV/0!</v>
      </c>
      <c r="N161" s="58"/>
      <c r="O161" s="58"/>
      <c r="P161" s="58"/>
      <c r="Q161" s="58"/>
      <c r="R161" s="56"/>
      <c r="S161" s="56"/>
      <c r="T161" s="40">
        <f t="shared" si="268"/>
        <v>0</v>
      </c>
      <c r="U161" s="36" t="e">
        <f t="shared" si="269"/>
        <v>#DIV/0!</v>
      </c>
      <c r="V161" s="44"/>
      <c r="W161" s="44"/>
      <c r="X161" s="8">
        <f t="shared" si="270"/>
        <v>0</v>
      </c>
      <c r="Y161" s="36" t="e">
        <f t="shared" si="271"/>
        <v>#DIV/0!</v>
      </c>
      <c r="Z161" s="58"/>
      <c r="AA161" s="95" t="e">
        <f t="shared" si="272"/>
        <v>#DIV/0!</v>
      </c>
      <c r="AB161" s="95" t="e">
        <f t="shared" si="273"/>
        <v>#DIV/0!</v>
      </c>
      <c r="AC161" s="36" t="e">
        <f t="shared" si="274"/>
        <v>#DIV/0!</v>
      </c>
      <c r="AD161" s="60" t="e">
        <f t="shared" si="275"/>
        <v>#DIV/0!</v>
      </c>
      <c r="AE161" s="80"/>
      <c r="AG161" t="s">
        <v>96</v>
      </c>
      <c r="AH161" s="42">
        <v>0</v>
      </c>
      <c r="AK161" s="7">
        <f>SUM(W162-W161)</f>
        <v>0</v>
      </c>
      <c r="AL161" s="94">
        <f>SUM(K162-K161)</f>
        <v>0</v>
      </c>
    </row>
    <row r="162" spans="1:38">
      <c r="A162" s="7"/>
      <c r="B162" s="71"/>
      <c r="C162" s="93" t="s">
        <v>97</v>
      </c>
      <c r="D162" s="56"/>
      <c r="E162" s="56"/>
      <c r="F162" s="40">
        <f t="shared" si="276"/>
        <v>0</v>
      </c>
      <c r="G162" s="36" t="e">
        <f t="shared" si="265"/>
        <v>#DIV/0!</v>
      </c>
      <c r="H162" s="40"/>
      <c r="I162" s="40"/>
      <c r="J162" s="56">
        <f>SUM(H162-R162)</f>
        <v>0</v>
      </c>
      <c r="K162" s="56">
        <f>SUM(I162-S162)</f>
        <v>0</v>
      </c>
      <c r="L162" s="40">
        <f t="shared" si="266"/>
        <v>0</v>
      </c>
      <c r="M162" s="36" t="e">
        <f t="shared" si="267"/>
        <v>#DIV/0!</v>
      </c>
      <c r="N162" s="58"/>
      <c r="O162" s="58"/>
      <c r="P162" s="58"/>
      <c r="Q162" s="58"/>
      <c r="R162" s="56"/>
      <c r="S162" s="56"/>
      <c r="T162" s="40">
        <f t="shared" si="268"/>
        <v>0</v>
      </c>
      <c r="U162" s="36" t="e">
        <f t="shared" si="269"/>
        <v>#DIV/0!</v>
      </c>
      <c r="V162" s="44"/>
      <c r="W162" s="44"/>
      <c r="X162" s="8">
        <f t="shared" si="270"/>
        <v>0</v>
      </c>
      <c r="Y162" s="36" t="e">
        <f t="shared" si="271"/>
        <v>#DIV/0!</v>
      </c>
      <c r="Z162" s="58"/>
      <c r="AA162" s="95" t="e">
        <f t="shared" si="272"/>
        <v>#DIV/0!</v>
      </c>
      <c r="AB162" s="95" t="e">
        <f t="shared" si="273"/>
        <v>#DIV/0!</v>
      </c>
      <c r="AC162" s="36" t="e">
        <f t="shared" si="274"/>
        <v>#DIV/0!</v>
      </c>
      <c r="AD162" s="60" t="e">
        <f t="shared" si="275"/>
        <v>#DIV/0!</v>
      </c>
      <c r="AE162" s="80"/>
      <c r="AK162" s="7">
        <f>SUM(W163-W162)</f>
        <v>0</v>
      </c>
      <c r="AL162" s="94">
        <f>SUM(K163-K162)</f>
        <v>0</v>
      </c>
    </row>
    <row r="163" spans="1:38">
      <c r="A163" s="9"/>
      <c r="B163" s="72"/>
      <c r="C163" s="98" t="s">
        <v>98</v>
      </c>
      <c r="D163" s="56"/>
      <c r="E163" s="56"/>
      <c r="F163" s="40">
        <f t="shared" si="276"/>
        <v>0</v>
      </c>
      <c r="G163" s="36" t="e">
        <f t="shared" si="265"/>
        <v>#DIV/0!</v>
      </c>
      <c r="H163" s="40"/>
      <c r="I163" s="40"/>
      <c r="J163" s="56">
        <f>SUM(H163-R163)</f>
        <v>0</v>
      </c>
      <c r="K163" s="56">
        <f>SUM(I163-S163)</f>
        <v>0</v>
      </c>
      <c r="L163" s="40">
        <f t="shared" si="266"/>
        <v>0</v>
      </c>
      <c r="M163" s="36" t="e">
        <f t="shared" si="267"/>
        <v>#DIV/0!</v>
      </c>
      <c r="N163" s="58"/>
      <c r="O163" s="58"/>
      <c r="P163" s="58"/>
      <c r="Q163" s="58"/>
      <c r="R163" s="56"/>
      <c r="S163" s="56"/>
      <c r="T163" s="40">
        <f t="shared" si="268"/>
        <v>0</v>
      </c>
      <c r="U163" s="36" t="e">
        <f t="shared" si="269"/>
        <v>#DIV/0!</v>
      </c>
      <c r="V163" s="44"/>
      <c r="W163" s="44"/>
      <c r="X163" s="8">
        <f t="shared" si="270"/>
        <v>0</v>
      </c>
      <c r="Y163" s="36" t="e">
        <f t="shared" si="271"/>
        <v>#DIV/0!</v>
      </c>
      <c r="Z163" s="58"/>
      <c r="AA163" s="95" t="e">
        <f t="shared" si="272"/>
        <v>#DIV/0!</v>
      </c>
      <c r="AB163" s="95" t="e">
        <f t="shared" si="273"/>
        <v>#DIV/0!</v>
      </c>
      <c r="AC163" s="36" t="e">
        <f t="shared" si="274"/>
        <v>#DIV/0!</v>
      </c>
      <c r="AD163" s="60" t="e">
        <f>SUM(D163-H163)/D163</f>
        <v>#DIV/0!</v>
      </c>
      <c r="AE163" s="80"/>
      <c r="AK163" s="9">
        <f>SUM(AK158,AK159,AK160,AK161,AK162)</f>
        <v>0</v>
      </c>
      <c r="AL163" s="97">
        <f>SUM(AL158,AL159,AL160,AL161,AL162)</f>
        <v>0</v>
      </c>
    </row>
    <row r="164" spans="1:38" ht="9" customHeight="1">
      <c r="A164" s="274"/>
      <c r="B164" s="275"/>
      <c r="C164" s="275"/>
      <c r="D164" s="275"/>
      <c r="E164" s="275"/>
      <c r="F164" s="275"/>
      <c r="G164" s="275"/>
      <c r="H164" s="275"/>
      <c r="I164" s="275"/>
      <c r="J164" s="275"/>
      <c r="K164" s="275"/>
      <c r="L164" s="275"/>
      <c r="M164" s="275"/>
      <c r="N164" s="275"/>
      <c r="O164" s="275"/>
      <c r="P164" s="275"/>
      <c r="Q164" s="275"/>
      <c r="R164" s="275"/>
      <c r="S164" s="275"/>
      <c r="T164" s="275"/>
      <c r="U164" s="275"/>
      <c r="V164" s="275"/>
      <c r="W164" s="275"/>
      <c r="X164" s="275"/>
      <c r="Y164" s="275"/>
      <c r="Z164" s="275"/>
      <c r="AA164" s="275"/>
      <c r="AB164" s="275"/>
      <c r="AC164" s="275"/>
      <c r="AD164" s="276"/>
    </row>
    <row r="165" spans="1:38">
      <c r="A165" s="7">
        <f>'Main Sheet'!A50</f>
        <v>9240</v>
      </c>
      <c r="B165" s="71" t="str">
        <f>'Main Sheet'!B50</f>
        <v>Daves Twizel Shack</v>
      </c>
      <c r="C165" s="93" t="s">
        <v>90</v>
      </c>
      <c r="D165" s="56">
        <v>300839.52</v>
      </c>
      <c r="E165" s="56">
        <v>0</v>
      </c>
      <c r="F165" s="40">
        <f>D165-E165</f>
        <v>300839.52</v>
      </c>
      <c r="G165" s="36">
        <f>F165/D165</f>
        <v>1</v>
      </c>
      <c r="H165" s="40">
        <v>243747.98</v>
      </c>
      <c r="I165" s="40">
        <v>70092.2</v>
      </c>
      <c r="J165" s="56">
        <f>SUM(H165-R165)</f>
        <v>183229.46000000002</v>
      </c>
      <c r="K165" s="56">
        <f>SUM(I165-S165)</f>
        <v>69898.649999999994</v>
      </c>
      <c r="L165" s="40">
        <f>J165-K165</f>
        <v>113330.81000000003</v>
      </c>
      <c r="M165" s="36">
        <f>L165/J165</f>
        <v>0.61851849587942909</v>
      </c>
      <c r="N165" s="58"/>
      <c r="O165" s="58"/>
      <c r="P165" s="58"/>
      <c r="Q165" s="58"/>
      <c r="R165" s="56">
        <v>60518.52</v>
      </c>
      <c r="S165" s="56">
        <v>193.55</v>
      </c>
      <c r="T165" s="40">
        <f>R165-S165</f>
        <v>60324.969999999994</v>
      </c>
      <c r="U165" s="36">
        <f>T165/R165</f>
        <v>0.996801805463848</v>
      </c>
      <c r="V165" s="44">
        <v>1213</v>
      </c>
      <c r="W165" s="44">
        <v>0</v>
      </c>
      <c r="X165" s="8">
        <f>V165-W165</f>
        <v>1213</v>
      </c>
      <c r="Y165" s="36">
        <f>X165/V165</f>
        <v>1</v>
      </c>
      <c r="Z165" s="58"/>
      <c r="AA165" s="95" t="e">
        <f>(E165-K165-S165)/W165</f>
        <v>#DIV/0!</v>
      </c>
      <c r="AB165" s="95">
        <f>(D165-J165-R165)/V165</f>
        <v>47.066397361912614</v>
      </c>
      <c r="AC165" s="36" t="e">
        <f>(E165-K165-S165)/E165</f>
        <v>#DIV/0!</v>
      </c>
      <c r="AD165" s="60">
        <f>SUM(D165-H165)/D165</f>
        <v>0.189774069577029</v>
      </c>
      <c r="AE165" s="80"/>
      <c r="AG165" t="s">
        <v>91</v>
      </c>
      <c r="AH165">
        <f>AK170</f>
        <v>0</v>
      </c>
      <c r="AK165" s="7">
        <f>SUM(W166-W165)</f>
        <v>3.5</v>
      </c>
      <c r="AL165" s="94">
        <f>SUM(K166-K165)</f>
        <v>-10.80000000000291</v>
      </c>
    </row>
    <row r="166" spans="1:38">
      <c r="A166" s="7"/>
      <c r="B166" s="71"/>
      <c r="C166" s="93" t="s">
        <v>92</v>
      </c>
      <c r="D166" s="56">
        <v>300839.52</v>
      </c>
      <c r="E166" s="56">
        <v>93431.66</v>
      </c>
      <c r="F166" s="40">
        <f>D166-E166</f>
        <v>207407.86000000002</v>
      </c>
      <c r="G166" s="36">
        <f t="shared" ref="G166:G170" si="277">F166/D166</f>
        <v>0.68943023177274054</v>
      </c>
      <c r="H166" s="40">
        <v>243747.98</v>
      </c>
      <c r="I166" s="40">
        <v>70081.399999999994</v>
      </c>
      <c r="J166" s="56">
        <f>SUM(H166-R166)</f>
        <v>183229.46000000002</v>
      </c>
      <c r="K166" s="56">
        <f>SUM(I166-S166)</f>
        <v>69887.849999999991</v>
      </c>
      <c r="L166" s="40">
        <f t="shared" ref="L166:L170" si="278">J166-K166</f>
        <v>113341.61000000003</v>
      </c>
      <c r="M166" s="36">
        <f t="shared" ref="M166:M170" si="279">L166/J166</f>
        <v>0.61857743836607948</v>
      </c>
      <c r="N166" s="58"/>
      <c r="O166" s="58"/>
      <c r="P166" s="58"/>
      <c r="Q166" s="58"/>
      <c r="R166" s="56">
        <v>60518.52</v>
      </c>
      <c r="S166" s="56">
        <v>193.55</v>
      </c>
      <c r="T166" s="40">
        <f t="shared" ref="T166:T170" si="280">R166-S166</f>
        <v>60324.969999999994</v>
      </c>
      <c r="U166" s="36">
        <f t="shared" ref="U166:U170" si="281">T166/R166</f>
        <v>0.996801805463848</v>
      </c>
      <c r="V166" s="44">
        <v>1213.28</v>
      </c>
      <c r="W166" s="44">
        <v>3.5</v>
      </c>
      <c r="X166" s="8">
        <f t="shared" ref="X166:X170" si="282">V166-W166</f>
        <v>1209.78</v>
      </c>
      <c r="Y166" s="36">
        <f t="shared" ref="Y166:Y170" si="283">X166/V166</f>
        <v>0.99711525781353028</v>
      </c>
      <c r="Z166" s="58"/>
      <c r="AA166" s="95">
        <f t="shared" ref="AA166:AA170" si="284">(E166-K166-S166)/W166</f>
        <v>6671.5028571428611</v>
      </c>
      <c r="AB166" s="95">
        <f t="shared" ref="AB166:AB170" si="285">(D166-J166-R166)/V166</f>
        <v>47.055535408149808</v>
      </c>
      <c r="AC166" s="36">
        <f t="shared" ref="AC166:AC170" si="286">(E166-K166-S166)/E166</f>
        <v>0.24991806845773704</v>
      </c>
      <c r="AD166" s="60">
        <f t="shared" ref="AD166:AD169" si="287">SUM(D166-H166)/D166</f>
        <v>0.189774069577029</v>
      </c>
      <c r="AE166" s="80"/>
      <c r="AG166" t="s">
        <v>93</v>
      </c>
      <c r="AH166" s="42">
        <f>AL170</f>
        <v>-69898.649999999994</v>
      </c>
      <c r="AK166" s="7">
        <f>SUM(W167-W166)</f>
        <v>-3.5</v>
      </c>
      <c r="AL166" s="94">
        <f>SUM(K167-K166)</f>
        <v>-69887.849999999991</v>
      </c>
    </row>
    <row r="167" spans="1:38">
      <c r="A167" s="7"/>
      <c r="B167" s="71"/>
      <c r="C167" s="93" t="s">
        <v>94</v>
      </c>
      <c r="D167" s="56">
        <v>0</v>
      </c>
      <c r="E167" s="56">
        <v>0</v>
      </c>
      <c r="F167" s="40">
        <f t="shared" ref="F167:F170" si="288">D167-E167</f>
        <v>0</v>
      </c>
      <c r="G167" s="36" t="e">
        <f t="shared" si="277"/>
        <v>#DIV/0!</v>
      </c>
      <c r="H167" s="40">
        <v>0</v>
      </c>
      <c r="I167" s="40">
        <v>0</v>
      </c>
      <c r="J167" s="56">
        <f>SUM(H167-R167)</f>
        <v>0</v>
      </c>
      <c r="K167" s="56">
        <f>SUM(I167-S167)</f>
        <v>0</v>
      </c>
      <c r="L167" s="40">
        <f t="shared" si="278"/>
        <v>0</v>
      </c>
      <c r="M167" s="36" t="e">
        <f t="shared" si="279"/>
        <v>#DIV/0!</v>
      </c>
      <c r="N167" s="58"/>
      <c r="O167" s="58"/>
      <c r="P167" s="58"/>
      <c r="Q167" s="58"/>
      <c r="R167" s="56">
        <v>0</v>
      </c>
      <c r="S167" s="56">
        <v>0</v>
      </c>
      <c r="T167" s="40">
        <f t="shared" si="280"/>
        <v>0</v>
      </c>
      <c r="U167" s="36" t="e">
        <f t="shared" si="281"/>
        <v>#DIV/0!</v>
      </c>
      <c r="V167" s="44">
        <v>0</v>
      </c>
      <c r="W167" s="44">
        <v>0</v>
      </c>
      <c r="X167" s="8">
        <f t="shared" si="282"/>
        <v>0</v>
      </c>
      <c r="Y167" s="36" t="e">
        <f t="shared" si="283"/>
        <v>#DIV/0!</v>
      </c>
      <c r="Z167" s="58"/>
      <c r="AA167" s="95" t="e">
        <f t="shared" si="284"/>
        <v>#DIV/0!</v>
      </c>
      <c r="AB167" s="95" t="e">
        <f t="shared" si="285"/>
        <v>#DIV/0!</v>
      </c>
      <c r="AC167" s="36" t="e">
        <f t="shared" si="286"/>
        <v>#DIV/0!</v>
      </c>
      <c r="AD167" s="60" t="e">
        <f t="shared" si="287"/>
        <v>#DIV/0!</v>
      </c>
      <c r="AE167" s="80"/>
      <c r="AK167" s="7">
        <f>SUM(W168-W167)</f>
        <v>0</v>
      </c>
      <c r="AL167" s="94">
        <f>SUM(K168-K167)</f>
        <v>0</v>
      </c>
    </row>
    <row r="168" spans="1:38">
      <c r="A168" s="7"/>
      <c r="B168" s="71"/>
      <c r="C168" s="93" t="s">
        <v>95</v>
      </c>
      <c r="D168" s="56">
        <v>0</v>
      </c>
      <c r="E168" s="56">
        <v>0</v>
      </c>
      <c r="F168" s="40">
        <f t="shared" si="288"/>
        <v>0</v>
      </c>
      <c r="G168" s="36" t="e">
        <f t="shared" si="277"/>
        <v>#DIV/0!</v>
      </c>
      <c r="H168" s="40">
        <v>0</v>
      </c>
      <c r="I168" s="40">
        <v>0</v>
      </c>
      <c r="J168" s="56">
        <f>SUM(H168-R168)</f>
        <v>0</v>
      </c>
      <c r="K168" s="56">
        <f>SUM(I168-S168)</f>
        <v>0</v>
      </c>
      <c r="L168" s="40">
        <f t="shared" si="278"/>
        <v>0</v>
      </c>
      <c r="M168" s="36" t="e">
        <f t="shared" si="279"/>
        <v>#DIV/0!</v>
      </c>
      <c r="N168" s="58"/>
      <c r="O168" s="58"/>
      <c r="P168" s="58"/>
      <c r="Q168" s="58"/>
      <c r="R168" s="56">
        <v>0</v>
      </c>
      <c r="S168" s="56">
        <v>0</v>
      </c>
      <c r="T168" s="40">
        <f t="shared" si="280"/>
        <v>0</v>
      </c>
      <c r="U168" s="36" t="e">
        <f t="shared" si="281"/>
        <v>#DIV/0!</v>
      </c>
      <c r="V168" s="44">
        <v>0</v>
      </c>
      <c r="W168" s="44">
        <v>0</v>
      </c>
      <c r="X168" s="8">
        <f t="shared" si="282"/>
        <v>0</v>
      </c>
      <c r="Y168" s="36" t="e">
        <f t="shared" si="283"/>
        <v>#DIV/0!</v>
      </c>
      <c r="Z168" s="58"/>
      <c r="AA168" s="95" t="e">
        <f t="shared" si="284"/>
        <v>#DIV/0!</v>
      </c>
      <c r="AB168" s="95" t="e">
        <f t="shared" si="285"/>
        <v>#DIV/0!</v>
      </c>
      <c r="AC168" s="36" t="e">
        <f t="shared" si="286"/>
        <v>#DIV/0!</v>
      </c>
      <c r="AD168" s="60" t="e">
        <f t="shared" si="287"/>
        <v>#DIV/0!</v>
      </c>
      <c r="AE168" s="80"/>
      <c r="AG168" t="s">
        <v>96</v>
      </c>
      <c r="AH168" s="42">
        <v>0</v>
      </c>
      <c r="AK168" s="7">
        <f>SUM(W169-W168)</f>
        <v>0</v>
      </c>
      <c r="AL168" s="94">
        <f>SUM(K169-K168)</f>
        <v>0</v>
      </c>
    </row>
    <row r="169" spans="1:38">
      <c r="A169" s="7"/>
      <c r="B169" s="71"/>
      <c r="C169" s="93" t="s">
        <v>97</v>
      </c>
      <c r="D169" s="56">
        <v>0</v>
      </c>
      <c r="E169" s="56">
        <v>0</v>
      </c>
      <c r="F169" s="40">
        <f t="shared" si="288"/>
        <v>0</v>
      </c>
      <c r="G169" s="36" t="e">
        <f t="shared" si="277"/>
        <v>#DIV/0!</v>
      </c>
      <c r="H169" s="40">
        <v>0</v>
      </c>
      <c r="I169" s="40">
        <v>0</v>
      </c>
      <c r="J169" s="56">
        <f>SUM(H169-R169)</f>
        <v>0</v>
      </c>
      <c r="K169" s="56">
        <f>SUM(I169-S169)</f>
        <v>0</v>
      </c>
      <c r="L169" s="40">
        <f t="shared" si="278"/>
        <v>0</v>
      </c>
      <c r="M169" s="36" t="e">
        <f t="shared" si="279"/>
        <v>#DIV/0!</v>
      </c>
      <c r="N169" s="58"/>
      <c r="O169" s="58"/>
      <c r="P169" s="58"/>
      <c r="Q169" s="58"/>
      <c r="R169" s="56">
        <v>0</v>
      </c>
      <c r="S169" s="56">
        <v>0</v>
      </c>
      <c r="T169" s="40">
        <f t="shared" si="280"/>
        <v>0</v>
      </c>
      <c r="U169" s="36" t="e">
        <f t="shared" si="281"/>
        <v>#DIV/0!</v>
      </c>
      <c r="V169" s="44">
        <v>0</v>
      </c>
      <c r="W169" s="44">
        <v>0</v>
      </c>
      <c r="X169" s="8">
        <f t="shared" si="282"/>
        <v>0</v>
      </c>
      <c r="Y169" s="36" t="e">
        <f t="shared" si="283"/>
        <v>#DIV/0!</v>
      </c>
      <c r="Z169" s="58"/>
      <c r="AA169" s="95" t="e">
        <f t="shared" si="284"/>
        <v>#DIV/0!</v>
      </c>
      <c r="AB169" s="95" t="e">
        <f t="shared" si="285"/>
        <v>#DIV/0!</v>
      </c>
      <c r="AC169" s="36" t="e">
        <f t="shared" si="286"/>
        <v>#DIV/0!</v>
      </c>
      <c r="AD169" s="60" t="e">
        <f t="shared" si="287"/>
        <v>#DIV/0!</v>
      </c>
      <c r="AE169" s="80"/>
      <c r="AK169" s="7">
        <f>SUM(W170-W169)</f>
        <v>0</v>
      </c>
      <c r="AL169" s="94">
        <f>SUM(K170-K169)</f>
        <v>0</v>
      </c>
    </row>
    <row r="170" spans="1:38">
      <c r="A170" s="9"/>
      <c r="B170" s="72"/>
      <c r="C170" s="98" t="s">
        <v>98</v>
      </c>
      <c r="D170" s="56">
        <v>0</v>
      </c>
      <c r="E170" s="56">
        <v>0</v>
      </c>
      <c r="F170" s="40">
        <f t="shared" si="288"/>
        <v>0</v>
      </c>
      <c r="G170" s="36" t="e">
        <f t="shared" si="277"/>
        <v>#DIV/0!</v>
      </c>
      <c r="H170" s="40">
        <v>0</v>
      </c>
      <c r="I170" s="40">
        <v>0</v>
      </c>
      <c r="J170" s="56">
        <f>SUM(H170-R170)</f>
        <v>0</v>
      </c>
      <c r="K170" s="56">
        <f>SUM(I170-S170)</f>
        <v>0</v>
      </c>
      <c r="L170" s="40">
        <f t="shared" si="278"/>
        <v>0</v>
      </c>
      <c r="M170" s="36" t="e">
        <f t="shared" si="279"/>
        <v>#DIV/0!</v>
      </c>
      <c r="N170" s="58"/>
      <c r="O170" s="58"/>
      <c r="P170" s="58"/>
      <c r="Q170" s="58"/>
      <c r="R170" s="56">
        <v>0</v>
      </c>
      <c r="S170" s="56">
        <v>0</v>
      </c>
      <c r="T170" s="40">
        <f t="shared" si="280"/>
        <v>0</v>
      </c>
      <c r="U170" s="36" t="e">
        <f t="shared" si="281"/>
        <v>#DIV/0!</v>
      </c>
      <c r="V170" s="44">
        <v>0</v>
      </c>
      <c r="W170" s="44">
        <v>0</v>
      </c>
      <c r="X170" s="8">
        <f t="shared" si="282"/>
        <v>0</v>
      </c>
      <c r="Y170" s="36" t="e">
        <f t="shared" si="283"/>
        <v>#DIV/0!</v>
      </c>
      <c r="Z170" s="58"/>
      <c r="AA170" s="95" t="e">
        <f t="shared" si="284"/>
        <v>#DIV/0!</v>
      </c>
      <c r="AB170" s="95" t="e">
        <f t="shared" si="285"/>
        <v>#DIV/0!</v>
      </c>
      <c r="AC170" s="36" t="e">
        <f t="shared" si="286"/>
        <v>#DIV/0!</v>
      </c>
      <c r="AD170" s="60" t="e">
        <f>SUM(D170-H170)/D170</f>
        <v>#DIV/0!</v>
      </c>
      <c r="AE170" s="80"/>
      <c r="AK170" s="9">
        <f>SUM(AK165,AK166,AK167,AK168,AK169)</f>
        <v>0</v>
      </c>
      <c r="AL170" s="97">
        <f>SUM(AL165,AL166,AL167,AL168,AL169)</f>
        <v>-69898.649999999994</v>
      </c>
    </row>
    <row r="171" spans="1:38" ht="9" customHeight="1">
      <c r="A171" s="274"/>
      <c r="B171" s="275"/>
      <c r="C171" s="275"/>
      <c r="D171" s="275"/>
      <c r="E171" s="275"/>
      <c r="F171" s="275"/>
      <c r="G171" s="275"/>
      <c r="H171" s="275"/>
      <c r="I171" s="275"/>
      <c r="J171" s="275"/>
      <c r="K171" s="275"/>
      <c r="L171" s="275"/>
      <c r="M171" s="275"/>
      <c r="N171" s="275"/>
      <c r="O171" s="275"/>
      <c r="P171" s="275"/>
      <c r="Q171" s="275"/>
      <c r="R171" s="275"/>
      <c r="S171" s="275"/>
      <c r="T171" s="275"/>
      <c r="U171" s="275"/>
      <c r="V171" s="275"/>
      <c r="W171" s="275"/>
      <c r="X171" s="275"/>
      <c r="Y171" s="275"/>
      <c r="Z171" s="275"/>
      <c r="AA171" s="275"/>
      <c r="AB171" s="275"/>
      <c r="AC171" s="275"/>
      <c r="AD171" s="276"/>
    </row>
    <row r="172" spans="1:38">
      <c r="A172" s="7">
        <f>'Main Sheet'!A52</f>
        <v>7428</v>
      </c>
      <c r="B172" s="7" t="str">
        <f>'Main Sheet'!B52</f>
        <v>FAB Pegasus Lakeside</v>
      </c>
      <c r="C172" s="93" t="s">
        <v>90</v>
      </c>
      <c r="D172" s="56">
        <v>58426.32</v>
      </c>
      <c r="E172" s="56">
        <v>0</v>
      </c>
      <c r="F172" s="40">
        <f>D172-E172</f>
        <v>58426.32</v>
      </c>
      <c r="G172" s="36">
        <f>F172/D172</f>
        <v>1</v>
      </c>
      <c r="H172" s="40">
        <v>44815.360000000001</v>
      </c>
      <c r="I172" s="40">
        <v>0</v>
      </c>
      <c r="J172" s="56">
        <v>0</v>
      </c>
      <c r="K172" s="56">
        <v>0</v>
      </c>
      <c r="L172" s="40">
        <f>J172-K172</f>
        <v>0</v>
      </c>
      <c r="M172" s="36" t="e">
        <f>L172/J172</f>
        <v>#DIV/0!</v>
      </c>
      <c r="N172" s="58"/>
      <c r="O172" s="58"/>
      <c r="P172" s="58"/>
      <c r="Q172" s="58"/>
      <c r="R172" s="56">
        <v>19242.55</v>
      </c>
      <c r="S172" s="56">
        <v>0</v>
      </c>
      <c r="T172" s="40">
        <f>R172-S172</f>
        <v>19242.55</v>
      </c>
      <c r="U172" s="36">
        <f>T172/R172</f>
        <v>1</v>
      </c>
      <c r="V172" s="44">
        <v>385.7</v>
      </c>
      <c r="W172" s="44">
        <v>0</v>
      </c>
      <c r="X172" s="8">
        <f>V172-W172</f>
        <v>385.7</v>
      </c>
      <c r="Y172" s="36">
        <f>X172/V172</f>
        <v>1</v>
      </c>
      <c r="Z172" s="58"/>
      <c r="AA172" s="95" t="e">
        <f>(E172-K172-S172)/W172</f>
        <v>#DIV/0!</v>
      </c>
      <c r="AB172" s="95">
        <f>(D172-J172-R172)/V172</f>
        <v>101.59131449312939</v>
      </c>
      <c r="AC172" s="36" t="e">
        <f>(E172-K172-S172)/E172</f>
        <v>#DIV/0!</v>
      </c>
      <c r="AD172" s="60">
        <f>SUM(D172-H172)/D172</f>
        <v>0.23295939227389298</v>
      </c>
      <c r="AE172" s="80"/>
      <c r="AG172" t="s">
        <v>91</v>
      </c>
      <c r="AH172">
        <f>AK177</f>
        <v>0</v>
      </c>
      <c r="AK172" s="7">
        <f>SUM(W173-W172)</f>
        <v>0</v>
      </c>
      <c r="AL172" s="94">
        <f>SUM(K173-K172)</f>
        <v>0</v>
      </c>
    </row>
    <row r="173" spans="1:38">
      <c r="A173" s="7"/>
      <c r="B173" s="71"/>
      <c r="C173" s="93" t="s">
        <v>92</v>
      </c>
      <c r="D173" s="56">
        <v>58426.32</v>
      </c>
      <c r="E173" s="56">
        <v>0</v>
      </c>
      <c r="F173" s="40">
        <v>0</v>
      </c>
      <c r="G173" s="36">
        <f t="shared" ref="G173:G177" si="289">F173/D173</f>
        <v>0</v>
      </c>
      <c r="H173" s="40">
        <v>44815.360000000001</v>
      </c>
      <c r="I173" s="40">
        <v>0</v>
      </c>
      <c r="J173" s="56">
        <v>0</v>
      </c>
      <c r="K173" s="56">
        <v>0</v>
      </c>
      <c r="L173" s="40">
        <f t="shared" ref="L173:L177" si="290">J173-K173</f>
        <v>0</v>
      </c>
      <c r="M173" s="36" t="e">
        <f t="shared" ref="M173:M177" si="291">L173/J173</f>
        <v>#DIV/0!</v>
      </c>
      <c r="N173" s="58"/>
      <c r="O173" s="58"/>
      <c r="P173" s="58"/>
      <c r="Q173" s="58"/>
      <c r="R173" s="56">
        <v>19242.55</v>
      </c>
      <c r="S173" s="56">
        <v>0</v>
      </c>
      <c r="T173" s="40">
        <f t="shared" ref="T173:T177" si="292">R173-S173</f>
        <v>19242.55</v>
      </c>
      <c r="U173" s="36">
        <f t="shared" ref="U173:U177" si="293">T173/R173</f>
        <v>1</v>
      </c>
      <c r="V173" s="44">
        <v>385.7</v>
      </c>
      <c r="W173" s="44">
        <v>0</v>
      </c>
      <c r="X173" s="8">
        <f t="shared" ref="X173:X177" si="294">V173-W173</f>
        <v>385.7</v>
      </c>
      <c r="Y173" s="36">
        <f t="shared" ref="Y173:Y177" si="295">X173/V173</f>
        <v>1</v>
      </c>
      <c r="Z173" s="58"/>
      <c r="AA173" s="95" t="e">
        <f t="shared" ref="AA173:AA177" si="296">(E173-K173-S173)/W173</f>
        <v>#DIV/0!</v>
      </c>
      <c r="AB173" s="95">
        <f t="shared" ref="AB173:AB177" si="297">(D173-J173-R173)/V173</f>
        <v>101.59131449312939</v>
      </c>
      <c r="AC173" s="36" t="e">
        <f t="shared" ref="AC173:AC177" si="298">(E173-K173-S173)/E173</f>
        <v>#DIV/0!</v>
      </c>
      <c r="AD173" s="60">
        <f t="shared" ref="AD173:AD176" si="299">SUM(D173-H173)/D173</f>
        <v>0.23295939227389298</v>
      </c>
      <c r="AE173" s="80"/>
      <c r="AG173" t="s">
        <v>93</v>
      </c>
      <c r="AH173" s="42">
        <f>AL177</f>
        <v>0</v>
      </c>
      <c r="AK173" s="7">
        <f>SUM(W174-W173)</f>
        <v>0</v>
      </c>
      <c r="AL173" s="94">
        <f>SUM(K174-K173)</f>
        <v>0</v>
      </c>
    </row>
    <row r="174" spans="1:38">
      <c r="A174" s="7"/>
      <c r="B174" s="71"/>
      <c r="C174" s="93" t="s">
        <v>94</v>
      </c>
      <c r="D174" s="56">
        <v>0</v>
      </c>
      <c r="E174" s="56">
        <v>0</v>
      </c>
      <c r="F174" s="40">
        <f t="shared" ref="F174:F177" si="300">D174-E174</f>
        <v>0</v>
      </c>
      <c r="G174" s="36" t="e">
        <f t="shared" si="289"/>
        <v>#DIV/0!</v>
      </c>
      <c r="H174" s="40">
        <v>0</v>
      </c>
      <c r="I174" s="40">
        <v>0</v>
      </c>
      <c r="J174" s="56">
        <f>SUM(H174-R174)</f>
        <v>0</v>
      </c>
      <c r="K174" s="56">
        <f>SUM(I174-S174)</f>
        <v>0</v>
      </c>
      <c r="L174" s="40">
        <f t="shared" si="290"/>
        <v>0</v>
      </c>
      <c r="M174" s="36" t="e">
        <f t="shared" si="291"/>
        <v>#DIV/0!</v>
      </c>
      <c r="N174" s="58"/>
      <c r="O174" s="58"/>
      <c r="P174" s="58"/>
      <c r="Q174" s="58"/>
      <c r="R174" s="56">
        <v>0</v>
      </c>
      <c r="S174" s="56">
        <v>0</v>
      </c>
      <c r="T174" s="40">
        <f t="shared" si="292"/>
        <v>0</v>
      </c>
      <c r="U174" s="36" t="e">
        <f t="shared" si="293"/>
        <v>#DIV/0!</v>
      </c>
      <c r="V174" s="44">
        <v>0</v>
      </c>
      <c r="W174" s="44">
        <v>0</v>
      </c>
      <c r="X174" s="8">
        <f t="shared" si="294"/>
        <v>0</v>
      </c>
      <c r="Y174" s="36" t="e">
        <f t="shared" si="295"/>
        <v>#DIV/0!</v>
      </c>
      <c r="Z174" s="58"/>
      <c r="AA174" s="95" t="e">
        <f t="shared" si="296"/>
        <v>#DIV/0!</v>
      </c>
      <c r="AB174" s="95" t="e">
        <f t="shared" si="297"/>
        <v>#DIV/0!</v>
      </c>
      <c r="AC174" s="36" t="e">
        <f t="shared" si="298"/>
        <v>#DIV/0!</v>
      </c>
      <c r="AD174" s="60" t="e">
        <f t="shared" si="299"/>
        <v>#DIV/0!</v>
      </c>
      <c r="AE174" s="80"/>
      <c r="AK174" s="7">
        <f>SUM(W175-W174)</f>
        <v>0</v>
      </c>
      <c r="AL174" s="94">
        <f>SUM(K175-K174)</f>
        <v>0</v>
      </c>
    </row>
    <row r="175" spans="1:38">
      <c r="A175" s="7"/>
      <c r="B175" s="71"/>
      <c r="C175" s="93" t="s">
        <v>95</v>
      </c>
      <c r="D175" s="56">
        <v>0</v>
      </c>
      <c r="E175" s="56">
        <v>0</v>
      </c>
      <c r="F175" s="40">
        <f t="shared" si="300"/>
        <v>0</v>
      </c>
      <c r="G175" s="36" t="e">
        <f t="shared" si="289"/>
        <v>#DIV/0!</v>
      </c>
      <c r="H175" s="40">
        <v>0</v>
      </c>
      <c r="I175" s="40">
        <v>0</v>
      </c>
      <c r="J175" s="56">
        <f>SUM(H175-R175)</f>
        <v>0</v>
      </c>
      <c r="K175" s="56">
        <f>SUM(I175-S175)</f>
        <v>0</v>
      </c>
      <c r="L175" s="40">
        <f t="shared" si="290"/>
        <v>0</v>
      </c>
      <c r="M175" s="36" t="e">
        <f t="shared" si="291"/>
        <v>#DIV/0!</v>
      </c>
      <c r="N175" s="58"/>
      <c r="O175" s="58"/>
      <c r="P175" s="58"/>
      <c r="Q175" s="58"/>
      <c r="R175" s="56">
        <v>0</v>
      </c>
      <c r="S175" s="56">
        <v>0</v>
      </c>
      <c r="T175" s="40">
        <f t="shared" si="292"/>
        <v>0</v>
      </c>
      <c r="U175" s="36" t="e">
        <f t="shared" si="293"/>
        <v>#DIV/0!</v>
      </c>
      <c r="V175" s="44">
        <v>0</v>
      </c>
      <c r="W175" s="44">
        <v>0</v>
      </c>
      <c r="X175" s="8">
        <f t="shared" si="294"/>
        <v>0</v>
      </c>
      <c r="Y175" s="36" t="e">
        <f t="shared" si="295"/>
        <v>#DIV/0!</v>
      </c>
      <c r="Z175" s="58"/>
      <c r="AA175" s="95" t="e">
        <f t="shared" si="296"/>
        <v>#DIV/0!</v>
      </c>
      <c r="AB175" s="95" t="e">
        <f t="shared" si="297"/>
        <v>#DIV/0!</v>
      </c>
      <c r="AC175" s="36" t="e">
        <f t="shared" si="298"/>
        <v>#DIV/0!</v>
      </c>
      <c r="AD175" s="60" t="e">
        <f t="shared" si="299"/>
        <v>#DIV/0!</v>
      </c>
      <c r="AE175" s="80"/>
      <c r="AG175" t="s">
        <v>96</v>
      </c>
      <c r="AH175" s="42">
        <v>0</v>
      </c>
      <c r="AK175" s="7">
        <f>SUM(W176-W175)</f>
        <v>0</v>
      </c>
      <c r="AL175" s="94">
        <f>SUM(K176-K175)</f>
        <v>0</v>
      </c>
    </row>
    <row r="176" spans="1:38">
      <c r="A176" s="7"/>
      <c r="B176" s="71"/>
      <c r="C176" s="93" t="s">
        <v>97</v>
      </c>
      <c r="D176" s="56">
        <v>0</v>
      </c>
      <c r="E176" s="56">
        <v>0</v>
      </c>
      <c r="F176" s="40">
        <f t="shared" si="300"/>
        <v>0</v>
      </c>
      <c r="G176" s="36" t="e">
        <f t="shared" si="289"/>
        <v>#DIV/0!</v>
      </c>
      <c r="H176" s="40">
        <v>0</v>
      </c>
      <c r="I176" s="40">
        <v>0</v>
      </c>
      <c r="J176" s="56">
        <f>SUM(H176-R176)</f>
        <v>0</v>
      </c>
      <c r="K176" s="56">
        <f>SUM(I176-S176)</f>
        <v>0</v>
      </c>
      <c r="L176" s="40">
        <f t="shared" si="290"/>
        <v>0</v>
      </c>
      <c r="M176" s="36" t="e">
        <f t="shared" si="291"/>
        <v>#DIV/0!</v>
      </c>
      <c r="N176" s="58"/>
      <c r="O176" s="58"/>
      <c r="P176" s="58"/>
      <c r="Q176" s="58"/>
      <c r="R176" s="56">
        <v>0</v>
      </c>
      <c r="S176" s="56">
        <v>0</v>
      </c>
      <c r="T176" s="40">
        <f t="shared" si="292"/>
        <v>0</v>
      </c>
      <c r="U176" s="36" t="e">
        <f t="shared" si="293"/>
        <v>#DIV/0!</v>
      </c>
      <c r="V176" s="44">
        <v>0</v>
      </c>
      <c r="W176" s="44">
        <v>0</v>
      </c>
      <c r="X176" s="8">
        <f t="shared" si="294"/>
        <v>0</v>
      </c>
      <c r="Y176" s="36" t="e">
        <f t="shared" si="295"/>
        <v>#DIV/0!</v>
      </c>
      <c r="Z176" s="58"/>
      <c r="AA176" s="95" t="e">
        <f t="shared" si="296"/>
        <v>#DIV/0!</v>
      </c>
      <c r="AB176" s="95" t="e">
        <f t="shared" si="297"/>
        <v>#DIV/0!</v>
      </c>
      <c r="AC176" s="36" t="e">
        <f t="shared" si="298"/>
        <v>#DIV/0!</v>
      </c>
      <c r="AD176" s="60" t="e">
        <f t="shared" si="299"/>
        <v>#DIV/0!</v>
      </c>
      <c r="AE176" s="80"/>
      <c r="AK176" s="7">
        <f>SUM(W177-W176)</f>
        <v>0</v>
      </c>
      <c r="AL176" s="94">
        <f>SUM(K177-K176)</f>
        <v>0</v>
      </c>
    </row>
    <row r="177" spans="1:38">
      <c r="A177" s="9"/>
      <c r="B177" s="72"/>
      <c r="C177" s="98" t="s">
        <v>98</v>
      </c>
      <c r="D177" s="56">
        <v>0</v>
      </c>
      <c r="E177" s="56">
        <v>0</v>
      </c>
      <c r="F177" s="40">
        <f t="shared" si="300"/>
        <v>0</v>
      </c>
      <c r="G177" s="36" t="e">
        <f t="shared" si="289"/>
        <v>#DIV/0!</v>
      </c>
      <c r="H177" s="40">
        <v>0</v>
      </c>
      <c r="I177" s="40">
        <v>0</v>
      </c>
      <c r="J177" s="56">
        <f>SUM(H177-R177)</f>
        <v>0</v>
      </c>
      <c r="K177" s="56">
        <f>SUM(I177-S177)</f>
        <v>0</v>
      </c>
      <c r="L177" s="40">
        <f t="shared" si="290"/>
        <v>0</v>
      </c>
      <c r="M177" s="36" t="e">
        <f t="shared" si="291"/>
        <v>#DIV/0!</v>
      </c>
      <c r="N177" s="58"/>
      <c r="O177" s="58"/>
      <c r="P177" s="58"/>
      <c r="Q177" s="58"/>
      <c r="R177" s="56">
        <v>0</v>
      </c>
      <c r="S177" s="56">
        <v>0</v>
      </c>
      <c r="T177" s="40">
        <f t="shared" si="292"/>
        <v>0</v>
      </c>
      <c r="U177" s="36" t="e">
        <f t="shared" si="293"/>
        <v>#DIV/0!</v>
      </c>
      <c r="V177" s="44">
        <v>0</v>
      </c>
      <c r="W177" s="44">
        <v>0</v>
      </c>
      <c r="X177" s="8">
        <f t="shared" si="294"/>
        <v>0</v>
      </c>
      <c r="Y177" s="36" t="e">
        <f t="shared" si="295"/>
        <v>#DIV/0!</v>
      </c>
      <c r="Z177" s="58"/>
      <c r="AA177" s="95" t="e">
        <f t="shared" si="296"/>
        <v>#DIV/0!</v>
      </c>
      <c r="AB177" s="95" t="e">
        <f t="shared" si="297"/>
        <v>#DIV/0!</v>
      </c>
      <c r="AC177" s="36" t="e">
        <f t="shared" si="298"/>
        <v>#DIV/0!</v>
      </c>
      <c r="AD177" s="60" t="e">
        <f>SUM(D177-H177)/D177</f>
        <v>#DIV/0!</v>
      </c>
      <c r="AE177" s="80"/>
      <c r="AK177" s="9">
        <f>SUM(AK172,AK173,AK174,AK175,AK176)</f>
        <v>0</v>
      </c>
      <c r="AL177" s="97">
        <f>SUM(AL172,AL173,AL174,AL175,AL176)</f>
        <v>0</v>
      </c>
    </row>
    <row r="178" spans="1:38" ht="9" customHeight="1">
      <c r="A178" s="274"/>
      <c r="B178" s="275"/>
      <c r="C178" s="275"/>
      <c r="D178" s="275"/>
      <c r="E178" s="275"/>
      <c r="F178" s="275"/>
      <c r="G178" s="275"/>
      <c r="H178" s="275"/>
      <c r="I178" s="275"/>
      <c r="J178" s="275"/>
      <c r="K178" s="275"/>
      <c r="L178" s="275"/>
      <c r="M178" s="275"/>
      <c r="N178" s="275"/>
      <c r="O178" s="275"/>
      <c r="P178" s="275"/>
      <c r="Q178" s="275"/>
      <c r="R178" s="275"/>
      <c r="S178" s="275"/>
      <c r="T178" s="275"/>
      <c r="U178" s="275"/>
      <c r="V178" s="275"/>
      <c r="W178" s="275"/>
      <c r="X178" s="275"/>
      <c r="Y178" s="275"/>
      <c r="Z178" s="275"/>
      <c r="AA178" s="275"/>
      <c r="AB178" s="275"/>
      <c r="AC178" s="275"/>
      <c r="AD178" s="276"/>
    </row>
    <row r="179" spans="1:38">
      <c r="A179" s="7">
        <f>'Main Sheet'!A54</f>
        <v>9351</v>
      </c>
      <c r="B179" s="7" t="str">
        <f>'Main Sheet'!B54</f>
        <v>Harewood Golf Club</v>
      </c>
      <c r="C179" s="93" t="s">
        <v>90</v>
      </c>
      <c r="D179" s="56">
        <v>18080.64</v>
      </c>
      <c r="E179" s="56">
        <v>0</v>
      </c>
      <c r="F179" s="40">
        <f>D179-E179</f>
        <v>18080.64</v>
      </c>
      <c r="G179" s="36">
        <f>F179/D179</f>
        <v>1</v>
      </c>
      <c r="H179" s="40">
        <v>13540.24</v>
      </c>
      <c r="I179" s="40">
        <v>0</v>
      </c>
      <c r="J179" s="56">
        <v>0</v>
      </c>
      <c r="K179" s="56">
        <v>0</v>
      </c>
      <c r="L179" s="40">
        <f>J179-K179</f>
        <v>0</v>
      </c>
      <c r="M179" s="36" t="e">
        <f>L179/J179</f>
        <v>#DIV/0!</v>
      </c>
      <c r="N179" s="58"/>
      <c r="O179" s="58"/>
      <c r="P179" s="58"/>
      <c r="Q179" s="58"/>
      <c r="R179" s="56">
        <v>5455.24</v>
      </c>
      <c r="S179" s="56">
        <v>0</v>
      </c>
      <c r="T179" s="40">
        <f>R179-S179</f>
        <v>5455.24</v>
      </c>
      <c r="U179" s="36">
        <f>T179/R179</f>
        <v>1</v>
      </c>
      <c r="V179" s="44">
        <v>109.34</v>
      </c>
      <c r="W179" s="44">
        <v>0</v>
      </c>
      <c r="X179" s="8">
        <f>V179-W179</f>
        <v>109.34</v>
      </c>
      <c r="Y179" s="36">
        <f>X179/V179</f>
        <v>1</v>
      </c>
      <c r="Z179" s="58"/>
      <c r="AA179" s="95" t="e">
        <f>(E179-K179-S179)/W179</f>
        <v>#DIV/0!</v>
      </c>
      <c r="AB179" s="95">
        <f>(D179-J179-R179)/V179</f>
        <v>115.46917870861532</v>
      </c>
      <c r="AC179" s="36" t="e">
        <f>(E179-K179-S179)/E179</f>
        <v>#DIV/0!</v>
      </c>
      <c r="AD179" s="60">
        <f>SUM(D179-H179)/D179</f>
        <v>0.25111942940072918</v>
      </c>
      <c r="AE179" s="80"/>
      <c r="AG179" t="s">
        <v>91</v>
      </c>
      <c r="AH179">
        <f>AK184</f>
        <v>0</v>
      </c>
      <c r="AK179" s="7">
        <f>SUM(W180-W179)</f>
        <v>0</v>
      </c>
      <c r="AL179" s="94">
        <f>SUM(K180-K179)</f>
        <v>0</v>
      </c>
    </row>
    <row r="180" spans="1:38">
      <c r="A180" s="7"/>
      <c r="B180" s="71"/>
      <c r="C180" s="93" t="s">
        <v>92</v>
      </c>
      <c r="D180" s="56">
        <v>18080.64</v>
      </c>
      <c r="E180" s="56">
        <v>0</v>
      </c>
      <c r="F180" s="40">
        <v>0</v>
      </c>
      <c r="G180" s="36">
        <f t="shared" ref="G180:G184" si="301">F180/D180</f>
        <v>0</v>
      </c>
      <c r="H180" s="40">
        <v>13540.24</v>
      </c>
      <c r="I180" s="40">
        <v>0</v>
      </c>
      <c r="J180" s="56">
        <v>0</v>
      </c>
      <c r="K180" s="56">
        <v>0</v>
      </c>
      <c r="L180" s="40">
        <f t="shared" ref="L180:L184" si="302">J180-K180</f>
        <v>0</v>
      </c>
      <c r="M180" s="36" t="e">
        <f t="shared" ref="M180:M184" si="303">L180/J180</f>
        <v>#DIV/0!</v>
      </c>
      <c r="N180" s="58"/>
      <c r="O180" s="58"/>
      <c r="P180" s="58"/>
      <c r="Q180" s="58"/>
      <c r="R180" s="56">
        <v>5455.24</v>
      </c>
      <c r="S180" s="56">
        <v>0</v>
      </c>
      <c r="T180" s="40">
        <f t="shared" ref="T180:T184" si="304">R180-S180</f>
        <v>5455.24</v>
      </c>
      <c r="U180" s="36">
        <f t="shared" ref="U180:U184" si="305">T180/R180</f>
        <v>1</v>
      </c>
      <c r="V180" s="44">
        <v>109.34</v>
      </c>
      <c r="W180" s="44">
        <v>0</v>
      </c>
      <c r="X180" s="8">
        <f t="shared" ref="X180:X184" si="306">V180-W180</f>
        <v>109.34</v>
      </c>
      <c r="Y180" s="36">
        <f t="shared" ref="Y180:Y184" si="307">X180/V180</f>
        <v>1</v>
      </c>
      <c r="Z180" s="58"/>
      <c r="AA180" s="95" t="e">
        <f t="shared" ref="AA180:AA184" si="308">(E180-K180-S180)/W180</f>
        <v>#DIV/0!</v>
      </c>
      <c r="AB180" s="95">
        <f t="shared" ref="AB180:AB184" si="309">(D180-J180-R180)/V180</f>
        <v>115.46917870861532</v>
      </c>
      <c r="AC180" s="36" t="e">
        <f t="shared" ref="AC180:AC184" si="310">(E180-K180-S180)/E180</f>
        <v>#DIV/0!</v>
      </c>
      <c r="AD180" s="60">
        <f t="shared" ref="AD180:AD183" si="311">SUM(D180-H180)/D180</f>
        <v>0.25111942940072918</v>
      </c>
      <c r="AE180" s="80"/>
      <c r="AG180" t="s">
        <v>93</v>
      </c>
      <c r="AH180" s="42">
        <f>AL184</f>
        <v>0</v>
      </c>
      <c r="AK180" s="7">
        <f>SUM(W181-W180)</f>
        <v>0</v>
      </c>
      <c r="AL180" s="94">
        <f>SUM(K181-K180)</f>
        <v>0</v>
      </c>
    </row>
    <row r="181" spans="1:38">
      <c r="A181" s="7"/>
      <c r="B181" s="71"/>
      <c r="C181" s="93" t="s">
        <v>94</v>
      </c>
      <c r="D181" s="56">
        <v>0</v>
      </c>
      <c r="E181" s="56">
        <v>0</v>
      </c>
      <c r="F181" s="40">
        <f t="shared" ref="F181:F184" si="312">D181-E181</f>
        <v>0</v>
      </c>
      <c r="G181" s="36" t="e">
        <f t="shared" si="301"/>
        <v>#DIV/0!</v>
      </c>
      <c r="H181" s="40">
        <v>0</v>
      </c>
      <c r="I181" s="40">
        <v>0</v>
      </c>
      <c r="J181" s="56">
        <f>SUM(H181-R181)</f>
        <v>0</v>
      </c>
      <c r="K181" s="56">
        <f>SUM(I181-S181)</f>
        <v>0</v>
      </c>
      <c r="L181" s="40">
        <f t="shared" si="302"/>
        <v>0</v>
      </c>
      <c r="M181" s="36" t="e">
        <f t="shared" si="303"/>
        <v>#DIV/0!</v>
      </c>
      <c r="N181" s="58"/>
      <c r="O181" s="58"/>
      <c r="P181" s="58"/>
      <c r="Q181" s="58"/>
      <c r="R181" s="56">
        <v>0</v>
      </c>
      <c r="S181" s="56">
        <v>0</v>
      </c>
      <c r="T181" s="40">
        <f t="shared" si="304"/>
        <v>0</v>
      </c>
      <c r="U181" s="36" t="e">
        <f t="shared" si="305"/>
        <v>#DIV/0!</v>
      </c>
      <c r="V181" s="44">
        <v>0</v>
      </c>
      <c r="W181" s="44">
        <v>0</v>
      </c>
      <c r="X181" s="8">
        <f t="shared" si="306"/>
        <v>0</v>
      </c>
      <c r="Y181" s="36" t="e">
        <f t="shared" si="307"/>
        <v>#DIV/0!</v>
      </c>
      <c r="Z181" s="58"/>
      <c r="AA181" s="95" t="e">
        <f t="shared" si="308"/>
        <v>#DIV/0!</v>
      </c>
      <c r="AB181" s="95" t="e">
        <f t="shared" si="309"/>
        <v>#DIV/0!</v>
      </c>
      <c r="AC181" s="36" t="e">
        <f t="shared" si="310"/>
        <v>#DIV/0!</v>
      </c>
      <c r="AD181" s="60" t="e">
        <f t="shared" si="311"/>
        <v>#DIV/0!</v>
      </c>
      <c r="AE181" s="80"/>
      <c r="AK181" s="7">
        <f>SUM(W182-W181)</f>
        <v>0</v>
      </c>
      <c r="AL181" s="94">
        <f>SUM(K182-K181)</f>
        <v>0</v>
      </c>
    </row>
    <row r="182" spans="1:38">
      <c r="A182" s="7"/>
      <c r="B182" s="71"/>
      <c r="C182" s="93" t="s">
        <v>95</v>
      </c>
      <c r="D182" s="56">
        <v>0</v>
      </c>
      <c r="E182" s="56">
        <v>0</v>
      </c>
      <c r="F182" s="40">
        <f t="shared" si="312"/>
        <v>0</v>
      </c>
      <c r="G182" s="36" t="e">
        <f t="shared" si="301"/>
        <v>#DIV/0!</v>
      </c>
      <c r="H182" s="40">
        <v>0</v>
      </c>
      <c r="I182" s="40">
        <v>0</v>
      </c>
      <c r="J182" s="56">
        <f>SUM(H182-R182)</f>
        <v>0</v>
      </c>
      <c r="K182" s="56">
        <f>SUM(I182-S182)</f>
        <v>0</v>
      </c>
      <c r="L182" s="40">
        <f t="shared" si="302"/>
        <v>0</v>
      </c>
      <c r="M182" s="36" t="e">
        <f t="shared" si="303"/>
        <v>#DIV/0!</v>
      </c>
      <c r="N182" s="58"/>
      <c r="O182" s="58"/>
      <c r="P182" s="58"/>
      <c r="Q182" s="58"/>
      <c r="R182" s="56">
        <v>0</v>
      </c>
      <c r="S182" s="56">
        <v>0</v>
      </c>
      <c r="T182" s="40">
        <f t="shared" si="304"/>
        <v>0</v>
      </c>
      <c r="U182" s="36" t="e">
        <f t="shared" si="305"/>
        <v>#DIV/0!</v>
      </c>
      <c r="V182" s="44">
        <v>0</v>
      </c>
      <c r="W182" s="44">
        <v>0</v>
      </c>
      <c r="X182" s="8">
        <f t="shared" si="306"/>
        <v>0</v>
      </c>
      <c r="Y182" s="36" t="e">
        <f t="shared" si="307"/>
        <v>#DIV/0!</v>
      </c>
      <c r="Z182" s="58"/>
      <c r="AA182" s="95" t="e">
        <f t="shared" si="308"/>
        <v>#DIV/0!</v>
      </c>
      <c r="AB182" s="95" t="e">
        <f t="shared" si="309"/>
        <v>#DIV/0!</v>
      </c>
      <c r="AC182" s="36" t="e">
        <f t="shared" si="310"/>
        <v>#DIV/0!</v>
      </c>
      <c r="AD182" s="60" t="e">
        <f t="shared" si="311"/>
        <v>#DIV/0!</v>
      </c>
      <c r="AE182" s="80"/>
      <c r="AG182" t="s">
        <v>96</v>
      </c>
      <c r="AH182" s="42">
        <v>0</v>
      </c>
      <c r="AK182" s="7">
        <f>SUM(W183-W182)</f>
        <v>0</v>
      </c>
      <c r="AL182" s="94">
        <f>SUM(K183-K182)</f>
        <v>0</v>
      </c>
    </row>
    <row r="183" spans="1:38">
      <c r="A183" s="7"/>
      <c r="B183" s="71"/>
      <c r="C183" s="93" t="s">
        <v>97</v>
      </c>
      <c r="D183" s="56">
        <v>0</v>
      </c>
      <c r="E183" s="56">
        <v>0</v>
      </c>
      <c r="F183" s="40">
        <f t="shared" si="312"/>
        <v>0</v>
      </c>
      <c r="G183" s="36" t="e">
        <f t="shared" si="301"/>
        <v>#DIV/0!</v>
      </c>
      <c r="H183" s="40">
        <v>0</v>
      </c>
      <c r="I183" s="40">
        <v>0</v>
      </c>
      <c r="J183" s="56">
        <f>SUM(H183-R183)</f>
        <v>0</v>
      </c>
      <c r="K183" s="56">
        <f>SUM(I183-S183)</f>
        <v>0</v>
      </c>
      <c r="L183" s="40">
        <f t="shared" si="302"/>
        <v>0</v>
      </c>
      <c r="M183" s="36" t="e">
        <f t="shared" si="303"/>
        <v>#DIV/0!</v>
      </c>
      <c r="N183" s="58"/>
      <c r="O183" s="58"/>
      <c r="P183" s="58"/>
      <c r="Q183" s="58"/>
      <c r="R183" s="56">
        <v>0</v>
      </c>
      <c r="S183" s="56">
        <v>0</v>
      </c>
      <c r="T183" s="40">
        <f t="shared" si="304"/>
        <v>0</v>
      </c>
      <c r="U183" s="36" t="e">
        <f t="shared" si="305"/>
        <v>#DIV/0!</v>
      </c>
      <c r="V183" s="44">
        <v>0</v>
      </c>
      <c r="W183" s="44">
        <v>0</v>
      </c>
      <c r="X183" s="8">
        <f t="shared" si="306"/>
        <v>0</v>
      </c>
      <c r="Y183" s="36" t="e">
        <f t="shared" si="307"/>
        <v>#DIV/0!</v>
      </c>
      <c r="Z183" s="58"/>
      <c r="AA183" s="95" t="e">
        <f t="shared" si="308"/>
        <v>#DIV/0!</v>
      </c>
      <c r="AB183" s="95" t="e">
        <f t="shared" si="309"/>
        <v>#DIV/0!</v>
      </c>
      <c r="AC183" s="36" t="e">
        <f t="shared" si="310"/>
        <v>#DIV/0!</v>
      </c>
      <c r="AD183" s="60" t="e">
        <f t="shared" si="311"/>
        <v>#DIV/0!</v>
      </c>
      <c r="AE183" s="80"/>
      <c r="AK183" s="7">
        <f>SUM(W184-W183)</f>
        <v>0</v>
      </c>
      <c r="AL183" s="94">
        <f>SUM(K184-K183)</f>
        <v>0</v>
      </c>
    </row>
    <row r="184" spans="1:38">
      <c r="A184" s="9"/>
      <c r="B184" s="72"/>
      <c r="C184" s="98" t="s">
        <v>98</v>
      </c>
      <c r="D184" s="56">
        <v>0</v>
      </c>
      <c r="E184" s="56">
        <v>0</v>
      </c>
      <c r="F184" s="40">
        <f t="shared" si="312"/>
        <v>0</v>
      </c>
      <c r="G184" s="36" t="e">
        <f t="shared" si="301"/>
        <v>#DIV/0!</v>
      </c>
      <c r="H184" s="40">
        <v>0</v>
      </c>
      <c r="I184" s="40">
        <v>0</v>
      </c>
      <c r="J184" s="56">
        <f>SUM(H184-R184)</f>
        <v>0</v>
      </c>
      <c r="K184" s="56">
        <f>SUM(I184-S184)</f>
        <v>0</v>
      </c>
      <c r="L184" s="40">
        <f t="shared" si="302"/>
        <v>0</v>
      </c>
      <c r="M184" s="36" t="e">
        <f t="shared" si="303"/>
        <v>#DIV/0!</v>
      </c>
      <c r="N184" s="58"/>
      <c r="O184" s="58"/>
      <c r="P184" s="58"/>
      <c r="Q184" s="58"/>
      <c r="R184" s="56">
        <v>0</v>
      </c>
      <c r="S184" s="56">
        <v>0</v>
      </c>
      <c r="T184" s="40">
        <f t="shared" si="304"/>
        <v>0</v>
      </c>
      <c r="U184" s="36" t="e">
        <f t="shared" si="305"/>
        <v>#DIV/0!</v>
      </c>
      <c r="V184" s="44">
        <v>0</v>
      </c>
      <c r="W184" s="44">
        <v>0</v>
      </c>
      <c r="X184" s="8">
        <f t="shared" si="306"/>
        <v>0</v>
      </c>
      <c r="Y184" s="36" t="e">
        <f t="shared" si="307"/>
        <v>#DIV/0!</v>
      </c>
      <c r="Z184" s="58"/>
      <c r="AA184" s="95" t="e">
        <f t="shared" si="308"/>
        <v>#DIV/0!</v>
      </c>
      <c r="AB184" s="95" t="e">
        <f t="shared" si="309"/>
        <v>#DIV/0!</v>
      </c>
      <c r="AC184" s="36" t="e">
        <f t="shared" si="310"/>
        <v>#DIV/0!</v>
      </c>
      <c r="AD184" s="60" t="e">
        <f>SUM(D184-H184)/D184</f>
        <v>#DIV/0!</v>
      </c>
      <c r="AE184" s="80"/>
      <c r="AK184" s="9">
        <f>SUM(AK179,AK180,AK181,AK182,AK183)</f>
        <v>0</v>
      </c>
      <c r="AL184" s="97">
        <f>SUM(AL179,AL180,AL181,AL182,AL183)</f>
        <v>0</v>
      </c>
    </row>
    <row r="185" spans="1:38" ht="9" customHeight="1">
      <c r="A185" s="274"/>
      <c r="B185" s="275"/>
      <c r="C185" s="275"/>
      <c r="D185" s="275"/>
      <c r="E185" s="275"/>
      <c r="F185" s="275"/>
      <c r="G185" s="275"/>
      <c r="H185" s="275"/>
      <c r="I185" s="275"/>
      <c r="J185" s="275"/>
      <c r="K185" s="275"/>
      <c r="L185" s="275"/>
      <c r="M185" s="275"/>
      <c r="N185" s="275"/>
      <c r="O185" s="275"/>
      <c r="P185" s="275"/>
      <c r="Q185" s="275"/>
      <c r="R185" s="275"/>
      <c r="S185" s="275"/>
      <c r="T185" s="275"/>
      <c r="U185" s="275"/>
      <c r="V185" s="275"/>
      <c r="W185" s="275"/>
      <c r="X185" s="275"/>
      <c r="Y185" s="275"/>
      <c r="Z185" s="275"/>
      <c r="AA185" s="275"/>
      <c r="AB185" s="275"/>
      <c r="AC185" s="275"/>
      <c r="AD185" s="276"/>
    </row>
    <row r="186" spans="1:38">
      <c r="A186" s="7">
        <f>'Main Sheet'!A56</f>
        <v>7429</v>
      </c>
      <c r="B186" s="7" t="str">
        <f>'Main Sheet'!B56</f>
        <v>Taggart House</v>
      </c>
      <c r="C186" s="93" t="s">
        <v>90</v>
      </c>
      <c r="D186" s="56">
        <v>17608.259999999998</v>
      </c>
      <c r="E186" s="56">
        <v>0</v>
      </c>
      <c r="F186" s="40">
        <f>D186-E186</f>
        <v>17608.259999999998</v>
      </c>
      <c r="G186" s="36">
        <f>F186/D186</f>
        <v>1</v>
      </c>
      <c r="H186" s="40">
        <v>14076.97</v>
      </c>
      <c r="I186" s="40">
        <v>0</v>
      </c>
      <c r="J186" s="56">
        <v>0</v>
      </c>
      <c r="K186" s="56">
        <v>0</v>
      </c>
      <c r="L186" s="40">
        <f>J186-K186</f>
        <v>0</v>
      </c>
      <c r="M186" s="36" t="e">
        <f>L186/J186</f>
        <v>#DIV/0!</v>
      </c>
      <c r="N186" s="58"/>
      <c r="O186" s="58"/>
      <c r="P186" s="58"/>
      <c r="Q186" s="58"/>
      <c r="R186" s="56">
        <v>5790.51</v>
      </c>
      <c r="S186" s="56">
        <v>0</v>
      </c>
      <c r="T186" s="40">
        <f>R186-S186</f>
        <v>5790.51</v>
      </c>
      <c r="U186" s="36">
        <f>T186/R186</f>
        <v>1</v>
      </c>
      <c r="V186" s="44">
        <v>116.13</v>
      </c>
      <c r="W186" s="44">
        <v>0</v>
      </c>
      <c r="X186" s="8">
        <f>V186-W186</f>
        <v>116.13</v>
      </c>
      <c r="Y186" s="36">
        <f>X186/V186</f>
        <v>1</v>
      </c>
      <c r="Z186" s="58"/>
      <c r="AA186" s="95" t="e">
        <f>(E186-K186-S186)/W186</f>
        <v>#DIV/0!</v>
      </c>
      <c r="AB186" s="95">
        <f>(D186-J186-R186)/V186</f>
        <v>101.7631103074141</v>
      </c>
      <c r="AC186" s="36" t="e">
        <f>(E186-K186-S186)/E186</f>
        <v>#DIV/0!</v>
      </c>
      <c r="AD186" s="60">
        <f>SUM(D186-H186)/D186</f>
        <v>0.20054735675188801</v>
      </c>
      <c r="AE186" s="80"/>
      <c r="AG186" t="s">
        <v>91</v>
      </c>
      <c r="AH186">
        <f>AK191</f>
        <v>0</v>
      </c>
      <c r="AK186" s="7">
        <f>SUM(W187-W186)</f>
        <v>0</v>
      </c>
      <c r="AL186" s="94">
        <f>SUM(K187-K186)</f>
        <v>0</v>
      </c>
    </row>
    <row r="187" spans="1:38">
      <c r="A187" s="7"/>
      <c r="B187" s="71"/>
      <c r="C187" s="93" t="s">
        <v>92</v>
      </c>
      <c r="D187" s="56">
        <v>17608.259999999998</v>
      </c>
      <c r="E187" s="56">
        <v>0</v>
      </c>
      <c r="F187" s="40">
        <v>0</v>
      </c>
      <c r="G187" s="36">
        <f t="shared" ref="G187:G191" si="313">F187/D187</f>
        <v>0</v>
      </c>
      <c r="H187" s="40">
        <v>14076.97</v>
      </c>
      <c r="I187" s="40">
        <v>0</v>
      </c>
      <c r="J187" s="56">
        <v>0</v>
      </c>
      <c r="K187" s="56">
        <v>0</v>
      </c>
      <c r="L187" s="40">
        <f t="shared" ref="L187:L191" si="314">J187-K187</f>
        <v>0</v>
      </c>
      <c r="M187" s="36" t="e">
        <f t="shared" ref="M187:M191" si="315">L187/J187</f>
        <v>#DIV/0!</v>
      </c>
      <c r="N187" s="58"/>
      <c r="O187" s="58"/>
      <c r="P187" s="58"/>
      <c r="Q187" s="58"/>
      <c r="R187" s="56">
        <v>5790.51</v>
      </c>
      <c r="S187" s="56">
        <v>0</v>
      </c>
      <c r="T187" s="40">
        <f t="shared" ref="T187:T191" si="316">R187-S187</f>
        <v>5790.51</v>
      </c>
      <c r="U187" s="36">
        <f t="shared" ref="U187:U191" si="317">T187/R187</f>
        <v>1</v>
      </c>
      <c r="V187" s="44">
        <v>116.13</v>
      </c>
      <c r="W187" s="44">
        <v>0</v>
      </c>
      <c r="X187" s="8">
        <f t="shared" ref="X187:X191" si="318">V187-W187</f>
        <v>116.13</v>
      </c>
      <c r="Y187" s="36">
        <f t="shared" ref="Y187:Y191" si="319">X187/V187</f>
        <v>1</v>
      </c>
      <c r="Z187" s="58"/>
      <c r="AA187" s="95" t="e">
        <f t="shared" ref="AA187:AA191" si="320">(E187-K187-S187)/W187</f>
        <v>#DIV/0!</v>
      </c>
      <c r="AB187" s="95">
        <f t="shared" ref="AB187:AB191" si="321">(D187-J187-R187)/V187</f>
        <v>101.7631103074141</v>
      </c>
      <c r="AC187" s="36" t="e">
        <f t="shared" ref="AC187:AC191" si="322">(E187-K187-S187)/E187</f>
        <v>#DIV/0!</v>
      </c>
      <c r="AD187" s="60">
        <f t="shared" ref="AD187:AD190" si="323">SUM(D187-H187)/D187</f>
        <v>0.20054735675188801</v>
      </c>
      <c r="AE187" s="80"/>
      <c r="AG187" t="s">
        <v>93</v>
      </c>
      <c r="AH187" s="42">
        <f>AL191</f>
        <v>0</v>
      </c>
      <c r="AK187" s="7">
        <f>SUM(W188-W187)</f>
        <v>0</v>
      </c>
      <c r="AL187" s="94">
        <f>SUM(K188-K187)</f>
        <v>0</v>
      </c>
    </row>
    <row r="188" spans="1:38">
      <c r="A188" s="7"/>
      <c r="B188" s="71"/>
      <c r="C188" s="93" t="s">
        <v>94</v>
      </c>
      <c r="D188" s="56">
        <v>0</v>
      </c>
      <c r="E188" s="56">
        <v>0</v>
      </c>
      <c r="F188" s="40">
        <f t="shared" ref="F188:F191" si="324">D188-E188</f>
        <v>0</v>
      </c>
      <c r="G188" s="36" t="e">
        <f t="shared" si="313"/>
        <v>#DIV/0!</v>
      </c>
      <c r="H188" s="40">
        <v>0</v>
      </c>
      <c r="I188" s="40">
        <v>0</v>
      </c>
      <c r="J188" s="56">
        <f>SUM(H188-R188)</f>
        <v>0</v>
      </c>
      <c r="K188" s="56">
        <f>SUM(I188-S188)</f>
        <v>0</v>
      </c>
      <c r="L188" s="40">
        <f t="shared" si="314"/>
        <v>0</v>
      </c>
      <c r="M188" s="36" t="e">
        <f t="shared" si="315"/>
        <v>#DIV/0!</v>
      </c>
      <c r="N188" s="58"/>
      <c r="O188" s="58"/>
      <c r="P188" s="58"/>
      <c r="Q188" s="58"/>
      <c r="R188" s="56">
        <v>0</v>
      </c>
      <c r="S188" s="56">
        <v>0</v>
      </c>
      <c r="T188" s="40">
        <f t="shared" si="316"/>
        <v>0</v>
      </c>
      <c r="U188" s="36" t="e">
        <f t="shared" si="317"/>
        <v>#DIV/0!</v>
      </c>
      <c r="V188" s="44">
        <v>0</v>
      </c>
      <c r="W188" s="44">
        <v>0</v>
      </c>
      <c r="X188" s="8">
        <f t="shared" si="318"/>
        <v>0</v>
      </c>
      <c r="Y188" s="36" t="e">
        <f t="shared" si="319"/>
        <v>#DIV/0!</v>
      </c>
      <c r="Z188" s="58"/>
      <c r="AA188" s="95" t="e">
        <f t="shared" si="320"/>
        <v>#DIV/0!</v>
      </c>
      <c r="AB188" s="95" t="e">
        <f t="shared" si="321"/>
        <v>#DIV/0!</v>
      </c>
      <c r="AC188" s="36" t="e">
        <f t="shared" si="322"/>
        <v>#DIV/0!</v>
      </c>
      <c r="AD188" s="60" t="e">
        <f t="shared" si="323"/>
        <v>#DIV/0!</v>
      </c>
      <c r="AE188" s="80"/>
      <c r="AK188" s="7">
        <f>SUM(W189-W188)</f>
        <v>0</v>
      </c>
      <c r="AL188" s="94">
        <f>SUM(K189-K188)</f>
        <v>0</v>
      </c>
    </row>
    <row r="189" spans="1:38">
      <c r="A189" s="7"/>
      <c r="B189" s="71"/>
      <c r="C189" s="93" t="s">
        <v>95</v>
      </c>
      <c r="D189" s="56">
        <v>0</v>
      </c>
      <c r="E189" s="56">
        <v>0</v>
      </c>
      <c r="F189" s="40">
        <f t="shared" si="324"/>
        <v>0</v>
      </c>
      <c r="G189" s="36" t="e">
        <f t="shared" si="313"/>
        <v>#DIV/0!</v>
      </c>
      <c r="H189" s="40">
        <v>0</v>
      </c>
      <c r="I189" s="40">
        <v>0</v>
      </c>
      <c r="J189" s="56">
        <f>SUM(H189-R189)</f>
        <v>0</v>
      </c>
      <c r="K189" s="56">
        <f>SUM(I189-S189)</f>
        <v>0</v>
      </c>
      <c r="L189" s="40">
        <f t="shared" si="314"/>
        <v>0</v>
      </c>
      <c r="M189" s="36" t="e">
        <f t="shared" si="315"/>
        <v>#DIV/0!</v>
      </c>
      <c r="N189" s="58"/>
      <c r="O189" s="58"/>
      <c r="P189" s="58"/>
      <c r="Q189" s="58"/>
      <c r="R189" s="56">
        <v>0</v>
      </c>
      <c r="S189" s="56">
        <v>0</v>
      </c>
      <c r="T189" s="40">
        <f t="shared" si="316"/>
        <v>0</v>
      </c>
      <c r="U189" s="36" t="e">
        <f t="shared" si="317"/>
        <v>#DIV/0!</v>
      </c>
      <c r="V189" s="44">
        <v>0</v>
      </c>
      <c r="W189" s="44">
        <v>0</v>
      </c>
      <c r="X189" s="8">
        <f t="shared" si="318"/>
        <v>0</v>
      </c>
      <c r="Y189" s="36" t="e">
        <f t="shared" si="319"/>
        <v>#DIV/0!</v>
      </c>
      <c r="Z189" s="58"/>
      <c r="AA189" s="95" t="e">
        <f t="shared" si="320"/>
        <v>#DIV/0!</v>
      </c>
      <c r="AB189" s="95" t="e">
        <f t="shared" si="321"/>
        <v>#DIV/0!</v>
      </c>
      <c r="AC189" s="36" t="e">
        <f t="shared" si="322"/>
        <v>#DIV/0!</v>
      </c>
      <c r="AD189" s="60" t="e">
        <f t="shared" si="323"/>
        <v>#DIV/0!</v>
      </c>
      <c r="AE189" s="80"/>
      <c r="AG189" t="s">
        <v>96</v>
      </c>
      <c r="AH189" s="42">
        <v>0</v>
      </c>
      <c r="AK189" s="7">
        <f>SUM(W190-W189)</f>
        <v>0</v>
      </c>
      <c r="AL189" s="94">
        <f>SUM(K190-K189)</f>
        <v>0</v>
      </c>
    </row>
    <row r="190" spans="1:38">
      <c r="A190" s="7"/>
      <c r="B190" s="71"/>
      <c r="C190" s="93" t="s">
        <v>97</v>
      </c>
      <c r="D190" s="56">
        <v>0</v>
      </c>
      <c r="E190" s="56">
        <v>0</v>
      </c>
      <c r="F190" s="40">
        <f t="shared" si="324"/>
        <v>0</v>
      </c>
      <c r="G190" s="36" t="e">
        <f t="shared" si="313"/>
        <v>#DIV/0!</v>
      </c>
      <c r="H190" s="40">
        <v>0</v>
      </c>
      <c r="I190" s="40">
        <v>0</v>
      </c>
      <c r="J190" s="56">
        <f>SUM(H190-R190)</f>
        <v>0</v>
      </c>
      <c r="K190" s="56">
        <f>SUM(I190-S190)</f>
        <v>0</v>
      </c>
      <c r="L190" s="40">
        <f t="shared" si="314"/>
        <v>0</v>
      </c>
      <c r="M190" s="36" t="e">
        <f t="shared" si="315"/>
        <v>#DIV/0!</v>
      </c>
      <c r="N190" s="58"/>
      <c r="O190" s="58"/>
      <c r="P190" s="58"/>
      <c r="Q190" s="58"/>
      <c r="R190" s="56">
        <v>0</v>
      </c>
      <c r="S190" s="56">
        <v>0</v>
      </c>
      <c r="T190" s="40">
        <f t="shared" si="316"/>
        <v>0</v>
      </c>
      <c r="U190" s="36" t="e">
        <f t="shared" si="317"/>
        <v>#DIV/0!</v>
      </c>
      <c r="V190" s="44">
        <v>0</v>
      </c>
      <c r="W190" s="44">
        <v>0</v>
      </c>
      <c r="X190" s="8">
        <f t="shared" si="318"/>
        <v>0</v>
      </c>
      <c r="Y190" s="36" t="e">
        <f t="shared" si="319"/>
        <v>#DIV/0!</v>
      </c>
      <c r="Z190" s="58"/>
      <c r="AA190" s="95" t="e">
        <f t="shared" si="320"/>
        <v>#DIV/0!</v>
      </c>
      <c r="AB190" s="95" t="e">
        <f t="shared" si="321"/>
        <v>#DIV/0!</v>
      </c>
      <c r="AC190" s="36" t="e">
        <f t="shared" si="322"/>
        <v>#DIV/0!</v>
      </c>
      <c r="AD190" s="60" t="e">
        <f t="shared" si="323"/>
        <v>#DIV/0!</v>
      </c>
      <c r="AE190" s="80"/>
      <c r="AK190" s="7">
        <f>SUM(W191-W190)</f>
        <v>0</v>
      </c>
      <c r="AL190" s="94">
        <f>SUM(K191-K190)</f>
        <v>0</v>
      </c>
    </row>
    <row r="191" spans="1:38">
      <c r="A191" s="9"/>
      <c r="B191" s="72"/>
      <c r="C191" s="98" t="s">
        <v>98</v>
      </c>
      <c r="D191" s="56">
        <v>0</v>
      </c>
      <c r="E191" s="56">
        <v>0</v>
      </c>
      <c r="F191" s="40">
        <f t="shared" si="324"/>
        <v>0</v>
      </c>
      <c r="G191" s="36" t="e">
        <f t="shared" si="313"/>
        <v>#DIV/0!</v>
      </c>
      <c r="H191" s="40">
        <v>0</v>
      </c>
      <c r="I191" s="40">
        <v>0</v>
      </c>
      <c r="J191" s="56">
        <f>SUM(H191-R191)</f>
        <v>0</v>
      </c>
      <c r="K191" s="56">
        <f>SUM(I191-S191)</f>
        <v>0</v>
      </c>
      <c r="L191" s="40">
        <f t="shared" si="314"/>
        <v>0</v>
      </c>
      <c r="M191" s="36" t="e">
        <f t="shared" si="315"/>
        <v>#DIV/0!</v>
      </c>
      <c r="N191" s="58"/>
      <c r="O191" s="58"/>
      <c r="P191" s="58"/>
      <c r="Q191" s="58"/>
      <c r="R191" s="56">
        <v>0</v>
      </c>
      <c r="S191" s="56">
        <v>0</v>
      </c>
      <c r="T191" s="40">
        <f t="shared" si="316"/>
        <v>0</v>
      </c>
      <c r="U191" s="36" t="e">
        <f t="shared" si="317"/>
        <v>#DIV/0!</v>
      </c>
      <c r="V191" s="44">
        <v>0</v>
      </c>
      <c r="W191" s="44">
        <v>0</v>
      </c>
      <c r="X191" s="8">
        <f t="shared" si="318"/>
        <v>0</v>
      </c>
      <c r="Y191" s="36" t="e">
        <f t="shared" si="319"/>
        <v>#DIV/0!</v>
      </c>
      <c r="Z191" s="58"/>
      <c r="AA191" s="95" t="e">
        <f t="shared" si="320"/>
        <v>#DIV/0!</v>
      </c>
      <c r="AB191" s="95" t="e">
        <f t="shared" si="321"/>
        <v>#DIV/0!</v>
      </c>
      <c r="AC191" s="36" t="e">
        <f t="shared" si="322"/>
        <v>#DIV/0!</v>
      </c>
      <c r="AD191" s="60" t="e">
        <f>SUM(D191-H191)/D191</f>
        <v>#DIV/0!</v>
      </c>
      <c r="AE191" s="80"/>
      <c r="AK191" s="9">
        <f>SUM(AK186,AK187,AK188,AK189,AK190)</f>
        <v>0</v>
      </c>
      <c r="AL191" s="97">
        <f>SUM(AL186,AL187,AL188,AL189,AL190)</f>
        <v>0</v>
      </c>
    </row>
    <row r="192" spans="1:38" ht="9" customHeight="1">
      <c r="A192" s="274"/>
      <c r="B192" s="275"/>
      <c r="C192" s="275"/>
      <c r="D192" s="275"/>
      <c r="E192" s="275"/>
      <c r="F192" s="275"/>
      <c r="G192" s="275"/>
      <c r="H192" s="275"/>
      <c r="I192" s="275"/>
      <c r="J192" s="275"/>
      <c r="K192" s="275"/>
      <c r="L192" s="275"/>
      <c r="M192" s="275"/>
      <c r="N192" s="275"/>
      <c r="O192" s="275"/>
      <c r="P192" s="275"/>
      <c r="Q192" s="275"/>
      <c r="R192" s="275"/>
      <c r="S192" s="275"/>
      <c r="T192" s="275"/>
      <c r="U192" s="275"/>
      <c r="V192" s="275"/>
      <c r="W192" s="275"/>
      <c r="X192" s="275"/>
      <c r="Y192" s="275"/>
      <c r="Z192" s="275"/>
      <c r="AA192" s="275"/>
      <c r="AB192" s="275"/>
      <c r="AC192" s="275"/>
      <c r="AD192" s="276"/>
    </row>
    <row r="193" spans="1:38">
      <c r="A193" s="7">
        <f>'Main Sheet'!A58</f>
        <v>9508</v>
      </c>
      <c r="B193" s="71" t="str">
        <f>'Main Sheet'!B58</f>
        <v>St Barnabas Church</v>
      </c>
      <c r="C193" s="93" t="s">
        <v>90</v>
      </c>
      <c r="D193" s="56">
        <v>19572.810000000001</v>
      </c>
      <c r="E193" s="56">
        <v>0</v>
      </c>
      <c r="F193" s="40">
        <f>D193-E193</f>
        <v>19572.810000000001</v>
      </c>
      <c r="G193" s="36">
        <f>F193/D193</f>
        <v>1</v>
      </c>
      <c r="H193" s="40">
        <v>11314.42</v>
      </c>
      <c r="I193" s="40">
        <v>0</v>
      </c>
      <c r="J193" s="56">
        <v>0</v>
      </c>
      <c r="K193" s="56">
        <v>0</v>
      </c>
      <c r="L193" s="40">
        <f>J193-K193</f>
        <v>0</v>
      </c>
      <c r="M193" s="36" t="e">
        <f>L193/J193</f>
        <v>#DIV/0!</v>
      </c>
      <c r="N193" s="58">
        <v>0</v>
      </c>
      <c r="O193" s="58"/>
      <c r="P193" s="58"/>
      <c r="Q193" s="58"/>
      <c r="R193" s="56">
        <v>5290.42</v>
      </c>
      <c r="S193" s="56">
        <v>0</v>
      </c>
      <c r="T193" s="40">
        <f>R193-S193</f>
        <v>5290.42</v>
      </c>
      <c r="U193" s="36">
        <f>T193/R193</f>
        <v>1</v>
      </c>
      <c r="V193" s="44">
        <v>105</v>
      </c>
      <c r="W193" s="44">
        <v>0</v>
      </c>
      <c r="X193" s="8">
        <f>V193-W193</f>
        <v>105</v>
      </c>
      <c r="Y193" s="36">
        <f>X193/V193</f>
        <v>1</v>
      </c>
      <c r="Z193" s="58">
        <v>0</v>
      </c>
      <c r="AA193" s="95" t="e">
        <f>(E193-K193-S193)/W193</f>
        <v>#DIV/0!</v>
      </c>
      <c r="AB193" s="95">
        <f>(D193-J193-R193)/V193</f>
        <v>136.02276190476192</v>
      </c>
      <c r="AC193" s="36" t="e">
        <f>(E193-K193-S193)/E193</f>
        <v>#DIV/0!</v>
      </c>
      <c r="AD193" s="60">
        <f>SUM(D193-H193)/D193</f>
        <v>0.42193175124062415</v>
      </c>
      <c r="AE193" s="80"/>
      <c r="AG193" t="s">
        <v>91</v>
      </c>
      <c r="AH193">
        <f>AK198</f>
        <v>0</v>
      </c>
      <c r="AK193" s="7">
        <f>SUM(W194-W193)</f>
        <v>0</v>
      </c>
      <c r="AL193" s="94">
        <f>SUM(K194-K193)</f>
        <v>0</v>
      </c>
    </row>
    <row r="194" spans="1:38">
      <c r="A194" s="7"/>
      <c r="B194" s="71"/>
      <c r="C194" s="93" t="s">
        <v>92</v>
      </c>
      <c r="D194" s="56">
        <v>0</v>
      </c>
      <c r="E194" s="56">
        <v>0</v>
      </c>
      <c r="F194" s="40">
        <v>0</v>
      </c>
      <c r="G194" s="36" t="e">
        <f t="shared" ref="G194:G198" si="325">F194/D194</f>
        <v>#DIV/0!</v>
      </c>
      <c r="H194" s="40">
        <v>0</v>
      </c>
      <c r="I194" s="40">
        <v>0</v>
      </c>
      <c r="J194" s="56">
        <v>0</v>
      </c>
      <c r="K194" s="56">
        <v>0</v>
      </c>
      <c r="L194" s="40">
        <f t="shared" ref="L194:L198" si="326">J194-K194</f>
        <v>0</v>
      </c>
      <c r="M194" s="36" t="e">
        <f t="shared" ref="M194:M198" si="327">L194/J194</f>
        <v>#DIV/0!</v>
      </c>
      <c r="N194" s="58"/>
      <c r="O194" s="58"/>
      <c r="P194" s="58"/>
      <c r="Q194" s="58"/>
      <c r="R194" s="56">
        <v>0</v>
      </c>
      <c r="S194" s="56">
        <v>0</v>
      </c>
      <c r="T194" s="40">
        <f t="shared" ref="T194:T198" si="328">R194-S194</f>
        <v>0</v>
      </c>
      <c r="U194" s="36" t="e">
        <f t="shared" ref="U194:U198" si="329">T194/R194</f>
        <v>#DIV/0!</v>
      </c>
      <c r="V194" s="44">
        <v>0</v>
      </c>
      <c r="W194" s="44">
        <v>0</v>
      </c>
      <c r="X194" s="8">
        <f t="shared" ref="X194:X198" si="330">V194-W194</f>
        <v>0</v>
      </c>
      <c r="Y194" s="36" t="e">
        <f t="shared" ref="Y194:Y198" si="331">X194/V194</f>
        <v>#DIV/0!</v>
      </c>
      <c r="Z194" s="58"/>
      <c r="AA194" s="95" t="e">
        <f t="shared" ref="AA194:AA198" si="332">(E194-K194-S194)/W194</f>
        <v>#DIV/0!</v>
      </c>
      <c r="AB194" s="95" t="e">
        <f t="shared" ref="AB194:AB198" si="333">(D194-J194-R194)/V194</f>
        <v>#DIV/0!</v>
      </c>
      <c r="AC194" s="36" t="e">
        <f t="shared" ref="AC194:AC198" si="334">(E194-K194-S194)/E194</f>
        <v>#DIV/0!</v>
      </c>
      <c r="AD194" s="60" t="e">
        <f t="shared" ref="AD194:AD197" si="335">SUM(D194-H194)/D194</f>
        <v>#DIV/0!</v>
      </c>
      <c r="AE194" s="80"/>
      <c r="AG194" t="s">
        <v>93</v>
      </c>
      <c r="AH194" s="42">
        <f>AL198</f>
        <v>0</v>
      </c>
      <c r="AK194" s="7">
        <f>SUM(W195-W194)</f>
        <v>0</v>
      </c>
      <c r="AL194" s="94">
        <f>SUM(K195-K194)</f>
        <v>0</v>
      </c>
    </row>
    <row r="195" spans="1:38">
      <c r="A195" s="7"/>
      <c r="B195" s="71"/>
      <c r="C195" s="93" t="s">
        <v>94</v>
      </c>
      <c r="D195" s="56">
        <v>0</v>
      </c>
      <c r="E195" s="56">
        <v>0</v>
      </c>
      <c r="F195" s="40">
        <f t="shared" ref="F195:F198" si="336">D195-E195</f>
        <v>0</v>
      </c>
      <c r="G195" s="36" t="e">
        <f t="shared" si="325"/>
        <v>#DIV/0!</v>
      </c>
      <c r="H195" s="40">
        <v>0</v>
      </c>
      <c r="I195" s="40">
        <v>0</v>
      </c>
      <c r="J195" s="56">
        <f>SUM(H195-R195)</f>
        <v>0</v>
      </c>
      <c r="K195" s="56">
        <f>SUM(I195-S195)</f>
        <v>0</v>
      </c>
      <c r="L195" s="40">
        <f t="shared" si="326"/>
        <v>0</v>
      </c>
      <c r="M195" s="36" t="e">
        <f t="shared" si="327"/>
        <v>#DIV/0!</v>
      </c>
      <c r="N195" s="58"/>
      <c r="O195" s="58"/>
      <c r="P195" s="58"/>
      <c r="Q195" s="58"/>
      <c r="R195" s="56">
        <v>0</v>
      </c>
      <c r="S195" s="56">
        <v>0</v>
      </c>
      <c r="T195" s="40">
        <f t="shared" si="328"/>
        <v>0</v>
      </c>
      <c r="U195" s="36" t="e">
        <f t="shared" si="329"/>
        <v>#DIV/0!</v>
      </c>
      <c r="V195" s="44">
        <v>0</v>
      </c>
      <c r="W195" s="44">
        <v>0</v>
      </c>
      <c r="X195" s="8">
        <f t="shared" si="330"/>
        <v>0</v>
      </c>
      <c r="Y195" s="36" t="e">
        <f t="shared" si="331"/>
        <v>#DIV/0!</v>
      </c>
      <c r="Z195" s="58"/>
      <c r="AA195" s="95" t="e">
        <f t="shared" si="332"/>
        <v>#DIV/0!</v>
      </c>
      <c r="AB195" s="95" t="e">
        <f t="shared" si="333"/>
        <v>#DIV/0!</v>
      </c>
      <c r="AC195" s="36" t="e">
        <f t="shared" si="334"/>
        <v>#DIV/0!</v>
      </c>
      <c r="AD195" s="60" t="e">
        <f t="shared" si="335"/>
        <v>#DIV/0!</v>
      </c>
      <c r="AE195" s="80"/>
      <c r="AK195" s="7">
        <f>SUM(W196-W195)</f>
        <v>0</v>
      </c>
      <c r="AL195" s="94">
        <f>SUM(K196-K195)</f>
        <v>0</v>
      </c>
    </row>
    <row r="196" spans="1:38">
      <c r="A196" s="7"/>
      <c r="B196" s="71"/>
      <c r="C196" s="93" t="s">
        <v>95</v>
      </c>
      <c r="D196" s="56">
        <v>0</v>
      </c>
      <c r="E196" s="56">
        <v>0</v>
      </c>
      <c r="F196" s="40">
        <f t="shared" si="336"/>
        <v>0</v>
      </c>
      <c r="G196" s="36" t="e">
        <f t="shared" si="325"/>
        <v>#DIV/0!</v>
      </c>
      <c r="H196" s="40">
        <v>0</v>
      </c>
      <c r="I196" s="40">
        <v>0</v>
      </c>
      <c r="J196" s="56">
        <f>SUM(H196-R196)</f>
        <v>0</v>
      </c>
      <c r="K196" s="56">
        <f>SUM(I196-S196)</f>
        <v>0</v>
      </c>
      <c r="L196" s="40">
        <f t="shared" si="326"/>
        <v>0</v>
      </c>
      <c r="M196" s="36" t="e">
        <f t="shared" si="327"/>
        <v>#DIV/0!</v>
      </c>
      <c r="N196" s="58"/>
      <c r="O196" s="58"/>
      <c r="P196" s="58"/>
      <c r="Q196" s="58"/>
      <c r="R196" s="56">
        <v>0</v>
      </c>
      <c r="S196" s="56">
        <v>0</v>
      </c>
      <c r="T196" s="40">
        <f t="shared" si="328"/>
        <v>0</v>
      </c>
      <c r="U196" s="36" t="e">
        <f t="shared" si="329"/>
        <v>#DIV/0!</v>
      </c>
      <c r="V196" s="44">
        <v>0</v>
      </c>
      <c r="W196" s="44">
        <v>0</v>
      </c>
      <c r="X196" s="8">
        <f t="shared" si="330"/>
        <v>0</v>
      </c>
      <c r="Y196" s="36" t="e">
        <f t="shared" si="331"/>
        <v>#DIV/0!</v>
      </c>
      <c r="Z196" s="58"/>
      <c r="AA196" s="95" t="e">
        <f t="shared" si="332"/>
        <v>#DIV/0!</v>
      </c>
      <c r="AB196" s="95" t="e">
        <f t="shared" si="333"/>
        <v>#DIV/0!</v>
      </c>
      <c r="AC196" s="36" t="e">
        <f t="shared" si="334"/>
        <v>#DIV/0!</v>
      </c>
      <c r="AD196" s="60" t="e">
        <f t="shared" si="335"/>
        <v>#DIV/0!</v>
      </c>
      <c r="AE196" s="80"/>
      <c r="AG196" t="s">
        <v>96</v>
      </c>
      <c r="AH196" s="42">
        <v>0</v>
      </c>
      <c r="AK196" s="7">
        <f>SUM(W197-W196)</f>
        <v>0</v>
      </c>
      <c r="AL196" s="94">
        <f>SUM(K197-K196)</f>
        <v>0</v>
      </c>
    </row>
    <row r="197" spans="1:38">
      <c r="A197" s="7"/>
      <c r="B197" s="71"/>
      <c r="C197" s="93" t="s">
        <v>97</v>
      </c>
      <c r="D197" s="56">
        <v>0</v>
      </c>
      <c r="E197" s="56">
        <v>0</v>
      </c>
      <c r="F197" s="40">
        <f t="shared" si="336"/>
        <v>0</v>
      </c>
      <c r="G197" s="36" t="e">
        <f t="shared" si="325"/>
        <v>#DIV/0!</v>
      </c>
      <c r="H197" s="40">
        <v>0</v>
      </c>
      <c r="I197" s="40">
        <v>0</v>
      </c>
      <c r="J197" s="56">
        <f>SUM(H197-R197)</f>
        <v>0</v>
      </c>
      <c r="K197" s="56">
        <f>SUM(I197-S197)</f>
        <v>0</v>
      </c>
      <c r="L197" s="40">
        <f t="shared" si="326"/>
        <v>0</v>
      </c>
      <c r="M197" s="36" t="e">
        <f t="shared" si="327"/>
        <v>#DIV/0!</v>
      </c>
      <c r="N197" s="58"/>
      <c r="O197" s="58"/>
      <c r="P197" s="58"/>
      <c r="Q197" s="58"/>
      <c r="R197" s="56">
        <v>0</v>
      </c>
      <c r="S197" s="56">
        <v>0</v>
      </c>
      <c r="T197" s="40">
        <f t="shared" si="328"/>
        <v>0</v>
      </c>
      <c r="U197" s="36" t="e">
        <f t="shared" si="329"/>
        <v>#DIV/0!</v>
      </c>
      <c r="V197" s="44">
        <v>0</v>
      </c>
      <c r="W197" s="44">
        <v>0</v>
      </c>
      <c r="X197" s="8">
        <f t="shared" si="330"/>
        <v>0</v>
      </c>
      <c r="Y197" s="36" t="e">
        <f t="shared" si="331"/>
        <v>#DIV/0!</v>
      </c>
      <c r="Z197" s="58"/>
      <c r="AA197" s="95" t="e">
        <f t="shared" si="332"/>
        <v>#DIV/0!</v>
      </c>
      <c r="AB197" s="95" t="e">
        <f t="shared" si="333"/>
        <v>#DIV/0!</v>
      </c>
      <c r="AC197" s="36" t="e">
        <f t="shared" si="334"/>
        <v>#DIV/0!</v>
      </c>
      <c r="AD197" s="60" t="e">
        <f t="shared" si="335"/>
        <v>#DIV/0!</v>
      </c>
      <c r="AE197" s="80"/>
      <c r="AK197" s="7">
        <f>SUM(W198-W197)</f>
        <v>0</v>
      </c>
      <c r="AL197" s="94">
        <f>SUM(K198-K197)</f>
        <v>0</v>
      </c>
    </row>
    <row r="198" spans="1:38">
      <c r="A198" s="9"/>
      <c r="B198" s="72"/>
      <c r="C198" s="98" t="s">
        <v>98</v>
      </c>
      <c r="D198" s="56">
        <v>0</v>
      </c>
      <c r="E198" s="56">
        <v>0</v>
      </c>
      <c r="F198" s="40">
        <f t="shared" si="336"/>
        <v>0</v>
      </c>
      <c r="G198" s="36" t="e">
        <f t="shared" si="325"/>
        <v>#DIV/0!</v>
      </c>
      <c r="H198" s="40">
        <v>0</v>
      </c>
      <c r="I198" s="40">
        <v>0</v>
      </c>
      <c r="J198" s="56">
        <f>SUM(H198-R198)</f>
        <v>0</v>
      </c>
      <c r="K198" s="56">
        <f>SUM(I198-S198)</f>
        <v>0</v>
      </c>
      <c r="L198" s="40">
        <f t="shared" si="326"/>
        <v>0</v>
      </c>
      <c r="M198" s="36" t="e">
        <f t="shared" si="327"/>
        <v>#DIV/0!</v>
      </c>
      <c r="N198" s="58"/>
      <c r="O198" s="58"/>
      <c r="P198" s="58"/>
      <c r="Q198" s="58"/>
      <c r="R198" s="56">
        <v>0</v>
      </c>
      <c r="S198" s="56">
        <v>0</v>
      </c>
      <c r="T198" s="40">
        <f t="shared" si="328"/>
        <v>0</v>
      </c>
      <c r="U198" s="36" t="e">
        <f t="shared" si="329"/>
        <v>#DIV/0!</v>
      </c>
      <c r="V198" s="44">
        <v>0</v>
      </c>
      <c r="W198" s="44">
        <v>0</v>
      </c>
      <c r="X198" s="8">
        <f t="shared" si="330"/>
        <v>0</v>
      </c>
      <c r="Y198" s="36" t="e">
        <f t="shared" si="331"/>
        <v>#DIV/0!</v>
      </c>
      <c r="Z198" s="58"/>
      <c r="AA198" s="95" t="e">
        <f t="shared" si="332"/>
        <v>#DIV/0!</v>
      </c>
      <c r="AB198" s="95" t="e">
        <f t="shared" si="333"/>
        <v>#DIV/0!</v>
      </c>
      <c r="AC198" s="36" t="e">
        <f t="shared" si="334"/>
        <v>#DIV/0!</v>
      </c>
      <c r="AD198" s="60" t="e">
        <f>SUM(D198-H198)/D198</f>
        <v>#DIV/0!</v>
      </c>
      <c r="AE198" s="80"/>
      <c r="AK198" s="9">
        <f>SUM(AK193,AK194,AK195,AK196,AK197)</f>
        <v>0</v>
      </c>
      <c r="AL198" s="97">
        <f>SUM(AL193,AL194,AL195,AL196,AL197)</f>
        <v>0</v>
      </c>
    </row>
    <row r="199" spans="1:38" ht="9" customHeight="1">
      <c r="A199" s="274"/>
      <c r="B199" s="275"/>
      <c r="C199" s="275"/>
      <c r="D199" s="275"/>
      <c r="E199" s="275"/>
      <c r="F199" s="275"/>
      <c r="G199" s="275"/>
      <c r="H199" s="275"/>
      <c r="I199" s="275"/>
      <c r="J199" s="275"/>
      <c r="K199" s="275"/>
      <c r="L199" s="275"/>
      <c r="M199" s="275"/>
      <c r="N199" s="275"/>
      <c r="O199" s="275"/>
      <c r="P199" s="275"/>
      <c r="Q199" s="275"/>
      <c r="R199" s="275"/>
      <c r="S199" s="275"/>
      <c r="T199" s="275"/>
      <c r="U199" s="275"/>
      <c r="V199" s="275"/>
      <c r="W199" s="275"/>
      <c r="X199" s="275"/>
      <c r="Y199" s="275"/>
      <c r="Z199" s="275"/>
      <c r="AA199" s="275"/>
      <c r="AB199" s="275"/>
      <c r="AC199" s="275"/>
      <c r="AD199" s="276"/>
    </row>
    <row r="200" spans="1:38">
      <c r="A200" s="7">
        <f>'Main Sheet'!A60</f>
        <v>0</v>
      </c>
      <c r="B200" s="7">
        <f>'Main Sheet'!B60</f>
        <v>0</v>
      </c>
      <c r="C200" s="93" t="s">
        <v>90</v>
      </c>
      <c r="D200" s="56">
        <v>0</v>
      </c>
      <c r="E200" s="56">
        <v>0</v>
      </c>
      <c r="F200" s="40">
        <f>D200-E200</f>
        <v>0</v>
      </c>
      <c r="G200" s="36" t="e">
        <f>F200/D200</f>
        <v>#DIV/0!</v>
      </c>
      <c r="H200" s="40">
        <v>0</v>
      </c>
      <c r="I200" s="40">
        <v>0</v>
      </c>
      <c r="J200" s="56">
        <v>0</v>
      </c>
      <c r="K200" s="56">
        <v>0</v>
      </c>
      <c r="L200" s="40">
        <f>J200-K200</f>
        <v>0</v>
      </c>
      <c r="M200" s="36" t="e">
        <f>L200/J200</f>
        <v>#DIV/0!</v>
      </c>
      <c r="N200" s="58"/>
      <c r="O200" s="58"/>
      <c r="P200" s="58"/>
      <c r="Q200" s="58"/>
      <c r="R200" s="56">
        <v>0</v>
      </c>
      <c r="S200" s="56">
        <v>0</v>
      </c>
      <c r="T200" s="40">
        <f>R200-S200</f>
        <v>0</v>
      </c>
      <c r="U200" s="36" t="e">
        <f>T200/R200</f>
        <v>#DIV/0!</v>
      </c>
      <c r="V200" s="44">
        <v>346</v>
      </c>
      <c r="W200" s="44">
        <v>0</v>
      </c>
      <c r="X200" s="8">
        <f>V200-W200</f>
        <v>346</v>
      </c>
      <c r="Y200" s="36">
        <f>X200/V200</f>
        <v>1</v>
      </c>
      <c r="Z200" s="58"/>
      <c r="AA200" s="95" t="e">
        <f>(E200-K200-S200)/W200</f>
        <v>#DIV/0!</v>
      </c>
      <c r="AB200" s="95">
        <f>(D200-J200-R200)/V200</f>
        <v>0</v>
      </c>
      <c r="AC200" s="36" t="e">
        <f>(E200-K200-S200)/E200</f>
        <v>#DIV/0!</v>
      </c>
      <c r="AD200" s="60" t="e">
        <f>SUM(D200-H200)/D200</f>
        <v>#DIV/0!</v>
      </c>
      <c r="AE200" s="80"/>
      <c r="AG200" t="s">
        <v>91</v>
      </c>
      <c r="AH200">
        <f>AK205</f>
        <v>0</v>
      </c>
      <c r="AK200" s="7">
        <f>SUM(W201-W200)</f>
        <v>0</v>
      </c>
      <c r="AL200" s="94">
        <f>SUM(K201-K200)</f>
        <v>0</v>
      </c>
    </row>
    <row r="201" spans="1:38">
      <c r="A201" s="7"/>
      <c r="B201" s="71"/>
      <c r="C201" s="93" t="s">
        <v>92</v>
      </c>
      <c r="D201" s="56">
        <v>0</v>
      </c>
      <c r="E201" s="56">
        <v>0</v>
      </c>
      <c r="F201" s="40">
        <v>0</v>
      </c>
      <c r="G201" s="36" t="e">
        <f t="shared" ref="G201:G205" si="337">F201/D201</f>
        <v>#DIV/0!</v>
      </c>
      <c r="H201" s="40">
        <v>0</v>
      </c>
      <c r="I201" s="40">
        <v>0</v>
      </c>
      <c r="J201" s="56">
        <v>0</v>
      </c>
      <c r="K201" s="56">
        <v>0</v>
      </c>
      <c r="L201" s="40">
        <f t="shared" ref="L201:L205" si="338">J201-K201</f>
        <v>0</v>
      </c>
      <c r="M201" s="36" t="e">
        <f t="shared" ref="M201:M205" si="339">L201/J201</f>
        <v>#DIV/0!</v>
      </c>
      <c r="N201" s="58"/>
      <c r="O201" s="58"/>
      <c r="P201" s="58"/>
      <c r="Q201" s="58"/>
      <c r="R201" s="56">
        <v>0</v>
      </c>
      <c r="S201" s="56">
        <v>0</v>
      </c>
      <c r="T201" s="40">
        <f t="shared" ref="T201:T205" si="340">R201-S201</f>
        <v>0</v>
      </c>
      <c r="U201" s="36" t="e">
        <f t="shared" ref="U201:U205" si="341">T201/R201</f>
        <v>#DIV/0!</v>
      </c>
      <c r="V201" s="44">
        <v>0</v>
      </c>
      <c r="W201" s="44">
        <v>0</v>
      </c>
      <c r="X201" s="8">
        <f t="shared" ref="X201:X205" si="342">V201-W201</f>
        <v>0</v>
      </c>
      <c r="Y201" s="36" t="e">
        <f t="shared" ref="Y201:Y205" si="343">X201/V201</f>
        <v>#DIV/0!</v>
      </c>
      <c r="Z201" s="58"/>
      <c r="AA201" s="95" t="e">
        <f t="shared" ref="AA201:AA205" si="344">(E201-K201-S201)/W201</f>
        <v>#DIV/0!</v>
      </c>
      <c r="AB201" s="95" t="e">
        <f t="shared" ref="AB201:AB205" si="345">(D201-J201-R201)/V201</f>
        <v>#DIV/0!</v>
      </c>
      <c r="AC201" s="36" t="e">
        <f t="shared" ref="AC201:AC205" si="346">(E201-K201-S201)/E201</f>
        <v>#DIV/0!</v>
      </c>
      <c r="AD201" s="60" t="e">
        <f t="shared" ref="AD201:AD204" si="347">SUM(D201-H201)/D201</f>
        <v>#DIV/0!</v>
      </c>
      <c r="AE201" s="80"/>
      <c r="AG201" t="s">
        <v>93</v>
      </c>
      <c r="AH201" s="42">
        <f>AL205</f>
        <v>0</v>
      </c>
      <c r="AK201" s="7">
        <f>SUM(W202-W201)</f>
        <v>0</v>
      </c>
      <c r="AL201" s="94">
        <f>SUM(K202-K201)</f>
        <v>0</v>
      </c>
    </row>
    <row r="202" spans="1:38">
      <c r="A202" s="7"/>
      <c r="B202" s="71"/>
      <c r="C202" s="93" t="s">
        <v>94</v>
      </c>
      <c r="D202" s="56"/>
      <c r="E202" s="56"/>
      <c r="F202" s="40">
        <f t="shared" ref="F202:F205" si="348">D202-E202</f>
        <v>0</v>
      </c>
      <c r="G202" s="36" t="e">
        <f t="shared" si="337"/>
        <v>#DIV/0!</v>
      </c>
      <c r="H202" s="40"/>
      <c r="I202" s="40"/>
      <c r="J202" s="56">
        <f>SUM(H202-R202)</f>
        <v>0</v>
      </c>
      <c r="K202" s="56">
        <f>SUM(I202-S202)</f>
        <v>0</v>
      </c>
      <c r="L202" s="40">
        <f t="shared" si="338"/>
        <v>0</v>
      </c>
      <c r="M202" s="36" t="e">
        <f t="shared" si="339"/>
        <v>#DIV/0!</v>
      </c>
      <c r="N202" s="58"/>
      <c r="O202" s="58"/>
      <c r="P202" s="58"/>
      <c r="Q202" s="58"/>
      <c r="R202" s="56"/>
      <c r="S202" s="56"/>
      <c r="T202" s="40">
        <f t="shared" si="340"/>
        <v>0</v>
      </c>
      <c r="U202" s="36" t="e">
        <f t="shared" si="341"/>
        <v>#DIV/0!</v>
      </c>
      <c r="V202" s="44"/>
      <c r="W202" s="44"/>
      <c r="X202" s="8">
        <f t="shared" si="342"/>
        <v>0</v>
      </c>
      <c r="Y202" s="36" t="e">
        <f t="shared" si="343"/>
        <v>#DIV/0!</v>
      </c>
      <c r="Z202" s="58"/>
      <c r="AA202" s="95" t="e">
        <f t="shared" si="344"/>
        <v>#DIV/0!</v>
      </c>
      <c r="AB202" s="95" t="e">
        <f t="shared" si="345"/>
        <v>#DIV/0!</v>
      </c>
      <c r="AC202" s="36" t="e">
        <f t="shared" si="346"/>
        <v>#DIV/0!</v>
      </c>
      <c r="AD202" s="60" t="e">
        <f t="shared" si="347"/>
        <v>#DIV/0!</v>
      </c>
      <c r="AE202" s="80"/>
      <c r="AK202" s="7">
        <f>SUM(W203-W202)</f>
        <v>0</v>
      </c>
      <c r="AL202" s="94">
        <f>SUM(K203-K202)</f>
        <v>0</v>
      </c>
    </row>
    <row r="203" spans="1:38">
      <c r="A203" s="7"/>
      <c r="B203" s="71"/>
      <c r="C203" s="93" t="s">
        <v>95</v>
      </c>
      <c r="D203" s="56"/>
      <c r="E203" s="56"/>
      <c r="F203" s="40">
        <f t="shared" si="348"/>
        <v>0</v>
      </c>
      <c r="G203" s="36" t="e">
        <f t="shared" si="337"/>
        <v>#DIV/0!</v>
      </c>
      <c r="H203" s="40"/>
      <c r="I203" s="40"/>
      <c r="J203" s="56">
        <f>SUM(H203-R203)</f>
        <v>0</v>
      </c>
      <c r="K203" s="56">
        <f>SUM(I203-S203)</f>
        <v>0</v>
      </c>
      <c r="L203" s="40">
        <f t="shared" si="338"/>
        <v>0</v>
      </c>
      <c r="M203" s="36" t="e">
        <f t="shared" si="339"/>
        <v>#DIV/0!</v>
      </c>
      <c r="N203" s="58"/>
      <c r="O203" s="58"/>
      <c r="P203" s="58"/>
      <c r="Q203" s="58"/>
      <c r="R203" s="56"/>
      <c r="S203" s="56"/>
      <c r="T203" s="40">
        <f t="shared" si="340"/>
        <v>0</v>
      </c>
      <c r="U203" s="36" t="e">
        <f t="shared" si="341"/>
        <v>#DIV/0!</v>
      </c>
      <c r="V203" s="44"/>
      <c r="W203" s="44"/>
      <c r="X203" s="8">
        <f t="shared" si="342"/>
        <v>0</v>
      </c>
      <c r="Y203" s="36" t="e">
        <f t="shared" si="343"/>
        <v>#DIV/0!</v>
      </c>
      <c r="Z203" s="58"/>
      <c r="AA203" s="95" t="e">
        <f t="shared" si="344"/>
        <v>#DIV/0!</v>
      </c>
      <c r="AB203" s="95" t="e">
        <f t="shared" si="345"/>
        <v>#DIV/0!</v>
      </c>
      <c r="AC203" s="36" t="e">
        <f t="shared" si="346"/>
        <v>#DIV/0!</v>
      </c>
      <c r="AD203" s="60" t="e">
        <f t="shared" si="347"/>
        <v>#DIV/0!</v>
      </c>
      <c r="AE203" s="80"/>
      <c r="AG203" t="s">
        <v>96</v>
      </c>
      <c r="AH203" s="42">
        <v>0</v>
      </c>
      <c r="AK203" s="7">
        <f>SUM(W204-W203)</f>
        <v>0</v>
      </c>
      <c r="AL203" s="94">
        <f>SUM(K204-K203)</f>
        <v>0</v>
      </c>
    </row>
    <row r="204" spans="1:38">
      <c r="A204" s="7"/>
      <c r="B204" s="71"/>
      <c r="C204" s="93" t="s">
        <v>97</v>
      </c>
      <c r="D204" s="56"/>
      <c r="E204" s="56"/>
      <c r="F204" s="40">
        <f t="shared" si="348"/>
        <v>0</v>
      </c>
      <c r="G204" s="36" t="e">
        <f t="shared" si="337"/>
        <v>#DIV/0!</v>
      </c>
      <c r="H204" s="40"/>
      <c r="I204" s="40"/>
      <c r="J204" s="56">
        <f>SUM(H204-R204)</f>
        <v>0</v>
      </c>
      <c r="K204" s="56">
        <f>SUM(I204-S204)</f>
        <v>0</v>
      </c>
      <c r="L204" s="40">
        <f t="shared" si="338"/>
        <v>0</v>
      </c>
      <c r="M204" s="36" t="e">
        <f t="shared" si="339"/>
        <v>#DIV/0!</v>
      </c>
      <c r="N204" s="58"/>
      <c r="O204" s="58"/>
      <c r="P204" s="58"/>
      <c r="Q204" s="58"/>
      <c r="R204" s="56"/>
      <c r="S204" s="56"/>
      <c r="T204" s="40">
        <f t="shared" si="340"/>
        <v>0</v>
      </c>
      <c r="U204" s="36" t="e">
        <f t="shared" si="341"/>
        <v>#DIV/0!</v>
      </c>
      <c r="V204" s="44"/>
      <c r="W204" s="44"/>
      <c r="X204" s="8">
        <f t="shared" si="342"/>
        <v>0</v>
      </c>
      <c r="Y204" s="36" t="e">
        <f t="shared" si="343"/>
        <v>#DIV/0!</v>
      </c>
      <c r="Z204" s="58"/>
      <c r="AA204" s="95" t="e">
        <f t="shared" si="344"/>
        <v>#DIV/0!</v>
      </c>
      <c r="AB204" s="95" t="e">
        <f t="shared" si="345"/>
        <v>#DIV/0!</v>
      </c>
      <c r="AC204" s="36" t="e">
        <f t="shared" si="346"/>
        <v>#DIV/0!</v>
      </c>
      <c r="AD204" s="60" t="e">
        <f t="shared" si="347"/>
        <v>#DIV/0!</v>
      </c>
      <c r="AE204" s="80"/>
      <c r="AK204" s="7">
        <f>SUM(W205-W204)</f>
        <v>0</v>
      </c>
      <c r="AL204" s="94">
        <f>SUM(K205-K204)</f>
        <v>0</v>
      </c>
    </row>
    <row r="205" spans="1:38">
      <c r="A205" s="9"/>
      <c r="B205" s="72"/>
      <c r="C205" s="98" t="s">
        <v>98</v>
      </c>
      <c r="D205" s="56"/>
      <c r="E205" s="56"/>
      <c r="F205" s="40">
        <f t="shared" si="348"/>
        <v>0</v>
      </c>
      <c r="G205" s="36" t="e">
        <f t="shared" si="337"/>
        <v>#DIV/0!</v>
      </c>
      <c r="H205" s="40"/>
      <c r="I205" s="40"/>
      <c r="J205" s="56">
        <f>SUM(H205-R205)</f>
        <v>0</v>
      </c>
      <c r="K205" s="56">
        <f>SUM(I205-S205)</f>
        <v>0</v>
      </c>
      <c r="L205" s="40">
        <f t="shared" si="338"/>
        <v>0</v>
      </c>
      <c r="M205" s="36" t="e">
        <f t="shared" si="339"/>
        <v>#DIV/0!</v>
      </c>
      <c r="N205" s="58"/>
      <c r="O205" s="58"/>
      <c r="P205" s="58"/>
      <c r="Q205" s="58"/>
      <c r="R205" s="56"/>
      <c r="S205" s="56"/>
      <c r="T205" s="40">
        <f t="shared" si="340"/>
        <v>0</v>
      </c>
      <c r="U205" s="36" t="e">
        <f t="shared" si="341"/>
        <v>#DIV/0!</v>
      </c>
      <c r="V205" s="44"/>
      <c r="W205" s="44"/>
      <c r="X205" s="8">
        <f t="shared" si="342"/>
        <v>0</v>
      </c>
      <c r="Y205" s="36" t="e">
        <f t="shared" si="343"/>
        <v>#DIV/0!</v>
      </c>
      <c r="Z205" s="58"/>
      <c r="AA205" s="95" t="e">
        <f t="shared" si="344"/>
        <v>#DIV/0!</v>
      </c>
      <c r="AB205" s="95" t="e">
        <f t="shared" si="345"/>
        <v>#DIV/0!</v>
      </c>
      <c r="AC205" s="36" t="e">
        <f t="shared" si="346"/>
        <v>#DIV/0!</v>
      </c>
      <c r="AD205" s="60" t="e">
        <f>SUM(D205-H205)/D205</f>
        <v>#DIV/0!</v>
      </c>
      <c r="AE205" s="80"/>
      <c r="AK205" s="9">
        <f>SUM(AK200,AK201,AK202,AK203,AK204)</f>
        <v>0</v>
      </c>
      <c r="AL205" s="97">
        <f>SUM(AL200,AL201,AL202,AL203,AL204)</f>
        <v>0</v>
      </c>
    </row>
    <row r="206" spans="1:38" ht="9" customHeight="1">
      <c r="A206" s="274"/>
      <c r="B206" s="275"/>
      <c r="C206" s="275"/>
      <c r="D206" s="275"/>
      <c r="E206" s="275"/>
      <c r="F206" s="275"/>
      <c r="G206" s="275"/>
      <c r="H206" s="275"/>
      <c r="I206" s="275"/>
      <c r="J206" s="275"/>
      <c r="K206" s="275"/>
      <c r="L206" s="275"/>
      <c r="M206" s="275"/>
      <c r="N206" s="275"/>
      <c r="O206" s="275"/>
      <c r="P206" s="275"/>
      <c r="Q206" s="275"/>
      <c r="R206" s="275"/>
      <c r="S206" s="275"/>
      <c r="T206" s="275"/>
      <c r="U206" s="275"/>
      <c r="V206" s="275"/>
      <c r="W206" s="275"/>
      <c r="X206" s="275"/>
      <c r="Y206" s="275"/>
      <c r="Z206" s="275"/>
      <c r="AA206" s="275"/>
      <c r="AB206" s="275"/>
      <c r="AC206" s="275"/>
      <c r="AD206" s="276"/>
    </row>
    <row r="207" spans="1:38">
      <c r="A207" s="7">
        <f>'Main Sheet'!A62</f>
        <v>0</v>
      </c>
      <c r="B207" s="7" t="str">
        <f>'Main Sheet'!B62</f>
        <v>Contracting</v>
      </c>
      <c r="C207" s="93" t="s">
        <v>90</v>
      </c>
      <c r="D207" s="56">
        <v>0</v>
      </c>
      <c r="E207" s="56">
        <v>0</v>
      </c>
      <c r="F207" s="40">
        <f>D207-E207</f>
        <v>0</v>
      </c>
      <c r="G207" s="36" t="e">
        <f>F207/D207</f>
        <v>#DIV/0!</v>
      </c>
      <c r="H207" s="40">
        <v>0</v>
      </c>
      <c r="I207" s="40">
        <v>0</v>
      </c>
      <c r="J207" s="56">
        <v>0</v>
      </c>
      <c r="K207" s="56">
        <v>0</v>
      </c>
      <c r="L207" s="40">
        <f>J207-K207</f>
        <v>0</v>
      </c>
      <c r="M207" s="36" t="e">
        <f>L207/J207</f>
        <v>#DIV/0!</v>
      </c>
      <c r="N207" s="58"/>
      <c r="O207" s="58"/>
      <c r="P207" s="58"/>
      <c r="Q207" s="58"/>
      <c r="R207" s="56">
        <v>0</v>
      </c>
      <c r="S207" s="56">
        <v>0</v>
      </c>
      <c r="T207" s="40">
        <f>R207-S207</f>
        <v>0</v>
      </c>
      <c r="U207" s="36" t="e">
        <f>T207/R207</f>
        <v>#DIV/0!</v>
      </c>
      <c r="V207" s="44">
        <v>0</v>
      </c>
      <c r="W207" s="44">
        <v>0</v>
      </c>
      <c r="X207" s="8">
        <f>V207-W207</f>
        <v>0</v>
      </c>
      <c r="Y207" s="36" t="e">
        <f>X207/V207</f>
        <v>#DIV/0!</v>
      </c>
      <c r="Z207" s="58"/>
      <c r="AA207" s="95" t="e">
        <f>(E207-K207-S207)/W207</f>
        <v>#DIV/0!</v>
      </c>
      <c r="AB207" s="95" t="e">
        <f>(D207-J207-R207)/V207</f>
        <v>#DIV/0!</v>
      </c>
      <c r="AC207" s="36" t="e">
        <f>(E207-K207-S207)/E207</f>
        <v>#DIV/0!</v>
      </c>
      <c r="AD207" s="60" t="e">
        <f>SUM(D207-H207)/D207</f>
        <v>#DIV/0!</v>
      </c>
      <c r="AE207" s="80"/>
      <c r="AG207" t="s">
        <v>91</v>
      </c>
      <c r="AH207">
        <f>AK212</f>
        <v>0</v>
      </c>
      <c r="AK207" s="7">
        <f>SUM(W208-W207)</f>
        <v>0</v>
      </c>
      <c r="AL207" s="94">
        <f>SUM(K208-K207)</f>
        <v>0</v>
      </c>
    </row>
    <row r="208" spans="1:38">
      <c r="A208" s="7"/>
      <c r="B208" s="71"/>
      <c r="C208" s="93" t="s">
        <v>92</v>
      </c>
      <c r="D208" s="56">
        <v>0</v>
      </c>
      <c r="E208" s="56">
        <v>0</v>
      </c>
      <c r="F208" s="40">
        <v>0</v>
      </c>
      <c r="G208" s="36" t="e">
        <f t="shared" ref="G208:G212" si="349">F208/D208</f>
        <v>#DIV/0!</v>
      </c>
      <c r="H208" s="40">
        <v>0</v>
      </c>
      <c r="I208" s="40">
        <v>0</v>
      </c>
      <c r="J208" s="56">
        <v>0</v>
      </c>
      <c r="K208" s="56">
        <v>0</v>
      </c>
      <c r="L208" s="40">
        <f t="shared" ref="L208:L212" si="350">J208-K208</f>
        <v>0</v>
      </c>
      <c r="M208" s="36" t="e">
        <f t="shared" ref="M208:M212" si="351">L208/J208</f>
        <v>#DIV/0!</v>
      </c>
      <c r="N208" s="58"/>
      <c r="O208" s="58"/>
      <c r="P208" s="58"/>
      <c r="Q208" s="58"/>
      <c r="R208" s="56">
        <v>0</v>
      </c>
      <c r="S208" s="56">
        <v>0</v>
      </c>
      <c r="T208" s="40">
        <f t="shared" ref="T208:T212" si="352">R208-S208</f>
        <v>0</v>
      </c>
      <c r="U208" s="36" t="e">
        <f t="shared" ref="U208:U212" si="353">T208/R208</f>
        <v>#DIV/0!</v>
      </c>
      <c r="V208" s="44">
        <v>0</v>
      </c>
      <c r="W208" s="44">
        <v>0</v>
      </c>
      <c r="X208" s="8">
        <f t="shared" ref="X208:X212" si="354">V208-W208</f>
        <v>0</v>
      </c>
      <c r="Y208" s="36" t="e">
        <f t="shared" ref="Y208:Y212" si="355">X208/V208</f>
        <v>#DIV/0!</v>
      </c>
      <c r="Z208" s="58"/>
      <c r="AA208" s="95" t="e">
        <f t="shared" ref="AA208:AA212" si="356">(E208-K208-S208)/W208</f>
        <v>#DIV/0!</v>
      </c>
      <c r="AB208" s="95" t="e">
        <f t="shared" ref="AB208:AB212" si="357">(D208-J208-R208)/V208</f>
        <v>#DIV/0!</v>
      </c>
      <c r="AC208" s="36" t="e">
        <f t="shared" ref="AC208:AC212" si="358">(E208-K208-S208)/E208</f>
        <v>#DIV/0!</v>
      </c>
      <c r="AD208" s="60" t="e">
        <f t="shared" ref="AD208:AD211" si="359">SUM(D208-H208)/D208</f>
        <v>#DIV/0!</v>
      </c>
      <c r="AE208" s="80"/>
      <c r="AG208" t="s">
        <v>93</v>
      </c>
      <c r="AH208" s="42">
        <f>AL212</f>
        <v>0</v>
      </c>
      <c r="AK208" s="7">
        <f>SUM(W209-W208)</f>
        <v>0</v>
      </c>
      <c r="AL208" s="94">
        <f>SUM(K209-K208)</f>
        <v>0</v>
      </c>
    </row>
    <row r="209" spans="1:38">
      <c r="A209" s="7"/>
      <c r="B209" s="71"/>
      <c r="C209" s="93" t="s">
        <v>94</v>
      </c>
      <c r="D209" s="56"/>
      <c r="E209" s="56"/>
      <c r="F209" s="40">
        <f t="shared" ref="F209:F212" si="360">D209-E209</f>
        <v>0</v>
      </c>
      <c r="G209" s="36" t="e">
        <f t="shared" si="349"/>
        <v>#DIV/0!</v>
      </c>
      <c r="H209" s="40"/>
      <c r="I209" s="40"/>
      <c r="J209" s="56">
        <f>SUM(H209-R209)</f>
        <v>0</v>
      </c>
      <c r="K209" s="56">
        <f>SUM(I209-S209)</f>
        <v>0</v>
      </c>
      <c r="L209" s="40">
        <f t="shared" si="350"/>
        <v>0</v>
      </c>
      <c r="M209" s="36" t="e">
        <f t="shared" si="351"/>
        <v>#DIV/0!</v>
      </c>
      <c r="N209" s="58"/>
      <c r="O209" s="58"/>
      <c r="P209" s="58"/>
      <c r="Q209" s="58"/>
      <c r="R209" s="56"/>
      <c r="S209" s="56"/>
      <c r="T209" s="40">
        <f t="shared" si="352"/>
        <v>0</v>
      </c>
      <c r="U209" s="36" t="e">
        <f t="shared" si="353"/>
        <v>#DIV/0!</v>
      </c>
      <c r="V209" s="44"/>
      <c r="W209" s="44"/>
      <c r="X209" s="8">
        <f t="shared" si="354"/>
        <v>0</v>
      </c>
      <c r="Y209" s="36" t="e">
        <f t="shared" si="355"/>
        <v>#DIV/0!</v>
      </c>
      <c r="Z209" s="58"/>
      <c r="AA209" s="95" t="e">
        <f t="shared" si="356"/>
        <v>#DIV/0!</v>
      </c>
      <c r="AB209" s="95" t="e">
        <f t="shared" si="357"/>
        <v>#DIV/0!</v>
      </c>
      <c r="AC209" s="36" t="e">
        <f t="shared" si="358"/>
        <v>#DIV/0!</v>
      </c>
      <c r="AD209" s="60" t="e">
        <f t="shared" si="359"/>
        <v>#DIV/0!</v>
      </c>
      <c r="AE209" s="80"/>
      <c r="AK209" s="7">
        <f>SUM(W210-W209)</f>
        <v>0</v>
      </c>
      <c r="AL209" s="94">
        <f>SUM(K210-K209)</f>
        <v>0</v>
      </c>
    </row>
    <row r="210" spans="1:38">
      <c r="A210" s="7"/>
      <c r="B210" s="71"/>
      <c r="C210" s="93" t="s">
        <v>95</v>
      </c>
      <c r="D210" s="56"/>
      <c r="E210" s="56"/>
      <c r="F210" s="40">
        <f t="shared" si="360"/>
        <v>0</v>
      </c>
      <c r="G210" s="36" t="e">
        <f t="shared" si="349"/>
        <v>#DIV/0!</v>
      </c>
      <c r="H210" s="40"/>
      <c r="I210" s="40"/>
      <c r="J210" s="56">
        <f>SUM(H210-R210)</f>
        <v>0</v>
      </c>
      <c r="K210" s="56">
        <f>SUM(I210-S210)</f>
        <v>0</v>
      </c>
      <c r="L210" s="40">
        <f t="shared" si="350"/>
        <v>0</v>
      </c>
      <c r="M210" s="36" t="e">
        <f t="shared" si="351"/>
        <v>#DIV/0!</v>
      </c>
      <c r="N210" s="58"/>
      <c r="O210" s="58"/>
      <c r="P210" s="58"/>
      <c r="Q210" s="58"/>
      <c r="R210" s="56"/>
      <c r="S210" s="56"/>
      <c r="T210" s="40">
        <f t="shared" si="352"/>
        <v>0</v>
      </c>
      <c r="U210" s="36" t="e">
        <f t="shared" si="353"/>
        <v>#DIV/0!</v>
      </c>
      <c r="V210" s="44"/>
      <c r="W210" s="44"/>
      <c r="X210" s="8">
        <f t="shared" si="354"/>
        <v>0</v>
      </c>
      <c r="Y210" s="36" t="e">
        <f t="shared" si="355"/>
        <v>#DIV/0!</v>
      </c>
      <c r="Z210" s="58"/>
      <c r="AA210" s="95" t="e">
        <f t="shared" si="356"/>
        <v>#DIV/0!</v>
      </c>
      <c r="AB210" s="95" t="e">
        <f t="shared" si="357"/>
        <v>#DIV/0!</v>
      </c>
      <c r="AC210" s="36" t="e">
        <f t="shared" si="358"/>
        <v>#DIV/0!</v>
      </c>
      <c r="AD210" s="60" t="e">
        <f t="shared" si="359"/>
        <v>#DIV/0!</v>
      </c>
      <c r="AE210" s="80"/>
      <c r="AG210" t="s">
        <v>96</v>
      </c>
      <c r="AH210" s="42">
        <v>0</v>
      </c>
      <c r="AK210" s="7">
        <f>SUM(W211-W210)</f>
        <v>0</v>
      </c>
      <c r="AL210" s="94">
        <f>SUM(K211-K210)</f>
        <v>0</v>
      </c>
    </row>
    <row r="211" spans="1:38">
      <c r="A211" s="7"/>
      <c r="B211" s="71"/>
      <c r="C211" s="93" t="s">
        <v>97</v>
      </c>
      <c r="D211" s="56"/>
      <c r="E211" s="56"/>
      <c r="F211" s="40">
        <f t="shared" si="360"/>
        <v>0</v>
      </c>
      <c r="G211" s="36" t="e">
        <f t="shared" si="349"/>
        <v>#DIV/0!</v>
      </c>
      <c r="H211" s="40"/>
      <c r="I211" s="40"/>
      <c r="J211" s="56">
        <f>SUM(H211-R211)</f>
        <v>0</v>
      </c>
      <c r="K211" s="56">
        <f>SUM(I211-S211)</f>
        <v>0</v>
      </c>
      <c r="L211" s="40">
        <f t="shared" si="350"/>
        <v>0</v>
      </c>
      <c r="M211" s="36" t="e">
        <f t="shared" si="351"/>
        <v>#DIV/0!</v>
      </c>
      <c r="N211" s="58"/>
      <c r="O211" s="58"/>
      <c r="P211" s="58"/>
      <c r="Q211" s="58"/>
      <c r="R211" s="56"/>
      <c r="S211" s="56"/>
      <c r="T211" s="40">
        <f t="shared" si="352"/>
        <v>0</v>
      </c>
      <c r="U211" s="36" t="e">
        <f t="shared" si="353"/>
        <v>#DIV/0!</v>
      </c>
      <c r="V211" s="44"/>
      <c r="W211" s="44"/>
      <c r="X211" s="8">
        <f t="shared" si="354"/>
        <v>0</v>
      </c>
      <c r="Y211" s="36" t="e">
        <f t="shared" si="355"/>
        <v>#DIV/0!</v>
      </c>
      <c r="Z211" s="58"/>
      <c r="AA211" s="95" t="e">
        <f t="shared" si="356"/>
        <v>#DIV/0!</v>
      </c>
      <c r="AB211" s="95" t="e">
        <f t="shared" si="357"/>
        <v>#DIV/0!</v>
      </c>
      <c r="AC211" s="36" t="e">
        <f t="shared" si="358"/>
        <v>#DIV/0!</v>
      </c>
      <c r="AD211" s="60" t="e">
        <f t="shared" si="359"/>
        <v>#DIV/0!</v>
      </c>
      <c r="AE211" s="80"/>
      <c r="AK211" s="7">
        <f>SUM(W212-W211)</f>
        <v>0</v>
      </c>
      <c r="AL211" s="94">
        <f>SUM(K212-K211)</f>
        <v>0</v>
      </c>
    </row>
    <row r="212" spans="1:38">
      <c r="A212" s="9"/>
      <c r="B212" s="72"/>
      <c r="C212" s="98" t="s">
        <v>98</v>
      </c>
      <c r="D212" s="56"/>
      <c r="E212" s="56"/>
      <c r="F212" s="40">
        <f t="shared" si="360"/>
        <v>0</v>
      </c>
      <c r="G212" s="36" t="e">
        <f t="shared" si="349"/>
        <v>#DIV/0!</v>
      </c>
      <c r="H212" s="40"/>
      <c r="I212" s="40"/>
      <c r="J212" s="56">
        <f>SUM(H212-R212)</f>
        <v>0</v>
      </c>
      <c r="K212" s="56">
        <f>SUM(I212-S212)</f>
        <v>0</v>
      </c>
      <c r="L212" s="40">
        <f t="shared" si="350"/>
        <v>0</v>
      </c>
      <c r="M212" s="36" t="e">
        <f t="shared" si="351"/>
        <v>#DIV/0!</v>
      </c>
      <c r="N212" s="58"/>
      <c r="O212" s="58"/>
      <c r="P212" s="58"/>
      <c r="Q212" s="58"/>
      <c r="R212" s="56"/>
      <c r="S212" s="56"/>
      <c r="T212" s="40">
        <f t="shared" si="352"/>
        <v>0</v>
      </c>
      <c r="U212" s="36" t="e">
        <f t="shared" si="353"/>
        <v>#DIV/0!</v>
      </c>
      <c r="V212" s="44"/>
      <c r="W212" s="44"/>
      <c r="X212" s="8">
        <f t="shared" si="354"/>
        <v>0</v>
      </c>
      <c r="Y212" s="36" t="e">
        <f t="shared" si="355"/>
        <v>#DIV/0!</v>
      </c>
      <c r="Z212" s="58"/>
      <c r="AA212" s="95" t="e">
        <f t="shared" si="356"/>
        <v>#DIV/0!</v>
      </c>
      <c r="AB212" s="95" t="e">
        <f t="shared" si="357"/>
        <v>#DIV/0!</v>
      </c>
      <c r="AC212" s="36" t="e">
        <f t="shared" si="358"/>
        <v>#DIV/0!</v>
      </c>
      <c r="AD212" s="60" t="e">
        <f>SUM(D212-H212)/D212</f>
        <v>#DIV/0!</v>
      </c>
      <c r="AE212" s="80"/>
      <c r="AK212" s="9">
        <f>SUM(AK207,AK208,AK209,AK210,AK211)</f>
        <v>0</v>
      </c>
      <c r="AL212" s="97">
        <f>SUM(AL207,AL208,AL209,AL210,AL211)</f>
        <v>0</v>
      </c>
    </row>
    <row r="213" spans="1:38" ht="9" customHeight="1">
      <c r="A213" s="274"/>
      <c r="B213" s="275"/>
      <c r="C213" s="275"/>
      <c r="D213" s="275"/>
      <c r="E213" s="275"/>
      <c r="F213" s="275"/>
      <c r="G213" s="275"/>
      <c r="H213" s="275"/>
      <c r="I213" s="275"/>
      <c r="J213" s="275"/>
      <c r="K213" s="275"/>
      <c r="L213" s="275"/>
      <c r="M213" s="275"/>
      <c r="N213" s="275"/>
      <c r="O213" s="275"/>
      <c r="P213" s="275"/>
      <c r="Q213" s="275"/>
      <c r="R213" s="275"/>
      <c r="S213" s="275"/>
      <c r="T213" s="275"/>
      <c r="U213" s="275"/>
      <c r="V213" s="275"/>
      <c r="W213" s="275"/>
      <c r="X213" s="275"/>
      <c r="Y213" s="275"/>
      <c r="Z213" s="275"/>
      <c r="AA213" s="275"/>
      <c r="AB213" s="275"/>
      <c r="AC213" s="275"/>
      <c r="AD213" s="276"/>
    </row>
    <row r="214" spans="1:38">
      <c r="A214" s="7">
        <f>'Main Sheet'!A64</f>
        <v>8946</v>
      </c>
      <c r="B214" s="7" t="str">
        <f>'Main Sheet'!B64</f>
        <v>Westcoast Vaults</v>
      </c>
      <c r="C214" s="93" t="s">
        <v>90</v>
      </c>
      <c r="D214" s="56">
        <v>0</v>
      </c>
      <c r="E214" s="56">
        <v>0</v>
      </c>
      <c r="F214" s="40">
        <f>D214-E214</f>
        <v>0</v>
      </c>
      <c r="G214" s="36" t="e">
        <f>F214/D214</f>
        <v>#DIV/0!</v>
      </c>
      <c r="H214" s="40">
        <v>0</v>
      </c>
      <c r="I214" s="40">
        <v>0</v>
      </c>
      <c r="J214" s="56">
        <v>0</v>
      </c>
      <c r="K214" s="56">
        <v>0</v>
      </c>
      <c r="L214" s="40">
        <f>J214-K214</f>
        <v>0</v>
      </c>
      <c r="M214" s="36" t="e">
        <f>L214/J214</f>
        <v>#DIV/0!</v>
      </c>
      <c r="N214" s="58"/>
      <c r="O214" s="58"/>
      <c r="P214" s="58"/>
      <c r="Q214" s="58"/>
      <c r="R214" s="56">
        <v>0</v>
      </c>
      <c r="S214" s="56">
        <v>0</v>
      </c>
      <c r="T214" s="40">
        <f>R214-S214</f>
        <v>0</v>
      </c>
      <c r="U214" s="36" t="e">
        <f>T214/R214</f>
        <v>#DIV/0!</v>
      </c>
      <c r="V214" s="44">
        <v>0</v>
      </c>
      <c r="W214" s="44">
        <v>0</v>
      </c>
      <c r="X214" s="8">
        <f>V214-W214</f>
        <v>0</v>
      </c>
      <c r="Y214" s="36" t="e">
        <f>X214/V214</f>
        <v>#DIV/0!</v>
      </c>
      <c r="Z214" s="58"/>
      <c r="AA214" s="95" t="e">
        <f>(E214-K214-S214)/W214</f>
        <v>#DIV/0!</v>
      </c>
      <c r="AB214" s="95" t="e">
        <f>(D214-J214-R214)/V214</f>
        <v>#DIV/0!</v>
      </c>
      <c r="AC214" s="36" t="e">
        <f>(E214-K214-S214)/E214</f>
        <v>#DIV/0!</v>
      </c>
      <c r="AD214" s="60" t="e">
        <f>SUM(D214-H214)/D214</f>
        <v>#DIV/0!</v>
      </c>
      <c r="AE214" s="80"/>
      <c r="AG214" t="s">
        <v>91</v>
      </c>
      <c r="AH214">
        <f>AK219</f>
        <v>0</v>
      </c>
      <c r="AK214" s="7">
        <f>SUM(W215-W214)</f>
        <v>0</v>
      </c>
      <c r="AL214" s="94">
        <f>SUM(K215-K214)</f>
        <v>0</v>
      </c>
    </row>
    <row r="215" spans="1:38">
      <c r="A215" s="7"/>
      <c r="B215" s="71"/>
      <c r="C215" s="93" t="s">
        <v>92</v>
      </c>
      <c r="D215" s="56">
        <v>0</v>
      </c>
      <c r="E215" s="56">
        <v>0</v>
      </c>
      <c r="F215" s="40">
        <v>0</v>
      </c>
      <c r="G215" s="36" t="e">
        <f t="shared" ref="G215:G219" si="361">F215/D215</f>
        <v>#DIV/0!</v>
      </c>
      <c r="H215" s="40">
        <v>0</v>
      </c>
      <c r="I215" s="40">
        <v>0</v>
      </c>
      <c r="J215" s="56">
        <v>0</v>
      </c>
      <c r="K215" s="56">
        <v>0</v>
      </c>
      <c r="L215" s="40">
        <f t="shared" ref="L215:L219" si="362">J215-K215</f>
        <v>0</v>
      </c>
      <c r="M215" s="36" t="e">
        <f t="shared" ref="M215:M219" si="363">L215/J215</f>
        <v>#DIV/0!</v>
      </c>
      <c r="N215" s="58"/>
      <c r="O215" s="58"/>
      <c r="P215" s="58"/>
      <c r="Q215" s="58"/>
      <c r="R215" s="56">
        <v>0</v>
      </c>
      <c r="S215" s="56">
        <v>0</v>
      </c>
      <c r="T215" s="40">
        <f t="shared" ref="T215:T219" si="364">R215-S215</f>
        <v>0</v>
      </c>
      <c r="U215" s="36" t="e">
        <f t="shared" ref="U215:U219" si="365">T215/R215</f>
        <v>#DIV/0!</v>
      </c>
      <c r="V215" s="44">
        <v>0</v>
      </c>
      <c r="W215" s="44">
        <v>0</v>
      </c>
      <c r="X215" s="8">
        <f t="shared" ref="X215:X219" si="366">V215-W215</f>
        <v>0</v>
      </c>
      <c r="Y215" s="36" t="e">
        <f t="shared" ref="Y215:Y219" si="367">X215/V215</f>
        <v>#DIV/0!</v>
      </c>
      <c r="Z215" s="58"/>
      <c r="AA215" s="95" t="e">
        <f t="shared" ref="AA215:AA219" si="368">(E215-K215-S215)/W215</f>
        <v>#DIV/0!</v>
      </c>
      <c r="AB215" s="95" t="e">
        <f t="shared" ref="AB215:AB219" si="369">(D215-J215-R215)/V215</f>
        <v>#DIV/0!</v>
      </c>
      <c r="AC215" s="36" t="e">
        <f t="shared" ref="AC215:AC219" si="370">(E215-K215-S215)/E215</f>
        <v>#DIV/0!</v>
      </c>
      <c r="AD215" s="60" t="e">
        <f t="shared" ref="AD215:AD218" si="371">SUM(D215-H215)/D215</f>
        <v>#DIV/0!</v>
      </c>
      <c r="AE215" s="80"/>
      <c r="AG215" t="s">
        <v>93</v>
      </c>
      <c r="AH215" s="42">
        <f>AL219</f>
        <v>0</v>
      </c>
      <c r="AK215" s="7">
        <f>SUM(W216-W215)</f>
        <v>0</v>
      </c>
      <c r="AL215" s="94">
        <f>SUM(K216-K215)</f>
        <v>0</v>
      </c>
    </row>
    <row r="216" spans="1:38">
      <c r="A216" s="7"/>
      <c r="B216" s="71"/>
      <c r="C216" s="93" t="s">
        <v>94</v>
      </c>
      <c r="D216" s="56"/>
      <c r="E216" s="56"/>
      <c r="F216" s="40">
        <f t="shared" ref="F216:F219" si="372">D216-E216</f>
        <v>0</v>
      </c>
      <c r="G216" s="36" t="e">
        <f t="shared" si="361"/>
        <v>#DIV/0!</v>
      </c>
      <c r="H216" s="40"/>
      <c r="I216" s="40"/>
      <c r="J216" s="56">
        <f>SUM(H216-R216)</f>
        <v>0</v>
      </c>
      <c r="K216" s="56">
        <f>SUM(I216-S216)</f>
        <v>0</v>
      </c>
      <c r="L216" s="40">
        <f t="shared" si="362"/>
        <v>0</v>
      </c>
      <c r="M216" s="36" t="e">
        <f t="shared" si="363"/>
        <v>#DIV/0!</v>
      </c>
      <c r="N216" s="58"/>
      <c r="O216" s="58"/>
      <c r="P216" s="58"/>
      <c r="Q216" s="58"/>
      <c r="R216" s="56"/>
      <c r="S216" s="56"/>
      <c r="T216" s="40">
        <f t="shared" si="364"/>
        <v>0</v>
      </c>
      <c r="U216" s="36" t="e">
        <f t="shared" si="365"/>
        <v>#DIV/0!</v>
      </c>
      <c r="V216" s="44"/>
      <c r="W216" s="44"/>
      <c r="X216" s="8">
        <f t="shared" si="366"/>
        <v>0</v>
      </c>
      <c r="Y216" s="36" t="e">
        <f t="shared" si="367"/>
        <v>#DIV/0!</v>
      </c>
      <c r="Z216" s="58"/>
      <c r="AA216" s="95" t="e">
        <f t="shared" si="368"/>
        <v>#DIV/0!</v>
      </c>
      <c r="AB216" s="95" t="e">
        <f t="shared" si="369"/>
        <v>#DIV/0!</v>
      </c>
      <c r="AC216" s="36" t="e">
        <f t="shared" si="370"/>
        <v>#DIV/0!</v>
      </c>
      <c r="AD216" s="60" t="e">
        <f t="shared" si="371"/>
        <v>#DIV/0!</v>
      </c>
      <c r="AE216" s="80"/>
      <c r="AK216" s="7">
        <f>SUM(W217-W216)</f>
        <v>0</v>
      </c>
      <c r="AL216" s="94">
        <f>SUM(K217-K216)</f>
        <v>0</v>
      </c>
    </row>
    <row r="217" spans="1:38">
      <c r="A217" s="7"/>
      <c r="B217" s="71"/>
      <c r="C217" s="93" t="s">
        <v>95</v>
      </c>
      <c r="D217" s="56"/>
      <c r="E217" s="56"/>
      <c r="F217" s="40">
        <f t="shared" si="372"/>
        <v>0</v>
      </c>
      <c r="G217" s="36" t="e">
        <f t="shared" si="361"/>
        <v>#DIV/0!</v>
      </c>
      <c r="H217" s="40"/>
      <c r="I217" s="40"/>
      <c r="J217" s="56">
        <f>SUM(H217-R217)</f>
        <v>0</v>
      </c>
      <c r="K217" s="56">
        <f>SUM(I217-S217)</f>
        <v>0</v>
      </c>
      <c r="L217" s="40">
        <f t="shared" si="362"/>
        <v>0</v>
      </c>
      <c r="M217" s="36" t="e">
        <f t="shared" si="363"/>
        <v>#DIV/0!</v>
      </c>
      <c r="N217" s="58"/>
      <c r="O217" s="58"/>
      <c r="P217" s="58"/>
      <c r="Q217" s="58"/>
      <c r="R217" s="56"/>
      <c r="S217" s="56"/>
      <c r="T217" s="40">
        <f t="shared" si="364"/>
        <v>0</v>
      </c>
      <c r="U217" s="36" t="e">
        <f t="shared" si="365"/>
        <v>#DIV/0!</v>
      </c>
      <c r="V217" s="44"/>
      <c r="W217" s="44"/>
      <c r="X217" s="8">
        <f t="shared" si="366"/>
        <v>0</v>
      </c>
      <c r="Y217" s="36" t="e">
        <f t="shared" si="367"/>
        <v>#DIV/0!</v>
      </c>
      <c r="Z217" s="58"/>
      <c r="AA217" s="95" t="e">
        <f t="shared" si="368"/>
        <v>#DIV/0!</v>
      </c>
      <c r="AB217" s="95" t="e">
        <f t="shared" si="369"/>
        <v>#DIV/0!</v>
      </c>
      <c r="AC217" s="36" t="e">
        <f t="shared" si="370"/>
        <v>#DIV/0!</v>
      </c>
      <c r="AD217" s="60" t="e">
        <f t="shared" si="371"/>
        <v>#DIV/0!</v>
      </c>
      <c r="AE217" s="80"/>
      <c r="AG217" t="s">
        <v>96</v>
      </c>
      <c r="AH217" s="42">
        <v>0</v>
      </c>
      <c r="AK217" s="7">
        <f>SUM(W218-W217)</f>
        <v>0</v>
      </c>
      <c r="AL217" s="94">
        <f>SUM(K218-K217)</f>
        <v>0</v>
      </c>
    </row>
    <row r="218" spans="1:38">
      <c r="A218" s="7"/>
      <c r="B218" s="71"/>
      <c r="C218" s="93" t="s">
        <v>97</v>
      </c>
      <c r="D218" s="56"/>
      <c r="E218" s="56"/>
      <c r="F218" s="40">
        <f t="shared" si="372"/>
        <v>0</v>
      </c>
      <c r="G218" s="36" t="e">
        <f t="shared" si="361"/>
        <v>#DIV/0!</v>
      </c>
      <c r="H218" s="40"/>
      <c r="I218" s="40"/>
      <c r="J218" s="56">
        <f>SUM(H218-R218)</f>
        <v>0</v>
      </c>
      <c r="K218" s="56">
        <f>SUM(I218-S218)</f>
        <v>0</v>
      </c>
      <c r="L218" s="40">
        <f t="shared" si="362"/>
        <v>0</v>
      </c>
      <c r="M218" s="36" t="e">
        <f t="shared" si="363"/>
        <v>#DIV/0!</v>
      </c>
      <c r="N218" s="58"/>
      <c r="O218" s="58"/>
      <c r="P218" s="58"/>
      <c r="Q218" s="58"/>
      <c r="R218" s="56"/>
      <c r="S218" s="56"/>
      <c r="T218" s="40">
        <f t="shared" si="364"/>
        <v>0</v>
      </c>
      <c r="U218" s="36" t="e">
        <f t="shared" si="365"/>
        <v>#DIV/0!</v>
      </c>
      <c r="V218" s="44"/>
      <c r="W218" s="44"/>
      <c r="X218" s="8">
        <f t="shared" si="366"/>
        <v>0</v>
      </c>
      <c r="Y218" s="36" t="e">
        <f t="shared" si="367"/>
        <v>#DIV/0!</v>
      </c>
      <c r="Z218" s="58"/>
      <c r="AA218" s="95" t="e">
        <f t="shared" si="368"/>
        <v>#DIV/0!</v>
      </c>
      <c r="AB218" s="95" t="e">
        <f t="shared" si="369"/>
        <v>#DIV/0!</v>
      </c>
      <c r="AC218" s="36" t="e">
        <f t="shared" si="370"/>
        <v>#DIV/0!</v>
      </c>
      <c r="AD218" s="60" t="e">
        <f t="shared" si="371"/>
        <v>#DIV/0!</v>
      </c>
      <c r="AE218" s="80"/>
      <c r="AK218" s="7">
        <f>SUM(W219-W218)</f>
        <v>0</v>
      </c>
      <c r="AL218" s="94">
        <f>SUM(K219-K218)</f>
        <v>0</v>
      </c>
    </row>
    <row r="219" spans="1:38">
      <c r="A219" s="9"/>
      <c r="B219" s="72"/>
      <c r="C219" s="98" t="s">
        <v>98</v>
      </c>
      <c r="D219" s="56"/>
      <c r="E219" s="56"/>
      <c r="F219" s="40">
        <f t="shared" si="372"/>
        <v>0</v>
      </c>
      <c r="G219" s="36" t="e">
        <f t="shared" si="361"/>
        <v>#DIV/0!</v>
      </c>
      <c r="H219" s="40"/>
      <c r="I219" s="40"/>
      <c r="J219" s="56">
        <f>SUM(H219-R219)</f>
        <v>0</v>
      </c>
      <c r="K219" s="56">
        <f>SUM(I219-S219)</f>
        <v>0</v>
      </c>
      <c r="L219" s="40">
        <f t="shared" si="362"/>
        <v>0</v>
      </c>
      <c r="M219" s="36" t="e">
        <f t="shared" si="363"/>
        <v>#DIV/0!</v>
      </c>
      <c r="N219" s="58"/>
      <c r="O219" s="58"/>
      <c r="P219" s="58"/>
      <c r="Q219" s="58"/>
      <c r="R219" s="56"/>
      <c r="S219" s="56"/>
      <c r="T219" s="40">
        <f t="shared" si="364"/>
        <v>0</v>
      </c>
      <c r="U219" s="36" t="e">
        <f t="shared" si="365"/>
        <v>#DIV/0!</v>
      </c>
      <c r="V219" s="44"/>
      <c r="W219" s="44"/>
      <c r="X219" s="8">
        <f t="shared" si="366"/>
        <v>0</v>
      </c>
      <c r="Y219" s="36" t="e">
        <f t="shared" si="367"/>
        <v>#DIV/0!</v>
      </c>
      <c r="Z219" s="58"/>
      <c r="AA219" s="95" t="e">
        <f t="shared" si="368"/>
        <v>#DIV/0!</v>
      </c>
      <c r="AB219" s="95" t="e">
        <f t="shared" si="369"/>
        <v>#DIV/0!</v>
      </c>
      <c r="AC219" s="36" t="e">
        <f t="shared" si="370"/>
        <v>#DIV/0!</v>
      </c>
      <c r="AD219" s="60" t="e">
        <f>SUM(D219-H219)/D219</f>
        <v>#DIV/0!</v>
      </c>
      <c r="AE219" s="80"/>
      <c r="AK219" s="9">
        <f>SUM(AK214,AK215,AK216,AK217,AK218)</f>
        <v>0</v>
      </c>
      <c r="AL219" s="97">
        <f>SUM(AL214,AL215,AL216,AL217,AL218)</f>
        <v>0</v>
      </c>
    </row>
    <row r="220" spans="1:38" ht="9" customHeight="1">
      <c r="A220" s="274"/>
      <c r="B220" s="275"/>
      <c r="C220" s="275"/>
      <c r="D220" s="275"/>
      <c r="E220" s="275"/>
      <c r="F220" s="275"/>
      <c r="G220" s="275"/>
      <c r="H220" s="275"/>
      <c r="I220" s="275"/>
      <c r="J220" s="275"/>
      <c r="K220" s="275"/>
      <c r="L220" s="275"/>
      <c r="M220" s="275"/>
      <c r="N220" s="275"/>
      <c r="O220" s="275"/>
      <c r="P220" s="275"/>
      <c r="Q220" s="275"/>
      <c r="R220" s="275"/>
      <c r="S220" s="275"/>
      <c r="T220" s="275"/>
      <c r="U220" s="275"/>
      <c r="V220" s="275"/>
      <c r="W220" s="275"/>
      <c r="X220" s="275"/>
      <c r="Y220" s="275"/>
      <c r="Z220" s="275"/>
      <c r="AA220" s="275"/>
      <c r="AB220" s="275"/>
      <c r="AC220" s="275"/>
      <c r="AD220" s="276"/>
    </row>
    <row r="221" spans="1:38">
      <c r="A221" s="7">
        <f>'Main Sheet'!A66</f>
        <v>8308</v>
      </c>
      <c r="B221" s="7" t="str">
        <f>'Main Sheet'!B66</f>
        <v>Roydvale</v>
      </c>
      <c r="C221" s="93" t="s">
        <v>90</v>
      </c>
      <c r="D221" s="56">
        <v>0</v>
      </c>
      <c r="E221" s="56">
        <v>0</v>
      </c>
      <c r="F221" s="40">
        <f>D221-E221</f>
        <v>0</v>
      </c>
      <c r="G221" s="36" t="e">
        <f>F221/D221</f>
        <v>#DIV/0!</v>
      </c>
      <c r="H221" s="40">
        <v>0</v>
      </c>
      <c r="I221" s="40">
        <v>0</v>
      </c>
      <c r="J221" s="56">
        <v>0</v>
      </c>
      <c r="K221" s="56">
        <v>0</v>
      </c>
      <c r="L221" s="40">
        <f>J221-K221</f>
        <v>0</v>
      </c>
      <c r="M221" s="36" t="e">
        <f>L221/J221</f>
        <v>#DIV/0!</v>
      </c>
      <c r="N221" s="58"/>
      <c r="O221" s="58"/>
      <c r="P221" s="58"/>
      <c r="Q221" s="58"/>
      <c r="R221" s="56">
        <v>0</v>
      </c>
      <c r="S221" s="56">
        <v>0</v>
      </c>
      <c r="T221" s="40">
        <f>R221-S221</f>
        <v>0</v>
      </c>
      <c r="U221" s="36" t="e">
        <f>T221/R221</f>
        <v>#DIV/0!</v>
      </c>
      <c r="V221" s="44">
        <v>0</v>
      </c>
      <c r="W221" s="44">
        <v>0</v>
      </c>
      <c r="X221" s="8">
        <f>V221-W221</f>
        <v>0</v>
      </c>
      <c r="Y221" s="36" t="e">
        <f>X221/V221</f>
        <v>#DIV/0!</v>
      </c>
      <c r="Z221" s="58"/>
      <c r="AA221" s="95" t="e">
        <f>(E221-K221-S221)/W221</f>
        <v>#DIV/0!</v>
      </c>
      <c r="AB221" s="95" t="e">
        <f>(D221-J221-R221)/V221</f>
        <v>#DIV/0!</v>
      </c>
      <c r="AC221" s="36" t="e">
        <f>(E221-K221-S221)/E221</f>
        <v>#DIV/0!</v>
      </c>
      <c r="AD221" s="60" t="e">
        <f>SUM(D221-H221)/D221</f>
        <v>#DIV/0!</v>
      </c>
      <c r="AE221" s="80"/>
      <c r="AG221" t="s">
        <v>91</v>
      </c>
      <c r="AH221">
        <f>AK226</f>
        <v>0</v>
      </c>
      <c r="AK221" s="7">
        <f>SUM(W222-W221)</f>
        <v>0</v>
      </c>
      <c r="AL221" s="94">
        <f>SUM(K222-K221)</f>
        <v>0</v>
      </c>
    </row>
    <row r="222" spans="1:38">
      <c r="A222" s="7"/>
      <c r="B222" s="71"/>
      <c r="C222" s="93" t="s">
        <v>92</v>
      </c>
      <c r="D222" s="56">
        <v>0</v>
      </c>
      <c r="E222" s="56">
        <v>0</v>
      </c>
      <c r="F222" s="40">
        <v>0</v>
      </c>
      <c r="G222" s="36" t="e">
        <f t="shared" ref="G222:G226" si="373">F222/D222</f>
        <v>#DIV/0!</v>
      </c>
      <c r="H222" s="40">
        <v>0</v>
      </c>
      <c r="I222" s="40">
        <v>0</v>
      </c>
      <c r="J222" s="56">
        <v>0</v>
      </c>
      <c r="K222" s="56">
        <v>0</v>
      </c>
      <c r="L222" s="40">
        <f t="shared" ref="L222:L226" si="374">J222-K222</f>
        <v>0</v>
      </c>
      <c r="M222" s="36" t="e">
        <f t="shared" ref="M222:M226" si="375">L222/J222</f>
        <v>#DIV/0!</v>
      </c>
      <c r="N222" s="58"/>
      <c r="O222" s="58"/>
      <c r="P222" s="58"/>
      <c r="Q222" s="58"/>
      <c r="R222" s="56">
        <v>0</v>
      </c>
      <c r="S222" s="56">
        <v>0</v>
      </c>
      <c r="T222" s="40">
        <f t="shared" ref="T222:T226" si="376">R222-S222</f>
        <v>0</v>
      </c>
      <c r="U222" s="36" t="e">
        <f t="shared" ref="U222:U226" si="377">T222/R222</f>
        <v>#DIV/0!</v>
      </c>
      <c r="V222" s="44">
        <v>0</v>
      </c>
      <c r="W222" s="44">
        <v>0</v>
      </c>
      <c r="X222" s="8">
        <f t="shared" ref="X222:X226" si="378">V222-W222</f>
        <v>0</v>
      </c>
      <c r="Y222" s="36" t="e">
        <f t="shared" ref="Y222:Y226" si="379">X222/V222</f>
        <v>#DIV/0!</v>
      </c>
      <c r="Z222" s="58"/>
      <c r="AA222" s="95" t="e">
        <f t="shared" ref="AA222:AA226" si="380">(E222-K222-S222)/W222</f>
        <v>#DIV/0!</v>
      </c>
      <c r="AB222" s="95" t="e">
        <f t="shared" ref="AB222:AB226" si="381">(D222-J222-R222)/V222</f>
        <v>#DIV/0!</v>
      </c>
      <c r="AC222" s="36" t="e">
        <f t="shared" ref="AC222:AC226" si="382">(E222-K222-S222)/E222</f>
        <v>#DIV/0!</v>
      </c>
      <c r="AD222" s="60" t="e">
        <f t="shared" ref="AD222:AD225" si="383">SUM(D222-H222)/D222</f>
        <v>#DIV/0!</v>
      </c>
      <c r="AE222" s="80"/>
      <c r="AG222" t="s">
        <v>93</v>
      </c>
      <c r="AH222" s="42">
        <f>AL226</f>
        <v>0</v>
      </c>
      <c r="AK222" s="7">
        <f>SUM(W223-W222)</f>
        <v>0</v>
      </c>
      <c r="AL222" s="94">
        <f>SUM(K223-K222)</f>
        <v>0</v>
      </c>
    </row>
    <row r="223" spans="1:38">
      <c r="A223" s="7"/>
      <c r="B223" s="71"/>
      <c r="C223" s="93" t="s">
        <v>94</v>
      </c>
      <c r="D223" s="56"/>
      <c r="E223" s="56"/>
      <c r="F223" s="40">
        <f t="shared" ref="F223:F226" si="384">D223-E223</f>
        <v>0</v>
      </c>
      <c r="G223" s="36" t="e">
        <f t="shared" si="373"/>
        <v>#DIV/0!</v>
      </c>
      <c r="H223" s="40"/>
      <c r="I223" s="40"/>
      <c r="J223" s="56">
        <f>SUM(H223-R223)</f>
        <v>0</v>
      </c>
      <c r="K223" s="56">
        <f>SUM(I223-S223)</f>
        <v>0</v>
      </c>
      <c r="L223" s="40">
        <f t="shared" si="374"/>
        <v>0</v>
      </c>
      <c r="M223" s="36" t="e">
        <f t="shared" si="375"/>
        <v>#DIV/0!</v>
      </c>
      <c r="N223" s="58"/>
      <c r="O223" s="58"/>
      <c r="P223" s="58"/>
      <c r="Q223" s="58"/>
      <c r="R223" s="56"/>
      <c r="S223" s="56"/>
      <c r="T223" s="40">
        <f t="shared" si="376"/>
        <v>0</v>
      </c>
      <c r="U223" s="36" t="e">
        <f t="shared" si="377"/>
        <v>#DIV/0!</v>
      </c>
      <c r="V223" s="44"/>
      <c r="W223" s="44"/>
      <c r="X223" s="8">
        <f t="shared" si="378"/>
        <v>0</v>
      </c>
      <c r="Y223" s="36" t="e">
        <f t="shared" si="379"/>
        <v>#DIV/0!</v>
      </c>
      <c r="Z223" s="58"/>
      <c r="AA223" s="95" t="e">
        <f t="shared" si="380"/>
        <v>#DIV/0!</v>
      </c>
      <c r="AB223" s="95" t="e">
        <f t="shared" si="381"/>
        <v>#DIV/0!</v>
      </c>
      <c r="AC223" s="36" t="e">
        <f t="shared" si="382"/>
        <v>#DIV/0!</v>
      </c>
      <c r="AD223" s="60" t="e">
        <f t="shared" si="383"/>
        <v>#DIV/0!</v>
      </c>
      <c r="AE223" s="80"/>
      <c r="AK223" s="7">
        <f>SUM(W224-W223)</f>
        <v>0</v>
      </c>
      <c r="AL223" s="94">
        <f>SUM(K224-K223)</f>
        <v>0</v>
      </c>
    </row>
    <row r="224" spans="1:38">
      <c r="A224" s="7"/>
      <c r="B224" s="71"/>
      <c r="C224" s="93" t="s">
        <v>95</v>
      </c>
      <c r="D224" s="56"/>
      <c r="E224" s="56"/>
      <c r="F224" s="40">
        <f t="shared" si="384"/>
        <v>0</v>
      </c>
      <c r="G224" s="36" t="e">
        <f t="shared" si="373"/>
        <v>#DIV/0!</v>
      </c>
      <c r="H224" s="40"/>
      <c r="I224" s="40"/>
      <c r="J224" s="56">
        <f>SUM(H224-R224)</f>
        <v>0</v>
      </c>
      <c r="K224" s="56">
        <f>SUM(I224-S224)</f>
        <v>0</v>
      </c>
      <c r="L224" s="40">
        <f t="shared" si="374"/>
        <v>0</v>
      </c>
      <c r="M224" s="36" t="e">
        <f t="shared" si="375"/>
        <v>#DIV/0!</v>
      </c>
      <c r="N224" s="58"/>
      <c r="O224" s="58"/>
      <c r="P224" s="58"/>
      <c r="Q224" s="58"/>
      <c r="R224" s="56"/>
      <c r="S224" s="56"/>
      <c r="T224" s="40">
        <f t="shared" si="376"/>
        <v>0</v>
      </c>
      <c r="U224" s="36" t="e">
        <f t="shared" si="377"/>
        <v>#DIV/0!</v>
      </c>
      <c r="V224" s="44"/>
      <c r="W224" s="44"/>
      <c r="X224" s="8">
        <f t="shared" si="378"/>
        <v>0</v>
      </c>
      <c r="Y224" s="36" t="e">
        <f t="shared" si="379"/>
        <v>#DIV/0!</v>
      </c>
      <c r="Z224" s="58"/>
      <c r="AA224" s="95" t="e">
        <f t="shared" si="380"/>
        <v>#DIV/0!</v>
      </c>
      <c r="AB224" s="95" t="e">
        <f t="shared" si="381"/>
        <v>#DIV/0!</v>
      </c>
      <c r="AC224" s="36" t="e">
        <f t="shared" si="382"/>
        <v>#DIV/0!</v>
      </c>
      <c r="AD224" s="60" t="e">
        <f t="shared" si="383"/>
        <v>#DIV/0!</v>
      </c>
      <c r="AE224" s="80"/>
      <c r="AG224" t="s">
        <v>96</v>
      </c>
      <c r="AH224" s="42">
        <v>0</v>
      </c>
      <c r="AK224" s="7">
        <f>SUM(W225-W224)</f>
        <v>0</v>
      </c>
      <c r="AL224" s="94">
        <f>SUM(K225-K224)</f>
        <v>0</v>
      </c>
    </row>
    <row r="225" spans="1:38">
      <c r="A225" s="7"/>
      <c r="B225" s="71"/>
      <c r="C225" s="93" t="s">
        <v>97</v>
      </c>
      <c r="D225" s="56"/>
      <c r="E225" s="56"/>
      <c r="F225" s="40">
        <f t="shared" si="384"/>
        <v>0</v>
      </c>
      <c r="G225" s="36" t="e">
        <f t="shared" si="373"/>
        <v>#DIV/0!</v>
      </c>
      <c r="H225" s="40"/>
      <c r="I225" s="40"/>
      <c r="J225" s="56">
        <f>SUM(H225-R225)</f>
        <v>0</v>
      </c>
      <c r="K225" s="56">
        <f>SUM(I225-S225)</f>
        <v>0</v>
      </c>
      <c r="L225" s="40">
        <f t="shared" si="374"/>
        <v>0</v>
      </c>
      <c r="M225" s="36" t="e">
        <f t="shared" si="375"/>
        <v>#DIV/0!</v>
      </c>
      <c r="N225" s="58"/>
      <c r="O225" s="58"/>
      <c r="P225" s="58"/>
      <c r="Q225" s="58"/>
      <c r="R225" s="56"/>
      <c r="S225" s="56"/>
      <c r="T225" s="40">
        <f t="shared" si="376"/>
        <v>0</v>
      </c>
      <c r="U225" s="36" t="e">
        <f t="shared" si="377"/>
        <v>#DIV/0!</v>
      </c>
      <c r="V225" s="44"/>
      <c r="W225" s="44"/>
      <c r="X225" s="8">
        <f t="shared" si="378"/>
        <v>0</v>
      </c>
      <c r="Y225" s="36" t="e">
        <f t="shared" si="379"/>
        <v>#DIV/0!</v>
      </c>
      <c r="Z225" s="58"/>
      <c r="AA225" s="95" t="e">
        <f t="shared" si="380"/>
        <v>#DIV/0!</v>
      </c>
      <c r="AB225" s="95" t="e">
        <f t="shared" si="381"/>
        <v>#DIV/0!</v>
      </c>
      <c r="AC225" s="36" t="e">
        <f t="shared" si="382"/>
        <v>#DIV/0!</v>
      </c>
      <c r="AD225" s="60" t="e">
        <f t="shared" si="383"/>
        <v>#DIV/0!</v>
      </c>
      <c r="AE225" s="80"/>
      <c r="AK225" s="7">
        <f>SUM(W226-W225)</f>
        <v>0</v>
      </c>
      <c r="AL225" s="94">
        <f>SUM(K226-K225)</f>
        <v>0</v>
      </c>
    </row>
    <row r="226" spans="1:38">
      <c r="A226" s="9"/>
      <c r="B226" s="72"/>
      <c r="C226" s="98" t="s">
        <v>98</v>
      </c>
      <c r="D226" s="56"/>
      <c r="E226" s="56"/>
      <c r="F226" s="40">
        <f t="shared" si="384"/>
        <v>0</v>
      </c>
      <c r="G226" s="36" t="e">
        <f t="shared" si="373"/>
        <v>#DIV/0!</v>
      </c>
      <c r="H226" s="40"/>
      <c r="I226" s="40"/>
      <c r="J226" s="56">
        <f>SUM(H226-R226)</f>
        <v>0</v>
      </c>
      <c r="K226" s="56">
        <f>SUM(I226-S226)</f>
        <v>0</v>
      </c>
      <c r="L226" s="40">
        <f t="shared" si="374"/>
        <v>0</v>
      </c>
      <c r="M226" s="36" t="e">
        <f t="shared" si="375"/>
        <v>#DIV/0!</v>
      </c>
      <c r="N226" s="58"/>
      <c r="O226" s="58"/>
      <c r="P226" s="58"/>
      <c r="Q226" s="58"/>
      <c r="R226" s="56"/>
      <c r="S226" s="56"/>
      <c r="T226" s="40">
        <f t="shared" si="376"/>
        <v>0</v>
      </c>
      <c r="U226" s="36" t="e">
        <f t="shared" si="377"/>
        <v>#DIV/0!</v>
      </c>
      <c r="V226" s="44"/>
      <c r="W226" s="44"/>
      <c r="X226" s="8">
        <f t="shared" si="378"/>
        <v>0</v>
      </c>
      <c r="Y226" s="36" t="e">
        <f t="shared" si="379"/>
        <v>#DIV/0!</v>
      </c>
      <c r="Z226" s="58"/>
      <c r="AA226" s="95" t="e">
        <f t="shared" si="380"/>
        <v>#DIV/0!</v>
      </c>
      <c r="AB226" s="95" t="e">
        <f t="shared" si="381"/>
        <v>#DIV/0!</v>
      </c>
      <c r="AC226" s="36" t="e">
        <f t="shared" si="382"/>
        <v>#DIV/0!</v>
      </c>
      <c r="AD226" s="60" t="e">
        <f>SUM(D226-H226)/D226</f>
        <v>#DIV/0!</v>
      </c>
      <c r="AE226" s="80"/>
      <c r="AK226" s="9">
        <f>SUM(AK221,AK222,AK223,AK224,AK225)</f>
        <v>0</v>
      </c>
      <c r="AL226" s="97">
        <f>SUM(AL221,AL222,AL223,AL224,AL225)</f>
        <v>0</v>
      </c>
    </row>
  </sheetData>
  <mergeCells count="61">
    <mergeCell ref="A220:AD220"/>
    <mergeCell ref="A143:AD143"/>
    <mergeCell ref="A150:AD150"/>
    <mergeCell ref="A157:AD157"/>
    <mergeCell ref="A164:AD164"/>
    <mergeCell ref="A171:AD171"/>
    <mergeCell ref="A178:AD178"/>
    <mergeCell ref="A185:AD185"/>
    <mergeCell ref="A192:AD192"/>
    <mergeCell ref="A199:AD199"/>
    <mergeCell ref="A206:AD206"/>
    <mergeCell ref="A213:AD213"/>
    <mergeCell ref="A136:AD136"/>
    <mergeCell ref="A52:AD52"/>
    <mergeCell ref="A59:AD59"/>
    <mergeCell ref="A66:AD66"/>
    <mergeCell ref="A73:AD73"/>
    <mergeCell ref="A80:AD80"/>
    <mergeCell ref="A87:AD87"/>
    <mergeCell ref="A94:AD94"/>
    <mergeCell ref="A101:AD101"/>
    <mergeCell ref="A108:AD108"/>
    <mergeCell ref="A122:AD122"/>
    <mergeCell ref="A129:AD129"/>
    <mergeCell ref="A10:AD10"/>
    <mergeCell ref="A17:AD17"/>
    <mergeCell ref="A24:AD24"/>
    <mergeCell ref="A31:AD31"/>
    <mergeCell ref="A38:AD38"/>
    <mergeCell ref="A45:AD45"/>
    <mergeCell ref="Y2:Y3"/>
    <mergeCell ref="Z2:Z3"/>
    <mergeCell ref="AA2:AA3"/>
    <mergeCell ref="AB2:AB3"/>
    <mergeCell ref="AC2:AC3"/>
    <mergeCell ref="AD2:AD3"/>
    <mergeCell ref="S2:S3"/>
    <mergeCell ref="T2:T3"/>
    <mergeCell ref="U2:U3"/>
    <mergeCell ref="V2:V3"/>
    <mergeCell ref="W2:W3"/>
    <mergeCell ref="X2:X3"/>
    <mergeCell ref="J2:J3"/>
    <mergeCell ref="K2:K3"/>
    <mergeCell ref="L2:L3"/>
    <mergeCell ref="A1:AD1"/>
    <mergeCell ref="A2:A3"/>
    <mergeCell ref="B2:B3"/>
    <mergeCell ref="C2:C3"/>
    <mergeCell ref="D2:D3"/>
    <mergeCell ref="E2:E3"/>
    <mergeCell ref="F2:F3"/>
    <mergeCell ref="G2:G3"/>
    <mergeCell ref="H2:H3"/>
    <mergeCell ref="I2:I3"/>
    <mergeCell ref="M2:M3"/>
    <mergeCell ref="N2:N3"/>
    <mergeCell ref="R2:R3"/>
    <mergeCell ref="O2:O3"/>
    <mergeCell ref="P2:P3"/>
    <mergeCell ref="Q2:Q3"/>
  </mergeCells>
  <conditionalFormatting sqref="AA4:AA5 AA7:AA9 AA14:AA16 AA21:AA23 AA28:AA30 AA49:AA51 AA56:AA58 AA63:AA65 AA70:AA72 AA77:AA79 AA84:AA86 AA91:AA93 AA98:AA100 AA105:AA107 AA112:AA114 AA126:AA128 AA133:AA135 AA147:AA149 AA154:AA156">
    <cfRule type="expression" dxfId="99" priority="99">
      <formula>$AA$4&lt;$AB$4</formula>
    </cfRule>
  </conditionalFormatting>
  <conditionalFormatting sqref="AA11:AA12">
    <cfRule type="expression" dxfId="98" priority="97">
      <formula>$AA$4&lt;$AB$4</formula>
    </cfRule>
  </conditionalFormatting>
  <conditionalFormatting sqref="AA18:AA19">
    <cfRule type="expression" dxfId="97" priority="95">
      <formula>$AA$4&lt;$AB$4</formula>
    </cfRule>
  </conditionalFormatting>
  <conditionalFormatting sqref="AA25:AA26">
    <cfRule type="expression" dxfId="96" priority="87">
      <formula>$AA$4&lt;$AB$4</formula>
    </cfRule>
  </conditionalFormatting>
  <conditionalFormatting sqref="AA32:AA37">
    <cfRule type="expression" dxfId="95" priority="85">
      <formula>$AA$4&lt;$AB$4</formula>
    </cfRule>
  </conditionalFormatting>
  <conditionalFormatting sqref="AA39:AA44">
    <cfRule type="expression" dxfId="94" priority="93">
      <formula>$AA$4&lt;$AB$4</formula>
    </cfRule>
  </conditionalFormatting>
  <conditionalFormatting sqref="AA46:AA47">
    <cfRule type="expression" dxfId="93" priority="83">
      <formula>$AA$4&lt;$AB$4</formula>
    </cfRule>
  </conditionalFormatting>
  <conditionalFormatting sqref="AA53:AA54">
    <cfRule type="expression" dxfId="92" priority="81">
      <formula>$AA$4&lt;$AB$4</formula>
    </cfRule>
  </conditionalFormatting>
  <conditionalFormatting sqref="AA60:AA61">
    <cfRule type="expression" dxfId="91" priority="91">
      <formula>$AA$4&lt;$AB$4</formula>
    </cfRule>
  </conditionalFormatting>
  <conditionalFormatting sqref="AA67:AA68">
    <cfRule type="expression" dxfId="90" priority="89">
      <formula>$AA$4&lt;$AB$4</formula>
    </cfRule>
  </conditionalFormatting>
  <conditionalFormatting sqref="AA74:AA75">
    <cfRule type="expression" dxfId="89" priority="79">
      <formula>$AA$4&lt;$AB$4</formula>
    </cfRule>
  </conditionalFormatting>
  <conditionalFormatting sqref="AA81:AA82">
    <cfRule type="expression" dxfId="88" priority="77">
      <formula>$AA$4&lt;$AB$4</formula>
    </cfRule>
  </conditionalFormatting>
  <conditionalFormatting sqref="AA88:AA89">
    <cfRule type="expression" dxfId="87" priority="75">
      <formula>$AA$4&lt;$AB$4</formula>
    </cfRule>
  </conditionalFormatting>
  <conditionalFormatting sqref="AA95:AA96">
    <cfRule type="expression" dxfId="86" priority="73">
      <formula>$AA$4&lt;$AB$4</formula>
    </cfRule>
  </conditionalFormatting>
  <conditionalFormatting sqref="AA102:AA103">
    <cfRule type="expression" dxfId="85" priority="71">
      <formula>$AA$4&lt;$AB$4</formula>
    </cfRule>
  </conditionalFormatting>
  <conditionalFormatting sqref="AA109:AA110">
    <cfRule type="expression" dxfId="84" priority="69">
      <formula>$AA$4&lt;$AB$4</formula>
    </cfRule>
  </conditionalFormatting>
  <conditionalFormatting sqref="AA116:AA121">
    <cfRule type="expression" dxfId="83" priority="67">
      <formula>$AA$4&lt;$AB$4</formula>
    </cfRule>
  </conditionalFormatting>
  <conditionalFormatting sqref="AA123:AA124">
    <cfRule type="expression" dxfId="82" priority="65">
      <formula>$AA$4&lt;$AB$4</formula>
    </cfRule>
  </conditionalFormatting>
  <conditionalFormatting sqref="AA130:AA131">
    <cfRule type="expression" dxfId="81" priority="63">
      <formula>$AA$4&lt;$AB$4</formula>
    </cfRule>
  </conditionalFormatting>
  <conditionalFormatting sqref="AA137:AA142">
    <cfRule type="expression" dxfId="80" priority="61">
      <formula>$AA$4&lt;$AB$4</formula>
    </cfRule>
  </conditionalFormatting>
  <conditionalFormatting sqref="AA144:AA145">
    <cfRule type="expression" dxfId="79" priority="59">
      <formula>$AA$4&lt;$AB$4</formula>
    </cfRule>
  </conditionalFormatting>
  <conditionalFormatting sqref="AA151:AA152">
    <cfRule type="expression" dxfId="78" priority="57">
      <formula>$AA$4&lt;$AB$4</formula>
    </cfRule>
  </conditionalFormatting>
  <conditionalFormatting sqref="AC4:AC5 AC7:AC9 AC14:AC16 AC21:AC23 AC28:AC30 AC49:AC51 AC56:AC58 AC63:AC65 AC70:AC72 AC77:AC79 AC84:AC86 AC91:AC93 AC98:AC100 AC105:AC107 AC112:AC114 AC126:AC128 AC133:AC135 AC147:AC149 AC154:AC156">
    <cfRule type="expression" dxfId="77" priority="100">
      <formula>$AC$4&lt;AD4</formula>
    </cfRule>
  </conditionalFormatting>
  <conditionalFormatting sqref="AC11:AC12">
    <cfRule type="expression" dxfId="76" priority="98">
      <formula>$AC$4&lt;AD11</formula>
    </cfRule>
  </conditionalFormatting>
  <conditionalFormatting sqref="AC18:AC19">
    <cfRule type="expression" dxfId="75" priority="96">
      <formula>$AC$4&lt;AD18</formula>
    </cfRule>
  </conditionalFormatting>
  <conditionalFormatting sqref="AC25:AC26">
    <cfRule type="expression" dxfId="74" priority="88">
      <formula>$AC$4&lt;AD25</formula>
    </cfRule>
  </conditionalFormatting>
  <conditionalFormatting sqref="AC32:AC37">
    <cfRule type="expression" dxfId="73" priority="86">
      <formula>$AC$4&lt;AD32</formula>
    </cfRule>
  </conditionalFormatting>
  <conditionalFormatting sqref="AC39:AC44">
    <cfRule type="expression" dxfId="72" priority="94">
      <formula>$AC$4&lt;AD39</formula>
    </cfRule>
  </conditionalFormatting>
  <conditionalFormatting sqref="AC46:AC47">
    <cfRule type="expression" dxfId="71" priority="84">
      <formula>$AC$4&lt;AD46</formula>
    </cfRule>
  </conditionalFormatting>
  <conditionalFormatting sqref="AC53:AC54">
    <cfRule type="expression" dxfId="70" priority="82">
      <formula>$AC$4&lt;AD53</formula>
    </cfRule>
  </conditionalFormatting>
  <conditionalFormatting sqref="AC60:AC61">
    <cfRule type="expression" dxfId="69" priority="92">
      <formula>$AC$4&lt;AD60</formula>
    </cfRule>
  </conditionalFormatting>
  <conditionalFormatting sqref="AC67:AC68">
    <cfRule type="expression" dxfId="68" priority="90">
      <formula>$AC$4&lt;AD67</formula>
    </cfRule>
  </conditionalFormatting>
  <conditionalFormatting sqref="AC74:AC75">
    <cfRule type="expression" dxfId="67" priority="80">
      <formula>$AC$4&lt;AD74</formula>
    </cfRule>
  </conditionalFormatting>
  <conditionalFormatting sqref="AC81:AC82">
    <cfRule type="expression" dxfId="66" priority="78">
      <formula>$AC$4&lt;AD81</formula>
    </cfRule>
  </conditionalFormatting>
  <conditionalFormatting sqref="AC88:AC89">
    <cfRule type="expression" dxfId="65" priority="76">
      <formula>$AC$4&lt;AD88</formula>
    </cfRule>
  </conditionalFormatting>
  <conditionalFormatting sqref="AC95:AC96">
    <cfRule type="expression" dxfId="64" priority="74">
      <formula>$AC$4&lt;AD95</formula>
    </cfRule>
  </conditionalFormatting>
  <conditionalFormatting sqref="AC102:AC103">
    <cfRule type="expression" dxfId="63" priority="72">
      <formula>$AC$4&lt;AD102</formula>
    </cfRule>
  </conditionalFormatting>
  <conditionalFormatting sqref="AC109:AC110">
    <cfRule type="expression" dxfId="62" priority="70">
      <formula>$AC$4&lt;AD109</formula>
    </cfRule>
  </conditionalFormatting>
  <conditionalFormatting sqref="AC116:AC121">
    <cfRule type="expression" dxfId="61" priority="68">
      <formula>$AC$4&lt;AD116</formula>
    </cfRule>
  </conditionalFormatting>
  <conditionalFormatting sqref="AC123:AC124">
    <cfRule type="expression" dxfId="60" priority="66">
      <formula>$AC$4&lt;AD123</formula>
    </cfRule>
  </conditionalFormatting>
  <conditionalFormatting sqref="AC130:AC131">
    <cfRule type="expression" dxfId="59" priority="64">
      <formula>$AC$4&lt;AD130</formula>
    </cfRule>
  </conditionalFormatting>
  <conditionalFormatting sqref="AC137:AC142">
    <cfRule type="expression" dxfId="58" priority="62">
      <formula>$AC$4&lt;AD137</formula>
    </cfRule>
  </conditionalFormatting>
  <conditionalFormatting sqref="AC144:AC145">
    <cfRule type="expression" dxfId="57" priority="60">
      <formula>$AC$4&lt;AD144</formula>
    </cfRule>
  </conditionalFormatting>
  <conditionalFormatting sqref="AC151:AC152">
    <cfRule type="expression" dxfId="56" priority="58">
      <formula>$AC$4&lt;AD151</formula>
    </cfRule>
  </conditionalFormatting>
  <conditionalFormatting sqref="AA158:AA163">
    <cfRule type="expression" dxfId="55" priority="55">
      <formula>$AA$4&lt;$AB$4</formula>
    </cfRule>
  </conditionalFormatting>
  <conditionalFormatting sqref="AC158:AC163">
    <cfRule type="expression" dxfId="54" priority="56">
      <formula>$AC$4&lt;AD158</formula>
    </cfRule>
  </conditionalFormatting>
  <conditionalFormatting sqref="AA165:AA170">
    <cfRule type="expression" dxfId="53" priority="53">
      <formula>$AA$4&lt;$AB$4</formula>
    </cfRule>
  </conditionalFormatting>
  <conditionalFormatting sqref="AC165:AC170">
    <cfRule type="expression" dxfId="52" priority="54">
      <formula>$AC$4&lt;AD165</formula>
    </cfRule>
  </conditionalFormatting>
  <conditionalFormatting sqref="AA172:AA177">
    <cfRule type="expression" dxfId="51" priority="51">
      <formula>$AA$4&lt;$AB$4</formula>
    </cfRule>
  </conditionalFormatting>
  <conditionalFormatting sqref="AC172:AC177">
    <cfRule type="expression" dxfId="50" priority="52">
      <formula>$AC$4&lt;AD172</formula>
    </cfRule>
  </conditionalFormatting>
  <conditionalFormatting sqref="AA179:AA184">
    <cfRule type="expression" dxfId="49" priority="49">
      <formula>$AA$4&lt;$AB$4</formula>
    </cfRule>
  </conditionalFormatting>
  <conditionalFormatting sqref="AC179:AC184">
    <cfRule type="expression" dxfId="48" priority="50">
      <formula>$AC$4&lt;AD179</formula>
    </cfRule>
  </conditionalFormatting>
  <conditionalFormatting sqref="AA186:AA191">
    <cfRule type="expression" dxfId="47" priority="47">
      <formula>$AA$4&lt;$AB$4</formula>
    </cfRule>
  </conditionalFormatting>
  <conditionalFormatting sqref="AC186:AC191">
    <cfRule type="expression" dxfId="46" priority="48">
      <formula>$AC$4&lt;AD186</formula>
    </cfRule>
  </conditionalFormatting>
  <conditionalFormatting sqref="AA193:AA198">
    <cfRule type="expression" dxfId="45" priority="45">
      <formula>$AA$4&lt;$AB$4</formula>
    </cfRule>
  </conditionalFormatting>
  <conditionalFormatting sqref="AC193:AC198">
    <cfRule type="expression" dxfId="44" priority="46">
      <formula>$AC$4&lt;AD193</formula>
    </cfRule>
  </conditionalFormatting>
  <conditionalFormatting sqref="AA200:AA205">
    <cfRule type="expression" dxfId="43" priority="43">
      <formula>$AA$4&lt;$AB$4</formula>
    </cfRule>
  </conditionalFormatting>
  <conditionalFormatting sqref="AC200:AC205">
    <cfRule type="expression" dxfId="42" priority="44">
      <formula>$AC$4&lt;AD200</formula>
    </cfRule>
  </conditionalFormatting>
  <conditionalFormatting sqref="AA207:AA212">
    <cfRule type="expression" dxfId="41" priority="41">
      <formula>$AA$4&lt;$AB$4</formula>
    </cfRule>
  </conditionalFormatting>
  <conditionalFormatting sqref="AC207:AC212">
    <cfRule type="expression" dxfId="40" priority="42">
      <formula>$AC$4&lt;AD207</formula>
    </cfRule>
  </conditionalFormatting>
  <conditionalFormatting sqref="AA214:AA219">
    <cfRule type="expression" dxfId="39" priority="39">
      <formula>$AA$4&lt;$AB$4</formula>
    </cfRule>
  </conditionalFormatting>
  <conditionalFormatting sqref="AC214:AC219">
    <cfRule type="expression" dxfId="38" priority="40">
      <formula>$AC$4&lt;AD214</formula>
    </cfRule>
  </conditionalFormatting>
  <conditionalFormatting sqref="AA221:AA226">
    <cfRule type="expression" dxfId="37" priority="37">
      <formula>$AA$4&lt;$AB$4</formula>
    </cfRule>
  </conditionalFormatting>
  <conditionalFormatting sqref="AC221:AC226">
    <cfRule type="expression" dxfId="36" priority="38">
      <formula>$AC$4&lt;AD221</formula>
    </cfRule>
  </conditionalFormatting>
  <conditionalFormatting sqref="AA90">
    <cfRule type="expression" dxfId="35" priority="35">
      <formula>$AA$4&lt;$AB$4</formula>
    </cfRule>
  </conditionalFormatting>
  <conditionalFormatting sqref="AC90">
    <cfRule type="expression" dxfId="34" priority="36">
      <formula>$AC$4&lt;AD90</formula>
    </cfRule>
  </conditionalFormatting>
  <conditionalFormatting sqref="AA83">
    <cfRule type="expression" dxfId="33" priority="33">
      <formula>$AA$4&lt;$AB$4</formula>
    </cfRule>
  </conditionalFormatting>
  <conditionalFormatting sqref="AC83">
    <cfRule type="expression" dxfId="32" priority="34">
      <formula>$AC$4&lt;AD83</formula>
    </cfRule>
  </conditionalFormatting>
  <conditionalFormatting sqref="AA97">
    <cfRule type="expression" dxfId="31" priority="31">
      <formula>$AA$4&lt;$AB$4</formula>
    </cfRule>
  </conditionalFormatting>
  <conditionalFormatting sqref="AC97">
    <cfRule type="expression" dxfId="30" priority="32">
      <formula>$AC$4&lt;AD97</formula>
    </cfRule>
  </conditionalFormatting>
  <conditionalFormatting sqref="AA104">
    <cfRule type="expression" dxfId="29" priority="29">
      <formula>$AA$4&lt;$AB$4</formula>
    </cfRule>
  </conditionalFormatting>
  <conditionalFormatting sqref="AC104">
    <cfRule type="expression" dxfId="28" priority="30">
      <formula>$AC$4&lt;AD104</formula>
    </cfRule>
  </conditionalFormatting>
  <conditionalFormatting sqref="AA111">
    <cfRule type="expression" dxfId="27" priority="27">
      <formula>$AA$4&lt;$AB$4</formula>
    </cfRule>
  </conditionalFormatting>
  <conditionalFormatting sqref="AC111">
    <cfRule type="expression" dxfId="26" priority="28">
      <formula>$AC$4&lt;AD111</formula>
    </cfRule>
  </conditionalFormatting>
  <conditionalFormatting sqref="AA125">
    <cfRule type="expression" dxfId="25" priority="25">
      <formula>$AA$4&lt;$AB$4</formula>
    </cfRule>
  </conditionalFormatting>
  <conditionalFormatting sqref="AC125">
    <cfRule type="expression" dxfId="24" priority="26">
      <formula>$AC$4&lt;AD125</formula>
    </cfRule>
  </conditionalFormatting>
  <conditionalFormatting sqref="AA132">
    <cfRule type="expression" dxfId="23" priority="23">
      <formula>$AA$4&lt;$AB$4</formula>
    </cfRule>
  </conditionalFormatting>
  <conditionalFormatting sqref="AC132">
    <cfRule type="expression" dxfId="22" priority="24">
      <formula>$AC$4&lt;AD132</formula>
    </cfRule>
  </conditionalFormatting>
  <conditionalFormatting sqref="AA146">
    <cfRule type="expression" dxfId="21" priority="21">
      <formula>$AA$4&lt;$AB$4</formula>
    </cfRule>
  </conditionalFormatting>
  <conditionalFormatting sqref="AC146">
    <cfRule type="expression" dxfId="20" priority="22">
      <formula>$AC$4&lt;AD146</formula>
    </cfRule>
  </conditionalFormatting>
  <conditionalFormatting sqref="AA153">
    <cfRule type="expression" dxfId="19" priority="19">
      <formula>$AA$4&lt;$AB$4</formula>
    </cfRule>
  </conditionalFormatting>
  <conditionalFormatting sqref="AC153">
    <cfRule type="expression" dxfId="18" priority="20">
      <formula>$AC$4&lt;AD153</formula>
    </cfRule>
  </conditionalFormatting>
  <conditionalFormatting sqref="AA6">
    <cfRule type="expression" dxfId="17" priority="17">
      <formula>$AA$4&lt;$AB$4</formula>
    </cfRule>
  </conditionalFormatting>
  <conditionalFormatting sqref="AC6">
    <cfRule type="expression" dxfId="16" priority="18">
      <formula>$AC$4&lt;AD6</formula>
    </cfRule>
  </conditionalFormatting>
  <conditionalFormatting sqref="AA13">
    <cfRule type="expression" dxfId="15" priority="15">
      <formula>$AA$4&lt;$AB$4</formula>
    </cfRule>
  </conditionalFormatting>
  <conditionalFormatting sqref="AC13">
    <cfRule type="expression" dxfId="14" priority="16">
      <formula>$AC$4&lt;AD13</formula>
    </cfRule>
  </conditionalFormatting>
  <conditionalFormatting sqref="AA20">
    <cfRule type="expression" dxfId="13" priority="13">
      <formula>$AA$4&lt;$AB$4</formula>
    </cfRule>
  </conditionalFormatting>
  <conditionalFormatting sqref="AC20">
    <cfRule type="expression" dxfId="12" priority="14">
      <formula>$AC$4&lt;AD20</formula>
    </cfRule>
  </conditionalFormatting>
  <conditionalFormatting sqref="AA27">
    <cfRule type="expression" dxfId="11" priority="11">
      <formula>$AA$4&lt;$AB$4</formula>
    </cfRule>
  </conditionalFormatting>
  <conditionalFormatting sqref="AC27">
    <cfRule type="expression" dxfId="10" priority="12">
      <formula>$AC$4&lt;AD27</formula>
    </cfRule>
  </conditionalFormatting>
  <conditionalFormatting sqref="AA48">
    <cfRule type="expression" dxfId="9" priority="9">
      <formula>$AA$4&lt;$AB$4</formula>
    </cfRule>
  </conditionalFormatting>
  <conditionalFormatting sqref="AC48">
    <cfRule type="expression" dxfId="8" priority="10">
      <formula>$AC$4&lt;AD48</formula>
    </cfRule>
  </conditionalFormatting>
  <conditionalFormatting sqref="AA55">
    <cfRule type="expression" dxfId="7" priority="7">
      <formula>$AA$4&lt;$AB$4</formula>
    </cfRule>
  </conditionalFormatting>
  <conditionalFormatting sqref="AC55">
    <cfRule type="expression" dxfId="6" priority="8">
      <formula>$AC$4&lt;AD55</formula>
    </cfRule>
  </conditionalFormatting>
  <conditionalFormatting sqref="AA62">
    <cfRule type="expression" dxfId="5" priority="5">
      <formula>$AA$4&lt;$AB$4</formula>
    </cfRule>
  </conditionalFormatting>
  <conditionalFormatting sqref="AC62">
    <cfRule type="expression" dxfId="4" priority="6">
      <formula>$AC$4&lt;AD62</formula>
    </cfRule>
  </conditionalFormatting>
  <conditionalFormatting sqref="AA69">
    <cfRule type="expression" dxfId="3" priority="3">
      <formula>$AA$4&lt;$AB$4</formula>
    </cfRule>
  </conditionalFormatting>
  <conditionalFormatting sqref="AC69">
    <cfRule type="expression" dxfId="2" priority="4">
      <formula>$AC$4&lt;AD69</formula>
    </cfRule>
  </conditionalFormatting>
  <conditionalFormatting sqref="AA76">
    <cfRule type="expression" dxfId="1" priority="1">
      <formula>$AA$4&lt;$AB$4</formula>
    </cfRule>
  </conditionalFormatting>
  <conditionalFormatting sqref="AC76">
    <cfRule type="expression" dxfId="0" priority="2">
      <formula>$AC$4&lt;AD76</formula>
    </cfRule>
  </conditionalFormatting>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05D58-5929-49B8-8321-7CE351E2CBDD}">
  <dimension ref="A3:P9"/>
  <sheetViews>
    <sheetView workbookViewId="0">
      <selection activeCell="P9" sqref="P9"/>
    </sheetView>
  </sheetViews>
  <sheetFormatPr defaultRowHeight="15"/>
  <cols>
    <col min="1" max="1" width="10.28515625" bestFit="1" customWidth="1"/>
  </cols>
  <sheetData>
    <row r="3" spans="1:16">
      <c r="A3">
        <v>340</v>
      </c>
      <c r="B3" t="s">
        <v>217</v>
      </c>
      <c r="C3" t="s">
        <v>218</v>
      </c>
      <c r="D3" t="s">
        <v>219</v>
      </c>
    </row>
    <row r="4" spans="1:16">
      <c r="A4" t="s">
        <v>220</v>
      </c>
      <c r="B4">
        <v>30</v>
      </c>
      <c r="D4" s="38">
        <f>SUM(B4/A3)</f>
        <v>8.8235294117647065E-2</v>
      </c>
    </row>
    <row r="5" spans="1:16">
      <c r="A5" t="s">
        <v>221</v>
      </c>
      <c r="B5">
        <v>60</v>
      </c>
      <c r="P5">
        <v>95.35</v>
      </c>
    </row>
    <row r="6" spans="1:16">
      <c r="A6" t="s">
        <v>222</v>
      </c>
      <c r="B6">
        <v>100</v>
      </c>
      <c r="P6">
        <v>102.69</v>
      </c>
    </row>
    <row r="7" spans="1:16">
      <c r="A7" t="s">
        <v>223</v>
      </c>
      <c r="B7">
        <v>150</v>
      </c>
      <c r="P7">
        <v>134.82</v>
      </c>
    </row>
    <row r="8" spans="1:16">
      <c r="P8">
        <v>324.19</v>
      </c>
    </row>
    <row r="9" spans="1:16">
      <c r="P9">
        <v>415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7758179C7A0CC4486F1E8BFDC9591C3" ma:contentTypeVersion="15" ma:contentTypeDescription="Create a new document." ma:contentTypeScope="" ma:versionID="9d1c0a82bfd765f0471a9e71b143479a">
  <xsd:schema xmlns:xsd="http://www.w3.org/2001/XMLSchema" xmlns:xs="http://www.w3.org/2001/XMLSchema" xmlns:p="http://schemas.microsoft.com/office/2006/metadata/properties" xmlns:ns2="1afac251-b438-4a5a-820d-7b318fe432c4" xmlns:ns3="5892b6b5-ef16-4383-b45c-430a69250556" targetNamespace="http://schemas.microsoft.com/office/2006/metadata/properties" ma:root="true" ma:fieldsID="8188fbf10a9941b490ae9637e88cc6c4" ns2:_="" ns3:_="">
    <xsd:import namespace="1afac251-b438-4a5a-820d-7b318fe432c4"/>
    <xsd:import namespace="5892b6b5-ef16-4383-b45c-430a6925055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DateTaken"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fac251-b438-4a5a-820d-7b318fe432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91f3791-2f2a-4d96-b5df-befe6b163858"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92b6b5-ef16-4383-b45c-430a69250556"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18" nillable="true" ma:displayName="Taxonomy Catch All Column" ma:hidden="true" ma:list="{efd7cba0-aada-4782-9747-975f82a2a04f}" ma:internalName="TaxCatchAll" ma:showField="CatchAllData" ma:web="5892b6b5-ef16-4383-b45c-430a6925055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892b6b5-ef16-4383-b45c-430a69250556" xsi:nil="true"/>
    <lcf76f155ced4ddcb4097134ff3c332f xmlns="1afac251-b438-4a5a-820d-7b318fe432c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9403322-541D-4EFD-9DA7-0307635C8CFC}"/>
</file>

<file path=customXml/itemProps2.xml><?xml version="1.0" encoding="utf-8"?>
<ds:datastoreItem xmlns:ds="http://schemas.openxmlformats.org/officeDocument/2006/customXml" ds:itemID="{C068A4AF-6593-4992-9B26-7EB168F53BC2}"/>
</file>

<file path=customXml/itemProps3.xml><?xml version="1.0" encoding="utf-8"?>
<ds:datastoreItem xmlns:ds="http://schemas.openxmlformats.org/officeDocument/2006/customXml" ds:itemID="{9063B197-8BB7-4960-A01E-B5A0F1BC60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Tim Davies</dc:creator>
  <cp:keywords/>
  <dc:description/>
  <cp:lastModifiedBy>Cameron</cp:lastModifiedBy>
  <cp:revision/>
  <dcterms:created xsi:type="dcterms:W3CDTF">2024-06-05T18:39:39Z</dcterms:created>
  <dcterms:modified xsi:type="dcterms:W3CDTF">2026-08-03T03:43:47Z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0x01010057758179C7A0CC4486F1E8BFDC9591C3</vt:lpwstr>
  </property>
  <property fmtid="{D5CDD505-2E9C-101B-9397-08002B2CF9AE}" pid="3" name="MediaServiceImageTags">
    <vt:lpwstr/>
  </property>
</Properties>
</file>