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<sst xmlns="http://schemas.openxmlformats.org/spreadsheetml/2006/main" count="1191" uniqueCount="231">
  <si>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</si>
  <si>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</si>
  <si>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</si>
  <si>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</si>
  <si>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</si>
  <si>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</si>
  <si>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</si>
  <si>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</si>
  <si>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</si>
  <si>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</si>
  <si>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</si>
  <si>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</si>
  <si>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</si>
  <si>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</si>
  <si>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</si>
  <si>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</si>
  <si>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</si>
  <si>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</si>
  <si>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</si>
  <si>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</si>
  <si>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</si>
  <si>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</si>
  <si>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</si>
  <si>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</si>
  <si>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</si>
  <si>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</si>
  <si>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 Skilton</t>
  </si>
  <si>
    <t>Yes</t>
  </si>
  <si>
    <t>N/A</t>
  </si>
  <si>
    <t>Fisher Developements</t>
  </si>
  <si>
    <t/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</si>
  <si>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</si>
  <si>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</si>
  <si>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</si>
  <si>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</si>
  <si>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</si>
  <si>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</si>
  <si>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</si>
  <si>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</si>
  <si>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</si>
  <si>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</si>
  <si>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</si>
  <si>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 Price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</si>
  <si>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</si>
  <si>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</si>
  <si>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</si>
  <si>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</si>
  <si>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</si>
  <si>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</si>
  <si>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</si>
  <si>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</si>
  <si>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</si>
  <si>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</si>
  <si>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</si>
  <si>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</si>
  <si>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</si>
  <si>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</si>
  <si>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</si>
  <si>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</si>
  <si>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</si>
  <si>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</si>
  <si>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</si>
  <si>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</si>
  <si>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224 Cashel St - Eastern WC Block Reno</t>
  </si>
  <si>
    <t>Charles Roselier</t>
  </si>
  <si>
    <t>Bach in Kaikoura</t>
  </si>
  <si>
    <t>Resi Reno at 124 Chapter Street</t>
  </si>
  <si>
    <t>New Build</t>
  </si>
  <si>
    <t>65A Belfast Road (Revised)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</si>
  <si>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</si>
  <si>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</si>
  <si>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</si>
  <si>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</si>
  <si>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</si>
  <si>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</si>
  <si>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</si>
  <si>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</si>
  <si>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</si>
  <si>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</si>
  <si>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</si>
  <si>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</si>
  <si>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</si>
  <si>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</si>
  <si>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</si>
  <si>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</si>
  <si>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</si>
  <si>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</si>
  <si>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</si>
  <si>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</si>
  <si>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</si>
  <si>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</si>
  <si>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</si>
  <si>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</si>
  <si>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</si>
  <si>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</si>
  <si>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</si>
  <si>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</si>
  <si>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</si>
  <si>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</si>
  <si>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</si>
  <si>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</si>
  <si>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</si>
  <si>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</si>
  <si>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</si>
  <si>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</si>
  <si>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[object Object]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</si>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</sst>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 t="s">
        <v>27</v>
      </c>
      <c r="G8" s="14" t="s">
        <v>28</v>
      </c>
      <c r="H8" s="13" t="s">
        <v>28</v>
      </c>
      <c r="I8" s="13" t="s">
        <v>27</v>
      </c>
      <c r="J8" s="13" t="s">
        <v>27</v>
      </c>
      <c r="K8" s="13" t="s">
        <v>27</v>
      </c>
      <c r="L8" s="13" t="s">
        <v>27</v>
      </c>
      <c r="M8" s="13" t="s">
        <v>28</v>
      </c>
      <c r="N8" s="14" t="s">
        <v>28</v>
      </c>
      <c r="O8" s="13" t="s">
        <v>27</v>
      </c>
      <c r="P8" s="13"/>
      <c r="Q8" s="15" t="s">
        <v>27</v>
      </c>
      <c r="R8" s="13" t="s">
        <v>27</v>
      </c>
      <c r="S8" s="13" t="s">
        <v>27</v>
      </c>
      <c r="T8" s="16"/>
      <c r="U8" s="1" t="s">
        <v>27</v>
      </c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 t="s">
        <v>27</v>
      </c>
      <c r="M12" s="13" t="s">
        <v>27</v>
      </c>
      <c r="N12" s="14"/>
      <c r="O12" s="18" t="s">
        <v>27</v>
      </c>
      <c r="P12" s="13" t="s">
        <v>27</v>
      </c>
      <c r="Q12" s="15" t="s">
        <v>27</v>
      </c>
      <c r="R12" s="13" t="s">
        <v>27</v>
      </c>
      <c r="S12" s="13" t="s">
        <v>27</v>
      </c>
      <c r="T12" s="16"/>
      <c r="U12" s="1" t="s">
        <v>27</v>
      </c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 t="s">
        <v>27</v>
      </c>
      <c r="E22" s="13"/>
      <c r="F22" s="13" t="s">
        <v>27</v>
      </c>
      <c r="G22" s="14" t="s">
        <v>27</v>
      </c>
      <c r="H22" s="13" t="s">
        <v>28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4" t="s">
        <v>27</v>
      </c>
      <c r="O22" s="13"/>
      <c r="P22" s="13"/>
      <c r="Q22" s="15" t="s">
        <v>27</v>
      </c>
      <c r="R22" s="13" t="s">
        <v>27</v>
      </c>
      <c r="S22" s="13" t="s">
        <v>28</v>
      </c>
      <c r="T22" s="16"/>
      <c r="U22" s="1" t="s">
        <v>27</v>
      </c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 t="s">
        <v>27</v>
      </c>
      <c r="E24" s="13"/>
      <c r="F24" s="13" t="s">
        <v>27</v>
      </c>
      <c r="G24" s="14" t="s">
        <v>27</v>
      </c>
      <c r="H24" s="13" t="s">
        <v>28</v>
      </c>
      <c r="I24" s="13" t="s">
        <v>27</v>
      </c>
      <c r="J24" s="13" t="s">
        <v>27</v>
      </c>
      <c r="K24" s="13" t="s">
        <v>27</v>
      </c>
      <c r="L24" s="13" t="s">
        <v>27</v>
      </c>
      <c r="M24" s="13" t="s">
        <v>27</v>
      </c>
      <c r="N24" s="14" t="s">
        <v>27</v>
      </c>
      <c r="O24" s="13" t="s">
        <v>27</v>
      </c>
      <c r="P24" s="13" t="s">
        <v>27</v>
      </c>
      <c r="Q24" s="15" t="s">
        <v>27</v>
      </c>
      <c r="R24" s="13" t="s">
        <v>27</v>
      </c>
      <c r="S24" s="13" t="s">
        <v>28</v>
      </c>
      <c r="T24" s="16"/>
      <c r="U24" s="1" t="s">
        <v>27</v>
      </c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27</v>
      </c>
      <c r="F32" s="13" t="s">
        <v>27</v>
      </c>
      <c r="G32" s="14" t="s">
        <v>27</v>
      </c>
      <c r="H32" s="13" t="s">
        <v>28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28</v>
      </c>
      <c r="N32" s="14" t="s">
        <v>27</v>
      </c>
      <c r="O32" s="13" t="s">
        <v>27</v>
      </c>
      <c r="P32" s="18" t="s">
        <v>30</v>
      </c>
      <c r="Q32" s="15" t="s">
        <v>46</v>
      </c>
      <c r="R32" s="13"/>
      <c r="S32" s="13"/>
      <c r="T32" s="16"/>
      <c r="U32" s="1" t="s">
        <v>27</v>
      </c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 t="s">
        <v>42</v>
      </c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 t="s">
        <v>42</v>
      </c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 t="s">
        <v>42</v>
      </c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 t="s">
        <v>42</v>
      </c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27</v>
      </c>
      <c r="L52" s="13" t="s">
        <v>28</v>
      </c>
      <c r="M52" s="13" t="s">
        <v>27</v>
      </c>
      <c r="N52" s="14"/>
      <c r="O52" s="13" t="s">
        <v>33</v>
      </c>
      <c r="P52" s="18"/>
      <c r="Q52" s="15" t="s">
        <v>30</v>
      </c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 t="s">
        <v>27</v>
      </c>
      <c r="E64" s="13" t="s">
        <v>28</v>
      </c>
      <c r="F64" s="13" t="s">
        <v>27</v>
      </c>
      <c r="G64" s="14" t="s">
        <v>27</v>
      </c>
      <c r="H64" s="13" t="s">
        <v>27</v>
      </c>
      <c r="I64" s="13" t="s">
        <v>27</v>
      </c>
      <c r="J64" s="13" t="s">
        <v>27</v>
      </c>
      <c r="K64" s="13" t="s">
        <v>27</v>
      </c>
      <c r="L64" s="13" t="s">
        <v>27</v>
      </c>
      <c r="M64" s="13"/>
      <c r="N64" s="14" t="s">
        <v>27</v>
      </c>
      <c r="O64" s="13"/>
      <c r="P64" s="18"/>
      <c r="Q64" s="15" t="s">
        <v>27</v>
      </c>
      <c r="R64" s="13" t="s">
        <v>27</v>
      </c>
      <c r="S64" s="13" t="s">
        <v>27</v>
      </c>
      <c r="T64" s="16"/>
      <c r="U64" s="1" t="s">
        <v>27</v>
      </c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 spans="1:30" x14ac:dyDescent="0.25">
      <c r="A68" s="27">
        <v>8530</v>
      </c>
      <c r="B68" s="21" t="s">
        <v>63</v>
      </c>
      <c r="C68" s="29" t="s">
        <v>64</v>
      </c>
      <c r="D68" s="29"/>
      <c r="E68" s="13"/>
      <c r="F68" s="13"/>
      <c r="G68" s="14"/>
      <c r="H68" s="13"/>
      <c r="I68" s="13"/>
      <c r="J68" s="13"/>
      <c r="K68" s="13"/>
      <c r="L68" s="13"/>
      <c r="M68" s="13"/>
      <c r="N68" s="14"/>
      <c r="O68" s="13"/>
      <c r="P68" s="13"/>
      <c r="Q68" s="15"/>
      <c r="R68" s="13"/>
      <c r="S68" s="13"/>
      <c r="T68" s="16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 spans="1:30" x14ac:dyDescent="0.25">
      <c r="A70" s="27">
        <v>8386</v>
      </c>
      <c r="B70" s="21" t="s">
        <v>65</v>
      </c>
      <c r="C70" s="29" t="s">
        <v>42</v>
      </c>
      <c r="D70" s="29"/>
      <c r="E70" s="13"/>
      <c r="F70" s="13"/>
      <c r="G70" s="14"/>
      <c r="H70" s="13"/>
      <c r="I70" s="13"/>
      <c r="J70" s="13"/>
      <c r="K70" s="13"/>
      <c r="L70" s="13"/>
      <c r="M70" s="13"/>
      <c r="N70" s="14"/>
      <c r="O70" s="13"/>
      <c r="P70" s="13"/>
      <c r="Q70" s="15"/>
      <c r="R70" s="13"/>
      <c r="S70" s="13"/>
      <c r="T70" s="16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 spans="1:30" x14ac:dyDescent="0.25">
      <c r="A72" s="27">
        <v>8829</v>
      </c>
      <c r="B72" s="21" t="s">
        <v>66</v>
      </c>
      <c r="C72" s="29" t="s">
        <v>42</v>
      </c>
      <c r="D72" s="29"/>
      <c r="E72" s="13"/>
      <c r="F72" s="13"/>
      <c r="G72" s="14"/>
      <c r="H72" s="13"/>
      <c r="I72" s="13"/>
      <c r="J72" s="13"/>
      <c r="K72" s="13"/>
      <c r="L72" s="13"/>
      <c r="M72" s="13"/>
      <c r="N72" s="14"/>
      <c r="O72" s="13"/>
      <c r="P72" s="13"/>
      <c r="Q72" s="15"/>
      <c r="R72" s="13"/>
      <c r="S72" s="13"/>
      <c r="T72" s="16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 spans="1:30" x14ac:dyDescent="0.25">
      <c r="A74" s="27">
        <v>7480</v>
      </c>
      <c r="B74" s="21" t="s">
        <v>67</v>
      </c>
      <c r="C74" s="29" t="s">
        <v>42</v>
      </c>
      <c r="D74" s="29"/>
      <c r="E74" s="13"/>
      <c r="F74" s="13"/>
      <c r="G74" s="14"/>
      <c r="H74" s="13"/>
      <c r="I74" s="13"/>
      <c r="J74" s="13"/>
      <c r="K74" s="13"/>
      <c r="L74" s="13"/>
      <c r="M74" s="13"/>
      <c r="N74" s="14"/>
      <c r="O74" s="13"/>
      <c r="P74" s="13"/>
      <c r="Q74" s="15"/>
      <c r="R74" s="13"/>
      <c r="S74" s="13"/>
      <c r="T74" s="16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 spans="1:30" x14ac:dyDescent="0.25">
      <c r="A76" s="27">
        <v>9437</v>
      </c>
      <c r="B76" s="21" t="s">
        <v>68</v>
      </c>
      <c r="C76" s="29" t="s">
        <v>30</v>
      </c>
      <c r="D76" s="29"/>
      <c r="E76" s="13"/>
      <c r="F76" s="13"/>
      <c r="G76" s="14"/>
      <c r="H76" s="13"/>
      <c r="I76" s="13"/>
      <c r="J76" s="13"/>
      <c r="K76" s="13"/>
      <c r="L76" s="13"/>
      <c r="M76" s="13"/>
      <c r="N76" s="14"/>
      <c r="O76" s="13"/>
      <c r="P76" s="13"/>
      <c r="Q76" s="15"/>
      <c r="R76" s="13"/>
      <c r="S76" s="13"/>
      <c r="T76" s="16"/>
      <c r="U76" s="1"/>
      <c r="V76" s="1"/>
      <c r="W76" s="1"/>
      <c r="X76" s="1"/>
      <c r="Y76" s="1"/>
      <c r="Z76" s="1"/>
      <c r="AA76" s="1"/>
      <c r="AB76" s="1"/>
      <c r="AC76" s="1"/>
      <c r="AD76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1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69</v>
      </c>
      <c r="D2" s="38" t="s">
        <v>70</v>
      </c>
      <c r="E2" s="38" t="s">
        <v>71</v>
      </c>
      <c r="F2" s="39" t="s">
        <v>72</v>
      </c>
      <c r="G2" s="40" t="s">
        <v>73</v>
      </c>
      <c r="H2" s="38" t="s">
        <v>74</v>
      </c>
      <c r="I2" s="38" t="s">
        <v>75</v>
      </c>
      <c r="J2" s="41" t="s">
        <v>76</v>
      </c>
      <c r="K2" s="41" t="s">
        <v>77</v>
      </c>
      <c r="L2" s="39" t="s">
        <v>78</v>
      </c>
      <c r="M2" s="40" t="s">
        <v>79</v>
      </c>
      <c r="N2" s="42" t="s">
        <v>80</v>
      </c>
      <c r="O2" s="43" t="s">
        <v>81</v>
      </c>
      <c r="P2" s="43" t="s">
        <v>82</v>
      </c>
      <c r="Q2" s="39" t="s">
        <v>83</v>
      </c>
      <c r="R2" s="40" t="s">
        <v>84</v>
      </c>
      <c r="S2" s="44" t="s">
        <v>85</v>
      </c>
      <c r="T2" s="44" t="s">
        <v>86</v>
      </c>
      <c r="U2" s="45" t="s">
        <v>87</v>
      </c>
      <c r="V2" s="40" t="s">
        <v>88</v>
      </c>
      <c r="W2" s="42" t="s">
        <v>89</v>
      </c>
      <c r="X2" s="46" t="s">
        <v>90</v>
      </c>
      <c r="Y2" s="47" t="s">
        <v>91</v>
      </c>
      <c r="Z2" s="46" t="s">
        <v>92</v>
      </c>
      <c r="AA2" s="48" t="s">
        <v>93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94</v>
      </c>
      <c r="AI3" s="50" t="s">
        <v>95</v>
      </c>
    </row>
    <row r="4" ht="15" customHeight="1" spans="1:35" x14ac:dyDescent="0.25">
      <c r="A4" s="19">
        <v>7658</v>
      </c>
      <c r="B4" s="20" t="s">
        <v>25</v>
      </c>
      <c r="C4" s="51" t="s">
        <v>96</v>
      </c>
      <c r="D4" s="52">
        <v>245679.5</v>
      </c>
      <c r="E4" s="52">
        <v>216530.08</v>
      </c>
      <c r="F4" s="52">
        <v>29149.420000000013</v>
      </c>
      <c r="G4" s="53">
        <v>0.11864815745717495</v>
      </c>
      <c r="H4" s="52">
        <v>208360.5</v>
      </c>
      <c r="I4" s="52">
        <v>167957.68</v>
      </c>
      <c r="J4" s="52">
        <v>180366.49</v>
      </c>
      <c r="K4" s="52">
        <v>138548.02</v>
      </c>
      <c r="L4" s="52">
        <v>41818.47</v>
      </c>
      <c r="M4" s="53">
        <v>0.23185276821653514</v>
      </c>
      <c r="N4" s="53">
        <v>0.9</v>
      </c>
      <c r="O4" s="52">
        <v>27994.01</v>
      </c>
      <c r="P4" s="52">
        <v>29409.66</v>
      </c>
      <c r="Q4" s="52">
        <v>-1415.6500000000015</v>
      </c>
      <c r="R4" s="53">
        <v>-0.05056974688513727</v>
      </c>
      <c r="S4" s="54">
        <v>565.45</v>
      </c>
      <c r="T4" s="54">
        <v>588.25</v>
      </c>
      <c r="U4" s="54">
        <v>-22.799999999999955</v>
      </c>
      <c r="V4" s="53">
        <v>-0.040321867539128045</v>
      </c>
      <c r="W4" s="53"/>
      <c r="X4" s="55">
        <v>82.57101572460688</v>
      </c>
      <c r="Y4" s="55">
        <v>65.99877634098505</v>
      </c>
      <c r="Z4" s="53">
        <v>0.2243</v>
      </c>
      <c r="AA4" s="56">
        <v>0.1519</v>
      </c>
      <c r="AB4" s="57"/>
      <c r="AD4" s="35" t="s">
        <v>97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98</v>
      </c>
      <c r="D5" s="52">
        <v>245679.5</v>
      </c>
      <c r="E5" s="52">
        <v>216530.08</v>
      </c>
      <c r="F5" s="52">
        <v>29149.420000000013</v>
      </c>
      <c r="G5" s="53">
        <v>0.11864815745717495</v>
      </c>
      <c r="H5" s="52">
        <v>208360.5</v>
      </c>
      <c r="I5" s="52">
        <v>168361.6</v>
      </c>
      <c r="J5" s="52">
        <v>180366.49</v>
      </c>
      <c r="K5" s="52">
        <v>138438.46000000002</v>
      </c>
      <c r="L5" s="52">
        <v>41928.02999999997</v>
      </c>
      <c r="M5" s="53">
        <v>0.23246019812216767</v>
      </c>
      <c r="N5" s="53"/>
      <c r="O5" s="52">
        <v>27994.01</v>
      </c>
      <c r="P5" s="52">
        <v>29923.14</v>
      </c>
      <c r="Q5" s="52">
        <v>-1929.130000000001</v>
      </c>
      <c r="R5" s="53">
        <v>-0.06891224229754869</v>
      </c>
      <c r="S5" s="54">
        <v>565.45</v>
      </c>
      <c r="T5" s="54">
        <v>600.25</v>
      </c>
      <c r="U5" s="54">
        <v>-34.799999999999955</v>
      </c>
      <c r="V5" s="53">
        <v>-0.061543903086037584</v>
      </c>
      <c r="W5" s="53"/>
      <c r="X5" s="55">
        <v>80.24736359850063</v>
      </c>
      <c r="Y5" s="55">
        <v>65.99877634098505</v>
      </c>
      <c r="Z5" s="53">
        <v>0.2225</v>
      </c>
      <c r="AA5" s="56">
        <v>0.1519</v>
      </c>
      <c r="AB5" s="57"/>
      <c r="AD5" s="35" t="s">
        <v>99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100</v>
      </c>
      <c r="D6" s="52">
        <v>245679.5</v>
      </c>
      <c r="E6" s="52">
        <v>216530.08</v>
      </c>
      <c r="F6" s="52">
        <v>29149.420000000013</v>
      </c>
      <c r="G6" s="53">
        <v>0.11864815745717495</v>
      </c>
      <c r="H6" s="52">
        <v>208360.5</v>
      </c>
      <c r="I6" s="52">
        <v>168361.6</v>
      </c>
      <c r="J6" s="52">
        <v>180366.49</v>
      </c>
      <c r="K6" s="52">
        <v>138438.46000000002</v>
      </c>
      <c r="L6" s="52">
        <v>41928.02999999997</v>
      </c>
      <c r="M6" s="53">
        <v>0.23246019812216767</v>
      </c>
      <c r="N6" s="53"/>
      <c r="O6" s="52">
        <v>27994.01</v>
      </c>
      <c r="P6" s="52">
        <v>29923.14</v>
      </c>
      <c r="Q6" s="52">
        <v>-1929.130000000001</v>
      </c>
      <c r="R6" s="53">
        <v>-0.06891224229754869</v>
      </c>
      <c r="S6" s="54">
        <v>565.45</v>
      </c>
      <c r="T6" s="54">
        <v>600.25</v>
      </c>
      <c r="U6" s="54">
        <v>-34.799999999999955</v>
      </c>
      <c r="V6" s="53">
        <v>-0.061543903086037584</v>
      </c>
      <c r="W6" s="53"/>
      <c r="X6" s="55">
        <v>80.24736359850063</v>
      </c>
      <c r="Y6" s="55">
        <v>65.99877634098505</v>
      </c>
      <c r="Z6" s="53">
        <v>0.2225</v>
      </c>
      <c r="AA6" s="56">
        <v>0.1519</v>
      </c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101</v>
      </c>
      <c r="D7" s="52">
        <v>267886.85</v>
      </c>
      <c r="E7" s="52">
        <v>216530.08</v>
      </c>
      <c r="F7" s="52">
        <v>51356.76999999999</v>
      </c>
      <c r="G7" s="53">
        <v>0.1917106793409232</v>
      </c>
      <c r="H7" s="52">
        <v>225410.55</v>
      </c>
      <c r="I7" s="52">
        <v>167992.78</v>
      </c>
      <c r="J7" s="52">
        <v>193787.25</v>
      </c>
      <c r="K7" s="52">
        <v>138051.32</v>
      </c>
      <c r="L7" s="52">
        <v>55735.92999999999</v>
      </c>
      <c r="M7" s="53">
        <v>0.2876140200142166</v>
      </c>
      <c r="N7" s="53"/>
      <c r="O7" s="52">
        <v>31623.3</v>
      </c>
      <c r="P7" s="52">
        <v>29941.46</v>
      </c>
      <c r="Q7" s="52">
        <v>1681.8400000000001</v>
      </c>
      <c r="R7" s="53">
        <v>0.053183570342121164</v>
      </c>
      <c r="S7" s="54">
        <v>638.02</v>
      </c>
      <c r="T7" s="54">
        <v>600.25</v>
      </c>
      <c r="U7" s="54">
        <v>37.76999999999998</v>
      </c>
      <c r="V7" s="53">
        <v>0.059198771198395006</v>
      </c>
      <c r="W7" s="53"/>
      <c r="X7" s="55">
        <v>80.86180758017493</v>
      </c>
      <c r="Y7" s="55">
        <v>66.57519091683645</v>
      </c>
      <c r="Z7" s="53">
        <v>0.2242</v>
      </c>
      <c r="AA7" s="56">
        <v>0.1586</v>
      </c>
      <c r="AB7" s="57"/>
      <c r="AD7" s="35" t="s">
        <v>102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103</v>
      </c>
      <c r="D8" s="52">
        <v>267886.84883856</v>
      </c>
      <c r="E8" s="52">
        <v>238732.97</v>
      </c>
      <c r="F8" s="52">
        <v>29153.87883855999</v>
      </c>
      <c r="G8" s="53">
        <v>0.10882907826553799</v>
      </c>
      <c r="H8" s="52">
        <v>225410.5455298</v>
      </c>
      <c r="I8" s="52">
        <v>188979.91</v>
      </c>
      <c r="J8" s="52">
        <v>193787.2413298</v>
      </c>
      <c r="K8" s="52">
        <v>158312.05</v>
      </c>
      <c r="L8" s="52">
        <v>35475.1913298</v>
      </c>
      <c r="M8" s="53">
        <v>0.18306257463785228</v>
      </c>
      <c r="N8" s="53"/>
      <c r="O8" s="52">
        <v>31623.3042</v>
      </c>
      <c r="P8" s="52">
        <v>30667.86</v>
      </c>
      <c r="Q8" s="52">
        <v>955.4441999999981</v>
      </c>
      <c r="R8" s="53">
        <v>0.030213294409633454</v>
      </c>
      <c r="S8" s="54">
        <v>638.02</v>
      </c>
      <c r="T8" s="54">
        <v>616.75</v>
      </c>
      <c r="U8" s="54">
        <v>21.269999999999982</v>
      </c>
      <c r="V8" s="53">
        <v>0.03333751293062911</v>
      </c>
      <c r="W8" s="53"/>
      <c r="X8" s="55">
        <v>80.66973652209161</v>
      </c>
      <c r="Y8" s="55">
        <v>66.57519091683645</v>
      </c>
      <c r="Z8" s="53">
        <v>0.2084</v>
      </c>
      <c r="AA8" s="56">
        <v>0.1586</v>
      </c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104</v>
      </c>
      <c r="D9" s="52">
        <v>267886.84883856</v>
      </c>
      <c r="E9" s="52">
        <v>238732.97</v>
      </c>
      <c r="F9" s="52">
        <v>29153.87883855999</v>
      </c>
      <c r="G9" s="53">
        <v>0.10882907826553799</v>
      </c>
      <c r="H9" s="52">
        <v>225410.5455298</v>
      </c>
      <c r="I9" s="52">
        <v>189455.97</v>
      </c>
      <c r="J9" s="52">
        <v>193787.2413298</v>
      </c>
      <c r="K9" s="52">
        <v>158286.35</v>
      </c>
      <c r="L9" s="52">
        <v>35500.89132979998</v>
      </c>
      <c r="M9" s="53">
        <v>0.18319519430787606</v>
      </c>
      <c r="N9" s="53"/>
      <c r="O9" s="52">
        <v>31623.3042</v>
      </c>
      <c r="P9" s="52">
        <v>31169.62</v>
      </c>
      <c r="Q9" s="52">
        <v>453.6841999999997</v>
      </c>
      <c r="R9" s="53">
        <v>0.014346514745287108</v>
      </c>
      <c r="S9" s="54">
        <v>638.02</v>
      </c>
      <c r="T9" s="54">
        <v>625.25</v>
      </c>
      <c r="U9" s="54">
        <v>12.769999999999982</v>
      </c>
      <c r="V9" s="53">
        <v>0.020015046550264853</v>
      </c>
      <c r="W9" s="53"/>
      <c r="X9" s="55">
        <v>78.81167532986805</v>
      </c>
      <c r="Y9" s="55">
        <v>66.57519091683645</v>
      </c>
      <c r="Z9" s="53">
        <v>0.2064</v>
      </c>
      <c r="AA9" s="56">
        <v>0.1586</v>
      </c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96</v>
      </c>
      <c r="D11" s="52">
        <v>129074.86</v>
      </c>
      <c r="E11" s="62">
        <v>85864.08</v>
      </c>
      <c r="F11" s="52">
        <v>43210.78</v>
      </c>
      <c r="G11" s="53">
        <v>0.3347730146676123</v>
      </c>
      <c r="H11" s="52">
        <v>101420.72</v>
      </c>
      <c r="I11" s="52">
        <v>74137.32</v>
      </c>
      <c r="J11" s="52">
        <v>83645.65</v>
      </c>
      <c r="K11" s="52">
        <v>69538.04000000001</v>
      </c>
      <c r="L11" s="52">
        <v>14107.609999999986</v>
      </c>
      <c r="M11" s="53">
        <v>0.16865921897910993</v>
      </c>
      <c r="N11" s="53"/>
      <c r="O11" s="52">
        <v>17775.07</v>
      </c>
      <c r="P11" s="52">
        <v>4599.28</v>
      </c>
      <c r="Q11" s="52">
        <v>13175.79</v>
      </c>
      <c r="R11" s="53">
        <v>0.74125108930654</v>
      </c>
      <c r="S11" s="54">
        <v>356.07</v>
      </c>
      <c r="T11" s="54">
        <v>93.25</v>
      </c>
      <c r="U11" s="54">
        <v>262.82</v>
      </c>
      <c r="V11" s="53">
        <v>0.7381132923301598</v>
      </c>
      <c r="W11" s="53">
        <v>0.3</v>
      </c>
      <c r="X11" s="55">
        <v>125.75613941018767</v>
      </c>
      <c r="Y11" s="55">
        <v>77.66490997775718</v>
      </c>
      <c r="Z11" s="53">
        <v>0.1366</v>
      </c>
      <c r="AA11" s="56">
        <v>0.2142</v>
      </c>
      <c r="AB11" s="57"/>
      <c r="AD11" s="35" t="s">
        <v>97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98</v>
      </c>
      <c r="D12" s="52">
        <v>129074.86</v>
      </c>
      <c r="E12" s="62">
        <v>85864.08</v>
      </c>
      <c r="F12" s="52">
        <v>43210.78</v>
      </c>
      <c r="G12" s="53">
        <v>0.3347730146676123</v>
      </c>
      <c r="H12" s="52">
        <v>101420.72</v>
      </c>
      <c r="I12" s="52">
        <v>79791.03</v>
      </c>
      <c r="J12" s="52">
        <v>83645.65</v>
      </c>
      <c r="K12" s="52">
        <v>71604.5</v>
      </c>
      <c r="L12" s="52">
        <v>12041.149999999994</v>
      </c>
      <c r="M12" s="53">
        <v>0.1439542881189876</v>
      </c>
      <c r="N12" s="53"/>
      <c r="O12" s="52">
        <v>17775.07</v>
      </c>
      <c r="P12" s="52">
        <v>8186.53</v>
      </c>
      <c r="Q12" s="52">
        <v>9588.54</v>
      </c>
      <c r="R12" s="53">
        <v>0.5394375380800188</v>
      </c>
      <c r="S12" s="54">
        <v>356.07</v>
      </c>
      <c r="T12" s="54">
        <v>168.25</v>
      </c>
      <c r="U12" s="54">
        <v>187.82</v>
      </c>
      <c r="V12" s="53">
        <v>0.5274805515769371</v>
      </c>
      <c r="W12" s="53"/>
      <c r="X12" s="55">
        <v>36.09539375928678</v>
      </c>
      <c r="Y12" s="55">
        <v>77.66490997775718</v>
      </c>
      <c r="Z12" s="53">
        <v>0.0707</v>
      </c>
      <c r="AA12" s="56">
        <v>0.2142</v>
      </c>
      <c r="AB12" s="57"/>
      <c r="AD12" s="35" t="s">
        <v>99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100</v>
      </c>
      <c r="D13" s="52">
        <v>129996.92</v>
      </c>
      <c r="E13" s="62">
        <v>85864.08</v>
      </c>
      <c r="F13" s="52">
        <v>44132.84</v>
      </c>
      <c r="G13" s="53">
        <v>0.3394914279507545</v>
      </c>
      <c r="H13" s="52">
        <v>101885.52</v>
      </c>
      <c r="I13" s="52">
        <v>79853.63</v>
      </c>
      <c r="J13" s="52">
        <v>83735.42000000001</v>
      </c>
      <c r="K13" s="52">
        <v>71667.1</v>
      </c>
      <c r="L13" s="52">
        <v>12068.320000000007</v>
      </c>
      <c r="M13" s="53">
        <v>0.14412443384173634</v>
      </c>
      <c r="N13" s="53"/>
      <c r="O13" s="52">
        <v>18150.1</v>
      </c>
      <c r="P13" s="52">
        <v>8186.53</v>
      </c>
      <c r="Q13" s="52">
        <v>9963.57</v>
      </c>
      <c r="R13" s="53">
        <v>0.5489540002534422</v>
      </c>
      <c r="S13" s="54">
        <v>363.57</v>
      </c>
      <c r="T13" s="54">
        <v>168.25</v>
      </c>
      <c r="U13" s="54">
        <v>195.32</v>
      </c>
      <c r="V13" s="53">
        <v>0.5372280441180516</v>
      </c>
      <c r="W13" s="53"/>
      <c r="X13" s="55">
        <v>35.72332838038633</v>
      </c>
      <c r="Y13" s="55">
        <v>77.32043896850674</v>
      </c>
      <c r="Z13" s="53">
        <v>0.07</v>
      </c>
      <c r="AA13" s="56">
        <v>0.2162</v>
      </c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101</v>
      </c>
      <c r="D14" s="52">
        <v>129996.92</v>
      </c>
      <c r="E14" s="62">
        <v>85864.08</v>
      </c>
      <c r="F14" s="52">
        <v>44132.84</v>
      </c>
      <c r="G14" s="53">
        <v>0.3394914279507545</v>
      </c>
      <c r="H14" s="52">
        <v>101885.52</v>
      </c>
      <c r="I14" s="52">
        <v>77983.94</v>
      </c>
      <c r="J14" s="52">
        <v>83735.42000000001</v>
      </c>
      <c r="K14" s="52">
        <v>69781.5</v>
      </c>
      <c r="L14" s="52">
        <v>13953.920000000013</v>
      </c>
      <c r="M14" s="53">
        <v>0.1666429809511914</v>
      </c>
      <c r="N14" s="53"/>
      <c r="O14" s="52">
        <v>18150.1</v>
      </c>
      <c r="P14" s="52">
        <v>8202.44</v>
      </c>
      <c r="Q14" s="52">
        <v>9947.659999999998</v>
      </c>
      <c r="R14" s="53">
        <v>0.548077421061041</v>
      </c>
      <c r="S14" s="54">
        <v>363.57</v>
      </c>
      <c r="T14" s="54">
        <v>168.25</v>
      </c>
      <c r="U14" s="54">
        <v>195.32</v>
      </c>
      <c r="V14" s="53">
        <v>0.5372280441180516</v>
      </c>
      <c r="W14" s="53"/>
      <c r="X14" s="55">
        <v>46.83589895988113</v>
      </c>
      <c r="Y14" s="55">
        <v>77.32043896850674</v>
      </c>
      <c r="Z14" s="53">
        <v>0.09179999999999999</v>
      </c>
      <c r="AA14" s="56">
        <v>0.2162</v>
      </c>
      <c r="AB14" s="57"/>
      <c r="AD14" s="35" t="s">
        <v>102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103</v>
      </c>
      <c r="D15" s="52">
        <v>132076.08820213</v>
      </c>
      <c r="E15" s="62">
        <v>127883.98</v>
      </c>
      <c r="F15" s="52">
        <v>4192.108202129995</v>
      </c>
      <c r="G15" s="53">
        <v>0.031740099659178046</v>
      </c>
      <c r="H15" s="52">
        <v>103822.973895</v>
      </c>
      <c r="I15" s="52">
        <v>92794.34</v>
      </c>
      <c r="J15" s="52">
        <v>85672.874895</v>
      </c>
      <c r="K15" s="52">
        <v>80310.79999999999</v>
      </c>
      <c r="L15" s="52">
        <v>5362.0748950000125</v>
      </c>
      <c r="M15" s="53">
        <v>0.0625877782386984</v>
      </c>
      <c r="N15" s="53"/>
      <c r="O15" s="52">
        <v>18150.099</v>
      </c>
      <c r="P15" s="52">
        <v>12483.54</v>
      </c>
      <c r="Q15" s="52">
        <v>5666.5589999999975</v>
      </c>
      <c r="R15" s="53">
        <v>0.31220540449944645</v>
      </c>
      <c r="S15" s="54">
        <v>363.57</v>
      </c>
      <c r="T15" s="54">
        <v>272.5</v>
      </c>
      <c r="U15" s="54">
        <v>91.07</v>
      </c>
      <c r="V15" s="53">
        <v>0.25048821409907307</v>
      </c>
      <c r="W15" s="53"/>
      <c r="X15" s="55">
        <v>128.76932110091744</v>
      </c>
      <c r="Y15" s="55">
        <v>77.71024646458726</v>
      </c>
      <c r="Z15" s="53">
        <v>0.27440000000000003</v>
      </c>
      <c r="AA15" s="56">
        <v>0.2139</v>
      </c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104</v>
      </c>
      <c r="D16" s="52">
        <v>132076.08820213</v>
      </c>
      <c r="E16" s="62">
        <v>127883.98</v>
      </c>
      <c r="F16" s="52">
        <v>4192.108202129995</v>
      </c>
      <c r="G16" s="53">
        <v>0.031740099659178046</v>
      </c>
      <c r="H16" s="52">
        <v>103822.973895</v>
      </c>
      <c r="I16" s="52">
        <v>95219.95</v>
      </c>
      <c r="J16" s="52">
        <v>85672.874895</v>
      </c>
      <c r="K16" s="52">
        <v>80502.31</v>
      </c>
      <c r="L16" s="52">
        <v>5170.564895000003</v>
      </c>
      <c r="M16" s="53">
        <v>0.060352414942734287</v>
      </c>
      <c r="N16" s="53"/>
      <c r="O16" s="52">
        <v>18150.099</v>
      </c>
      <c r="P16" s="52">
        <v>14717.64</v>
      </c>
      <c r="Q16" s="52">
        <v>3432.458999999999</v>
      </c>
      <c r="R16" s="53">
        <v>0.1891151668098339</v>
      </c>
      <c r="S16" s="54">
        <v>363.57</v>
      </c>
      <c r="T16" s="54">
        <v>331.25</v>
      </c>
      <c r="U16" s="54">
        <v>32.31999999999999</v>
      </c>
      <c r="V16" s="53">
        <v>0.08889622356079983</v>
      </c>
      <c r="W16" s="53"/>
      <c r="X16" s="55">
        <v>98.60839245283019</v>
      </c>
      <c r="Y16" s="55">
        <v>77.71024646458726</v>
      </c>
      <c r="Z16" s="53">
        <v>0.2554</v>
      </c>
      <c r="AA16" s="56">
        <v>0.2139</v>
      </c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96</v>
      </c>
      <c r="D18" s="52">
        <v>27500.32</v>
      </c>
      <c r="E18" s="52">
        <v>11999.08</v>
      </c>
      <c r="F18" s="52">
        <v>15501.24</v>
      </c>
      <c r="G18" s="53">
        <v>0.5636748954193987</v>
      </c>
      <c r="H18" s="52">
        <v>19565.83</v>
      </c>
      <c r="I18" s="52">
        <v>7621.92</v>
      </c>
      <c r="J18" s="52">
        <v>13767.340000000002</v>
      </c>
      <c r="K18" s="52">
        <v>5911.24</v>
      </c>
      <c r="L18" s="52">
        <v>7856.100000000002</v>
      </c>
      <c r="M18" s="53">
        <v>0.5706331070490016</v>
      </c>
      <c r="N18" s="53"/>
      <c r="O18" s="52">
        <v>5798.49</v>
      </c>
      <c r="P18" s="52">
        <v>1710.68</v>
      </c>
      <c r="Q18" s="52">
        <v>4087.8099999999995</v>
      </c>
      <c r="R18" s="53">
        <v>0.7049783650571096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125.96143884892086</v>
      </c>
      <c r="Y18" s="55">
        <v>63.27846478985563</v>
      </c>
      <c r="Z18" s="53">
        <v>0.36479999999999996</v>
      </c>
      <c r="AA18" s="56">
        <v>0.2885</v>
      </c>
      <c r="AB18" s="57"/>
      <c r="AD18" s="35" t="s">
        <v>97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98</v>
      </c>
      <c r="D19" s="52">
        <v>27500.32</v>
      </c>
      <c r="E19" s="52">
        <v>11999.08</v>
      </c>
      <c r="F19" s="52">
        <v>15501.24</v>
      </c>
      <c r="G19" s="53">
        <v>0.5636748954193987</v>
      </c>
      <c r="H19" s="52">
        <v>19565.83</v>
      </c>
      <c r="I19" s="52">
        <v>7921.92</v>
      </c>
      <c r="J19" s="52">
        <v>13767.340000000002</v>
      </c>
      <c r="K19" s="52">
        <v>6211.24</v>
      </c>
      <c r="L19" s="52">
        <v>7556.100000000002</v>
      </c>
      <c r="M19" s="53">
        <v>0.5488424052867149</v>
      </c>
      <c r="N19" s="53"/>
      <c r="O19" s="52">
        <v>5798.49</v>
      </c>
      <c r="P19" s="52">
        <v>1710.68</v>
      </c>
      <c r="Q19" s="52">
        <v>4087.8099999999995</v>
      </c>
      <c r="R19" s="53">
        <v>0.7049783650571096</v>
      </c>
      <c r="S19" s="54">
        <v>125.39</v>
      </c>
      <c r="T19" s="54">
        <v>34.75</v>
      </c>
      <c r="U19" s="54">
        <v>90.64</v>
      </c>
      <c r="V19" s="53">
        <v>0.7228646622537682</v>
      </c>
      <c r="W19" s="53"/>
      <c r="X19" s="55">
        <v>117.328345323741</v>
      </c>
      <c r="Y19" s="55">
        <v>63.27846478985563</v>
      </c>
      <c r="Z19" s="53">
        <v>0.3398</v>
      </c>
      <c r="AA19" s="56">
        <v>0.2885</v>
      </c>
      <c r="AB19" s="57"/>
      <c r="AD19" s="35" t="s">
        <v>99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100</v>
      </c>
      <c r="D20" s="52">
        <v>27500.32</v>
      </c>
      <c r="E20" s="52">
        <v>11999.08</v>
      </c>
      <c r="F20" s="52">
        <v>15501.24</v>
      </c>
      <c r="G20" s="53">
        <v>0.5636748954193987</v>
      </c>
      <c r="H20" s="52">
        <v>19565.83</v>
      </c>
      <c r="I20" s="52">
        <v>7921.92</v>
      </c>
      <c r="J20" s="52">
        <v>13767.340000000002</v>
      </c>
      <c r="K20" s="52">
        <v>6211.24</v>
      </c>
      <c r="L20" s="52">
        <v>7556.100000000002</v>
      </c>
      <c r="M20" s="53">
        <v>0.5488424052867149</v>
      </c>
      <c r="N20" s="53"/>
      <c r="O20" s="52">
        <v>5798.49</v>
      </c>
      <c r="P20" s="52">
        <v>1710.68</v>
      </c>
      <c r="Q20" s="52">
        <v>4087.8099999999995</v>
      </c>
      <c r="R20" s="53">
        <v>0.7049783650571096</v>
      </c>
      <c r="S20" s="54">
        <v>125.39</v>
      </c>
      <c r="T20" s="54">
        <v>34.75</v>
      </c>
      <c r="U20" s="54">
        <v>90.64</v>
      </c>
      <c r="V20" s="53">
        <v>0.7228646622537682</v>
      </c>
      <c r="W20" s="53"/>
      <c r="X20" s="55">
        <v>117.328345323741</v>
      </c>
      <c r="Y20" s="55">
        <v>63.27846478985563</v>
      </c>
      <c r="Z20" s="53">
        <v>0.3398</v>
      </c>
      <c r="AA20" s="56">
        <v>0.2885</v>
      </c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101</v>
      </c>
      <c r="D21" s="52">
        <v>27500.32</v>
      </c>
      <c r="E21" s="52">
        <v>11999.08</v>
      </c>
      <c r="F21" s="52">
        <v>15501.24</v>
      </c>
      <c r="G21" s="53">
        <v>0.5636748954193987</v>
      </c>
      <c r="H21" s="52">
        <v>19565.83</v>
      </c>
      <c r="I21" s="52">
        <v>7921.92</v>
      </c>
      <c r="J21" s="52">
        <v>13767.340000000002</v>
      </c>
      <c r="K21" s="52">
        <v>6211.24</v>
      </c>
      <c r="L21" s="52">
        <v>7556.100000000002</v>
      </c>
      <c r="M21" s="53">
        <v>0.5488424052867149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117.328345323741</v>
      </c>
      <c r="Y21" s="55">
        <v>63.27846478985563</v>
      </c>
      <c r="Z21" s="53">
        <v>0.3398</v>
      </c>
      <c r="AA21" s="56">
        <v>0.2885</v>
      </c>
      <c r="AB21" s="57"/>
      <c r="AD21" s="35" t="s">
        <v>102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103</v>
      </c>
      <c r="D22" s="52">
        <v>27500.3157</v>
      </c>
      <c r="E22" s="52">
        <v>11999.08</v>
      </c>
      <c r="F22" s="52">
        <v>15501.2357</v>
      </c>
      <c r="G22" s="53">
        <v>0.563674827194802</v>
      </c>
      <c r="H22" s="52">
        <v>19565.829</v>
      </c>
      <c r="I22" s="52">
        <v>8083.92</v>
      </c>
      <c r="J22" s="52">
        <v>13767.337200000002</v>
      </c>
      <c r="K22" s="52">
        <v>6373.24</v>
      </c>
      <c r="L22" s="52">
        <v>7394.097200000002</v>
      </c>
      <c r="M22" s="53">
        <v>0.5370753321855152</v>
      </c>
      <c r="N22" s="53"/>
      <c r="O22" s="52">
        <v>5798.4918</v>
      </c>
      <c r="P22" s="52">
        <v>1710.68</v>
      </c>
      <c r="Q22" s="52">
        <v>4087.8117999999995</v>
      </c>
      <c r="R22" s="53">
        <v>0.7049784566393626</v>
      </c>
      <c r="S22" s="54">
        <v>125.39</v>
      </c>
      <c r="T22" s="54">
        <v>34.75</v>
      </c>
      <c r="U22" s="54">
        <v>90.64</v>
      </c>
      <c r="V22" s="53">
        <v>0.7228646622537682</v>
      </c>
      <c r="W22" s="53"/>
      <c r="X22" s="55">
        <v>112.66647482014388</v>
      </c>
      <c r="Y22" s="55">
        <v>63.27846478985563</v>
      </c>
      <c r="Z22" s="53">
        <v>0.32630000000000003</v>
      </c>
      <c r="AA22" s="56">
        <v>0.2885</v>
      </c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104</v>
      </c>
      <c r="D23" s="52">
        <v>27500.3157</v>
      </c>
      <c r="E23" s="52">
        <v>11999.08</v>
      </c>
      <c r="F23" s="52">
        <v>15501.2357</v>
      </c>
      <c r="G23" s="53">
        <v>0.563674827194802</v>
      </c>
      <c r="H23" s="52">
        <v>19565.829</v>
      </c>
      <c r="I23" s="52">
        <v>8083.92</v>
      </c>
      <c r="J23" s="52">
        <v>13767.337200000002</v>
      </c>
      <c r="K23" s="52">
        <v>6373.24</v>
      </c>
      <c r="L23" s="52">
        <v>7394.097200000002</v>
      </c>
      <c r="M23" s="53">
        <v>0.5370753321855152</v>
      </c>
      <c r="N23" s="53"/>
      <c r="O23" s="52">
        <v>5798.4918</v>
      </c>
      <c r="P23" s="52">
        <v>1710.68</v>
      </c>
      <c r="Q23" s="52">
        <v>4087.8117999999995</v>
      </c>
      <c r="R23" s="53">
        <v>0.7049784566393626</v>
      </c>
      <c r="S23" s="54">
        <v>125.39</v>
      </c>
      <c r="T23" s="54">
        <v>34.75</v>
      </c>
      <c r="U23" s="54">
        <v>90.64</v>
      </c>
      <c r="V23" s="53">
        <v>0.7228646622537682</v>
      </c>
      <c r="W23" s="53"/>
      <c r="X23" s="55">
        <v>112.66647482014388</v>
      </c>
      <c r="Y23" s="55">
        <v>63.27846478985563</v>
      </c>
      <c r="Z23" s="53">
        <v>0.32630000000000003</v>
      </c>
      <c r="AA23" s="56">
        <v>0.2885</v>
      </c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96</v>
      </c>
      <c r="D25" s="55">
        <v>150850.82</v>
      </c>
      <c r="E25" s="55">
        <v>144370.8</v>
      </c>
      <c r="F25" s="52">
        <v>6480.020000000019</v>
      </c>
      <c r="G25" s="53">
        <v>0.042956478459978</v>
      </c>
      <c r="H25" s="52">
        <v>102178.42</v>
      </c>
      <c r="I25" s="52">
        <v>85848.41</v>
      </c>
      <c r="J25" s="52">
        <v>62464.86</v>
      </c>
      <c r="K25" s="52">
        <v>57454</v>
      </c>
      <c r="L25" s="52">
        <v>5010.860000000001</v>
      </c>
      <c r="M25" s="53">
        <v>0.0802188622531132</v>
      </c>
      <c r="N25" s="53">
        <v>0.9</v>
      </c>
      <c r="O25" s="52">
        <v>39713.56</v>
      </c>
      <c r="P25" s="52">
        <v>28394.41</v>
      </c>
      <c r="Q25" s="52">
        <v>11319.149999999998</v>
      </c>
      <c r="R25" s="53">
        <v>0.2850197766203785</v>
      </c>
      <c r="S25" s="54">
        <v>795.22</v>
      </c>
      <c r="T25" s="54">
        <v>577.75</v>
      </c>
      <c r="U25" s="54">
        <v>217.47000000000003</v>
      </c>
      <c r="V25" s="53">
        <v>0.27347149216569</v>
      </c>
      <c r="W25" s="53">
        <v>0.6</v>
      </c>
      <c r="X25" s="55">
        <v>101.29362180874081</v>
      </c>
      <c r="Y25" s="55">
        <v>61.20621468124544</v>
      </c>
      <c r="Z25" s="53">
        <v>0.4054</v>
      </c>
      <c r="AA25" s="56">
        <v>0.3227</v>
      </c>
      <c r="AB25" s="57"/>
      <c r="AD25" s="35" t="s">
        <v>97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98</v>
      </c>
      <c r="D26" s="55">
        <v>150850.82</v>
      </c>
      <c r="E26" s="55">
        <v>144370.8</v>
      </c>
      <c r="F26" s="52">
        <v>6480.020000000019</v>
      </c>
      <c r="G26" s="53">
        <v>0.042956478459978</v>
      </c>
      <c r="H26" s="52">
        <v>102178.42</v>
      </c>
      <c r="I26" s="52">
        <v>89222.05</v>
      </c>
      <c r="J26" s="52">
        <v>62464.86</v>
      </c>
      <c r="K26" s="52">
        <v>58984</v>
      </c>
      <c r="L26" s="52">
        <v>3480.8600000000006</v>
      </c>
      <c r="M26" s="53">
        <v>0.05572509087509362</v>
      </c>
      <c r="N26" s="53"/>
      <c r="O26" s="52">
        <v>39713.56</v>
      </c>
      <c r="P26" s="52">
        <v>30238.05</v>
      </c>
      <c r="Q26" s="52">
        <v>9475.509999999998</v>
      </c>
      <c r="R26" s="53">
        <v>0.23859633837913294</v>
      </c>
      <c r="S26" s="54">
        <v>795.22</v>
      </c>
      <c r="T26" s="54">
        <v>615</v>
      </c>
      <c r="U26" s="54">
        <v>180.22000000000003</v>
      </c>
      <c r="V26" s="53">
        <v>0.22662910892583188</v>
      </c>
      <c r="W26" s="53"/>
      <c r="X26" s="55">
        <v>89.67276422764228</v>
      </c>
      <c r="Y26" s="55">
        <v>61.20621468124544</v>
      </c>
      <c r="Z26" s="53">
        <v>0.382</v>
      </c>
      <c r="AA26" s="56">
        <v>0.3227</v>
      </c>
      <c r="AB26" s="57"/>
      <c r="AD26" s="35" t="s">
        <v>99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100</v>
      </c>
      <c r="D27" s="55">
        <v>153553.67</v>
      </c>
      <c r="E27" s="55">
        <v>144370.8</v>
      </c>
      <c r="F27" s="52">
        <v>9182.870000000024</v>
      </c>
      <c r="G27" s="53">
        <v>0.05980234793476459</v>
      </c>
      <c r="H27" s="52">
        <v>104026.09</v>
      </c>
      <c r="I27" s="52">
        <v>90387.67</v>
      </c>
      <c r="J27" s="52">
        <v>63812.49</v>
      </c>
      <c r="K27" s="52">
        <v>59529.82</v>
      </c>
      <c r="L27" s="52">
        <v>4282.669999999998</v>
      </c>
      <c r="M27" s="53">
        <v>0.06711335038015283</v>
      </c>
      <c r="N27" s="53"/>
      <c r="O27" s="52">
        <v>40213.6</v>
      </c>
      <c r="P27" s="52">
        <v>30857.85</v>
      </c>
      <c r="Q27" s="52">
        <v>9355.75</v>
      </c>
      <c r="R27" s="53">
        <v>0.23265139156902143</v>
      </c>
      <c r="S27" s="54">
        <v>805.22</v>
      </c>
      <c r="T27" s="54">
        <v>625</v>
      </c>
      <c r="U27" s="54">
        <v>180.22000000000003</v>
      </c>
      <c r="V27" s="53">
        <v>0.22381460967189093</v>
      </c>
      <c r="W27" s="53"/>
      <c r="X27" s="55">
        <v>86.373008</v>
      </c>
      <c r="Y27" s="55">
        <v>61.50814037389784</v>
      </c>
      <c r="Z27" s="53">
        <v>0.3739</v>
      </c>
      <c r="AA27" s="56">
        <v>0.3225</v>
      </c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101</v>
      </c>
      <c r="D28" s="55"/>
      <c r="E28" s="55"/>
      <c r="F28" s="52"/>
      <c r="G28" s="53"/>
      <c r="H28" s="52"/>
      <c r="I28" s="52"/>
      <c r="J28" s="52"/>
      <c r="K28" s="52"/>
      <c r="L28" s="52"/>
      <c r="M28" s="53"/>
      <c r="N28" s="53"/>
      <c r="O28" s="52"/>
      <c r="P28" s="52"/>
      <c r="Q28" s="52"/>
      <c r="R28" s="53"/>
      <c r="S28" s="54"/>
      <c r="T28" s="54"/>
      <c r="U28" s="54"/>
      <c r="V28" s="53"/>
      <c r="W28" s="53"/>
      <c r="X28" s="55"/>
      <c r="Y28" s="55"/>
      <c r="Z28" s="53"/>
      <c r="AA28" s="56"/>
      <c r="AB28" s="57"/>
      <c r="AD28" s="35" t="s">
        <v>102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103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104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96</v>
      </c>
      <c r="D32" s="52">
        <v>396422.03</v>
      </c>
      <c r="E32" s="52">
        <v>259347.71</v>
      </c>
      <c r="F32" s="52">
        <v>137074.32000000004</v>
      </c>
      <c r="G32" s="53">
        <v>0.3457787651205964</v>
      </c>
      <c r="H32" s="52">
        <v>327431.12</v>
      </c>
      <c r="I32" s="52">
        <v>216344.6</v>
      </c>
      <c r="J32" s="62">
        <v>271519.78</v>
      </c>
      <c r="K32" s="52">
        <v>195955.93</v>
      </c>
      <c r="L32" s="52">
        <v>75563.85000000003</v>
      </c>
      <c r="M32" s="53">
        <v>0.2782996141201942</v>
      </c>
      <c r="N32" s="64"/>
      <c r="O32" s="52">
        <v>55911.34</v>
      </c>
      <c r="P32" s="52">
        <v>20388.67</v>
      </c>
      <c r="Q32" s="52">
        <v>35522.67</v>
      </c>
      <c r="R32" s="53">
        <v>0.635339271067372</v>
      </c>
      <c r="S32" s="54">
        <v>1120.27</v>
      </c>
      <c r="T32" s="54">
        <v>476.25</v>
      </c>
      <c r="U32" s="54">
        <v>644.02</v>
      </c>
      <c r="V32" s="53">
        <v>0.5748792701759398</v>
      </c>
      <c r="W32" s="53">
        <v>0.4</v>
      </c>
      <c r="X32" s="55">
        <v>90.2952440944882</v>
      </c>
      <c r="Y32" s="55">
        <v>61.5841822414239</v>
      </c>
      <c r="Z32" s="53">
        <v>0.16579999999999998</v>
      </c>
      <c r="AA32" s="56">
        <v>0.174</v>
      </c>
      <c r="AB32" s="57"/>
      <c r="AD32" s="35" t="s">
        <v>97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98</v>
      </c>
      <c r="D33" s="52">
        <v>396422.03</v>
      </c>
      <c r="E33" s="52">
        <v>259347.71</v>
      </c>
      <c r="F33" s="52">
        <v>137074.32000000004</v>
      </c>
      <c r="G33" s="53">
        <v>0.3457787651205964</v>
      </c>
      <c r="H33" s="52">
        <v>327431.12</v>
      </c>
      <c r="I33" s="65">
        <v>223659.54</v>
      </c>
      <c r="J33" s="52">
        <v>271519.78</v>
      </c>
      <c r="K33" s="52">
        <v>197370.72</v>
      </c>
      <c r="L33" s="52">
        <v>74149.06000000003</v>
      </c>
      <c r="M33" s="53">
        <v>0.27308898084699396</v>
      </c>
      <c r="N33" s="53"/>
      <c r="O33" s="52">
        <v>55911.34</v>
      </c>
      <c r="P33" s="52">
        <v>26288.82</v>
      </c>
      <c r="Q33" s="52">
        <v>29622.519999999997</v>
      </c>
      <c r="R33" s="53">
        <v>0.5298123779540966</v>
      </c>
      <c r="S33" s="54">
        <v>1120.27</v>
      </c>
      <c r="T33" s="54">
        <v>607.75</v>
      </c>
      <c r="U33" s="54">
        <v>512.52</v>
      </c>
      <c r="V33" s="53">
        <v>0.4574968534371178</v>
      </c>
      <c r="W33" s="53"/>
      <c r="X33" s="55">
        <v>58.721793500617025</v>
      </c>
      <c r="Y33" s="55">
        <v>61.5841822414239</v>
      </c>
      <c r="Z33" s="53">
        <v>0.1376</v>
      </c>
      <c r="AA33" s="56">
        <v>0.174</v>
      </c>
      <c r="AB33" s="57"/>
      <c r="AD33" s="35" t="s">
        <v>99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100</v>
      </c>
      <c r="D34" s="52">
        <v>397238.61</v>
      </c>
      <c r="E34" s="52">
        <v>259347.71</v>
      </c>
      <c r="F34" s="52">
        <v>137890.9</v>
      </c>
      <c r="G34" s="53">
        <v>0.34712360915773016</v>
      </c>
      <c r="H34" s="52">
        <v>328046.93</v>
      </c>
      <c r="I34" s="65">
        <v>224540.22</v>
      </c>
      <c r="J34" s="52">
        <v>271925.57</v>
      </c>
      <c r="K34" s="52">
        <v>197386.58000000002</v>
      </c>
      <c r="L34" s="52">
        <v>74538.98999999999</v>
      </c>
      <c r="M34" s="53">
        <v>0.27411541327283045</v>
      </c>
      <c r="N34" s="53"/>
      <c r="O34" s="52">
        <v>56121.36</v>
      </c>
      <c r="P34" s="52">
        <v>27153.64</v>
      </c>
      <c r="Q34" s="52">
        <v>28967.72</v>
      </c>
      <c r="R34" s="53">
        <v>0.5161621172402094</v>
      </c>
      <c r="S34" s="54">
        <v>1124.47</v>
      </c>
      <c r="T34" s="54">
        <v>627.75</v>
      </c>
      <c r="U34" s="54">
        <v>496.72</v>
      </c>
      <c r="V34" s="53">
        <v>0.44173699609593853</v>
      </c>
      <c r="W34" s="53"/>
      <c r="X34" s="55">
        <v>55.44801274392672</v>
      </c>
      <c r="Y34" s="55">
        <v>61.532703026350184</v>
      </c>
      <c r="Z34" s="53">
        <v>0.13419999999999999</v>
      </c>
      <c r="AA34" s="56">
        <v>0.1742</v>
      </c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101</v>
      </c>
      <c r="D35" s="52">
        <v>397238.61</v>
      </c>
      <c r="E35" s="52">
        <v>259347.71</v>
      </c>
      <c r="F35" s="52">
        <v>137890.9</v>
      </c>
      <c r="G35" s="53">
        <v>0.34712360915773016</v>
      </c>
      <c r="H35" s="52">
        <v>328046.93</v>
      </c>
      <c r="I35" s="65">
        <v>228092.96</v>
      </c>
      <c r="J35" s="52">
        <v>271925.57</v>
      </c>
      <c r="K35" s="52">
        <v>199320.36</v>
      </c>
      <c r="L35" s="52">
        <v>72605.21000000002</v>
      </c>
      <c r="M35" s="53">
        <v>0.2670039820087534</v>
      </c>
      <c r="N35" s="53"/>
      <c r="O35" s="52">
        <v>56121.36</v>
      </c>
      <c r="P35" s="52">
        <v>28772.6</v>
      </c>
      <c r="Q35" s="52">
        <v>27348.760000000002</v>
      </c>
      <c r="R35" s="53">
        <v>0.48731463385776824</v>
      </c>
      <c r="S35" s="54">
        <v>1124.47</v>
      </c>
      <c r="T35" s="54">
        <v>667.75</v>
      </c>
      <c r="U35" s="54">
        <v>456.72</v>
      </c>
      <c r="V35" s="53">
        <v>0.4061646820279776</v>
      </c>
      <c r="W35" s="53"/>
      <c r="X35" s="55">
        <v>46.806065144140774</v>
      </c>
      <c r="Y35" s="55">
        <v>61.532703026350184</v>
      </c>
      <c r="Z35" s="53">
        <v>0.12050000000000001</v>
      </c>
      <c r="AA35" s="56">
        <v>0.1742</v>
      </c>
      <c r="AB35" s="57"/>
      <c r="AD35" s="35" t="s">
        <v>102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103</v>
      </c>
      <c r="D36" s="52">
        <v>397238.61073204</v>
      </c>
      <c r="E36" s="52">
        <v>352623.79</v>
      </c>
      <c r="F36" s="52">
        <v>44614.82073204004</v>
      </c>
      <c r="G36" s="53">
        <v>0.112312397452561</v>
      </c>
      <c r="H36" s="52">
        <v>328046.93216</v>
      </c>
      <c r="I36" s="52">
        <v>277449.99</v>
      </c>
      <c r="J36" s="52">
        <v>271925.57216000004</v>
      </c>
      <c r="K36" s="52">
        <v>243603.25999999998</v>
      </c>
      <c r="L36" s="52">
        <v>28322.31216000006</v>
      </c>
      <c r="M36" s="53">
        <v>0.1041546476671025</v>
      </c>
      <c r="N36" s="53"/>
      <c r="O36" s="52">
        <v>56121.36</v>
      </c>
      <c r="P36" s="52">
        <v>33846.73</v>
      </c>
      <c r="Q36" s="52">
        <v>22274.629999999997</v>
      </c>
      <c r="R36" s="53">
        <v>0.39690110859751077</v>
      </c>
      <c r="S36" s="54">
        <v>1124.47</v>
      </c>
      <c r="T36" s="54">
        <v>783</v>
      </c>
      <c r="U36" s="54">
        <v>341.47</v>
      </c>
      <c r="V36" s="53">
        <v>0.3036719521196653</v>
      </c>
      <c r="W36" s="53"/>
      <c r="X36" s="55">
        <v>96.00740740740741</v>
      </c>
      <c r="Y36" s="55">
        <v>61.532703026350184</v>
      </c>
      <c r="Z36" s="53">
        <v>0.2132</v>
      </c>
      <c r="AA36" s="56">
        <v>0.1742</v>
      </c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104</v>
      </c>
      <c r="D37" s="52">
        <v>397238.61073204</v>
      </c>
      <c r="E37" s="52">
        <v>352623.79</v>
      </c>
      <c r="F37" s="52">
        <v>44614.82073204004</v>
      </c>
      <c r="G37" s="53">
        <v>0.112312397452561</v>
      </c>
      <c r="H37" s="52">
        <v>328046.93216</v>
      </c>
      <c r="I37" s="52">
        <v>279095.37</v>
      </c>
      <c r="J37" s="52">
        <v>271925.57216000004</v>
      </c>
      <c r="K37" s="52">
        <v>243619.32</v>
      </c>
      <c r="L37" s="52">
        <v>28306.252160000033</v>
      </c>
      <c r="M37" s="53">
        <v>0.10409558738868713</v>
      </c>
      <c r="N37" s="53"/>
      <c r="O37" s="52">
        <v>56121.36</v>
      </c>
      <c r="P37" s="52">
        <v>35476.05</v>
      </c>
      <c r="Q37" s="52">
        <v>20645.309999999998</v>
      </c>
      <c r="R37" s="53">
        <v>0.367869025269523</v>
      </c>
      <c r="S37" s="54">
        <v>1124.47</v>
      </c>
      <c r="T37" s="54">
        <v>821.5</v>
      </c>
      <c r="U37" s="54">
        <v>302.97</v>
      </c>
      <c r="V37" s="53">
        <v>0.2694335998292529</v>
      </c>
      <c r="W37" s="53"/>
      <c r="X37" s="55">
        <v>89.50507608034084</v>
      </c>
      <c r="Y37" s="55">
        <v>61.532703026350184</v>
      </c>
      <c r="Z37" s="53">
        <v>0.20850000000000002</v>
      </c>
      <c r="AA37" s="56">
        <v>0.1742</v>
      </c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96</v>
      </c>
      <c r="D39" s="52">
        <v>128258.5</v>
      </c>
      <c r="E39" s="52">
        <v>53944.83</v>
      </c>
      <c r="F39" s="52">
        <v>74313.67</v>
      </c>
      <c r="G39" s="53">
        <v>0.5794054195238522</v>
      </c>
      <c r="H39" s="52">
        <v>94098.32</v>
      </c>
      <c r="I39" s="52">
        <v>42273.69</v>
      </c>
      <c r="J39" s="52">
        <v>69042.09000000001</v>
      </c>
      <c r="K39" s="52">
        <v>35075.75</v>
      </c>
      <c r="L39" s="52">
        <v>33966.34000000001</v>
      </c>
      <c r="M39" s="53">
        <v>0.4919656980256537</v>
      </c>
      <c r="N39" s="53"/>
      <c r="O39" s="52">
        <v>25056.23</v>
      </c>
      <c r="P39" s="52">
        <v>7197.94</v>
      </c>
      <c r="Q39" s="52">
        <v>17858.29</v>
      </c>
      <c r="R39" s="53">
        <v>0.7127285309881016</v>
      </c>
      <c r="S39" s="54">
        <v>501.83</v>
      </c>
      <c r="T39" s="54">
        <v>143</v>
      </c>
      <c r="U39" s="54">
        <v>358.83</v>
      </c>
      <c r="V39" s="53">
        <v>0.715042942829245</v>
      </c>
      <c r="W39" s="53">
        <v>0.4</v>
      </c>
      <c r="X39" s="55">
        <v>81.61636363636363</v>
      </c>
      <c r="Y39" s="55">
        <v>68.07122423898531</v>
      </c>
      <c r="Z39" s="53">
        <v>0.2164</v>
      </c>
      <c r="AA39" s="56">
        <v>0.2663</v>
      </c>
      <c r="AB39" s="57"/>
      <c r="AD39" s="35" t="s">
        <v>97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98</v>
      </c>
      <c r="D40" s="52">
        <v>128258.5</v>
      </c>
      <c r="E40" s="52">
        <v>53944.83</v>
      </c>
      <c r="F40" s="52">
        <v>74313.67</v>
      </c>
      <c r="G40" s="53">
        <v>0.5794054195238522</v>
      </c>
      <c r="H40" s="52">
        <v>94098.32</v>
      </c>
      <c r="I40" s="52">
        <v>49261.61</v>
      </c>
      <c r="J40" s="52">
        <v>69042.09000000001</v>
      </c>
      <c r="K40" s="52">
        <v>35683.74</v>
      </c>
      <c r="L40" s="52">
        <v>33358.35000000001</v>
      </c>
      <c r="M40" s="53">
        <v>0.4831596204576079</v>
      </c>
      <c r="N40" s="53"/>
      <c r="O40" s="52">
        <v>25056.23</v>
      </c>
      <c r="P40" s="52">
        <v>13577.87</v>
      </c>
      <c r="Q40" s="52">
        <v>11478.359999999999</v>
      </c>
      <c r="R40" s="53">
        <v>0.45810403241030273</v>
      </c>
      <c r="S40" s="54">
        <v>501.83</v>
      </c>
      <c r="T40" s="54">
        <v>299.5</v>
      </c>
      <c r="U40" s="54">
        <v>202.32999999999998</v>
      </c>
      <c r="V40" s="53">
        <v>0.40318434529621583</v>
      </c>
      <c r="W40" s="53"/>
      <c r="X40" s="55">
        <v>15.63679465776294</v>
      </c>
      <c r="Y40" s="55">
        <v>68.07122423898531</v>
      </c>
      <c r="Z40" s="53">
        <v>0.0868</v>
      </c>
      <c r="AA40" s="56">
        <v>0.2663</v>
      </c>
      <c r="AB40" s="57"/>
      <c r="AD40" s="35" t="s">
        <v>99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100</v>
      </c>
      <c r="D41" s="52">
        <v>128258.5</v>
      </c>
      <c r="E41" s="52">
        <v>53944.83</v>
      </c>
      <c r="F41" s="52">
        <v>74313.67</v>
      </c>
      <c r="G41" s="53">
        <v>0.5794054195238522</v>
      </c>
      <c r="H41" s="52">
        <v>94098.32</v>
      </c>
      <c r="I41" s="52">
        <v>50255.78</v>
      </c>
      <c r="J41" s="52">
        <v>69042.09000000001</v>
      </c>
      <c r="K41" s="52">
        <v>35683.74</v>
      </c>
      <c r="L41" s="52">
        <v>33358.35000000001</v>
      </c>
      <c r="M41" s="53">
        <v>0.4831596204576079</v>
      </c>
      <c r="N41" s="53"/>
      <c r="O41" s="52">
        <v>25056.23</v>
      </c>
      <c r="P41" s="52">
        <v>14572.04</v>
      </c>
      <c r="Q41" s="52">
        <v>10484.189999999999</v>
      </c>
      <c r="R41" s="53">
        <v>0.418426475172043</v>
      </c>
      <c r="S41" s="54">
        <v>501.83</v>
      </c>
      <c r="T41" s="54">
        <v>325.75</v>
      </c>
      <c r="U41" s="54">
        <v>176.07999999999998</v>
      </c>
      <c r="V41" s="53">
        <v>0.350875794591794</v>
      </c>
      <c r="W41" s="53"/>
      <c r="X41" s="55">
        <v>11.324788948580201</v>
      </c>
      <c r="Y41" s="55">
        <v>68.07122423898531</v>
      </c>
      <c r="Z41" s="53">
        <v>0.0684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101</v>
      </c>
      <c r="D42" s="52">
        <v>128258.5</v>
      </c>
      <c r="E42" s="52">
        <v>53944.83</v>
      </c>
      <c r="F42" s="52">
        <v>74313.67</v>
      </c>
      <c r="G42" s="53">
        <v>0.5794054195238522</v>
      </c>
      <c r="H42" s="52">
        <v>94098.32</v>
      </c>
      <c r="I42" s="52">
        <v>51662.71</v>
      </c>
      <c r="J42" s="52">
        <v>69042.09000000001</v>
      </c>
      <c r="K42" s="52">
        <v>35998.79</v>
      </c>
      <c r="L42" s="52">
        <v>33043.30000000001</v>
      </c>
      <c r="M42" s="53">
        <v>0.4785964619553088</v>
      </c>
      <c r="N42" s="53"/>
      <c r="O42" s="52">
        <v>25056.23</v>
      </c>
      <c r="P42" s="52">
        <v>15663.92</v>
      </c>
      <c r="Q42" s="52">
        <v>9392.31</v>
      </c>
      <c r="R42" s="53">
        <v>0.3748492889792279</v>
      </c>
      <c r="S42" s="54">
        <v>501.83</v>
      </c>
      <c r="T42" s="54">
        <v>354.75</v>
      </c>
      <c r="U42" s="54">
        <v>147.07999999999998</v>
      </c>
      <c r="V42" s="53">
        <v>0.2930873004802423</v>
      </c>
      <c r="W42" s="53"/>
      <c r="X42" s="55">
        <v>6.433037350246653</v>
      </c>
      <c r="Y42" s="55">
        <v>68.07122423898531</v>
      </c>
      <c r="Z42" s="53">
        <v>0.042300000000000004</v>
      </c>
      <c r="AA42" s="56">
        <v>0.2663</v>
      </c>
      <c r="AB42" s="57"/>
      <c r="AD42" s="35" t="s">
        <v>102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103</v>
      </c>
      <c r="D43" s="52">
        <v>128258.49930985</v>
      </c>
      <c r="E43" s="52">
        <v>115314.55</v>
      </c>
      <c r="F43" s="52">
        <v>12943.949309849995</v>
      </c>
      <c r="G43" s="53">
        <v>0.10092079183446305</v>
      </c>
      <c r="H43" s="52">
        <v>94098.31685</v>
      </c>
      <c r="I43" s="52">
        <v>56767.07</v>
      </c>
      <c r="J43" s="52">
        <v>69042.08885</v>
      </c>
      <c r="K43" s="52">
        <v>40878.83</v>
      </c>
      <c r="L43" s="52">
        <v>28163.25885</v>
      </c>
      <c r="M43" s="53">
        <v>0.40791435078372484</v>
      </c>
      <c r="N43" s="53"/>
      <c r="O43" s="52">
        <v>25056.228</v>
      </c>
      <c r="P43" s="52">
        <v>15888.24</v>
      </c>
      <c r="Q43" s="52">
        <v>9167.988</v>
      </c>
      <c r="R43" s="53">
        <v>0.3658965746959199</v>
      </c>
      <c r="S43" s="54">
        <v>501.83</v>
      </c>
      <c r="T43" s="54">
        <v>358.75</v>
      </c>
      <c r="U43" s="54">
        <v>143.07999999999998</v>
      </c>
      <c r="V43" s="53">
        <v>0.28511647370623516</v>
      </c>
      <c r="W43" s="53"/>
      <c r="X43" s="55">
        <v>163.1985505226481</v>
      </c>
      <c r="Y43" s="55">
        <v>68.07122423898531</v>
      </c>
      <c r="Z43" s="53">
        <v>0.5077</v>
      </c>
      <c r="AA43" s="56">
        <v>0.2663</v>
      </c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104</v>
      </c>
      <c r="D44" s="52">
        <v>128258.49930985</v>
      </c>
      <c r="E44" s="52">
        <v>115314.55</v>
      </c>
      <c r="F44" s="52">
        <v>12943.949309849995</v>
      </c>
      <c r="G44" s="53">
        <v>0.10092079183446305</v>
      </c>
      <c r="H44" s="52">
        <v>94098.31685</v>
      </c>
      <c r="I44" s="52">
        <v>58294.37</v>
      </c>
      <c r="J44" s="52">
        <v>69042.08885</v>
      </c>
      <c r="K44" s="52">
        <v>42068.630000000005</v>
      </c>
      <c r="L44" s="52">
        <v>26973.458849999995</v>
      </c>
      <c r="M44" s="53">
        <v>0.39068138434516664</v>
      </c>
      <c r="N44" s="53"/>
      <c r="O44" s="52">
        <v>25056.228</v>
      </c>
      <c r="P44" s="52">
        <v>16225.74</v>
      </c>
      <c r="Q44" s="52">
        <v>8830.488</v>
      </c>
      <c r="R44" s="53">
        <v>0.3524268696788678</v>
      </c>
      <c r="S44" s="54">
        <v>501.83</v>
      </c>
      <c r="T44" s="54">
        <v>366.25</v>
      </c>
      <c r="U44" s="54">
        <v>135.57999999999998</v>
      </c>
      <c r="V44" s="53">
        <v>0.2701711735049718</v>
      </c>
      <c r="W44" s="53"/>
      <c r="X44" s="55">
        <v>155.68649829351537</v>
      </c>
      <c r="Y44" s="55">
        <v>68.07122423898531</v>
      </c>
      <c r="Z44" s="53">
        <v>0.49450000000000005</v>
      </c>
      <c r="AA44" s="56">
        <v>0.2663</v>
      </c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96</v>
      </c>
      <c r="D46" s="52">
        <v>65693.36</v>
      </c>
      <c r="E46" s="52">
        <v>33326.49</v>
      </c>
      <c r="F46" s="52">
        <v>32366.870000000003</v>
      </c>
      <c r="G46" s="53">
        <v>0.49269621769993194</v>
      </c>
      <c r="H46" s="52">
        <v>50582.37</v>
      </c>
      <c r="I46" s="52">
        <v>25211.58</v>
      </c>
      <c r="J46" s="52">
        <v>39438.990000000005</v>
      </c>
      <c r="K46" s="52">
        <v>20456.640000000003</v>
      </c>
      <c r="L46" s="52">
        <v>18982.350000000002</v>
      </c>
      <c r="M46" s="53">
        <v>0.4813092323104623</v>
      </c>
      <c r="N46" s="53">
        <v>0</v>
      </c>
      <c r="O46" s="52">
        <v>11143.38</v>
      </c>
      <c r="P46" s="52">
        <v>4754.94</v>
      </c>
      <c r="Q46" s="52">
        <v>6388.44</v>
      </c>
      <c r="R46" s="53">
        <v>0.5732946377131535</v>
      </c>
      <c r="S46" s="54">
        <v>223.22</v>
      </c>
      <c r="T46" s="54">
        <v>104.25</v>
      </c>
      <c r="U46" s="54">
        <v>118.97</v>
      </c>
      <c r="V46" s="53">
        <v>0.5329719559179285</v>
      </c>
      <c r="W46" s="53">
        <v>0.4</v>
      </c>
      <c r="X46" s="55">
        <v>77.84086330935251</v>
      </c>
      <c r="Y46" s="55">
        <v>67.69550512136009</v>
      </c>
      <c r="Z46" s="53">
        <v>0.24350000000000002</v>
      </c>
      <c r="AA46" s="56">
        <v>0.23</v>
      </c>
      <c r="AB46" s="57"/>
      <c r="AD46" s="35" t="s">
        <v>97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98</v>
      </c>
      <c r="D47" s="52">
        <v>65693.36</v>
      </c>
      <c r="E47" s="52">
        <v>33326.49</v>
      </c>
      <c r="F47" s="52">
        <v>32366.870000000003</v>
      </c>
      <c r="G47" s="53">
        <v>0.49269621769993194</v>
      </c>
      <c r="H47" s="52">
        <v>50582.37</v>
      </c>
      <c r="I47" s="52">
        <v>25196.36</v>
      </c>
      <c r="J47" s="52">
        <v>39438.990000000005</v>
      </c>
      <c r="K47" s="52">
        <v>20036.420000000002</v>
      </c>
      <c r="L47" s="52">
        <v>19402.570000000003</v>
      </c>
      <c r="M47" s="53">
        <v>0.49196417048205343</v>
      </c>
      <c r="N47" s="53"/>
      <c r="O47" s="52">
        <v>11143.38</v>
      </c>
      <c r="P47" s="52">
        <v>5159.94</v>
      </c>
      <c r="Q47" s="52">
        <v>5983.44</v>
      </c>
      <c r="R47" s="53">
        <v>0.5369501892603501</v>
      </c>
      <c r="S47" s="54">
        <v>223.22</v>
      </c>
      <c r="T47" s="54">
        <v>113.25</v>
      </c>
      <c r="U47" s="54">
        <v>109.97</v>
      </c>
      <c r="V47" s="53">
        <v>0.49265298808350505</v>
      </c>
      <c r="W47" s="53"/>
      <c r="X47" s="55">
        <v>71.78922737306843</v>
      </c>
      <c r="Y47" s="55">
        <v>67.69550512136009</v>
      </c>
      <c r="Z47" s="53">
        <v>0.244</v>
      </c>
      <c r="AA47" s="56">
        <v>0.23</v>
      </c>
      <c r="AB47" s="57"/>
      <c r="AD47" s="35" t="s">
        <v>99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100</v>
      </c>
      <c r="D48" s="52">
        <v>65693.36</v>
      </c>
      <c r="E48" s="52">
        <v>33326.49</v>
      </c>
      <c r="F48" s="52">
        <v>32366.870000000003</v>
      </c>
      <c r="G48" s="53">
        <v>0.49269621769993194</v>
      </c>
      <c r="H48" s="52">
        <v>50582.37</v>
      </c>
      <c r="I48" s="52">
        <v>25196.36</v>
      </c>
      <c r="J48" s="52">
        <v>39438.990000000005</v>
      </c>
      <c r="K48" s="52">
        <v>20036.420000000002</v>
      </c>
      <c r="L48" s="52">
        <v>19402.570000000003</v>
      </c>
      <c r="M48" s="53">
        <v>0.49196417048205343</v>
      </c>
      <c r="N48" s="53"/>
      <c r="O48" s="52">
        <v>11143.38</v>
      </c>
      <c r="P48" s="52">
        <v>5159.94</v>
      </c>
      <c r="Q48" s="52">
        <v>5983.44</v>
      </c>
      <c r="R48" s="53">
        <v>0.5369501892603501</v>
      </c>
      <c r="S48" s="54">
        <v>223.22</v>
      </c>
      <c r="T48" s="54">
        <v>113.25</v>
      </c>
      <c r="U48" s="54">
        <v>109.97</v>
      </c>
      <c r="V48" s="53">
        <v>0.49265298808350505</v>
      </c>
      <c r="W48" s="53"/>
      <c r="X48" s="55">
        <v>71.78922737306843</v>
      </c>
      <c r="Y48" s="55">
        <v>67.69550512136009</v>
      </c>
      <c r="Z48" s="53">
        <v>0.244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101</v>
      </c>
      <c r="D49" s="52">
        <v>65693.36</v>
      </c>
      <c r="E49" s="52">
        <v>33326.49</v>
      </c>
      <c r="F49" s="52">
        <v>32366.870000000003</v>
      </c>
      <c r="G49" s="53">
        <v>0.49269621769993194</v>
      </c>
      <c r="H49" s="52">
        <v>50582.37</v>
      </c>
      <c r="I49" s="52">
        <v>25764.18</v>
      </c>
      <c r="J49" s="52">
        <v>39438.990000000005</v>
      </c>
      <c r="K49" s="52">
        <v>20036.42</v>
      </c>
      <c r="L49" s="52">
        <v>19402.570000000007</v>
      </c>
      <c r="M49" s="53">
        <v>0.49196417048205354</v>
      </c>
      <c r="N49" s="53"/>
      <c r="O49" s="52">
        <v>11143.38</v>
      </c>
      <c r="P49" s="52">
        <v>5727.76</v>
      </c>
      <c r="Q49" s="52">
        <v>5415.619999999999</v>
      </c>
      <c r="R49" s="53">
        <v>0.48599437513573074</v>
      </c>
      <c r="S49" s="54">
        <v>223.22</v>
      </c>
      <c r="T49" s="54">
        <v>129</v>
      </c>
      <c r="U49" s="54">
        <v>94.22</v>
      </c>
      <c r="V49" s="53">
        <v>0.422094794373264</v>
      </c>
      <c r="W49" s="53"/>
      <c r="X49" s="55">
        <v>58.62255813953489</v>
      </c>
      <c r="Y49" s="55">
        <v>67.69550512136009</v>
      </c>
      <c r="Z49" s="53">
        <v>0.22690000000000002</v>
      </c>
      <c r="AA49" s="56">
        <v>0.23</v>
      </c>
      <c r="AB49" s="57"/>
      <c r="AD49" s="35" t="s">
        <v>102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103</v>
      </c>
      <c r="D50" s="52">
        <v>65693.35850319</v>
      </c>
      <c r="E50" s="52">
        <v>61277.97</v>
      </c>
      <c r="F50" s="52">
        <v>4415.388503189999</v>
      </c>
      <c r="G50" s="53">
        <v>0.06721209881476212</v>
      </c>
      <c r="H50" s="52">
        <v>50582.36785</v>
      </c>
      <c r="I50" s="52">
        <v>29601.04</v>
      </c>
      <c r="J50" s="52">
        <v>39438.99025</v>
      </c>
      <c r="K50" s="52">
        <v>20244.31</v>
      </c>
      <c r="L50" s="52">
        <v>19194.68025</v>
      </c>
      <c r="M50" s="53">
        <v>0.4866929941240065</v>
      </c>
      <c r="N50" s="53"/>
      <c r="O50" s="52">
        <v>11143.3776</v>
      </c>
      <c r="P50" s="52">
        <v>9356.73</v>
      </c>
      <c r="Q50" s="52">
        <v>1786.6476000000002</v>
      </c>
      <c r="R50" s="53">
        <v>0.1603326804612634</v>
      </c>
      <c r="S50" s="54">
        <v>223.22</v>
      </c>
      <c r="T50" s="54">
        <v>216.5</v>
      </c>
      <c r="U50" s="54">
        <v>6.719999999999999</v>
      </c>
      <c r="V50" s="53">
        <v>0.030104829316369496</v>
      </c>
      <c r="W50" s="53"/>
      <c r="X50" s="55">
        <v>146.31376443418014</v>
      </c>
      <c r="Y50" s="55">
        <v>67.69550512136009</v>
      </c>
      <c r="Z50" s="53">
        <v>0.5169</v>
      </c>
      <c r="AA50" s="56">
        <v>0.23</v>
      </c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104</v>
      </c>
      <c r="D51" s="52">
        <v>65693.35850319</v>
      </c>
      <c r="E51" s="52">
        <v>61277.97</v>
      </c>
      <c r="F51" s="52">
        <v>4415.388503189999</v>
      </c>
      <c r="G51" s="53">
        <v>0.06721209881476212</v>
      </c>
      <c r="H51" s="52">
        <v>50582.36785</v>
      </c>
      <c r="I51" s="52">
        <v>29601.04</v>
      </c>
      <c r="J51" s="52">
        <v>39438.99025</v>
      </c>
      <c r="K51" s="52">
        <v>20244.31</v>
      </c>
      <c r="L51" s="52">
        <v>19194.68025</v>
      </c>
      <c r="M51" s="53">
        <v>0.4866929941240065</v>
      </c>
      <c r="N51" s="53"/>
      <c r="O51" s="52">
        <v>11143.3776</v>
      </c>
      <c r="P51" s="52">
        <v>9356.73</v>
      </c>
      <c r="Q51" s="52">
        <v>1786.6476000000002</v>
      </c>
      <c r="R51" s="53">
        <v>0.1603326804612634</v>
      </c>
      <c r="S51" s="54">
        <v>223.22</v>
      </c>
      <c r="T51" s="54">
        <v>216.5</v>
      </c>
      <c r="U51" s="54">
        <v>6.719999999999999</v>
      </c>
      <c r="V51" s="53">
        <v>0.030104829316369496</v>
      </c>
      <c r="W51" s="53"/>
      <c r="X51" s="55">
        <v>146.31376443418014</v>
      </c>
      <c r="Y51" s="55">
        <v>67.69550512136009</v>
      </c>
      <c r="Z51" s="53">
        <v>0.5169</v>
      </c>
      <c r="AA51" s="56">
        <v>0.23</v>
      </c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96</v>
      </c>
      <c r="D53" s="52">
        <v>155296.79</v>
      </c>
      <c r="E53" s="52">
        <v>127814.48</v>
      </c>
      <c r="F53" s="52">
        <v>27482.310000000012</v>
      </c>
      <c r="G53" s="53">
        <v>0.176966375158173</v>
      </c>
      <c r="H53" s="52">
        <v>109364.97</v>
      </c>
      <c r="I53" s="52">
        <v>95320.51</v>
      </c>
      <c r="J53" s="52">
        <v>75135.01000000001</v>
      </c>
      <c r="K53" s="52">
        <v>71614.54999999999</v>
      </c>
      <c r="L53" s="52">
        <v>3520.460000000021</v>
      </c>
      <c r="M53" s="53">
        <v>0.04685512120115537</v>
      </c>
      <c r="N53" s="53"/>
      <c r="O53" s="52">
        <v>34229.96</v>
      </c>
      <c r="P53" s="52">
        <v>23705.96</v>
      </c>
      <c r="Q53" s="52">
        <v>10524</v>
      </c>
      <c r="R53" s="53">
        <v>0.3074499648845631</v>
      </c>
      <c r="S53" s="54">
        <v>685.48</v>
      </c>
      <c r="T53" s="54">
        <v>502.25</v>
      </c>
      <c r="U53" s="54">
        <v>183.23000000000002</v>
      </c>
      <c r="V53" s="53">
        <v>0.26730174476279395</v>
      </c>
      <c r="W53" s="53">
        <v>0.3</v>
      </c>
      <c r="X53" s="55">
        <v>64.6968043802887</v>
      </c>
      <c r="Y53" s="55">
        <v>67.00679527854935</v>
      </c>
      <c r="Z53" s="53">
        <v>0.25420000000000004</v>
      </c>
      <c r="AA53" s="56">
        <v>0.2958</v>
      </c>
      <c r="AB53" s="57"/>
      <c r="AD53" s="35" t="s">
        <v>97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98</v>
      </c>
      <c r="D54" s="52">
        <v>155296.79</v>
      </c>
      <c r="E54" s="52">
        <v>127814.48</v>
      </c>
      <c r="F54" s="52">
        <v>27482.310000000012</v>
      </c>
      <c r="G54" s="53">
        <v>0.176966375158173</v>
      </c>
      <c r="H54" s="52">
        <v>109364.97</v>
      </c>
      <c r="I54" s="52">
        <v>96483.38</v>
      </c>
      <c r="J54" s="52">
        <v>75135.01000000001</v>
      </c>
      <c r="K54" s="52">
        <v>71221.34</v>
      </c>
      <c r="L54" s="52">
        <v>3913.670000000013</v>
      </c>
      <c r="M54" s="53">
        <v>0.05208850042077604</v>
      </c>
      <c r="N54" s="53"/>
      <c r="O54" s="52">
        <v>34229.96</v>
      </c>
      <c r="P54" s="52">
        <v>25262.04</v>
      </c>
      <c r="Q54" s="52">
        <v>8967.919999999998</v>
      </c>
      <c r="R54" s="53">
        <v>0.2619903733454552</v>
      </c>
      <c r="S54" s="54">
        <v>685.48</v>
      </c>
      <c r="T54" s="54">
        <v>533.75</v>
      </c>
      <c r="U54" s="54">
        <v>151.73000000000002</v>
      </c>
      <c r="V54" s="53">
        <v>0.22134854408589605</v>
      </c>
      <c r="W54" s="53"/>
      <c r="X54" s="55">
        <v>58.699953161592504</v>
      </c>
      <c r="Y54" s="55">
        <v>67.00679527854935</v>
      </c>
      <c r="Z54" s="53">
        <v>0.2451</v>
      </c>
      <c r="AA54" s="56">
        <v>0.2958</v>
      </c>
      <c r="AB54" s="57"/>
      <c r="AD54" s="35" t="s">
        <v>99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100</v>
      </c>
      <c r="D55" s="52">
        <v>155296.79</v>
      </c>
      <c r="E55" s="52">
        <v>127814.48</v>
      </c>
      <c r="F55" s="52">
        <v>27482.310000000012</v>
      </c>
      <c r="G55" s="53">
        <v>0.176966375158173</v>
      </c>
      <c r="H55" s="52">
        <v>109364.97</v>
      </c>
      <c r="I55" s="52">
        <v>98837.32</v>
      </c>
      <c r="J55" s="52">
        <v>75135.01000000001</v>
      </c>
      <c r="K55" s="52">
        <v>71357.43000000001</v>
      </c>
      <c r="L55" s="52">
        <v>3777.5800000000017</v>
      </c>
      <c r="M55" s="53">
        <v>0.05027722761998703</v>
      </c>
      <c r="N55" s="53"/>
      <c r="O55" s="52">
        <v>34229.96</v>
      </c>
      <c r="P55" s="52">
        <v>27479.89</v>
      </c>
      <c r="Q55" s="52">
        <v>6750.07</v>
      </c>
      <c r="R55" s="53">
        <v>0.19719771802245753</v>
      </c>
      <c r="S55" s="54">
        <v>685.48</v>
      </c>
      <c r="T55" s="54">
        <v>578.5</v>
      </c>
      <c r="U55" s="54">
        <v>106.98000000000002</v>
      </c>
      <c r="V55" s="53">
        <v>0.15606582248935055</v>
      </c>
      <c r="W55" s="53"/>
      <c r="X55" s="55">
        <v>50.09016421780467</v>
      </c>
      <c r="Y55" s="55">
        <v>67.00679527854935</v>
      </c>
      <c r="Z55" s="53">
        <v>0.2267</v>
      </c>
      <c r="AA55" s="56">
        <v>0.2958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101</v>
      </c>
      <c r="D56" s="52">
        <v>155296.79</v>
      </c>
      <c r="E56" s="52">
        <v>127814.48</v>
      </c>
      <c r="F56" s="52">
        <v>27482.310000000012</v>
      </c>
      <c r="G56" s="53">
        <v>0.176966375158173</v>
      </c>
      <c r="H56" s="52">
        <v>109364.97</v>
      </c>
      <c r="I56" s="52">
        <v>100761.26</v>
      </c>
      <c r="J56" s="52">
        <v>75135.01000000001</v>
      </c>
      <c r="K56" s="52">
        <v>71552.81</v>
      </c>
      <c r="L56" s="52">
        <v>3582.2000000000116</v>
      </c>
      <c r="M56" s="53">
        <v>0.04767684199416505</v>
      </c>
      <c r="N56" s="53"/>
      <c r="O56" s="52">
        <v>34229.96</v>
      </c>
      <c r="P56" s="52">
        <v>29208.45</v>
      </c>
      <c r="Q56" s="52">
        <v>5021.509999999998</v>
      </c>
      <c r="R56" s="53">
        <v>0.14669926578938447</v>
      </c>
      <c r="S56" s="54">
        <v>685.48</v>
      </c>
      <c r="T56" s="54">
        <v>610</v>
      </c>
      <c r="U56" s="54">
        <v>75.48000000000002</v>
      </c>
      <c r="V56" s="53">
        <v>0.11011262181245261</v>
      </c>
      <c r="W56" s="53"/>
      <c r="X56" s="55">
        <v>44.34954098360656</v>
      </c>
      <c r="Y56" s="55">
        <v>67.00679527854935</v>
      </c>
      <c r="Z56" s="53">
        <v>0.21170000000000003</v>
      </c>
      <c r="AA56" s="56">
        <v>0.2958</v>
      </c>
      <c r="AB56" s="57"/>
      <c r="AD56" s="35" t="s">
        <v>102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103</v>
      </c>
      <c r="D57" s="52">
        <v>155296.79012754</v>
      </c>
      <c r="E57" s="52">
        <v>155296.8</v>
      </c>
      <c r="F57" s="52">
        <v>-0.009872459981124848</v>
      </c>
      <c r="G57" s="53">
        <v>-6.357156495647419e-8</v>
      </c>
      <c r="H57" s="52">
        <v>109364.9721</v>
      </c>
      <c r="I57" s="52">
        <v>110254.03</v>
      </c>
      <c r="J57" s="52">
        <v>75135.0159</v>
      </c>
      <c r="K57" s="52">
        <v>78269.58</v>
      </c>
      <c r="L57" s="52">
        <v>-3134.5641000000032</v>
      </c>
      <c r="M57" s="53">
        <v>-0.04171908480290883</v>
      </c>
      <c r="N57" s="53"/>
      <c r="O57" s="52">
        <v>34229.9562</v>
      </c>
      <c r="P57" s="52">
        <v>31984.45</v>
      </c>
      <c r="Q57" s="52">
        <v>2245.5062</v>
      </c>
      <c r="R57" s="53">
        <v>0.06560061563853242</v>
      </c>
      <c r="S57" s="54">
        <v>685.48</v>
      </c>
      <c r="T57" s="54">
        <v>669</v>
      </c>
      <c r="U57" s="54">
        <v>16.480000000000018</v>
      </c>
      <c r="V57" s="53">
        <v>0.02404154752873901</v>
      </c>
      <c r="W57" s="53"/>
      <c r="X57" s="55">
        <v>67.32850523168908</v>
      </c>
      <c r="Y57" s="55">
        <v>67.00679527854935</v>
      </c>
      <c r="Z57" s="53">
        <v>0.29</v>
      </c>
      <c r="AA57" s="56">
        <v>0.2958</v>
      </c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104</v>
      </c>
      <c r="D58" s="52">
        <v>155296.79012754</v>
      </c>
      <c r="E58" s="52">
        <v>155296.8</v>
      </c>
      <c r="F58" s="52">
        <v>-0.009872459981124848</v>
      </c>
      <c r="G58" s="53">
        <v>-6.357156495647419e-8</v>
      </c>
      <c r="H58" s="52">
        <v>109364.9721</v>
      </c>
      <c r="I58" s="52">
        <v>114553.44</v>
      </c>
      <c r="J58" s="52">
        <v>75135.0159</v>
      </c>
      <c r="K58" s="52">
        <v>81185.24</v>
      </c>
      <c r="L58" s="52">
        <v>-6050.224100000007</v>
      </c>
      <c r="M58" s="53">
        <v>-0.08052469314776584</v>
      </c>
      <c r="N58" s="53"/>
      <c r="O58" s="52">
        <v>34229.9562</v>
      </c>
      <c r="P58" s="52">
        <v>33368.2</v>
      </c>
      <c r="Q58" s="52">
        <v>861.7562000000034</v>
      </c>
      <c r="R58" s="53">
        <v>0.025175498179574166</v>
      </c>
      <c r="S58" s="54">
        <v>685.48</v>
      </c>
      <c r="T58" s="54">
        <v>699.75</v>
      </c>
      <c r="U58" s="54">
        <v>-14.269999999999982</v>
      </c>
      <c r="V58" s="53">
        <v>-0.0208175293225185</v>
      </c>
      <c r="W58" s="53"/>
      <c r="X58" s="55">
        <v>58.22559485530547</v>
      </c>
      <c r="Y58" s="55">
        <v>67.00679527854935</v>
      </c>
      <c r="Z58" s="53">
        <v>0.26239999999999997</v>
      </c>
      <c r="AA58" s="56">
        <v>0.2958</v>
      </c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96</v>
      </c>
      <c r="D60" s="52">
        <v>20420.56</v>
      </c>
      <c r="E60" s="52">
        <v>20420.56</v>
      </c>
      <c r="F60" s="52">
        <v>0</v>
      </c>
      <c r="G60" s="53">
        <v>0</v>
      </c>
      <c r="H60" s="52">
        <v>15859.68</v>
      </c>
      <c r="I60" s="52">
        <v>13435.12</v>
      </c>
      <c r="J60" s="52">
        <v>12689.1</v>
      </c>
      <c r="K60" s="52">
        <v>11478.25</v>
      </c>
      <c r="L60" s="52">
        <v>1210.8500000000004</v>
      </c>
      <c r="M60" s="53">
        <v>0.09542441938356545</v>
      </c>
      <c r="N60" s="53"/>
      <c r="O60" s="52">
        <v>3170.58</v>
      </c>
      <c r="P60" s="52">
        <v>1956.87</v>
      </c>
      <c r="Q60" s="52">
        <v>1213.71</v>
      </c>
      <c r="R60" s="53">
        <v>0.38280377722687964</v>
      </c>
      <c r="S60" s="54">
        <v>63.5</v>
      </c>
      <c r="T60" s="54">
        <v>48.25</v>
      </c>
      <c r="U60" s="54">
        <v>15.25</v>
      </c>
      <c r="V60" s="53">
        <v>0.24015748031496062</v>
      </c>
      <c r="W60" s="53">
        <v>0.4</v>
      </c>
      <c r="X60" s="55">
        <v>144.7759585492228</v>
      </c>
      <c r="Y60" s="55">
        <v>71.82495570677168</v>
      </c>
      <c r="Z60" s="53">
        <v>0.3421</v>
      </c>
      <c r="AA60" s="56">
        <v>0.2233</v>
      </c>
      <c r="AB60" s="57"/>
      <c r="AD60" s="35" t="s">
        <v>97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98</v>
      </c>
      <c r="D61" s="52">
        <v>20420.56</v>
      </c>
      <c r="E61" s="52">
        <v>20420.56</v>
      </c>
      <c r="F61" s="52">
        <v>0</v>
      </c>
      <c r="G61" s="53">
        <v>0</v>
      </c>
      <c r="H61" s="52">
        <v>15859.68</v>
      </c>
      <c r="I61" s="52">
        <v>13435.12</v>
      </c>
      <c r="J61" s="52">
        <v>12689.1</v>
      </c>
      <c r="K61" s="52">
        <v>11478.25</v>
      </c>
      <c r="L61" s="52">
        <v>1210.8500000000004</v>
      </c>
      <c r="M61" s="53">
        <v>0.09542441938356545</v>
      </c>
      <c r="N61" s="53"/>
      <c r="O61" s="52">
        <v>3170.58</v>
      </c>
      <c r="P61" s="52">
        <v>1956.87</v>
      </c>
      <c r="Q61" s="52">
        <v>1213.71</v>
      </c>
      <c r="R61" s="53">
        <v>0.38280377722687964</v>
      </c>
      <c r="S61" s="54">
        <v>63.5</v>
      </c>
      <c r="T61" s="54">
        <v>48.25</v>
      </c>
      <c r="U61" s="54">
        <v>15.25</v>
      </c>
      <c r="V61" s="53">
        <v>0.24015748031496062</v>
      </c>
      <c r="W61" s="53"/>
      <c r="X61" s="55">
        <v>144.7759585492228</v>
      </c>
      <c r="Y61" s="55">
        <v>71.82495570677168</v>
      </c>
      <c r="Z61" s="53">
        <v>0.3421</v>
      </c>
      <c r="AA61" s="56">
        <v>0.2233</v>
      </c>
      <c r="AB61" s="57"/>
      <c r="AD61" s="35" t="s">
        <v>99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100</v>
      </c>
      <c r="D62" s="52">
        <v>20420.56</v>
      </c>
      <c r="E62" s="52">
        <v>20420.56</v>
      </c>
      <c r="F62" s="52">
        <v>0</v>
      </c>
      <c r="G62" s="53">
        <v>0</v>
      </c>
      <c r="H62" s="52">
        <v>15859.68</v>
      </c>
      <c r="I62" s="52">
        <v>13435.12</v>
      </c>
      <c r="J62" s="52">
        <v>12689.1</v>
      </c>
      <c r="K62" s="52">
        <v>11478.25</v>
      </c>
      <c r="L62" s="52">
        <v>1210.8500000000004</v>
      </c>
      <c r="M62" s="53">
        <v>0.09542441938356545</v>
      </c>
      <c r="N62" s="53"/>
      <c r="O62" s="52">
        <v>3170.58</v>
      </c>
      <c r="P62" s="52">
        <v>1956.87</v>
      </c>
      <c r="Q62" s="52">
        <v>1213.71</v>
      </c>
      <c r="R62" s="53">
        <v>0.38280377722687964</v>
      </c>
      <c r="S62" s="54">
        <v>63.5</v>
      </c>
      <c r="T62" s="54">
        <v>48.25</v>
      </c>
      <c r="U62" s="54">
        <v>15.25</v>
      </c>
      <c r="V62" s="53">
        <v>0.24015748031496062</v>
      </c>
      <c r="W62" s="53"/>
      <c r="X62" s="55">
        <v>144.7759585492228</v>
      </c>
      <c r="Y62" s="55">
        <v>71.82495570677168</v>
      </c>
      <c r="Z62" s="53">
        <v>0.3421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101</v>
      </c>
      <c r="D63" s="52"/>
      <c r="E63" s="52"/>
      <c r="F63" s="52"/>
      <c r="G63" s="53"/>
      <c r="H63" s="52"/>
      <c r="I63" s="52"/>
      <c r="J63" s="52"/>
      <c r="K63" s="52"/>
      <c r="L63" s="52"/>
      <c r="M63" s="53"/>
      <c r="N63" s="53"/>
      <c r="O63" s="52"/>
      <c r="P63" s="52"/>
      <c r="Q63" s="52"/>
      <c r="R63" s="53"/>
      <c r="S63" s="54"/>
      <c r="T63" s="54"/>
      <c r="U63" s="54"/>
      <c r="V63" s="53"/>
      <c r="W63" s="53"/>
      <c r="X63" s="55"/>
      <c r="Y63" s="55"/>
      <c r="Z63" s="53"/>
      <c r="AA63" s="56"/>
      <c r="AB63" s="57"/>
      <c r="AD63" s="35" t="s">
        <v>102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103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104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96</v>
      </c>
      <c r="D67" s="52">
        <v>47801.68</v>
      </c>
      <c r="E67" s="52">
        <v>10650.43</v>
      </c>
      <c r="F67" s="52">
        <v>37151.25</v>
      </c>
      <c r="G67" s="53">
        <v>0.7771954876899724</v>
      </c>
      <c r="H67" s="52">
        <v>35572.59</v>
      </c>
      <c r="I67" s="52">
        <v>9981.43</v>
      </c>
      <c r="J67" s="52">
        <v>27136.549999999996</v>
      </c>
      <c r="K67" s="52">
        <v>9832.65</v>
      </c>
      <c r="L67" s="52">
        <v>17303.899999999994</v>
      </c>
      <c r="M67" s="53">
        <v>0.6376602773749794</v>
      </c>
      <c r="N67" s="53"/>
      <c r="O67" s="52">
        <v>8436.04</v>
      </c>
      <c r="P67" s="52">
        <v>148.78</v>
      </c>
      <c r="Q67" s="52">
        <v>8287.26</v>
      </c>
      <c r="R67" s="53">
        <v>0.9823637630926358</v>
      </c>
      <c r="S67" s="54">
        <v>169.32</v>
      </c>
      <c r="T67" s="54">
        <v>2.75</v>
      </c>
      <c r="U67" s="54">
        <v>166.57</v>
      </c>
      <c r="V67" s="53">
        <v>0.9837585636664304</v>
      </c>
      <c r="W67" s="53"/>
      <c r="X67" s="55">
        <v>243.27272727272728</v>
      </c>
      <c r="Y67" s="55">
        <v>72.22475431425701</v>
      </c>
      <c r="Z67" s="53">
        <v>0.06280000000000001</v>
      </c>
      <c r="AA67" s="56">
        <v>0.2558</v>
      </c>
      <c r="AB67" s="57"/>
      <c r="AD67" s="35" t="s">
        <v>97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98</v>
      </c>
      <c r="D68" s="52">
        <v>47801.68</v>
      </c>
      <c r="E68" s="52">
        <v>10650.43</v>
      </c>
      <c r="F68" s="52">
        <v>37151.25</v>
      </c>
      <c r="G68" s="53">
        <v>0.7771954876899724</v>
      </c>
      <c r="H68" s="52">
        <v>35572.59</v>
      </c>
      <c r="I68" s="52">
        <v>10547.08</v>
      </c>
      <c r="J68" s="52">
        <v>27136.549999999996</v>
      </c>
      <c r="K68" s="52">
        <v>10398.3</v>
      </c>
      <c r="L68" s="52">
        <v>16738.249999999996</v>
      </c>
      <c r="M68" s="53">
        <v>0.6168156969106242</v>
      </c>
      <c r="N68" s="53"/>
      <c r="O68" s="52">
        <v>8436.04</v>
      </c>
      <c r="P68" s="52">
        <v>148.78</v>
      </c>
      <c r="Q68" s="52">
        <v>8287.26</v>
      </c>
      <c r="R68" s="53">
        <v>0.9823637630926358</v>
      </c>
      <c r="S68" s="54">
        <v>169.32</v>
      </c>
      <c r="T68" s="54">
        <v>2.75</v>
      </c>
      <c r="U68" s="54">
        <v>166.57</v>
      </c>
      <c r="V68" s="53">
        <v>0.9837585636664304</v>
      </c>
      <c r="W68" s="53"/>
      <c r="X68" s="55">
        <v>37.58181818181818</v>
      </c>
      <c r="Y68" s="55">
        <v>72.22475431425701</v>
      </c>
      <c r="Z68" s="53">
        <v>0.0097</v>
      </c>
      <c r="AA68" s="56">
        <v>0.2558</v>
      </c>
      <c r="AB68" s="57"/>
      <c r="AD68" s="35" t="s">
        <v>99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100</v>
      </c>
      <c r="D69" s="52">
        <v>53029.71</v>
      </c>
      <c r="E69" s="52">
        <v>10650.43</v>
      </c>
      <c r="F69" s="52">
        <v>42379.28</v>
      </c>
      <c r="G69" s="53">
        <v>0.7991610740469823</v>
      </c>
      <c r="H69" s="52">
        <v>39055.78</v>
      </c>
      <c r="I69" s="52">
        <v>16807.92</v>
      </c>
      <c r="J69" s="52">
        <v>29537.29</v>
      </c>
      <c r="K69" s="52">
        <v>16659.14</v>
      </c>
      <c r="L69" s="52">
        <v>12878.150000000001</v>
      </c>
      <c r="M69" s="53">
        <v>0.4359963287085579</v>
      </c>
      <c r="N69" s="53"/>
      <c r="O69" s="52">
        <v>9518.49</v>
      </c>
      <c r="P69" s="52">
        <v>148.78</v>
      </c>
      <c r="Q69" s="52">
        <v>9369.71</v>
      </c>
      <c r="R69" s="53">
        <v>0.9843693695113405</v>
      </c>
      <c r="S69" s="54">
        <v>193.32</v>
      </c>
      <c r="T69" s="54">
        <v>2.75</v>
      </c>
      <c r="U69" s="54">
        <v>190.57</v>
      </c>
      <c r="V69" s="53">
        <v>0.9857748810262776</v>
      </c>
      <c r="W69" s="53"/>
      <c r="X69" s="55">
        <v>-2239.0872727272726</v>
      </c>
      <c r="Y69" s="55">
        <v>72.28396616733912</v>
      </c>
      <c r="Z69" s="53">
        <v>-0.5781000000000001</v>
      </c>
      <c r="AA69" s="56">
        <v>0.2635</v>
      </c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101</v>
      </c>
      <c r="D70" s="52">
        <v>53029.71</v>
      </c>
      <c r="E70" s="52">
        <v>10650.43</v>
      </c>
      <c r="F70" s="52">
        <v>42379.28</v>
      </c>
      <c r="G70" s="53">
        <v>0.7991610740469823</v>
      </c>
      <c r="H70" s="52">
        <v>39055.78</v>
      </c>
      <c r="I70" s="52">
        <v>17736.52</v>
      </c>
      <c r="J70" s="52">
        <v>29537.29</v>
      </c>
      <c r="K70" s="52">
        <v>17587.74</v>
      </c>
      <c r="L70" s="52">
        <v>11949.55</v>
      </c>
      <c r="M70" s="53">
        <v>0.4045581026559985</v>
      </c>
      <c r="N70" s="53"/>
      <c r="O70" s="52">
        <v>9518.49</v>
      </c>
      <c r="P70" s="52">
        <v>148.78</v>
      </c>
      <c r="Q70" s="52">
        <v>9369.71</v>
      </c>
      <c r="R70" s="53">
        <v>0.9843693695113405</v>
      </c>
      <c r="S70" s="54">
        <v>193.32</v>
      </c>
      <c r="T70" s="54">
        <v>2.75</v>
      </c>
      <c r="U70" s="54">
        <v>190.57</v>
      </c>
      <c r="V70" s="53">
        <v>0.9857748810262776</v>
      </c>
      <c r="W70" s="53"/>
      <c r="X70" s="55">
        <v>-2576.76</v>
      </c>
      <c r="Y70" s="55">
        <v>72.28396616733912</v>
      </c>
      <c r="Z70" s="53">
        <v>-0.6653</v>
      </c>
      <c r="AA70" s="56">
        <v>0.2635</v>
      </c>
      <c r="AB70" s="57"/>
      <c r="AD70" s="35" t="s">
        <v>102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103</v>
      </c>
      <c r="D71" s="52">
        <v>53029.71458947</v>
      </c>
      <c r="E71" s="52">
        <v>10650.43</v>
      </c>
      <c r="F71" s="52">
        <v>42379.28458947</v>
      </c>
      <c r="G71" s="53">
        <v>0.7991610914286378</v>
      </c>
      <c r="H71" s="52">
        <v>39055.77825</v>
      </c>
      <c r="I71" s="52">
        <v>22176.82</v>
      </c>
      <c r="J71" s="52">
        <v>29537.289750000004</v>
      </c>
      <c r="K71" s="52">
        <v>19672.02</v>
      </c>
      <c r="L71" s="52">
        <v>9865.269750000003</v>
      </c>
      <c r="M71" s="53">
        <v>0.3339937358335323</v>
      </c>
      <c r="N71" s="53"/>
      <c r="O71" s="52">
        <v>9518.4885</v>
      </c>
      <c r="P71" s="52">
        <v>2504.8</v>
      </c>
      <c r="Q71" s="52">
        <v>7013.688499999999</v>
      </c>
      <c r="R71" s="53">
        <v>0.7368489755490065</v>
      </c>
      <c r="S71" s="54">
        <v>193.32</v>
      </c>
      <c r="T71" s="54">
        <v>52.75</v>
      </c>
      <c r="U71" s="54">
        <v>140.57</v>
      </c>
      <c r="V71" s="53">
        <v>0.7271363542313263</v>
      </c>
      <c r="W71" s="53"/>
      <c r="X71" s="55">
        <v>-218.50976303317535</v>
      </c>
      <c r="Y71" s="55">
        <v>72.28396616733912</v>
      </c>
      <c r="Z71" s="53">
        <v>-1.0822</v>
      </c>
      <c r="AA71" s="56">
        <v>0.2635</v>
      </c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104</v>
      </c>
      <c r="D72" s="52">
        <v>53029.71458947</v>
      </c>
      <c r="E72" s="52">
        <v>29715.67</v>
      </c>
      <c r="F72" s="52">
        <v>23314.044589470002</v>
      </c>
      <c r="G72" s="53">
        <v>0.43964114779715263</v>
      </c>
      <c r="H72" s="52">
        <v>39055.77825</v>
      </c>
      <c r="I72" s="52">
        <v>30684.03</v>
      </c>
      <c r="J72" s="52">
        <v>29537.289750000004</v>
      </c>
      <c r="K72" s="52">
        <v>26364.309999999998</v>
      </c>
      <c r="L72" s="52">
        <v>3172.979750000006</v>
      </c>
      <c r="M72" s="53">
        <v>0.10742284674239638</v>
      </c>
      <c r="N72" s="53"/>
      <c r="O72" s="52">
        <v>9518.4885</v>
      </c>
      <c r="P72" s="52">
        <v>4319.72</v>
      </c>
      <c r="Q72" s="52">
        <v>5198.768499999999</v>
      </c>
      <c r="R72" s="53">
        <v>0.5461758450409432</v>
      </c>
      <c r="S72" s="54">
        <v>193.32</v>
      </c>
      <c r="T72" s="54">
        <v>90.75</v>
      </c>
      <c r="U72" s="54">
        <v>102.57</v>
      </c>
      <c r="V72" s="53">
        <v>0.5305710738671633</v>
      </c>
      <c r="W72" s="53"/>
      <c r="X72" s="55">
        <v>-10.670633608815427</v>
      </c>
      <c r="Y72" s="55">
        <v>72.28396616733912</v>
      </c>
      <c r="Z72" s="53">
        <v>-0.0326</v>
      </c>
      <c r="AA72" s="56">
        <v>0.2635</v>
      </c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96</v>
      </c>
      <c r="D74" s="52">
        <v>77166.16</v>
      </c>
      <c r="E74" s="52">
        <v>44764.99</v>
      </c>
      <c r="F74" s="52">
        <v>32401.170000000006</v>
      </c>
      <c r="G74" s="53">
        <v>0.41988832928838243</v>
      </c>
      <c r="H74" s="52">
        <v>54302.66</v>
      </c>
      <c r="I74" s="52">
        <v>31918.93</v>
      </c>
      <c r="J74" s="52">
        <v>31383.390000000003</v>
      </c>
      <c r="K74" s="52">
        <v>27205.52</v>
      </c>
      <c r="L74" s="52">
        <v>4177.870000000003</v>
      </c>
      <c r="M74" s="53">
        <v>0.13312360455642308</v>
      </c>
      <c r="N74" s="53"/>
      <c r="O74" s="52">
        <v>22919.27</v>
      </c>
      <c r="P74" s="52">
        <v>4713.41</v>
      </c>
      <c r="Q74" s="52">
        <v>18205.86</v>
      </c>
      <c r="R74" s="53">
        <v>0.7943472894206491</v>
      </c>
      <c r="S74" s="54">
        <v>470.62</v>
      </c>
      <c r="T74" s="54">
        <v>96.25</v>
      </c>
      <c r="U74" s="54">
        <v>374.37</v>
      </c>
      <c r="V74" s="53">
        <v>0.7954825549275424</v>
      </c>
      <c r="W74" s="53">
        <v>0</v>
      </c>
      <c r="X74" s="55">
        <v>133.46555844155844</v>
      </c>
      <c r="Y74" s="55">
        <v>48.58165977967362</v>
      </c>
      <c r="Z74" s="53">
        <v>0.287</v>
      </c>
      <c r="AA74" s="56">
        <v>0.2963</v>
      </c>
      <c r="AB74" s="57"/>
      <c r="AD74" s="35" t="s">
        <v>97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98</v>
      </c>
      <c r="D75" s="52">
        <v>77166.16</v>
      </c>
      <c r="E75" s="52">
        <v>44764.99</v>
      </c>
      <c r="F75" s="52">
        <v>32401.170000000006</v>
      </c>
      <c r="G75" s="53">
        <v>0.41988832928838243</v>
      </c>
      <c r="H75" s="52">
        <v>54302.66</v>
      </c>
      <c r="I75" s="52">
        <v>29696.65</v>
      </c>
      <c r="J75" s="52">
        <v>31383.390000000003</v>
      </c>
      <c r="K75" s="52">
        <v>23592.600000000002</v>
      </c>
      <c r="L75" s="52">
        <v>7790.790000000001</v>
      </c>
      <c r="M75" s="53">
        <v>0.24824564841465502</v>
      </c>
      <c r="N75" s="53"/>
      <c r="O75" s="52">
        <v>22919.27</v>
      </c>
      <c r="P75" s="52">
        <v>6104.05</v>
      </c>
      <c r="Q75" s="52">
        <v>16815.22</v>
      </c>
      <c r="R75" s="53">
        <v>0.7336717094392623</v>
      </c>
      <c r="S75" s="54">
        <v>470.62</v>
      </c>
      <c r="T75" s="54">
        <v>120.25</v>
      </c>
      <c r="U75" s="54">
        <v>350.37</v>
      </c>
      <c r="V75" s="53">
        <v>0.7444859971951894</v>
      </c>
      <c r="W75" s="53"/>
      <c r="X75" s="55">
        <v>125.30844074844074</v>
      </c>
      <c r="Y75" s="55">
        <v>48.58165977967362</v>
      </c>
      <c r="Z75" s="53">
        <v>0.33659999999999995</v>
      </c>
      <c r="AA75" s="56">
        <v>0.2963</v>
      </c>
      <c r="AB75" s="57"/>
      <c r="AD75" s="35" t="s">
        <v>99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100</v>
      </c>
      <c r="D76" s="52">
        <v>77408.3</v>
      </c>
      <c r="E76" s="52">
        <v>44764.99</v>
      </c>
      <c r="F76" s="52">
        <v>32643.310000000005</v>
      </c>
      <c r="G76" s="53">
        <v>0.42170296983656796</v>
      </c>
      <c r="H76" s="52">
        <v>54446.73</v>
      </c>
      <c r="I76" s="52">
        <v>31669.14</v>
      </c>
      <c r="J76" s="52">
        <v>31451.700000000004</v>
      </c>
      <c r="K76" s="52">
        <v>23876.59</v>
      </c>
      <c r="L76" s="52">
        <v>7575.110000000004</v>
      </c>
      <c r="M76" s="53">
        <v>0.24084898431563329</v>
      </c>
      <c r="N76" s="53"/>
      <c r="O76" s="52">
        <v>22995.03</v>
      </c>
      <c r="P76" s="52">
        <v>7792.55</v>
      </c>
      <c r="Q76" s="52">
        <v>15202.48</v>
      </c>
      <c r="R76" s="53">
        <v>0.661120250767231</v>
      </c>
      <c r="S76" s="54">
        <v>472.14</v>
      </c>
      <c r="T76" s="54">
        <v>156</v>
      </c>
      <c r="U76" s="54">
        <v>316.14</v>
      </c>
      <c r="V76" s="53">
        <v>0.6695895285296734</v>
      </c>
      <c r="W76" s="53"/>
      <c r="X76" s="55">
        <v>83.94775641025642</v>
      </c>
      <c r="Y76" s="55">
        <v>48.63296805100184</v>
      </c>
      <c r="Z76" s="53">
        <v>0.2925</v>
      </c>
      <c r="AA76" s="56">
        <v>0.2966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101</v>
      </c>
      <c r="D77" s="52">
        <v>78753.07</v>
      </c>
      <c r="E77" s="52">
        <v>44764.99</v>
      </c>
      <c r="F77" s="52">
        <v>33988.08000000001</v>
      </c>
      <c r="G77" s="53">
        <v>0.4315778419812714</v>
      </c>
      <c r="H77" s="52">
        <v>55589.78</v>
      </c>
      <c r="I77" s="52">
        <v>32417.98</v>
      </c>
      <c r="J77" s="52">
        <v>32594.75</v>
      </c>
      <c r="K77" s="52">
        <v>24016.8</v>
      </c>
      <c r="L77" s="52">
        <v>8577.95</v>
      </c>
      <c r="M77" s="53">
        <v>0.26316968223410214</v>
      </c>
      <c r="N77" s="53"/>
      <c r="O77" s="52">
        <v>22995.03</v>
      </c>
      <c r="P77" s="52">
        <v>8401.18</v>
      </c>
      <c r="Q77" s="52">
        <v>14593.849999999999</v>
      </c>
      <c r="R77" s="53">
        <v>0.6346523574876832</v>
      </c>
      <c r="S77" s="54">
        <v>472.14</v>
      </c>
      <c r="T77" s="54">
        <v>167.25</v>
      </c>
      <c r="U77" s="54">
        <v>304.89</v>
      </c>
      <c r="V77" s="53">
        <v>0.6457618502986402</v>
      </c>
      <c r="W77" s="53"/>
      <c r="X77" s="55">
        <v>73.82367713004484</v>
      </c>
      <c r="Y77" s="55">
        <v>49.060202993773025</v>
      </c>
      <c r="Z77" s="53">
        <v>0.2758</v>
      </c>
      <c r="AA77" s="56">
        <v>0.2941</v>
      </c>
      <c r="AB77" s="57"/>
      <c r="AD77" s="35" t="s">
        <v>102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103</v>
      </c>
      <c r="D78" s="52">
        <v>78753.06644148</v>
      </c>
      <c r="E78" s="52">
        <v>44764.99</v>
      </c>
      <c r="F78" s="52">
        <v>33988.07644148</v>
      </c>
      <c r="G78" s="53">
        <v>0.43157781629666364</v>
      </c>
      <c r="H78" s="52">
        <v>55589.7822</v>
      </c>
      <c r="I78" s="52">
        <v>41600.05</v>
      </c>
      <c r="J78" s="52">
        <v>32594.7534</v>
      </c>
      <c r="K78" s="52">
        <v>33198.87</v>
      </c>
      <c r="L78" s="52">
        <v>-604.1166000000012</v>
      </c>
      <c r="M78" s="53">
        <v>-0.018534166912887312</v>
      </c>
      <c r="N78" s="53"/>
      <c r="O78" s="52">
        <v>22995.0288</v>
      </c>
      <c r="P78" s="52">
        <v>8401.18</v>
      </c>
      <c r="Q78" s="52">
        <v>14593.8488</v>
      </c>
      <c r="R78" s="53">
        <v>0.6346523384219462</v>
      </c>
      <c r="S78" s="54">
        <v>472.14</v>
      </c>
      <c r="T78" s="54">
        <v>167.25</v>
      </c>
      <c r="U78" s="54">
        <v>304.89</v>
      </c>
      <c r="V78" s="53">
        <v>0.6457618502986402</v>
      </c>
      <c r="W78" s="53"/>
      <c r="X78" s="55">
        <v>18.92340807174888</v>
      </c>
      <c r="Y78" s="55">
        <v>49.060202993773025</v>
      </c>
      <c r="Z78" s="53">
        <v>0.0707</v>
      </c>
      <c r="AA78" s="56">
        <v>0.2941</v>
      </c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104</v>
      </c>
      <c r="D79" s="52">
        <v>78753.06644148</v>
      </c>
      <c r="E79" s="52">
        <v>61764.82</v>
      </c>
      <c r="F79" s="52">
        <v>16988.246441479998</v>
      </c>
      <c r="G79" s="53">
        <v>0.21571536460873764</v>
      </c>
      <c r="H79" s="52">
        <v>55589.7822</v>
      </c>
      <c r="I79" s="52">
        <v>47207.1</v>
      </c>
      <c r="J79" s="52">
        <v>32594.7534</v>
      </c>
      <c r="K79" s="52">
        <v>35050.6</v>
      </c>
      <c r="L79" s="52">
        <v>-2455.846599999997</v>
      </c>
      <c r="M79" s="53">
        <v>-0.07534484368886181</v>
      </c>
      <c r="N79" s="53"/>
      <c r="O79" s="52">
        <v>22995.0288</v>
      </c>
      <c r="P79" s="52">
        <v>12156.5</v>
      </c>
      <c r="Q79" s="52">
        <v>10838.5288</v>
      </c>
      <c r="R79" s="53">
        <v>0.4713422581145017</v>
      </c>
      <c r="S79" s="54">
        <v>472.14</v>
      </c>
      <c r="T79" s="54">
        <v>237.25</v>
      </c>
      <c r="U79" s="54">
        <v>234.89</v>
      </c>
      <c r="V79" s="53">
        <v>0.49750074130554495</v>
      </c>
      <c r="W79" s="53"/>
      <c r="X79" s="55">
        <v>61.36025289778714</v>
      </c>
      <c r="Y79" s="55">
        <v>49.060202993773025</v>
      </c>
      <c r="Z79" s="53">
        <v>0.2357</v>
      </c>
      <c r="AA79" s="56">
        <v>0.2941</v>
      </c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96</v>
      </c>
      <c r="D81" s="52">
        <v>25467.84</v>
      </c>
      <c r="E81" s="52">
        <v>19598.41</v>
      </c>
      <c r="F81" s="52">
        <v>5869.43</v>
      </c>
      <c r="G81" s="53">
        <v>0.2304643817457625</v>
      </c>
      <c r="H81" s="52">
        <v>16606.83</v>
      </c>
      <c r="I81" s="52">
        <v>12958.24</v>
      </c>
      <c r="J81" s="52">
        <v>9659.990000000002</v>
      </c>
      <c r="K81" s="52">
        <v>5354.12</v>
      </c>
      <c r="L81" s="52">
        <v>4305.870000000002</v>
      </c>
      <c r="M81" s="53">
        <v>0.44574269745620865</v>
      </c>
      <c r="N81" s="53">
        <v>0</v>
      </c>
      <c r="O81" s="52">
        <v>6946.84</v>
      </c>
      <c r="P81" s="52">
        <v>7604.12</v>
      </c>
      <c r="Q81" s="52">
        <v>-657.2799999999997</v>
      </c>
      <c r="R81" s="53">
        <v>-0.09461568137455299</v>
      </c>
      <c r="S81" s="54">
        <v>139.07</v>
      </c>
      <c r="T81" s="54">
        <v>147.75</v>
      </c>
      <c r="U81" s="54">
        <v>-8.680000000000007</v>
      </c>
      <c r="V81" s="53">
        <v>-0.06241461134680382</v>
      </c>
      <c r="W81" s="53"/>
      <c r="X81" s="55">
        <v>44.94192893401015</v>
      </c>
      <c r="Y81" s="55">
        <v>63.7162162306752</v>
      </c>
      <c r="Z81" s="53">
        <v>0.33880000000000005</v>
      </c>
      <c r="AA81" s="56">
        <v>0.3479</v>
      </c>
      <c r="AB81" s="57"/>
      <c r="AD81" s="35" t="s">
        <v>97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98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12958.24</v>
      </c>
      <c r="J82" s="52">
        <v>9659.990000000002</v>
      </c>
      <c r="K82" s="52">
        <v>5354.12</v>
      </c>
      <c r="L82" s="52">
        <v>4305.870000000002</v>
      </c>
      <c r="M82" s="53">
        <v>0.44574269745620865</v>
      </c>
      <c r="N82" s="53"/>
      <c r="O82" s="52">
        <v>6946.84</v>
      </c>
      <c r="P82" s="52">
        <v>7604.12</v>
      </c>
      <c r="Q82" s="52">
        <v>-657.2799999999997</v>
      </c>
      <c r="R82" s="53">
        <v>-0.09461568137455299</v>
      </c>
      <c r="S82" s="54">
        <v>139.07</v>
      </c>
      <c r="T82" s="54">
        <v>147.75</v>
      </c>
      <c r="U82" s="54">
        <v>-8.680000000000007</v>
      </c>
      <c r="V82" s="53">
        <v>-0.06241461134680382</v>
      </c>
      <c r="W82" s="53"/>
      <c r="X82" s="55">
        <v>44.94192893401015</v>
      </c>
      <c r="Y82" s="55">
        <v>63.7162162306752</v>
      </c>
      <c r="Z82" s="53">
        <v>0.33880000000000005</v>
      </c>
      <c r="AA82" s="56">
        <v>0.3479</v>
      </c>
      <c r="AB82" s="57"/>
      <c r="AD82" s="35" t="s">
        <v>99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100</v>
      </c>
      <c r="D83" s="52">
        <v>25467.84</v>
      </c>
      <c r="E83" s="52">
        <v>19598.41</v>
      </c>
      <c r="F83" s="52">
        <v>5869.43</v>
      </c>
      <c r="G83" s="53">
        <v>0.2304643817457625</v>
      </c>
      <c r="H83" s="52">
        <v>16606.83</v>
      </c>
      <c r="I83" s="52">
        <v>11832.36</v>
      </c>
      <c r="J83" s="52">
        <v>9659.990000000002</v>
      </c>
      <c r="K83" s="52">
        <v>4228.240000000001</v>
      </c>
      <c r="L83" s="52">
        <v>5431.750000000001</v>
      </c>
      <c r="M83" s="53">
        <v>0.5622935427469387</v>
      </c>
      <c r="N83" s="53"/>
      <c r="O83" s="52">
        <v>6946.84</v>
      </c>
      <c r="P83" s="52">
        <v>7604.12</v>
      </c>
      <c r="Q83" s="52">
        <v>-657.2799999999997</v>
      </c>
      <c r="R83" s="53">
        <v>-0.09461568137455299</v>
      </c>
      <c r="S83" s="54">
        <v>139.07</v>
      </c>
      <c r="T83" s="54">
        <v>147.75</v>
      </c>
      <c r="U83" s="54">
        <v>-8.680000000000007</v>
      </c>
      <c r="V83" s="53">
        <v>-0.06241461134680382</v>
      </c>
      <c r="W83" s="53"/>
      <c r="X83" s="55">
        <v>52.562098138747885</v>
      </c>
      <c r="Y83" s="55">
        <v>63.7162162306752</v>
      </c>
      <c r="Z83" s="53">
        <v>0.39630000000000004</v>
      </c>
      <c r="AA83" s="56">
        <v>0.3479</v>
      </c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101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12517.98</v>
      </c>
      <c r="J84" s="52">
        <v>9659.990000000002</v>
      </c>
      <c r="K84" s="52">
        <v>4823.58</v>
      </c>
      <c r="L84" s="52">
        <v>4836.410000000002</v>
      </c>
      <c r="M84" s="53">
        <v>0.5006640793624011</v>
      </c>
      <c r="N84" s="53"/>
      <c r="O84" s="52">
        <v>6946.84</v>
      </c>
      <c r="P84" s="52">
        <v>7694.4</v>
      </c>
      <c r="Q84" s="52">
        <v>-747.5599999999995</v>
      </c>
      <c r="R84" s="53">
        <v>-0.10761151833063659</v>
      </c>
      <c r="S84" s="54">
        <v>139.07</v>
      </c>
      <c r="T84" s="54">
        <v>147.75</v>
      </c>
      <c r="U84" s="54">
        <v>-8.680000000000007</v>
      </c>
      <c r="V84" s="53">
        <v>-0.06241461134680382</v>
      </c>
      <c r="W84" s="53"/>
      <c r="X84" s="55">
        <v>47.92169204737733</v>
      </c>
      <c r="Y84" s="55">
        <v>63.7162162306752</v>
      </c>
      <c r="Z84" s="53">
        <v>0.3613</v>
      </c>
      <c r="AA84" s="56">
        <v>0.3479</v>
      </c>
      <c r="AB84" s="57"/>
      <c r="AD84" s="35" t="s">
        <v>102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103</v>
      </c>
      <c r="D85" s="52">
        <v>25467.8441072</v>
      </c>
      <c r="E85" s="52">
        <v>19598.41</v>
      </c>
      <c r="F85" s="52">
        <v>5869.434107199999</v>
      </c>
      <c r="G85" s="53">
        <v>0.23046450584879521</v>
      </c>
      <c r="H85" s="52">
        <v>16606.829916</v>
      </c>
      <c r="I85" s="52">
        <v>14118.07</v>
      </c>
      <c r="J85" s="52">
        <v>9659.986716</v>
      </c>
      <c r="K85" s="52">
        <v>5298.48</v>
      </c>
      <c r="L85" s="52">
        <v>4361.506716</v>
      </c>
      <c r="M85" s="53">
        <v>0.4515023513206248</v>
      </c>
      <c r="N85" s="53"/>
      <c r="O85" s="52">
        <v>6946.8432</v>
      </c>
      <c r="P85" s="52">
        <v>8819.59</v>
      </c>
      <c r="Q85" s="52">
        <v>-1872.7468</v>
      </c>
      <c r="R85" s="53">
        <v>-0.26958241982487813</v>
      </c>
      <c r="S85" s="54">
        <v>139.07</v>
      </c>
      <c r="T85" s="54">
        <v>167.75</v>
      </c>
      <c r="U85" s="54">
        <v>-28.680000000000007</v>
      </c>
      <c r="V85" s="53">
        <v>-0.20622707988782632</v>
      </c>
      <c r="W85" s="53"/>
      <c r="X85" s="55">
        <v>32.669687034277196</v>
      </c>
      <c r="Y85" s="55">
        <v>63.7162162306752</v>
      </c>
      <c r="Z85" s="53">
        <v>0.2796</v>
      </c>
      <c r="AA85" s="56">
        <v>0.3479</v>
      </c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104</v>
      </c>
      <c r="D86" s="52">
        <v>25467.8441072</v>
      </c>
      <c r="E86" s="52">
        <v>19598.41</v>
      </c>
      <c r="F86" s="52">
        <v>5869.434107199999</v>
      </c>
      <c r="G86" s="53">
        <v>0.23046450584879521</v>
      </c>
      <c r="H86" s="52">
        <v>16606.829916</v>
      </c>
      <c r="I86" s="52">
        <v>14118.07</v>
      </c>
      <c r="J86" s="52">
        <v>9659.986716</v>
      </c>
      <c r="K86" s="52">
        <v>5298.48</v>
      </c>
      <c r="L86" s="52">
        <v>4361.506716</v>
      </c>
      <c r="M86" s="53">
        <v>0.4515023513206248</v>
      </c>
      <c r="N86" s="53"/>
      <c r="O86" s="52">
        <v>6946.8432</v>
      </c>
      <c r="P86" s="52">
        <v>8819.59</v>
      </c>
      <c r="Q86" s="52">
        <v>-1872.7468</v>
      </c>
      <c r="R86" s="53">
        <v>-0.26958241982487813</v>
      </c>
      <c r="S86" s="54">
        <v>139.07</v>
      </c>
      <c r="T86" s="54">
        <v>167.75</v>
      </c>
      <c r="U86" s="54">
        <v>-28.680000000000007</v>
      </c>
      <c r="V86" s="53">
        <v>-0.20622707988782632</v>
      </c>
      <c r="W86" s="53"/>
      <c r="X86" s="55">
        <v>32.669687034277196</v>
      </c>
      <c r="Y86" s="55">
        <v>63.7162162306752</v>
      </c>
      <c r="Z86" s="53">
        <v>0.2796</v>
      </c>
      <c r="AA86" s="56">
        <v>0.3479</v>
      </c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96</v>
      </c>
      <c r="D88" s="67">
        <v>37083.03</v>
      </c>
      <c r="E88" s="67">
        <v>36381.33</v>
      </c>
      <c r="F88" s="52">
        <v>701.6999999999971</v>
      </c>
      <c r="G88" s="53">
        <v>0.018922401972007064</v>
      </c>
      <c r="H88" s="52">
        <v>27002.93</v>
      </c>
      <c r="I88" s="52">
        <v>26005.99</v>
      </c>
      <c r="J88" s="52">
        <v>15440.32</v>
      </c>
      <c r="K88" s="52">
        <v>14988.440000000002</v>
      </c>
      <c r="L88" s="52">
        <v>451.8799999999974</v>
      </c>
      <c r="M88" s="53">
        <v>0.029266232824190004</v>
      </c>
      <c r="N88" s="53">
        <v>0</v>
      </c>
      <c r="O88" s="52">
        <v>11562.61</v>
      </c>
      <c r="P88" s="52">
        <v>11017.55</v>
      </c>
      <c r="Q88" s="52">
        <v>545.0600000000013</v>
      </c>
      <c r="R88" s="53">
        <v>0.04713987585847843</v>
      </c>
      <c r="S88" s="68">
        <v>231.75</v>
      </c>
      <c r="T88" s="68">
        <v>224.25</v>
      </c>
      <c r="U88" s="54">
        <v>7.5</v>
      </c>
      <c r="V88" s="53">
        <v>0.032362459546925564</v>
      </c>
      <c r="W88" s="53"/>
      <c r="X88" s="55">
        <v>46.26684503901895</v>
      </c>
      <c r="Y88" s="55">
        <v>43.49557070636461</v>
      </c>
      <c r="Z88" s="53">
        <v>0.2852</v>
      </c>
      <c r="AA88" s="56">
        <v>0.2718</v>
      </c>
      <c r="AB88" s="57"/>
      <c r="AD88" s="35" t="s">
        <v>97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98</v>
      </c>
      <c r="D89" s="67">
        <v>37083.03</v>
      </c>
      <c r="E89" s="67">
        <v>36381.33</v>
      </c>
      <c r="F89" s="52">
        <v>701.6999999999971</v>
      </c>
      <c r="G89" s="53">
        <v>0.018922401972007064</v>
      </c>
      <c r="H89" s="52">
        <v>27002.93</v>
      </c>
      <c r="I89" s="52">
        <v>25060.53</v>
      </c>
      <c r="J89" s="52">
        <v>15440.32</v>
      </c>
      <c r="K89" s="52">
        <v>13974.73</v>
      </c>
      <c r="L89" s="52">
        <v>1465.5900000000001</v>
      </c>
      <c r="M89" s="53">
        <v>0.09491966487741188</v>
      </c>
      <c r="N89" s="53"/>
      <c r="O89" s="52">
        <v>11562.61</v>
      </c>
      <c r="P89" s="52">
        <v>11085.8</v>
      </c>
      <c r="Q89" s="52">
        <v>476.8100000000013</v>
      </c>
      <c r="R89" s="53">
        <v>0.041237229310683424</v>
      </c>
      <c r="S89" s="68">
        <v>231.75</v>
      </c>
      <c r="T89" s="68">
        <v>225.5</v>
      </c>
      <c r="U89" s="54">
        <v>6.25</v>
      </c>
      <c r="V89" s="53">
        <v>0.02696871628910464</v>
      </c>
      <c r="W89" s="53"/>
      <c r="X89" s="55">
        <v>50.20310421286031</v>
      </c>
      <c r="Y89" s="55">
        <v>43.49557070636461</v>
      </c>
      <c r="Z89" s="53">
        <v>0.31120000000000003</v>
      </c>
      <c r="AA89" s="56">
        <v>0.2718</v>
      </c>
      <c r="AB89" s="57"/>
      <c r="AD89" s="35" t="s">
        <v>99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100</v>
      </c>
      <c r="D90" s="67">
        <v>37083.03</v>
      </c>
      <c r="E90" s="67">
        <v>36381.33</v>
      </c>
      <c r="F90" s="52">
        <v>701.6999999999971</v>
      </c>
      <c r="G90" s="53">
        <v>0.018922401972007064</v>
      </c>
      <c r="H90" s="52">
        <v>27002.93</v>
      </c>
      <c r="I90" s="52">
        <v>25060.53</v>
      </c>
      <c r="J90" s="52">
        <v>15440.32</v>
      </c>
      <c r="K90" s="52">
        <v>13974.73</v>
      </c>
      <c r="L90" s="52">
        <v>1465.5900000000001</v>
      </c>
      <c r="M90" s="53">
        <v>0.09491966487741188</v>
      </c>
      <c r="N90" s="53"/>
      <c r="O90" s="52">
        <v>11562.61</v>
      </c>
      <c r="P90" s="52">
        <v>11085.8</v>
      </c>
      <c r="Q90" s="52">
        <v>476.8100000000013</v>
      </c>
      <c r="R90" s="53">
        <v>0.041237229310683424</v>
      </c>
      <c r="S90" s="68">
        <v>231.75</v>
      </c>
      <c r="T90" s="68">
        <v>225.5</v>
      </c>
      <c r="U90" s="54">
        <v>6.25</v>
      </c>
      <c r="V90" s="53">
        <v>0.02696871628910464</v>
      </c>
      <c r="W90" s="53"/>
      <c r="X90" s="55">
        <v>50.20310421286031</v>
      </c>
      <c r="Y90" s="55">
        <v>43.49557070636461</v>
      </c>
      <c r="Z90" s="53">
        <v>0.31120000000000003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101</v>
      </c>
      <c r="D91" s="67">
        <v>37083.03</v>
      </c>
      <c r="E91" s="67">
        <v>36381.33</v>
      </c>
      <c r="F91" s="52">
        <v>701.6999999999971</v>
      </c>
      <c r="G91" s="53">
        <v>0.018922401972007064</v>
      </c>
      <c r="H91" s="52">
        <v>27002.93</v>
      </c>
      <c r="I91" s="52">
        <v>25060.53</v>
      </c>
      <c r="J91" s="52">
        <v>15440.32</v>
      </c>
      <c r="K91" s="52">
        <v>13974.73</v>
      </c>
      <c r="L91" s="52">
        <v>1465.5900000000001</v>
      </c>
      <c r="M91" s="53">
        <v>0.09491966487741188</v>
      </c>
      <c r="N91" s="53"/>
      <c r="O91" s="52">
        <v>11562.61</v>
      </c>
      <c r="P91" s="52">
        <v>11085.8</v>
      </c>
      <c r="Q91" s="52">
        <v>476.8100000000013</v>
      </c>
      <c r="R91" s="53">
        <v>0.041237229310683424</v>
      </c>
      <c r="S91" s="68">
        <v>231.75</v>
      </c>
      <c r="T91" s="68">
        <v>225.5</v>
      </c>
      <c r="U91" s="54">
        <v>6.25</v>
      </c>
      <c r="V91" s="53">
        <v>0.02696871628910464</v>
      </c>
      <c r="W91" s="53"/>
      <c r="X91" s="55">
        <v>50.20310421286031</v>
      </c>
      <c r="Y91" s="55">
        <v>43.49557070636461</v>
      </c>
      <c r="Z91" s="53">
        <v>0.31120000000000003</v>
      </c>
      <c r="AA91" s="56">
        <v>0.2718</v>
      </c>
      <c r="AB91" s="57"/>
      <c r="AD91" s="35" t="s">
        <v>102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103</v>
      </c>
      <c r="D92" s="67">
        <v>37083.0313712</v>
      </c>
      <c r="E92" s="67">
        <v>36381.33</v>
      </c>
      <c r="F92" s="52">
        <v>701.7013711999971</v>
      </c>
      <c r="G92" s="53">
        <v>0.018922438248804095</v>
      </c>
      <c r="H92" s="52">
        <v>27002.93286</v>
      </c>
      <c r="I92" s="52">
        <v>25103.82</v>
      </c>
      <c r="J92" s="52">
        <v>15440.324460000002</v>
      </c>
      <c r="K92" s="52">
        <v>13974.73</v>
      </c>
      <c r="L92" s="52">
        <v>1465.594460000002</v>
      </c>
      <c r="M92" s="53">
        <v>0.0949199263135175</v>
      </c>
      <c r="N92" s="53"/>
      <c r="O92" s="52">
        <v>11562.6084</v>
      </c>
      <c r="P92" s="52">
        <v>11129.09</v>
      </c>
      <c r="Q92" s="52">
        <v>433.518399999999</v>
      </c>
      <c r="R92" s="53">
        <v>0.03749313174006646</v>
      </c>
      <c r="S92" s="68">
        <v>231.75</v>
      </c>
      <c r="T92" s="68">
        <v>225.5</v>
      </c>
      <c r="U92" s="54">
        <v>6.25</v>
      </c>
      <c r="V92" s="53">
        <v>0.02696871628910464</v>
      </c>
      <c r="W92" s="53"/>
      <c r="X92" s="55">
        <v>50.01113082039912</v>
      </c>
      <c r="Y92" s="55">
        <v>43.49557070636461</v>
      </c>
      <c r="Z92" s="53">
        <v>0.31</v>
      </c>
      <c r="AA92" s="56">
        <v>0.2718</v>
      </c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104</v>
      </c>
      <c r="D93" s="67">
        <v>37083.0313712</v>
      </c>
      <c r="E93" s="67">
        <v>36381.33</v>
      </c>
      <c r="F93" s="52">
        <v>701.7013711999971</v>
      </c>
      <c r="G93" s="53">
        <v>0.018922438248804095</v>
      </c>
      <c r="H93" s="52">
        <v>27002.93286</v>
      </c>
      <c r="I93" s="52">
        <v>25103.82</v>
      </c>
      <c r="J93" s="52">
        <v>15440.324460000002</v>
      </c>
      <c r="K93" s="52">
        <v>13974.73</v>
      </c>
      <c r="L93" s="52">
        <v>1465.594460000002</v>
      </c>
      <c r="M93" s="53">
        <v>0.0949199263135175</v>
      </c>
      <c r="N93" s="53"/>
      <c r="O93" s="52">
        <v>11562.6084</v>
      </c>
      <c r="P93" s="52">
        <v>11129.09</v>
      </c>
      <c r="Q93" s="52">
        <v>433.518399999999</v>
      </c>
      <c r="R93" s="53">
        <v>0.03749313174006646</v>
      </c>
      <c r="S93" s="68">
        <v>231.75</v>
      </c>
      <c r="T93" s="68">
        <v>225.5</v>
      </c>
      <c r="U93" s="54">
        <v>6.25</v>
      </c>
      <c r="V93" s="53">
        <v>0.02696871628910464</v>
      </c>
      <c r="W93" s="53"/>
      <c r="X93" s="55">
        <v>50.01113082039912</v>
      </c>
      <c r="Y93" s="55">
        <v>43.49557070636461</v>
      </c>
      <c r="Z93" s="53">
        <v>0.31</v>
      </c>
      <c r="AA93" s="56">
        <v>0.2718</v>
      </c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96</v>
      </c>
      <c r="D95" s="52">
        <v>26186.14</v>
      </c>
      <c r="E95" s="52">
        <v>5762.27</v>
      </c>
      <c r="F95" s="52">
        <v>20423.87</v>
      </c>
      <c r="G95" s="53">
        <v>0.7799496222047235</v>
      </c>
      <c r="H95" s="52">
        <v>19428.98</v>
      </c>
      <c r="I95" s="52">
        <v>7925.81</v>
      </c>
      <c r="J95" s="52">
        <v>12051.32</v>
      </c>
      <c r="K95" s="52">
        <v>7679.910000000001</v>
      </c>
      <c r="L95" s="52">
        <v>4371.409999999999</v>
      </c>
      <c r="M95" s="53">
        <v>0.36273287905391266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0.9666696486419813</v>
      </c>
      <c r="S95" s="54">
        <v>147.9</v>
      </c>
      <c r="T95" s="54">
        <v>5</v>
      </c>
      <c r="U95" s="54">
        <v>142.9</v>
      </c>
      <c r="V95" s="53">
        <v>0.9661933739012847</v>
      </c>
      <c r="W95" s="53"/>
      <c r="X95" s="55">
        <v>-432.70799999999997</v>
      </c>
      <c r="Y95" s="55">
        <v>45.687352144692355</v>
      </c>
      <c r="Z95" s="53">
        <v>-0.37549999999999994</v>
      </c>
      <c r="AA95" s="56">
        <v>0.258</v>
      </c>
      <c r="AB95" s="57"/>
      <c r="AD95" s="35" t="s">
        <v>97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98</v>
      </c>
      <c r="D96" s="52">
        <v>26186.14</v>
      </c>
      <c r="E96" s="52">
        <v>5762.27</v>
      </c>
      <c r="F96" s="52">
        <v>20423.87</v>
      </c>
      <c r="G96" s="53">
        <v>0.7799496222047235</v>
      </c>
      <c r="H96" s="52">
        <v>19428.98</v>
      </c>
      <c r="I96" s="52">
        <v>7925.81</v>
      </c>
      <c r="J96" s="52">
        <v>12051.32</v>
      </c>
      <c r="K96" s="52">
        <v>7679.910000000001</v>
      </c>
      <c r="L96" s="52">
        <v>4371.409999999999</v>
      </c>
      <c r="M96" s="53">
        <v>0.36273287905391266</v>
      </c>
      <c r="N96" s="53"/>
      <c r="O96" s="52">
        <v>7377.66</v>
      </c>
      <c r="P96" s="52">
        <v>245.9</v>
      </c>
      <c r="Q96" s="52">
        <v>7131.76</v>
      </c>
      <c r="R96" s="53">
        <v>0.9666696486419813</v>
      </c>
      <c r="S96" s="54">
        <v>147.9</v>
      </c>
      <c r="T96" s="54">
        <v>5</v>
      </c>
      <c r="U96" s="54">
        <v>142.9</v>
      </c>
      <c r="V96" s="53">
        <v>0.9661933739012847</v>
      </c>
      <c r="W96" s="53"/>
      <c r="X96" s="55">
        <v>-432.70799999999997</v>
      </c>
      <c r="Y96" s="55">
        <v>45.687352144692355</v>
      </c>
      <c r="Z96" s="53">
        <v>-0.37549999999999994</v>
      </c>
      <c r="AA96" s="56">
        <v>0.258</v>
      </c>
      <c r="AB96" s="57"/>
      <c r="AD96" s="35" t="s">
        <v>99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100</v>
      </c>
      <c r="D97" s="52">
        <v>26186.14</v>
      </c>
      <c r="E97" s="52">
        <v>5762.27</v>
      </c>
      <c r="F97" s="52">
        <v>20423.87</v>
      </c>
      <c r="G97" s="53">
        <v>0.7799496222047235</v>
      </c>
      <c r="H97" s="52">
        <v>19428.98</v>
      </c>
      <c r="I97" s="52">
        <v>7925.81</v>
      </c>
      <c r="J97" s="52">
        <v>12051.32</v>
      </c>
      <c r="K97" s="52">
        <v>7679.910000000001</v>
      </c>
      <c r="L97" s="52">
        <v>4371.409999999999</v>
      </c>
      <c r="M97" s="53">
        <v>0.36273287905391266</v>
      </c>
      <c r="N97" s="53"/>
      <c r="O97" s="52">
        <v>7377.66</v>
      </c>
      <c r="P97" s="52">
        <v>245.9</v>
      </c>
      <c r="Q97" s="52">
        <v>7131.76</v>
      </c>
      <c r="R97" s="53">
        <v>0.9666696486419813</v>
      </c>
      <c r="S97" s="54">
        <v>147.9</v>
      </c>
      <c r="T97" s="54">
        <v>5</v>
      </c>
      <c r="U97" s="54">
        <v>142.9</v>
      </c>
      <c r="V97" s="53">
        <v>0.9661933739012847</v>
      </c>
      <c r="W97" s="53"/>
      <c r="X97" s="55">
        <v>-432.70799999999997</v>
      </c>
      <c r="Y97" s="55">
        <v>45.687352144692355</v>
      </c>
      <c r="Z97" s="53">
        <v>-0.37549999999999994</v>
      </c>
      <c r="AA97" s="56">
        <v>0.258</v>
      </c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101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102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103</v>
      </c>
      <c r="D99" s="52">
        <v>26186.1354</v>
      </c>
      <c r="E99" s="52">
        <v>5762.27</v>
      </c>
      <c r="F99" s="52">
        <v>20423.8654</v>
      </c>
      <c r="G99" s="53">
        <v>0.7799495835494686</v>
      </c>
      <c r="H99" s="52">
        <v>19428.9760178</v>
      </c>
      <c r="I99" s="52">
        <v>8019.36</v>
      </c>
      <c r="J99" s="52">
        <v>12051.3142178</v>
      </c>
      <c r="K99" s="52">
        <v>7687.129999999999</v>
      </c>
      <c r="L99" s="52">
        <v>4364.184217800001</v>
      </c>
      <c r="M99" s="53">
        <v>0.3621334685103493</v>
      </c>
      <c r="N99" s="53"/>
      <c r="O99" s="52">
        <v>7377.6618</v>
      </c>
      <c r="P99" s="52">
        <v>332.23</v>
      </c>
      <c r="Q99" s="52">
        <v>7045.4318</v>
      </c>
      <c r="R99" s="53">
        <v>0.954968117405436</v>
      </c>
      <c r="S99" s="54">
        <v>147.9</v>
      </c>
      <c r="T99" s="54">
        <v>6.5</v>
      </c>
      <c r="U99" s="54">
        <v>141.4</v>
      </c>
      <c r="V99" s="53">
        <v>0.9560513860716701</v>
      </c>
      <c r="W99" s="53"/>
      <c r="X99" s="55">
        <v>-347.24461538461543</v>
      </c>
      <c r="Y99" s="55">
        <v>45.687352144692355</v>
      </c>
      <c r="Z99" s="53">
        <v>-0.3917</v>
      </c>
      <c r="AA99" s="56">
        <v>0.258</v>
      </c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104</v>
      </c>
      <c r="D100" s="52">
        <v>26186.1354</v>
      </c>
      <c r="E100" s="52">
        <v>5762.27</v>
      </c>
      <c r="F100" s="52">
        <v>20423.8654</v>
      </c>
      <c r="G100" s="53">
        <v>0.7799495835494686</v>
      </c>
      <c r="H100" s="52">
        <v>19428.9760178</v>
      </c>
      <c r="I100" s="52">
        <v>8019.36</v>
      </c>
      <c r="J100" s="52">
        <v>12051.3142178</v>
      </c>
      <c r="K100" s="52">
        <v>7687.129999999999</v>
      </c>
      <c r="L100" s="52">
        <v>4364.184217800001</v>
      </c>
      <c r="M100" s="53">
        <v>0.3621334685103493</v>
      </c>
      <c r="N100" s="53"/>
      <c r="O100" s="52">
        <v>7377.6618</v>
      </c>
      <c r="P100" s="52">
        <v>332.23</v>
      </c>
      <c r="Q100" s="52">
        <v>7045.4318</v>
      </c>
      <c r="R100" s="53">
        <v>0.954968117405436</v>
      </c>
      <c r="S100" s="54">
        <v>147.9</v>
      </c>
      <c r="T100" s="54">
        <v>6.5</v>
      </c>
      <c r="U100" s="54">
        <v>141.4</v>
      </c>
      <c r="V100" s="53">
        <v>0.9560513860716701</v>
      </c>
      <c r="W100" s="53"/>
      <c r="X100" s="55">
        <v>-347.24461538461543</v>
      </c>
      <c r="Y100" s="55">
        <v>45.687352144692355</v>
      </c>
      <c r="Z100" s="53">
        <v>-0.3917</v>
      </c>
      <c r="AA100" s="56">
        <v>0.258</v>
      </c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96</v>
      </c>
      <c r="D102" s="52">
        <v>32473.02</v>
      </c>
      <c r="E102" s="52">
        <v>33188.03</v>
      </c>
      <c r="F102" s="52">
        <v>-715.0099999999984</v>
      </c>
      <c r="G102" s="53">
        <v>-0.022018586506582952</v>
      </c>
      <c r="H102" s="52">
        <v>23075.07</v>
      </c>
      <c r="I102" s="52">
        <v>30925.21</v>
      </c>
      <c r="J102" s="52">
        <v>12691.21</v>
      </c>
      <c r="K102" s="52">
        <v>15184.269999999999</v>
      </c>
      <c r="L102" s="52">
        <v>-2493.0599999999995</v>
      </c>
      <c r="M102" s="53">
        <v>-0.1964398981657383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-0.5159044902377343</v>
      </c>
      <c r="S102" s="54">
        <v>208.2</v>
      </c>
      <c r="T102" s="54">
        <v>317.25</v>
      </c>
      <c r="U102" s="54">
        <v>-109.05000000000001</v>
      </c>
      <c r="V102" s="53">
        <v>-0.5237752161383286</v>
      </c>
      <c r="W102" s="53"/>
      <c r="X102" s="55">
        <v>7.132608353033885</v>
      </c>
      <c r="Y102" s="55">
        <v>45.139084580403456</v>
      </c>
      <c r="Z102" s="53">
        <v>0.0682</v>
      </c>
      <c r="AA102" s="56">
        <v>0.2894</v>
      </c>
      <c r="AB102" s="57"/>
      <c r="AD102" s="35" t="s">
        <v>97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98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30925.21</v>
      </c>
      <c r="J103" s="52">
        <v>12691.21</v>
      </c>
      <c r="K103" s="52">
        <v>15184.269999999999</v>
      </c>
      <c r="L103" s="52">
        <v>-2493.0599999999995</v>
      </c>
      <c r="M103" s="53">
        <v>-0.1964398981657383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7.132608353033885</v>
      </c>
      <c r="Y103" s="55">
        <v>45.139084580403456</v>
      </c>
      <c r="Z103" s="53">
        <v>0.0682</v>
      </c>
      <c r="AA103" s="56">
        <v>0.2894</v>
      </c>
      <c r="AB103" s="57"/>
      <c r="AD103" s="35" t="s">
        <v>99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100</v>
      </c>
      <c r="D104" s="52">
        <v>32473.02</v>
      </c>
      <c r="E104" s="69">
        <v>32473.03</v>
      </c>
      <c r="F104" s="52">
        <v>-0.00999999999839929</v>
      </c>
      <c r="G104" s="53">
        <v>-3.0794795181967334e-7</v>
      </c>
      <c r="H104" s="52">
        <v>23075.07</v>
      </c>
      <c r="I104" s="52">
        <v>31170.94</v>
      </c>
      <c r="J104" s="52">
        <v>12691.21</v>
      </c>
      <c r="K104" s="52">
        <v>15089.13</v>
      </c>
      <c r="L104" s="52">
        <v>-2397.92</v>
      </c>
      <c r="M104" s="53">
        <v>-0.18894337104184708</v>
      </c>
      <c r="N104" s="53"/>
      <c r="O104" s="52">
        <v>10383.86</v>
      </c>
      <c r="P104" s="52">
        <v>16081.81</v>
      </c>
      <c r="Q104" s="52">
        <v>-5697.949999999999</v>
      </c>
      <c r="R104" s="53">
        <v>-0.5487313966097385</v>
      </c>
      <c r="S104" s="54">
        <v>208.2</v>
      </c>
      <c r="T104" s="54">
        <v>324.25</v>
      </c>
      <c r="U104" s="54">
        <v>-116.05000000000001</v>
      </c>
      <c r="V104" s="53">
        <v>-0.5573967339097023</v>
      </c>
      <c r="W104" s="53"/>
      <c r="X104" s="55">
        <v>4.015697764070933</v>
      </c>
      <c r="Y104" s="55">
        <v>45.139084580403456</v>
      </c>
      <c r="Z104" s="53">
        <v>0.0401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101</v>
      </c>
      <c r="D105" s="52"/>
      <c r="E105" s="69"/>
      <c r="F105" s="52"/>
      <c r="G105" s="53"/>
      <c r="H105" s="52"/>
      <c r="I105" s="52"/>
      <c r="J105" s="52"/>
      <c r="K105" s="52"/>
      <c r="L105" s="52"/>
      <c r="M105" s="53"/>
      <c r="N105" s="53"/>
      <c r="O105" s="52"/>
      <c r="P105" s="52"/>
      <c r="Q105" s="52"/>
      <c r="R105" s="53"/>
      <c r="S105" s="54"/>
      <c r="T105" s="54"/>
      <c r="U105" s="54"/>
      <c r="V105" s="53"/>
      <c r="W105" s="53"/>
      <c r="X105" s="55"/>
      <c r="Y105" s="55"/>
      <c r="Z105" s="53"/>
      <c r="AA105" s="56"/>
      <c r="AB105" s="57"/>
      <c r="AD105" s="35" t="s">
        <v>102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103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104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96</v>
      </c>
      <c r="D109" s="52">
        <v>58902.56</v>
      </c>
      <c r="E109" s="52">
        <v>0</v>
      </c>
      <c r="F109" s="52">
        <v>58902.56</v>
      </c>
      <c r="G109" s="53">
        <v>1</v>
      </c>
      <c r="H109" s="52">
        <v>37601.88</v>
      </c>
      <c r="I109" s="52">
        <v>44893.89</v>
      </c>
      <c r="J109" s="52">
        <v>21415.85</v>
      </c>
      <c r="K109" s="52">
        <v>23634.19</v>
      </c>
      <c r="L109" s="52">
        <v>-2218.34</v>
      </c>
      <c r="M109" s="53">
        <v>-0.10358402771778848</v>
      </c>
      <c r="N109" s="53">
        <v>0</v>
      </c>
      <c r="O109" s="52">
        <v>16186.03</v>
      </c>
      <c r="P109" s="52">
        <v>21259.7</v>
      </c>
      <c r="Q109" s="52">
        <v>-5073.67</v>
      </c>
      <c r="R109" s="53">
        <v>-0.3134598168914799</v>
      </c>
      <c r="S109" s="54">
        <v>324.19</v>
      </c>
      <c r="T109" s="54">
        <v>461.5</v>
      </c>
      <c r="U109" s="54">
        <v>-137.31</v>
      </c>
      <c r="V109" s="53">
        <v>-0.4235479194299639</v>
      </c>
      <c r="W109" s="53">
        <v>0</v>
      </c>
      <c r="X109" s="55">
        <v>-20.453867822318525</v>
      </c>
      <c r="Y109" s="55">
        <v>65.70431400737223</v>
      </c>
      <c r="Z109" s="53">
        <v>-0.2662</v>
      </c>
      <c r="AA109" s="56">
        <v>0.3616</v>
      </c>
      <c r="AB109" s="57"/>
      <c r="AD109" s="35" t="s">
        <v>97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98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45817.77</v>
      </c>
      <c r="J110" s="52">
        <v>21415.85</v>
      </c>
      <c r="K110" s="52">
        <v>23939.389999999996</v>
      </c>
      <c r="L110" s="52">
        <v>-2523.5399999999972</v>
      </c>
      <c r="M110" s="53">
        <v>-0.11783515480356826</v>
      </c>
      <c r="N110" s="53"/>
      <c r="O110" s="52">
        <v>16186.03</v>
      </c>
      <c r="P110" s="52">
        <v>21878.38</v>
      </c>
      <c r="Q110" s="52">
        <v>-5692.35</v>
      </c>
      <c r="R110" s="53">
        <v>-0.3516829018604315</v>
      </c>
      <c r="S110" s="54">
        <v>324.19</v>
      </c>
      <c r="T110" s="54">
        <v>472.75</v>
      </c>
      <c r="U110" s="54">
        <v>-148.56</v>
      </c>
      <c r="V110" s="53">
        <v>-0.45824979178876585</v>
      </c>
      <c r="W110" s="53"/>
      <c r="X110" s="55">
        <v>48.973178212585935</v>
      </c>
      <c r="Y110" s="55">
        <v>65.70431400737223</v>
      </c>
      <c r="Z110" s="53">
        <v>0.3357</v>
      </c>
      <c r="AA110" s="56">
        <v>0.3616</v>
      </c>
      <c r="AB110" s="57"/>
      <c r="AD110" s="35" t="s">
        <v>99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100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45817.77</v>
      </c>
      <c r="J111" s="52">
        <v>21415.85</v>
      </c>
      <c r="K111" s="52">
        <v>23939.389999999996</v>
      </c>
      <c r="L111" s="52">
        <v>-2523.5399999999972</v>
      </c>
      <c r="M111" s="53">
        <v>-0.11783515480356826</v>
      </c>
      <c r="N111" s="53"/>
      <c r="O111" s="52">
        <v>16186.03</v>
      </c>
      <c r="P111" s="52">
        <v>21878.38</v>
      </c>
      <c r="Q111" s="52">
        <v>-5692.35</v>
      </c>
      <c r="R111" s="53">
        <v>-0.3516829018604315</v>
      </c>
      <c r="S111" s="54">
        <v>324.19</v>
      </c>
      <c r="T111" s="54">
        <v>472.75</v>
      </c>
      <c r="U111" s="54">
        <v>-148.56</v>
      </c>
      <c r="V111" s="53">
        <v>-0.45824979178876585</v>
      </c>
      <c r="W111" s="53"/>
      <c r="X111" s="55">
        <v>48.973178212585935</v>
      </c>
      <c r="Y111" s="55">
        <v>65.70431400737223</v>
      </c>
      <c r="Z111" s="53">
        <v>0.3357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101</v>
      </c>
      <c r="D112" s="52"/>
      <c r="E112" s="52"/>
      <c r="F112" s="52"/>
      <c r="G112" s="53"/>
      <c r="H112" s="52"/>
      <c r="I112" s="52"/>
      <c r="J112" s="52"/>
      <c r="K112" s="52"/>
      <c r="L112" s="52"/>
      <c r="M112" s="53"/>
      <c r="N112" s="53"/>
      <c r="O112" s="52"/>
      <c r="P112" s="52"/>
      <c r="Q112" s="52"/>
      <c r="R112" s="53"/>
      <c r="S112" s="54"/>
      <c r="T112" s="54"/>
      <c r="U112" s="54"/>
      <c r="V112" s="53"/>
      <c r="W112" s="53"/>
      <c r="X112" s="55"/>
      <c r="Y112" s="55"/>
      <c r="Z112" s="53"/>
      <c r="AA112" s="56"/>
      <c r="AB112" s="57"/>
      <c r="AD112" s="35" t="s">
        <v>102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103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104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96</v>
      </c>
      <c r="D116" s="52">
        <v>21404.82</v>
      </c>
      <c r="E116" s="52">
        <v>0</v>
      </c>
      <c r="F116" s="52">
        <v>21404.82</v>
      </c>
      <c r="G116" s="53">
        <v>1</v>
      </c>
      <c r="H116" s="52">
        <v>17514.09</v>
      </c>
      <c r="I116" s="52">
        <v>0</v>
      </c>
      <c r="J116" s="52">
        <v>13318.880000000001</v>
      </c>
      <c r="K116" s="52">
        <v>0</v>
      </c>
      <c r="L116" s="52">
        <v>13318.880000000001</v>
      </c>
      <c r="M116" s="53">
        <v>1</v>
      </c>
      <c r="N116" s="53">
        <v>0</v>
      </c>
      <c r="O116" s="52">
        <v>4195.21</v>
      </c>
      <c r="P116" s="52">
        <v>0</v>
      </c>
      <c r="Q116" s="52">
        <v>4195.21</v>
      </c>
      <c r="R116" s="53">
        <v>1</v>
      </c>
      <c r="S116" s="54">
        <v>84.05</v>
      </c>
      <c r="T116" s="54">
        <v>0</v>
      </c>
      <c r="U116" s="54">
        <v>84.05</v>
      </c>
      <c r="V116" s="53">
        <v>1</v>
      </c>
      <c r="W116" s="53">
        <v>0</v>
      </c>
      <c r="X116" s="55">
        <v>0</v>
      </c>
      <c r="Y116" s="55">
        <v>46.29062162403328</v>
      </c>
      <c r="Z116" s="53">
        <v>0</v>
      </c>
      <c r="AA116" s="56">
        <v>0.1818</v>
      </c>
      <c r="AB116" s="57"/>
      <c r="AD116" s="35" t="s">
        <v>97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98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99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100</v>
      </c>
      <c r="D118" s="52">
        <v>21404.82</v>
      </c>
      <c r="E118" s="52">
        <v>0</v>
      </c>
      <c r="F118" s="52">
        <v>21404.82</v>
      </c>
      <c r="G118" s="53">
        <v>1</v>
      </c>
      <c r="H118" s="52">
        <v>17514.09</v>
      </c>
      <c r="I118" s="52">
        <v>0</v>
      </c>
      <c r="J118" s="52">
        <v>13318.880000000001</v>
      </c>
      <c r="K118" s="52">
        <v>0</v>
      </c>
      <c r="L118" s="52">
        <v>13318.880000000001</v>
      </c>
      <c r="M118" s="53">
        <v>1</v>
      </c>
      <c r="N118" s="53"/>
      <c r="O118" s="52">
        <v>4195.21</v>
      </c>
      <c r="P118" s="52">
        <v>0</v>
      </c>
      <c r="Q118" s="52">
        <v>4195.21</v>
      </c>
      <c r="R118" s="53">
        <v>1</v>
      </c>
      <c r="S118" s="54">
        <v>84.05</v>
      </c>
      <c r="T118" s="54">
        <v>0</v>
      </c>
      <c r="U118" s="54">
        <v>84.05</v>
      </c>
      <c r="V118" s="53">
        <v>1</v>
      </c>
      <c r="W118" s="53"/>
      <c r="X118" s="55">
        <v>0</v>
      </c>
      <c r="Y118" s="55">
        <v>46.29062162403328</v>
      </c>
      <c r="Z118" s="53">
        <v>0</v>
      </c>
      <c r="AA118" s="56">
        <v>0.1818</v>
      </c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101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102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103</v>
      </c>
      <c r="D120" s="52">
        <v>21978.65615186</v>
      </c>
      <c r="E120" s="52">
        <v>0</v>
      </c>
      <c r="F120" s="52">
        <v>21978.65615186</v>
      </c>
      <c r="G120" s="53">
        <v>1</v>
      </c>
      <c r="H120" s="52">
        <v>17872.766891</v>
      </c>
      <c r="I120" s="52">
        <v>0</v>
      </c>
      <c r="J120" s="52">
        <v>13579.636691</v>
      </c>
      <c r="K120" s="52">
        <v>0</v>
      </c>
      <c r="L120" s="52">
        <v>13579.636691</v>
      </c>
      <c r="M120" s="53">
        <v>1</v>
      </c>
      <c r="N120" s="53"/>
      <c r="O120" s="52">
        <v>4293.1302</v>
      </c>
      <c r="P120" s="52">
        <v>0</v>
      </c>
      <c r="Q120" s="52">
        <v>4293.1302</v>
      </c>
      <c r="R120" s="53">
        <v>1</v>
      </c>
      <c r="S120" s="54">
        <v>86.01</v>
      </c>
      <c r="T120" s="54">
        <v>0</v>
      </c>
      <c r="U120" s="54">
        <v>86.01</v>
      </c>
      <c r="V120" s="53">
        <v>1</v>
      </c>
      <c r="W120" s="53"/>
      <c r="X120" s="55">
        <v>0</v>
      </c>
      <c r="Y120" s="55">
        <v>47.73734752772933</v>
      </c>
      <c r="Z120" s="53">
        <v>0</v>
      </c>
      <c r="AA120" s="56">
        <v>0.1868</v>
      </c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104</v>
      </c>
      <c r="D121" s="52">
        <v>20278.45679756</v>
      </c>
      <c r="E121" s="52">
        <v>0</v>
      </c>
      <c r="F121" s="52">
        <v>20278.45679756</v>
      </c>
      <c r="G121" s="53">
        <v>1</v>
      </c>
      <c r="H121" s="52">
        <v>16648.056795</v>
      </c>
      <c r="I121" s="52">
        <v>58.32</v>
      </c>
      <c r="J121" s="52">
        <v>12536.982795</v>
      </c>
      <c r="K121" s="52">
        <v>58.32</v>
      </c>
      <c r="L121" s="52">
        <v>12478.662795</v>
      </c>
      <c r="M121" s="53">
        <v>0.9953481630346291</v>
      </c>
      <c r="N121" s="53"/>
      <c r="O121" s="52">
        <v>4111.074</v>
      </c>
      <c r="P121" s="52">
        <v>0</v>
      </c>
      <c r="Q121" s="52">
        <v>4111.074</v>
      </c>
      <c r="R121" s="53">
        <v>1</v>
      </c>
      <c r="S121" s="54">
        <v>82.37</v>
      </c>
      <c r="T121" s="54">
        <v>0</v>
      </c>
      <c r="U121" s="54">
        <v>82.37</v>
      </c>
      <c r="V121" s="53">
        <v>1</v>
      </c>
      <c r="W121" s="53"/>
      <c r="X121" s="55">
        <v>0</v>
      </c>
      <c r="Y121" s="55">
        <v>44.07429892630812</v>
      </c>
      <c r="Z121" s="53">
        <v>0</v>
      </c>
      <c r="AA121" s="56">
        <v>0.179</v>
      </c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96</v>
      </c>
      <c r="D123" s="52">
        <v>100987.51</v>
      </c>
      <c r="E123" s="52">
        <v>15366.74</v>
      </c>
      <c r="F123" s="52">
        <v>85620.76999999999</v>
      </c>
      <c r="G123" s="53">
        <v>0.8478352421997531</v>
      </c>
      <c r="H123" s="52">
        <v>82694.87</v>
      </c>
      <c r="I123" s="52">
        <v>56237.25</v>
      </c>
      <c r="J123" s="52">
        <v>68214.25</v>
      </c>
      <c r="K123" s="52">
        <v>51549.24</v>
      </c>
      <c r="L123" s="52">
        <v>16665.010000000002</v>
      </c>
      <c r="M123" s="53">
        <v>0.24430393942614634</v>
      </c>
      <c r="N123" s="53"/>
      <c r="O123" s="52">
        <v>14480.62</v>
      </c>
      <c r="P123" s="52">
        <v>4688.01</v>
      </c>
      <c r="Q123" s="52">
        <v>9792.61</v>
      </c>
      <c r="R123" s="53">
        <v>0.6762562652704097</v>
      </c>
      <c r="S123" s="54">
        <v>290.15</v>
      </c>
      <c r="T123" s="54">
        <v>102.5</v>
      </c>
      <c r="U123" s="54">
        <v>187.64999999999998</v>
      </c>
      <c r="V123" s="53">
        <v>0.6467344476994658</v>
      </c>
      <c r="W123" s="53"/>
      <c r="X123" s="55">
        <v>-398.7366829268293</v>
      </c>
      <c r="Y123" s="55">
        <v>63.04545035767707</v>
      </c>
      <c r="Z123" s="53">
        <v>-2.6597000000000004</v>
      </c>
      <c r="AA123" s="56">
        <v>0.1811</v>
      </c>
      <c r="AB123" s="57"/>
      <c r="AD123" s="35" t="s">
        <v>97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98</v>
      </c>
      <c r="D124" s="52">
        <v>100987.51</v>
      </c>
      <c r="E124" s="52">
        <v>67407.3</v>
      </c>
      <c r="F124" s="52">
        <v>33580.20999999999</v>
      </c>
      <c r="G124" s="53">
        <v>0.33251844708320855</v>
      </c>
      <c r="H124" s="52">
        <v>82694.87</v>
      </c>
      <c r="I124" s="52">
        <v>56763.31</v>
      </c>
      <c r="J124" s="52">
        <v>68214.25</v>
      </c>
      <c r="K124" s="52">
        <v>51957.799999999996</v>
      </c>
      <c r="L124" s="52">
        <v>16256.450000000004</v>
      </c>
      <c r="M124" s="53">
        <v>0.23831457503380898</v>
      </c>
      <c r="N124" s="53"/>
      <c r="O124" s="52">
        <v>14480.62</v>
      </c>
      <c r="P124" s="52">
        <v>4805.51</v>
      </c>
      <c r="Q124" s="52">
        <v>9675.11</v>
      </c>
      <c r="R124" s="53">
        <v>0.6681419718216485</v>
      </c>
      <c r="S124" s="54">
        <v>290.15</v>
      </c>
      <c r="T124" s="54">
        <v>105</v>
      </c>
      <c r="U124" s="54">
        <v>185.14999999999998</v>
      </c>
      <c r="V124" s="53">
        <v>0.6381182147165259</v>
      </c>
      <c r="W124" s="53"/>
      <c r="X124" s="55">
        <v>101.37133333333333</v>
      </c>
      <c r="Y124" s="55">
        <v>63.04545035767707</v>
      </c>
      <c r="Z124" s="53">
        <v>0.15789999999999998</v>
      </c>
      <c r="AA124" s="56">
        <v>0.1811</v>
      </c>
      <c r="AB124" s="57"/>
      <c r="AD124" s="35" t="s">
        <v>99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100</v>
      </c>
      <c r="D125" s="52">
        <v>105896.96</v>
      </c>
      <c r="E125" s="52">
        <v>67407.3</v>
      </c>
      <c r="F125" s="52">
        <v>38489.66</v>
      </c>
      <c r="G125" s="53">
        <v>0.36346331377218005</v>
      </c>
      <c r="H125" s="52">
        <v>85934.2</v>
      </c>
      <c r="I125" s="52">
        <v>56814.23</v>
      </c>
      <c r="J125" s="52">
        <v>70065.72</v>
      </c>
      <c r="K125" s="52">
        <v>51957.8</v>
      </c>
      <c r="L125" s="52">
        <v>18107.92</v>
      </c>
      <c r="M125" s="53">
        <v>0.2584419313752859</v>
      </c>
      <c r="N125" s="53"/>
      <c r="O125" s="52">
        <v>15868.48</v>
      </c>
      <c r="P125" s="52">
        <v>4856.43</v>
      </c>
      <c r="Q125" s="52">
        <v>11012.05</v>
      </c>
      <c r="R125" s="53">
        <v>0.6939574552824215</v>
      </c>
      <c r="S125" s="54">
        <v>317.92</v>
      </c>
      <c r="T125" s="54">
        <v>106</v>
      </c>
      <c r="U125" s="54">
        <v>211.92000000000002</v>
      </c>
      <c r="V125" s="53">
        <v>0.6665827881227983</v>
      </c>
      <c r="W125" s="53"/>
      <c r="X125" s="55">
        <v>99.93462264150943</v>
      </c>
      <c r="Y125" s="55">
        <v>62.79176131227983</v>
      </c>
      <c r="Z125" s="53">
        <v>0.1572</v>
      </c>
      <c r="AA125" s="56">
        <v>0.1885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101</v>
      </c>
      <c r="D126" s="52">
        <v>105896.96</v>
      </c>
      <c r="E126" s="52">
        <v>67407.3</v>
      </c>
      <c r="F126" s="52">
        <v>38489.66</v>
      </c>
      <c r="G126" s="53">
        <v>0.36346331377218005</v>
      </c>
      <c r="H126" s="52">
        <v>85934.2</v>
      </c>
      <c r="I126" s="52">
        <v>56814.97</v>
      </c>
      <c r="J126" s="52">
        <v>70065.72</v>
      </c>
      <c r="K126" s="52">
        <v>51957.8</v>
      </c>
      <c r="L126" s="52">
        <v>18107.92</v>
      </c>
      <c r="M126" s="53">
        <v>0.2584419313752859</v>
      </c>
      <c r="N126" s="53"/>
      <c r="O126" s="52">
        <v>15868.48</v>
      </c>
      <c r="P126" s="52">
        <v>4857.17</v>
      </c>
      <c r="Q126" s="52">
        <v>11011.31</v>
      </c>
      <c r="R126" s="53">
        <v>0.6939108219564822</v>
      </c>
      <c r="S126" s="54">
        <v>317.92</v>
      </c>
      <c r="T126" s="54">
        <v>106</v>
      </c>
      <c r="U126" s="54">
        <v>211.92000000000002</v>
      </c>
      <c r="V126" s="53">
        <v>0.6665827881227983</v>
      </c>
      <c r="W126" s="53"/>
      <c r="X126" s="55">
        <v>99.92764150943397</v>
      </c>
      <c r="Y126" s="55">
        <v>62.79176131227983</v>
      </c>
      <c r="Z126" s="53">
        <v>0.15710000000000002</v>
      </c>
      <c r="AA126" s="56">
        <v>0.1885</v>
      </c>
      <c r="AB126" s="57"/>
      <c r="AD126" s="35" t="s">
        <v>102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103</v>
      </c>
      <c r="D127" s="52">
        <v>105896.9567712</v>
      </c>
      <c r="E127" s="52">
        <v>79457.73</v>
      </c>
      <c r="F127" s="52">
        <v>26439.226771200003</v>
      </c>
      <c r="G127" s="53">
        <v>0.2496693727311197</v>
      </c>
      <c r="H127" s="52">
        <v>85934.2000148</v>
      </c>
      <c r="I127" s="52">
        <v>66541.03</v>
      </c>
      <c r="J127" s="52">
        <v>70065.71561479999</v>
      </c>
      <c r="K127" s="52">
        <v>61659.44</v>
      </c>
      <c r="L127" s="52">
        <v>8406.27561479999</v>
      </c>
      <c r="M127" s="53">
        <v>0.11997701787583442</v>
      </c>
      <c r="N127" s="53"/>
      <c r="O127" s="52">
        <v>15868.4844</v>
      </c>
      <c r="P127" s="52">
        <v>4881.59</v>
      </c>
      <c r="Q127" s="52">
        <v>10986.8944</v>
      </c>
      <c r="R127" s="53">
        <v>0.6923720074993425</v>
      </c>
      <c r="S127" s="54">
        <v>317.92</v>
      </c>
      <c r="T127" s="54">
        <v>106</v>
      </c>
      <c r="U127" s="54">
        <v>211.92000000000002</v>
      </c>
      <c r="V127" s="53">
        <v>0.6665827881227983</v>
      </c>
      <c r="W127" s="53"/>
      <c r="X127" s="55">
        <v>121.8556603773585</v>
      </c>
      <c r="Y127" s="55">
        <v>62.79176131227983</v>
      </c>
      <c r="Z127" s="53">
        <v>0.16260000000000002</v>
      </c>
      <c r="AA127" s="56">
        <v>0.1885</v>
      </c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104</v>
      </c>
      <c r="D128" s="52">
        <v>105896.9567712</v>
      </c>
      <c r="E128" s="52">
        <v>79457.73</v>
      </c>
      <c r="F128" s="52">
        <v>26439.226771200003</v>
      </c>
      <c r="G128" s="53">
        <v>0.2496693727311197</v>
      </c>
      <c r="H128" s="52">
        <v>85934.2000148</v>
      </c>
      <c r="I128" s="52">
        <v>64275.8</v>
      </c>
      <c r="J128" s="52">
        <v>70065.71561479999</v>
      </c>
      <c r="K128" s="52">
        <v>59394.21000000001</v>
      </c>
      <c r="L128" s="52">
        <v>10671.505614799986</v>
      </c>
      <c r="M128" s="53">
        <v>0.15230709514862703</v>
      </c>
      <c r="N128" s="53"/>
      <c r="O128" s="52">
        <v>15868.4844</v>
      </c>
      <c r="P128" s="52">
        <v>4881.59</v>
      </c>
      <c r="Q128" s="52">
        <v>10986.8944</v>
      </c>
      <c r="R128" s="53">
        <v>0.6923720074993425</v>
      </c>
      <c r="S128" s="54">
        <v>317.92</v>
      </c>
      <c r="T128" s="54">
        <v>106</v>
      </c>
      <c r="U128" s="54">
        <v>211.92000000000002</v>
      </c>
      <c r="V128" s="53">
        <v>0.6665827881227983</v>
      </c>
      <c r="W128" s="53"/>
      <c r="X128" s="55">
        <v>143.22575471698113</v>
      </c>
      <c r="Y128" s="55">
        <v>62.79176131227983</v>
      </c>
      <c r="Z128" s="53">
        <v>0.1911</v>
      </c>
      <c r="AA128" s="56">
        <v>0.1885</v>
      </c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96</v>
      </c>
      <c r="D130" s="52">
        <v>31802.41</v>
      </c>
      <c r="E130" s="52">
        <v>14370.83</v>
      </c>
      <c r="F130" s="52">
        <v>17431.58</v>
      </c>
      <c r="G130" s="53">
        <v>0.5481213530672676</v>
      </c>
      <c r="H130" s="52">
        <v>23448.14</v>
      </c>
      <c r="I130" s="52">
        <v>12360.83</v>
      </c>
      <c r="J130" s="52">
        <v>15632.029999999999</v>
      </c>
      <c r="K130" s="52">
        <v>11772.08</v>
      </c>
      <c r="L130" s="52">
        <v>3859.949999999999</v>
      </c>
      <c r="M130" s="53">
        <v>0.24692570318762178</v>
      </c>
      <c r="N130" s="53"/>
      <c r="O130" s="52">
        <v>7816.11</v>
      </c>
      <c r="P130" s="52">
        <v>588.75</v>
      </c>
      <c r="Q130" s="52">
        <v>7227.36</v>
      </c>
      <c r="R130" s="53">
        <v>0.9246748062655208</v>
      </c>
      <c r="S130" s="54">
        <v>156.69</v>
      </c>
      <c r="T130" s="54">
        <v>11.5</v>
      </c>
      <c r="U130" s="54">
        <v>145.19</v>
      </c>
      <c r="V130" s="53">
        <v>0.9266066756015061</v>
      </c>
      <c r="W130" s="53">
        <v>0</v>
      </c>
      <c r="X130" s="55">
        <v>174.7826086956522</v>
      </c>
      <c r="Y130" s="55">
        <v>53.31719360265494</v>
      </c>
      <c r="Z130" s="53">
        <v>0.1399</v>
      </c>
      <c r="AA130" s="56">
        <v>0.2627</v>
      </c>
      <c r="AB130" s="57"/>
      <c r="AD130" s="35" t="s">
        <v>97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98</v>
      </c>
      <c r="D131" s="52">
        <v>31802.41</v>
      </c>
      <c r="E131" s="52">
        <v>16498.64</v>
      </c>
      <c r="F131" s="52">
        <v>15303.77</v>
      </c>
      <c r="G131" s="53">
        <v>0.4812141595558324</v>
      </c>
      <c r="H131" s="52">
        <v>23448.14</v>
      </c>
      <c r="I131" s="52">
        <v>12360.83</v>
      </c>
      <c r="J131" s="52">
        <v>15632.029999999999</v>
      </c>
      <c r="K131" s="52">
        <v>11772.08</v>
      </c>
      <c r="L131" s="52">
        <v>3859.949999999999</v>
      </c>
      <c r="M131" s="53">
        <v>0.24692570318762178</v>
      </c>
      <c r="N131" s="53"/>
      <c r="O131" s="52">
        <v>7816.11</v>
      </c>
      <c r="P131" s="52">
        <v>588.75</v>
      </c>
      <c r="Q131" s="52">
        <v>7227.36</v>
      </c>
      <c r="R131" s="53">
        <v>0.9246748062655208</v>
      </c>
      <c r="S131" s="54">
        <v>156.69</v>
      </c>
      <c r="T131" s="54">
        <v>11.5</v>
      </c>
      <c r="U131" s="54">
        <v>145.19</v>
      </c>
      <c r="V131" s="53">
        <v>0.9266066756015061</v>
      </c>
      <c r="W131" s="53"/>
      <c r="X131" s="55">
        <v>359.80956521739137</v>
      </c>
      <c r="Y131" s="55">
        <v>53.31719360265494</v>
      </c>
      <c r="Z131" s="53">
        <v>0.25079999999999997</v>
      </c>
      <c r="AA131" s="56">
        <v>0.2627</v>
      </c>
      <c r="AB131" s="57"/>
      <c r="AD131" s="35" t="s">
        <v>99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100</v>
      </c>
      <c r="D132" s="52">
        <v>31802.41</v>
      </c>
      <c r="E132" s="52">
        <v>16498.64</v>
      </c>
      <c r="F132" s="52">
        <v>15303.77</v>
      </c>
      <c r="G132" s="53">
        <v>0.4812141595558324</v>
      </c>
      <c r="H132" s="52">
        <v>23448.14</v>
      </c>
      <c r="I132" s="52">
        <v>12360.83</v>
      </c>
      <c r="J132" s="52">
        <v>15632.029999999999</v>
      </c>
      <c r="K132" s="52">
        <v>11772.08</v>
      </c>
      <c r="L132" s="52">
        <v>3859.949999999999</v>
      </c>
      <c r="M132" s="53">
        <v>0.24692570318762178</v>
      </c>
      <c r="N132" s="53"/>
      <c r="O132" s="52">
        <v>7816.11</v>
      </c>
      <c r="P132" s="52">
        <v>588.75</v>
      </c>
      <c r="Q132" s="52">
        <v>7227.36</v>
      </c>
      <c r="R132" s="53">
        <v>0.9246748062655208</v>
      </c>
      <c r="S132" s="54">
        <v>156.69</v>
      </c>
      <c r="T132" s="54">
        <v>11.5</v>
      </c>
      <c r="U132" s="54">
        <v>145.19</v>
      </c>
      <c r="V132" s="53">
        <v>0.9266066756015061</v>
      </c>
      <c r="W132" s="53"/>
      <c r="X132" s="55">
        <v>359.80956521739137</v>
      </c>
      <c r="Y132" s="55">
        <v>53.31719360265494</v>
      </c>
      <c r="Z132" s="53">
        <v>0.25079999999999997</v>
      </c>
      <c r="AA132" s="56">
        <v>0.2627</v>
      </c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101</v>
      </c>
      <c r="D133" s="52">
        <v>31802.41</v>
      </c>
      <c r="E133" s="52">
        <v>16498.64</v>
      </c>
      <c r="F133" s="52">
        <v>15303.77</v>
      </c>
      <c r="G133" s="53">
        <v>0.4812141595558324</v>
      </c>
      <c r="H133" s="52">
        <v>23448.14</v>
      </c>
      <c r="I133" s="52">
        <v>12360.83</v>
      </c>
      <c r="J133" s="52">
        <v>15632.029999999999</v>
      </c>
      <c r="K133" s="52">
        <v>11772.08</v>
      </c>
      <c r="L133" s="52">
        <v>3859.949999999999</v>
      </c>
      <c r="M133" s="53">
        <v>0.24692570318762178</v>
      </c>
      <c r="N133" s="53"/>
      <c r="O133" s="52">
        <v>7816.11</v>
      </c>
      <c r="P133" s="52">
        <v>588.75</v>
      </c>
      <c r="Q133" s="52">
        <v>7227.36</v>
      </c>
      <c r="R133" s="53">
        <v>0.9246748062655208</v>
      </c>
      <c r="S133" s="54">
        <v>156.69</v>
      </c>
      <c r="T133" s="54">
        <v>11.5</v>
      </c>
      <c r="U133" s="54">
        <v>145.19</v>
      </c>
      <c r="V133" s="53">
        <v>0.9266066756015061</v>
      </c>
      <c r="W133" s="53"/>
      <c r="X133" s="55">
        <v>359.80956521739137</v>
      </c>
      <c r="Y133" s="55">
        <v>53.31719360265494</v>
      </c>
      <c r="Z133" s="53">
        <v>0.25079999999999997</v>
      </c>
      <c r="AA133" s="56">
        <v>0.2627</v>
      </c>
      <c r="AB133" s="57"/>
      <c r="AD133" s="35" t="s">
        <v>102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103</v>
      </c>
      <c r="D134" s="52">
        <v>31802.4136956</v>
      </c>
      <c r="E134" s="52">
        <v>16498.64</v>
      </c>
      <c r="F134" s="52">
        <v>15303.7736956</v>
      </c>
      <c r="G134" s="53">
        <v>0.48121421984134943</v>
      </c>
      <c r="H134" s="52">
        <v>23448.14263</v>
      </c>
      <c r="I134" s="52">
        <v>12360.83</v>
      </c>
      <c r="J134" s="52">
        <v>15632.028429999998</v>
      </c>
      <c r="K134" s="52">
        <v>11772.08</v>
      </c>
      <c r="L134" s="52">
        <v>3859.9484299999986</v>
      </c>
      <c r="M134" s="53">
        <v>0.24692562755273845</v>
      </c>
      <c r="N134" s="53"/>
      <c r="O134" s="52">
        <v>7816.1142</v>
      </c>
      <c r="P134" s="52">
        <v>588.75</v>
      </c>
      <c r="Q134" s="52">
        <v>7227.3642</v>
      </c>
      <c r="R134" s="53">
        <v>0.92467484674162</v>
      </c>
      <c r="S134" s="54">
        <v>156.69</v>
      </c>
      <c r="T134" s="54">
        <v>11.5</v>
      </c>
      <c r="U134" s="54">
        <v>145.19</v>
      </c>
      <c r="V134" s="53">
        <v>0.9266066756015061</v>
      </c>
      <c r="W134" s="53"/>
      <c r="X134" s="55">
        <v>359.80956521739137</v>
      </c>
      <c r="Y134" s="55">
        <v>53.31719360265494</v>
      </c>
      <c r="Z134" s="53">
        <v>0.25079999999999997</v>
      </c>
      <c r="AA134" s="56">
        <v>0.2627</v>
      </c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104</v>
      </c>
      <c r="D135" s="52">
        <v>31802.4136956</v>
      </c>
      <c r="E135" s="52">
        <v>16498.64</v>
      </c>
      <c r="F135" s="52">
        <v>15303.7736956</v>
      </c>
      <c r="G135" s="53">
        <v>0.48121421984134943</v>
      </c>
      <c r="H135" s="52">
        <v>23448.14263</v>
      </c>
      <c r="I135" s="52">
        <v>12360.83</v>
      </c>
      <c r="J135" s="52">
        <v>15632.028429999998</v>
      </c>
      <c r="K135" s="52">
        <v>11772.08</v>
      </c>
      <c r="L135" s="52">
        <v>3859.9484299999986</v>
      </c>
      <c r="M135" s="53">
        <v>0.24692562755273845</v>
      </c>
      <c r="N135" s="53"/>
      <c r="O135" s="52">
        <v>7816.1142</v>
      </c>
      <c r="P135" s="52">
        <v>588.75</v>
      </c>
      <c r="Q135" s="52">
        <v>7227.3642</v>
      </c>
      <c r="R135" s="53">
        <v>0.92467484674162</v>
      </c>
      <c r="S135" s="54">
        <v>156.69</v>
      </c>
      <c r="T135" s="54">
        <v>11.5</v>
      </c>
      <c r="U135" s="54">
        <v>145.19</v>
      </c>
      <c r="V135" s="53">
        <v>0.9266066756015061</v>
      </c>
      <c r="W135" s="53"/>
      <c r="X135" s="55">
        <v>359.80956521739137</v>
      </c>
      <c r="Y135" s="55">
        <v>53.31719360265494</v>
      </c>
      <c r="Z135" s="53">
        <v>0.25079999999999997</v>
      </c>
      <c r="AA135" s="56">
        <v>0.2627</v>
      </c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96</v>
      </c>
      <c r="D137" s="52">
        <v>30749.24</v>
      </c>
      <c r="E137" s="52">
        <v>30749.24</v>
      </c>
      <c r="F137" s="52">
        <v>0</v>
      </c>
      <c r="G137" s="53">
        <v>0</v>
      </c>
      <c r="H137" s="52">
        <v>22587.89</v>
      </c>
      <c r="I137" s="52">
        <v>25905.23</v>
      </c>
      <c r="J137" s="52">
        <v>12565.06</v>
      </c>
      <c r="K137" s="52">
        <v>11805.46</v>
      </c>
      <c r="L137" s="52">
        <v>759.6000000000004</v>
      </c>
      <c r="M137" s="53">
        <v>0.06045335239147289</v>
      </c>
      <c r="N137" s="53">
        <v>0</v>
      </c>
      <c r="O137" s="52">
        <v>10022.83</v>
      </c>
      <c r="P137" s="52">
        <v>14099.77</v>
      </c>
      <c r="Q137" s="52">
        <v>-4076.9400000000005</v>
      </c>
      <c r="R137" s="53">
        <v>-0.40676535469523084</v>
      </c>
      <c r="S137" s="54">
        <v>200.82</v>
      </c>
      <c r="T137" s="54">
        <v>283.75</v>
      </c>
      <c r="U137" s="54">
        <v>-82.93</v>
      </c>
      <c r="V137" s="53">
        <v>-0.4129568768050991</v>
      </c>
      <c r="W137" s="53"/>
      <c r="X137" s="55">
        <v>17.07140088105727</v>
      </c>
      <c r="Y137" s="55">
        <v>40.64013272149188</v>
      </c>
      <c r="Z137" s="53">
        <v>0.1575</v>
      </c>
      <c r="AA137" s="56">
        <v>0.2654</v>
      </c>
      <c r="AB137" s="57"/>
      <c r="AD137" s="35" t="s">
        <v>97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98</v>
      </c>
      <c r="D138" s="52">
        <v>30749.24</v>
      </c>
      <c r="E138" s="52">
        <v>30749.24</v>
      </c>
      <c r="F138" s="52">
        <v>0</v>
      </c>
      <c r="G138" s="53">
        <v>0</v>
      </c>
      <c r="H138" s="52">
        <v>22587.89</v>
      </c>
      <c r="I138" s="52">
        <v>25905.23</v>
      </c>
      <c r="J138" s="52">
        <v>12565.06</v>
      </c>
      <c r="K138" s="52">
        <v>11805.46</v>
      </c>
      <c r="L138" s="52">
        <v>759.6000000000004</v>
      </c>
      <c r="M138" s="53">
        <v>0.06045335239147289</v>
      </c>
      <c r="N138" s="53"/>
      <c r="O138" s="52">
        <v>10022.83</v>
      </c>
      <c r="P138" s="52">
        <v>14099.77</v>
      </c>
      <c r="Q138" s="52">
        <v>-4076.9400000000005</v>
      </c>
      <c r="R138" s="53">
        <v>-0.40676535469523084</v>
      </c>
      <c r="S138" s="54">
        <v>200.82</v>
      </c>
      <c r="T138" s="54">
        <v>283.75</v>
      </c>
      <c r="U138" s="54">
        <v>-82.93</v>
      </c>
      <c r="V138" s="53">
        <v>-0.4129568768050991</v>
      </c>
      <c r="W138" s="53"/>
      <c r="X138" s="55">
        <v>17.07140088105727</v>
      </c>
      <c r="Y138" s="55">
        <v>40.64013272149188</v>
      </c>
      <c r="Z138" s="53">
        <v>0.1575</v>
      </c>
      <c r="AA138" s="56">
        <v>0.2654</v>
      </c>
      <c r="AB138" s="57"/>
      <c r="AD138" s="35" t="s">
        <v>99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100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25891.86</v>
      </c>
      <c r="J139" s="52">
        <v>12565.06</v>
      </c>
      <c r="K139" s="52">
        <v>11792.09</v>
      </c>
      <c r="L139" s="52">
        <v>772.9699999999993</v>
      </c>
      <c r="M139" s="53">
        <v>0.061517414162765585</v>
      </c>
      <c r="N139" s="53"/>
      <c r="O139" s="52">
        <v>10022.83</v>
      </c>
      <c r="P139" s="52">
        <v>14099.77</v>
      </c>
      <c r="Q139" s="52">
        <v>-4076.9400000000005</v>
      </c>
      <c r="R139" s="53">
        <v>-0.40676535469523084</v>
      </c>
      <c r="S139" s="54">
        <v>200.82</v>
      </c>
      <c r="T139" s="54">
        <v>283.75</v>
      </c>
      <c r="U139" s="54">
        <v>-82.93</v>
      </c>
      <c r="V139" s="53">
        <v>-0.4129568768050991</v>
      </c>
      <c r="W139" s="53"/>
      <c r="X139" s="55">
        <v>17.118519823788546</v>
      </c>
      <c r="Y139" s="55">
        <v>40.64013272149188</v>
      </c>
      <c r="Z139" s="53">
        <v>0.158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101</v>
      </c>
      <c r="D140" s="52"/>
      <c r="E140" s="52"/>
      <c r="F140" s="52"/>
      <c r="G140" s="53"/>
      <c r="H140" s="52"/>
      <c r="I140" s="52"/>
      <c r="J140" s="52"/>
      <c r="K140" s="52"/>
      <c r="L140" s="52"/>
      <c r="M140" s="53"/>
      <c r="N140" s="53"/>
      <c r="O140" s="52"/>
      <c r="P140" s="52"/>
      <c r="Q140" s="52"/>
      <c r="R140" s="53"/>
      <c r="S140" s="54"/>
      <c r="T140" s="54"/>
      <c r="U140" s="54"/>
      <c r="V140" s="53"/>
      <c r="W140" s="53"/>
      <c r="X140" s="55"/>
      <c r="Y140" s="55"/>
      <c r="Z140" s="53"/>
      <c r="AA140" s="56"/>
      <c r="AB140" s="57"/>
      <c r="AD140" s="35" t="s">
        <v>102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103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104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96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45.878969957081544</v>
      </c>
      <c r="Y144" s="55">
        <v>59.525035875791396</v>
      </c>
      <c r="Z144" s="53">
        <v>0.2958</v>
      </c>
      <c r="AA144" s="56">
        <v>0.1104</v>
      </c>
      <c r="AB144" s="57"/>
      <c r="AD144" s="35" t="s">
        <v>97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98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99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100</v>
      </c>
      <c r="D146" s="52">
        <v>268228.26</v>
      </c>
      <c r="E146" s="52">
        <v>9034.53</v>
      </c>
      <c r="F146" s="52">
        <v>259193.73</v>
      </c>
      <c r="G146" s="53">
        <v>0.9663177548853353</v>
      </c>
      <c r="H146" s="52">
        <v>238611.58</v>
      </c>
      <c r="I146" s="52">
        <v>6362.08</v>
      </c>
      <c r="J146" s="52">
        <v>214154.25</v>
      </c>
      <c r="K146" s="52">
        <v>3465.35</v>
      </c>
      <c r="L146" s="52">
        <v>210688.9</v>
      </c>
      <c r="M146" s="53">
        <v>0.9838184392791645</v>
      </c>
      <c r="N146" s="53"/>
      <c r="O146" s="52">
        <v>24457.33</v>
      </c>
      <c r="P146" s="52">
        <v>2896.73</v>
      </c>
      <c r="Q146" s="52">
        <v>21560.600000000002</v>
      </c>
      <c r="R146" s="53">
        <v>0.8815598432044708</v>
      </c>
      <c r="S146" s="54">
        <v>497.55</v>
      </c>
      <c r="T146" s="54">
        <v>58.25</v>
      </c>
      <c r="U146" s="54">
        <v>439.3</v>
      </c>
      <c r="V146" s="53">
        <v>0.8829263390614008</v>
      </c>
      <c r="W146" s="53"/>
      <c r="X146" s="55">
        <v>45.878969957081544</v>
      </c>
      <c r="Y146" s="55">
        <v>59.525035875791396</v>
      </c>
      <c r="Z146" s="53">
        <v>0.2958</v>
      </c>
      <c r="AA146" s="56">
        <v>0.1104</v>
      </c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101</v>
      </c>
      <c r="D147" s="52"/>
      <c r="E147" s="52"/>
      <c r="F147" s="52"/>
      <c r="G147" s="53"/>
      <c r="H147" s="52"/>
      <c r="I147" s="52"/>
      <c r="J147" s="52"/>
      <c r="K147" s="52"/>
      <c r="L147" s="52"/>
      <c r="M147" s="53"/>
      <c r="N147" s="53"/>
      <c r="O147" s="52"/>
      <c r="P147" s="52"/>
      <c r="Q147" s="52"/>
      <c r="R147" s="53"/>
      <c r="S147" s="54"/>
      <c r="T147" s="54"/>
      <c r="U147" s="54"/>
      <c r="V147" s="53"/>
      <c r="W147" s="53"/>
      <c r="X147" s="55"/>
      <c r="Y147" s="55"/>
      <c r="Z147" s="53"/>
      <c r="AA147" s="56"/>
      <c r="AB147" s="57"/>
      <c r="AD147" s="35" t="s">
        <v>102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103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104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96</v>
      </c>
      <c r="D151" s="52">
        <v>32773.41</v>
      </c>
      <c r="E151" s="52">
        <v>32773.41</v>
      </c>
      <c r="F151" s="52">
        <v>0</v>
      </c>
      <c r="G151" s="53">
        <v>0</v>
      </c>
      <c r="H151" s="52">
        <v>22750.99</v>
      </c>
      <c r="I151" s="52">
        <v>22254.11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12929.7</v>
      </c>
      <c r="Q151" s="52">
        <v>-2422.120000000001</v>
      </c>
      <c r="R151" s="53">
        <v>-0.23051168775303169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40.342473633748796</v>
      </c>
      <c r="Y151" s="55">
        <v>47.58984852136751</v>
      </c>
      <c r="Z151" s="53">
        <v>0.321</v>
      </c>
      <c r="AA151" s="56">
        <v>0.3058</v>
      </c>
      <c r="AB151" s="57"/>
      <c r="AD151" s="35" t="s">
        <v>97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98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99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100</v>
      </c>
      <c r="D153" s="52">
        <v>32773.41</v>
      </c>
      <c r="E153" s="52">
        <v>32773.41</v>
      </c>
      <c r="F153" s="52">
        <v>0</v>
      </c>
      <c r="G153" s="53">
        <v>0</v>
      </c>
      <c r="H153" s="52">
        <v>22750.99</v>
      </c>
      <c r="I153" s="52">
        <v>22254.11</v>
      </c>
      <c r="J153" s="52">
        <v>12243.410000000002</v>
      </c>
      <c r="K153" s="52">
        <v>9324.41</v>
      </c>
      <c r="L153" s="52">
        <v>2919.000000000002</v>
      </c>
      <c r="M153" s="53">
        <v>0.23841397127107575</v>
      </c>
      <c r="N153" s="53"/>
      <c r="O153" s="52">
        <v>10507.58</v>
      </c>
      <c r="P153" s="52">
        <v>12929.7</v>
      </c>
      <c r="Q153" s="52">
        <v>-2422.120000000001</v>
      </c>
      <c r="R153" s="53">
        <v>-0.23051168775303169</v>
      </c>
      <c r="S153" s="54">
        <v>210.6</v>
      </c>
      <c r="T153" s="54">
        <v>260.75</v>
      </c>
      <c r="U153" s="54">
        <v>-50.150000000000006</v>
      </c>
      <c r="V153" s="53">
        <v>-0.2381291547958215</v>
      </c>
      <c r="W153" s="53"/>
      <c r="X153" s="55">
        <v>40.342473633748796</v>
      </c>
      <c r="Y153" s="55">
        <v>47.58984852136751</v>
      </c>
      <c r="Z153" s="53">
        <v>0.321</v>
      </c>
      <c r="AA153" s="56">
        <v>0.3058</v>
      </c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101</v>
      </c>
      <c r="D154" s="52"/>
      <c r="E154" s="52"/>
      <c r="F154" s="52"/>
      <c r="G154" s="53"/>
      <c r="H154" s="52"/>
      <c r="I154" s="52"/>
      <c r="J154" s="52"/>
      <c r="K154" s="52"/>
      <c r="L154" s="52"/>
      <c r="M154" s="53"/>
      <c r="N154" s="53"/>
      <c r="O154" s="52"/>
      <c r="P154" s="52"/>
      <c r="Q154" s="52"/>
      <c r="R154" s="53"/>
      <c r="S154" s="54"/>
      <c r="T154" s="54"/>
      <c r="U154" s="54"/>
      <c r="V154" s="53"/>
      <c r="W154" s="53"/>
      <c r="X154" s="55"/>
      <c r="Y154" s="55"/>
      <c r="Z154" s="53"/>
      <c r="AA154" s="56"/>
      <c r="AB154" s="57"/>
      <c r="AD154" s="35" t="s">
        <v>102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103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104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96</v>
      </c>
      <c r="D158" s="52">
        <v>17899.33</v>
      </c>
      <c r="E158" s="52">
        <v>13424.5</v>
      </c>
      <c r="F158" s="52">
        <v>4474.830000000002</v>
      </c>
      <c r="G158" s="53">
        <v>0.24999986032996774</v>
      </c>
      <c r="H158" s="52">
        <v>13919.4</v>
      </c>
      <c r="I158" s="52">
        <v>10402.37</v>
      </c>
      <c r="J158" s="52">
        <v>8410.93</v>
      </c>
      <c r="K158" s="52">
        <v>7278.380000000001</v>
      </c>
      <c r="L158" s="52">
        <v>1132.5499999999993</v>
      </c>
      <c r="M158" s="53">
        <v>0.13465217282749936</v>
      </c>
      <c r="N158" s="53"/>
      <c r="O158" s="52">
        <v>5508.47</v>
      </c>
      <c r="P158" s="52">
        <v>3123.99</v>
      </c>
      <c r="Q158" s="52">
        <v>2384.4800000000005</v>
      </c>
      <c r="R158" s="53">
        <v>0.43287519038861977</v>
      </c>
      <c r="S158" s="54">
        <v>110.44</v>
      </c>
      <c r="T158" s="54">
        <v>60.75</v>
      </c>
      <c r="U158" s="54">
        <v>49.69</v>
      </c>
      <c r="V158" s="53">
        <v>0.44992756247736326</v>
      </c>
      <c r="W158" s="53"/>
      <c r="X158" s="55">
        <v>49.74699588477367</v>
      </c>
      <c r="Y158" s="55">
        <v>36.03704967040926</v>
      </c>
      <c r="Z158" s="53">
        <v>0.22510000000000002</v>
      </c>
      <c r="AA158" s="56">
        <v>0.2224</v>
      </c>
      <c r="AB158" s="57"/>
      <c r="AD158" s="35" t="s">
        <v>97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98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10402.37</v>
      </c>
      <c r="J159" s="52">
        <v>8410.93</v>
      </c>
      <c r="K159" s="52">
        <v>7278.380000000001</v>
      </c>
      <c r="L159" s="52">
        <v>1132.5499999999993</v>
      </c>
      <c r="M159" s="53">
        <v>0.13465217282749936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49.74699588477367</v>
      </c>
      <c r="Y159" s="55">
        <v>36.03704967040926</v>
      </c>
      <c r="Z159" s="53">
        <v>0.22510000000000002</v>
      </c>
      <c r="AA159" s="56">
        <v>0.2224</v>
      </c>
      <c r="AB159" s="57"/>
      <c r="AD159" s="35" t="s">
        <v>99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100</v>
      </c>
      <c r="D160" s="52">
        <v>17899.33</v>
      </c>
      <c r="E160" s="52">
        <v>13424.5</v>
      </c>
      <c r="F160" s="52">
        <v>4474.830000000002</v>
      </c>
      <c r="G160" s="53">
        <v>0.24999986032996774</v>
      </c>
      <c r="H160" s="52">
        <v>13919.4</v>
      </c>
      <c r="I160" s="52">
        <v>10402.37</v>
      </c>
      <c r="J160" s="52">
        <v>8410.93</v>
      </c>
      <c r="K160" s="52">
        <v>7278.380000000001</v>
      </c>
      <c r="L160" s="52">
        <v>1132.5499999999993</v>
      </c>
      <c r="M160" s="53">
        <v>0.13465217282749936</v>
      </c>
      <c r="N160" s="53"/>
      <c r="O160" s="52">
        <v>5508.47</v>
      </c>
      <c r="P160" s="52">
        <v>3123.99</v>
      </c>
      <c r="Q160" s="52">
        <v>2384.4800000000005</v>
      </c>
      <c r="R160" s="53">
        <v>0.43287519038861977</v>
      </c>
      <c r="S160" s="54">
        <v>110.44</v>
      </c>
      <c r="T160" s="54">
        <v>60.75</v>
      </c>
      <c r="U160" s="54">
        <v>49.69</v>
      </c>
      <c r="V160" s="53">
        <v>0.44992756247736326</v>
      </c>
      <c r="W160" s="53"/>
      <c r="X160" s="55">
        <v>49.74699588477367</v>
      </c>
      <c r="Y160" s="55">
        <v>36.03704967040926</v>
      </c>
      <c r="Z160" s="53">
        <v>0.22510000000000002</v>
      </c>
      <c r="AA160" s="56">
        <v>0.2224</v>
      </c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101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12130.47</v>
      </c>
      <c r="J161" s="52">
        <v>8410.93</v>
      </c>
      <c r="K161" s="52">
        <v>7623.429999999999</v>
      </c>
      <c r="L161" s="52">
        <v>787.5000000000009</v>
      </c>
      <c r="M161" s="53">
        <v>0.09362817191440197</v>
      </c>
      <c r="N161" s="53"/>
      <c r="O161" s="52">
        <v>5508.47</v>
      </c>
      <c r="P161" s="52">
        <v>4507.04</v>
      </c>
      <c r="Q161" s="52">
        <v>1001.4300000000003</v>
      </c>
      <c r="R161" s="53">
        <v>0.1817982125708228</v>
      </c>
      <c r="S161" s="54">
        <v>110.44</v>
      </c>
      <c r="T161" s="54">
        <v>87</v>
      </c>
      <c r="U161" s="54">
        <v>23.439999999999998</v>
      </c>
      <c r="V161" s="53">
        <v>0.21224194132560664</v>
      </c>
      <c r="W161" s="53"/>
      <c r="X161" s="55">
        <v>14.87390804597701</v>
      </c>
      <c r="Y161" s="55">
        <v>36.03704967040926</v>
      </c>
      <c r="Z161" s="53">
        <v>0.0964</v>
      </c>
      <c r="AA161" s="56">
        <v>0.2224</v>
      </c>
      <c r="AB161" s="57"/>
      <c r="AD161" s="35" t="s">
        <v>102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103</v>
      </c>
      <c r="D162" s="52">
        <v>17899.333054</v>
      </c>
      <c r="E162" s="52">
        <v>13424.5</v>
      </c>
      <c r="F162" s="52">
        <v>4474.833053999999</v>
      </c>
      <c r="G162" s="53">
        <v>0.24999998829565323</v>
      </c>
      <c r="H162" s="52">
        <v>13919.4012884</v>
      </c>
      <c r="I162" s="52">
        <v>12620.62</v>
      </c>
      <c r="J162" s="52">
        <v>8410.9272884</v>
      </c>
      <c r="K162" s="52">
        <v>7749.860000000001</v>
      </c>
      <c r="L162" s="52">
        <v>661.0672883999996</v>
      </c>
      <c r="M162" s="53">
        <v>0.07859624340252186</v>
      </c>
      <c r="N162" s="53"/>
      <c r="O162" s="52">
        <v>5508.474</v>
      </c>
      <c r="P162" s="52">
        <v>4870.76</v>
      </c>
      <c r="Q162" s="52">
        <v>637.7139999999999</v>
      </c>
      <c r="R162" s="53">
        <v>0.11576963057282287</v>
      </c>
      <c r="S162" s="54">
        <v>110.44</v>
      </c>
      <c r="T162" s="54">
        <v>95.5</v>
      </c>
      <c r="U162" s="54">
        <v>14.939999999999998</v>
      </c>
      <c r="V162" s="53">
        <v>0.13527707352408547</v>
      </c>
      <c r="W162" s="53"/>
      <c r="X162" s="55">
        <v>8.41759162303665</v>
      </c>
      <c r="Y162" s="55">
        <v>36.03704967040926</v>
      </c>
      <c r="Z162" s="53">
        <v>0.0599</v>
      </c>
      <c r="AA162" s="56">
        <v>0.2224</v>
      </c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104</v>
      </c>
      <c r="D163" s="52">
        <v>19505.5188968</v>
      </c>
      <c r="E163" s="52">
        <v>19505.52</v>
      </c>
      <c r="F163" s="52">
        <v>-0.0011032000002160203</v>
      </c>
      <c r="G163" s="53">
        <v>-5.655835182098165e-8</v>
      </c>
      <c r="H163" s="52">
        <v>14923.5903884</v>
      </c>
      <c r="I163" s="52">
        <v>14052.73</v>
      </c>
      <c r="J163" s="52">
        <v>8915.0763884</v>
      </c>
      <c r="K163" s="52">
        <v>8190.78</v>
      </c>
      <c r="L163" s="52">
        <v>724.296388400001</v>
      </c>
      <c r="M163" s="53">
        <v>0.08124399128452015</v>
      </c>
      <c r="N163" s="53"/>
      <c r="O163" s="52">
        <v>6008.514</v>
      </c>
      <c r="P163" s="52">
        <v>5861.95</v>
      </c>
      <c r="Q163" s="52">
        <v>146.5640000000003</v>
      </c>
      <c r="R163" s="53">
        <v>0.02439272006356319</v>
      </c>
      <c r="S163" s="54">
        <v>120.44</v>
      </c>
      <c r="T163" s="54">
        <v>116.25</v>
      </c>
      <c r="U163" s="54">
        <v>4.189999999999998</v>
      </c>
      <c r="V163" s="53">
        <v>0.03478910660909995</v>
      </c>
      <c r="W163" s="53"/>
      <c r="X163" s="55">
        <v>46.90572043010753</v>
      </c>
      <c r="Y163" s="55">
        <v>38.04324566921289</v>
      </c>
      <c r="Z163" s="53">
        <v>0.2796</v>
      </c>
      <c r="AA163" s="56">
        <v>0.2349</v>
      </c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96</v>
      </c>
      <c r="D165" s="52">
        <v>10827.2</v>
      </c>
      <c r="E165" s="52"/>
      <c r="F165" s="52">
        <v>10827.2</v>
      </c>
      <c r="G165" s="53">
        <v>1</v>
      </c>
      <c r="H165" s="52">
        <v>7619.53</v>
      </c>
      <c r="I165" s="52"/>
      <c r="J165" s="52">
        <v>4388.87</v>
      </c>
      <c r="K165" s="52" t="s">
        <v>105</v>
      </c>
      <c r="L165" s="52">
        <v>4388.87</v>
      </c>
      <c r="M165" s="53">
        <v>1</v>
      </c>
      <c r="N165" s="53"/>
      <c r="O165" s="52">
        <v>3230.66</v>
      </c>
      <c r="P165" s="52"/>
      <c r="Q165" s="52">
        <v>3230.66</v>
      </c>
      <c r="R165" s="53">
        <v>1</v>
      </c>
      <c r="S165" s="54">
        <v>64.71</v>
      </c>
      <c r="T165" s="54"/>
      <c r="U165" s="54">
        <v>64.71</v>
      </c>
      <c r="V165" s="53">
        <v>1</v>
      </c>
      <c r="W165" s="53"/>
      <c r="X165" s="55"/>
      <c r="Y165" s="55">
        <v>49.569927368258405</v>
      </c>
      <c r="Z165" s="53"/>
      <c r="AA165" s="56">
        <v>0.29626034431801396</v>
      </c>
      <c r="AB165" s="57"/>
      <c r="AD165" s="35" t="s">
        <v>97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98</v>
      </c>
      <c r="D166" s="52">
        <v>10827.2</v>
      </c>
      <c r="E166" s="52">
        <v>0</v>
      </c>
      <c r="F166" s="52">
        <v>10827.2</v>
      </c>
      <c r="G166" s="53">
        <v>1</v>
      </c>
      <c r="H166" s="52">
        <v>7687.77</v>
      </c>
      <c r="I166" s="52">
        <v>853.55</v>
      </c>
      <c r="J166" s="52">
        <v>4437.14</v>
      </c>
      <c r="K166" s="52">
        <v>853.55</v>
      </c>
      <c r="L166" s="52">
        <v>3583.59</v>
      </c>
      <c r="M166" s="53">
        <v>0.8076350982840298</v>
      </c>
      <c r="N166" s="53"/>
      <c r="O166" s="52">
        <v>3250.63</v>
      </c>
      <c r="P166" s="52">
        <v>0</v>
      </c>
      <c r="Q166" s="52">
        <v>3250.63</v>
      </c>
      <c r="R166" s="53">
        <v>1</v>
      </c>
      <c r="S166" s="54">
        <v>65.13</v>
      </c>
      <c r="T166" s="54">
        <v>0</v>
      </c>
      <c r="U166" s="54">
        <v>65.13</v>
      </c>
      <c r="V166" s="53">
        <v>1</v>
      </c>
      <c r="W166" s="53"/>
      <c r="X166" s="55">
        <v>0</v>
      </c>
      <c r="Y166" s="55">
        <v>48.202633430830645</v>
      </c>
      <c r="Z166" s="53">
        <v>0</v>
      </c>
      <c r="AA166" s="56">
        <v>0.29</v>
      </c>
      <c r="AB166" s="57"/>
      <c r="AD166" s="35" t="s">
        <v>99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100</v>
      </c>
      <c r="D167" s="52">
        <v>10827.2</v>
      </c>
      <c r="E167" s="52">
        <v>0</v>
      </c>
      <c r="F167" s="52">
        <v>10827.2</v>
      </c>
      <c r="G167" s="53">
        <v>1</v>
      </c>
      <c r="H167" s="52">
        <v>7687.77</v>
      </c>
      <c r="I167" s="52">
        <v>2116.21</v>
      </c>
      <c r="J167" s="52">
        <v>4437.14</v>
      </c>
      <c r="K167" s="52">
        <v>1029.51</v>
      </c>
      <c r="L167" s="52">
        <v>3407.63</v>
      </c>
      <c r="M167" s="53">
        <v>0.7679789233605431</v>
      </c>
      <c r="N167" s="53"/>
      <c r="O167" s="52">
        <v>3250.63</v>
      </c>
      <c r="P167" s="52">
        <v>1086.7</v>
      </c>
      <c r="Q167" s="52">
        <v>2163.9300000000003</v>
      </c>
      <c r="R167" s="53">
        <v>0.6656955728581845</v>
      </c>
      <c r="S167" s="54">
        <v>65.13</v>
      </c>
      <c r="T167" s="54">
        <v>24.33</v>
      </c>
      <c r="U167" s="54">
        <v>40.8</v>
      </c>
      <c r="V167" s="53">
        <v>0.6264394288346384</v>
      </c>
      <c r="W167" s="53"/>
      <c r="X167" s="55">
        <v>-86.97944923962187</v>
      </c>
      <c r="Y167" s="55">
        <v>48.202633430830645</v>
      </c>
      <c r="Z167" s="53">
        <v>0</v>
      </c>
      <c r="AA167" s="56">
        <v>0.29</v>
      </c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101</v>
      </c>
      <c r="D168" s="52">
        <v>10827.2</v>
      </c>
      <c r="E168" s="52">
        <v>0</v>
      </c>
      <c r="F168" s="52">
        <v>10827.2</v>
      </c>
      <c r="G168" s="53">
        <v>1</v>
      </c>
      <c r="H168" s="52">
        <v>7687.77</v>
      </c>
      <c r="I168" s="52">
        <v>2116.21</v>
      </c>
      <c r="J168" s="52">
        <v>4437.14</v>
      </c>
      <c r="K168" s="52">
        <v>1029.51</v>
      </c>
      <c r="L168" s="52">
        <v>3407.63</v>
      </c>
      <c r="M168" s="53">
        <v>0.7679789233605431</v>
      </c>
      <c r="N168" s="53"/>
      <c r="O168" s="52">
        <v>3250.63</v>
      </c>
      <c r="P168" s="52">
        <v>1086.7</v>
      </c>
      <c r="Q168" s="52">
        <v>2163.9300000000003</v>
      </c>
      <c r="R168" s="53">
        <v>0.6656955728581845</v>
      </c>
      <c r="S168" s="54">
        <v>65.13</v>
      </c>
      <c r="T168" s="54">
        <v>24.33</v>
      </c>
      <c r="U168" s="54">
        <v>40.8</v>
      </c>
      <c r="V168" s="53">
        <v>0.6264394288346384</v>
      </c>
      <c r="W168" s="53"/>
      <c r="X168" s="55">
        <v>-86.97944923962187</v>
      </c>
      <c r="Y168" s="55">
        <v>48.202633430830645</v>
      </c>
      <c r="Z168" s="53">
        <v>0</v>
      </c>
      <c r="AA168" s="56">
        <v>0.29</v>
      </c>
      <c r="AB168" s="57"/>
      <c r="AD168" s="35" t="s">
        <v>102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103</v>
      </c>
      <c r="D169" s="52">
        <v>10827.20261235</v>
      </c>
      <c r="E169" s="52">
        <v>0</v>
      </c>
      <c r="F169" s="52">
        <v>10827.20261235</v>
      </c>
      <c r="G169" s="53">
        <v>1</v>
      </c>
      <c r="H169" s="52">
        <v>7687.765097</v>
      </c>
      <c r="I169" s="52">
        <v>2116.21</v>
      </c>
      <c r="J169" s="52">
        <v>4437.133697</v>
      </c>
      <c r="K169" s="52">
        <v>1029.51</v>
      </c>
      <c r="L169" s="52">
        <v>3407.623697</v>
      </c>
      <c r="M169" s="53">
        <v>0.7679785937719064</v>
      </c>
      <c r="N169" s="53"/>
      <c r="O169" s="52">
        <v>3250.6314</v>
      </c>
      <c r="P169" s="52">
        <v>1086.7</v>
      </c>
      <c r="Q169" s="52">
        <v>2163.9314000000004</v>
      </c>
      <c r="R169" s="53">
        <v>0.6656957168382734</v>
      </c>
      <c r="S169" s="54">
        <v>65.13</v>
      </c>
      <c r="T169" s="54">
        <v>24.33</v>
      </c>
      <c r="U169" s="54">
        <v>40.8</v>
      </c>
      <c r="V169" s="53">
        <v>0.6264394288346384</v>
      </c>
      <c r="W169" s="53"/>
      <c r="X169" s="55">
        <v>-86.97944923962187</v>
      </c>
      <c r="Y169" s="55">
        <v>48.202633430830645</v>
      </c>
      <c r="Z169" s="53">
        <v>0</v>
      </c>
      <c r="AA169" s="56">
        <v>0.29</v>
      </c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104</v>
      </c>
      <c r="D170" s="52">
        <v>10827.20261235</v>
      </c>
      <c r="E170" s="52">
        <v>0</v>
      </c>
      <c r="F170" s="52">
        <v>10827.20261235</v>
      </c>
      <c r="G170" s="53">
        <v>1</v>
      </c>
      <c r="H170" s="52">
        <v>7687.765097</v>
      </c>
      <c r="I170" s="52">
        <v>2097.39</v>
      </c>
      <c r="J170" s="52">
        <v>4437.133697</v>
      </c>
      <c r="K170" s="52">
        <v>1010.6899999999998</v>
      </c>
      <c r="L170" s="52">
        <v>3426.4436970000006</v>
      </c>
      <c r="M170" s="53">
        <v>0.7722200706543192</v>
      </c>
      <c r="N170" s="53"/>
      <c r="O170" s="52">
        <v>3250.6314</v>
      </c>
      <c r="P170" s="52">
        <v>1086.7</v>
      </c>
      <c r="Q170" s="52">
        <v>2163.9314000000004</v>
      </c>
      <c r="R170" s="53">
        <v>0.6656957168382734</v>
      </c>
      <c r="S170" s="54">
        <v>65.13</v>
      </c>
      <c r="T170" s="54">
        <v>24.33</v>
      </c>
      <c r="U170" s="54">
        <v>40.8</v>
      </c>
      <c r="V170" s="53">
        <v>0.6264394288346384</v>
      </c>
      <c r="W170" s="53"/>
      <c r="X170" s="55">
        <v>53.18249075215784</v>
      </c>
      <c r="Y170" s="55">
        <v>48.202633430830645</v>
      </c>
      <c r="Z170" s="53">
        <v>0.3815</v>
      </c>
      <c r="AA170" s="56">
        <v>0.29</v>
      </c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96</v>
      </c>
      <c r="D172" s="52">
        <v>146237.11</v>
      </c>
      <c r="E172" s="52">
        <v>125386.21</v>
      </c>
      <c r="F172" s="52">
        <v>20850.89999999998</v>
      </c>
      <c r="G172" s="53">
        <v>0.14258282319720336</v>
      </c>
      <c r="H172" s="52">
        <v>114651.87</v>
      </c>
      <c r="I172" s="52">
        <v>102882.12</v>
      </c>
      <c r="J172" s="52">
        <v>82888.07999999999</v>
      </c>
      <c r="K172" s="52">
        <v>77739.84</v>
      </c>
      <c r="L172" s="52">
        <v>5148.239999999991</v>
      </c>
      <c r="M172" s="53">
        <v>0.06211074016915329</v>
      </c>
      <c r="N172" s="53"/>
      <c r="O172" s="52">
        <v>31763.79</v>
      </c>
      <c r="P172" s="52">
        <v>25142.28</v>
      </c>
      <c r="Q172" s="52">
        <v>6621.510000000002</v>
      </c>
      <c r="R172" s="53">
        <v>0.20846095506864898</v>
      </c>
      <c r="S172" s="54">
        <v>659.73</v>
      </c>
      <c r="T172" s="54">
        <v>505.25</v>
      </c>
      <c r="U172" s="54">
        <v>154.48000000000002</v>
      </c>
      <c r="V172" s="53">
        <v>0.23415639731405274</v>
      </c>
      <c r="W172" s="53"/>
      <c r="X172" s="55">
        <v>44.54050470064325</v>
      </c>
      <c r="Y172" s="55">
        <v>47.87601261940491</v>
      </c>
      <c r="Z172" s="53">
        <v>0.1795</v>
      </c>
      <c r="AA172" s="56">
        <v>0.216</v>
      </c>
      <c r="AB172" s="57"/>
      <c r="AD172" s="35" t="s">
        <v>97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98</v>
      </c>
      <c r="D173" s="52">
        <v>146237.11</v>
      </c>
      <c r="E173" s="52">
        <v>125386.21</v>
      </c>
      <c r="F173" s="52">
        <v>20850.89999999998</v>
      </c>
      <c r="G173" s="53">
        <v>0.14258282319720336</v>
      </c>
      <c r="H173" s="52">
        <v>114651.87</v>
      </c>
      <c r="I173" s="52">
        <v>105511.63</v>
      </c>
      <c r="J173" s="52">
        <v>82888.07999999999</v>
      </c>
      <c r="K173" s="52">
        <v>78161.06</v>
      </c>
      <c r="L173" s="52">
        <v>4727.0199999999895</v>
      </c>
      <c r="M173" s="53">
        <v>0.05702894795005495</v>
      </c>
      <c r="N173" s="53"/>
      <c r="O173" s="52">
        <v>31763.79</v>
      </c>
      <c r="P173" s="52">
        <v>27350.57</v>
      </c>
      <c r="Q173" s="52">
        <v>4413.220000000001</v>
      </c>
      <c r="R173" s="53">
        <v>0.13893870976983544</v>
      </c>
      <c r="S173" s="54">
        <v>659.73</v>
      </c>
      <c r="T173" s="54">
        <v>548.75</v>
      </c>
      <c r="U173" s="54">
        <v>110.98000000000002</v>
      </c>
      <c r="V173" s="53">
        <v>0.16822033256028984</v>
      </c>
      <c r="W173" s="53"/>
      <c r="X173" s="55">
        <v>36.21791343963554</v>
      </c>
      <c r="Y173" s="55">
        <v>47.87601261940491</v>
      </c>
      <c r="Z173" s="53">
        <v>0.1585</v>
      </c>
      <c r="AA173" s="56">
        <v>0.216</v>
      </c>
      <c r="AB173" s="57"/>
      <c r="AD173" s="35" t="s">
        <v>99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100</v>
      </c>
      <c r="D174" s="52">
        <v>146237.11</v>
      </c>
      <c r="E174" s="52">
        <v>125386.21</v>
      </c>
      <c r="F174" s="52">
        <v>20850.89999999998</v>
      </c>
      <c r="G174" s="53">
        <v>0.14258282319720336</v>
      </c>
      <c r="H174" s="52">
        <v>114651.87</v>
      </c>
      <c r="I174" s="52">
        <v>105655.21</v>
      </c>
      <c r="J174" s="52">
        <v>82888.07999999999</v>
      </c>
      <c r="K174" s="52">
        <v>78304.64000000001</v>
      </c>
      <c r="L174" s="52">
        <v>4583.439999999973</v>
      </c>
      <c r="M174" s="53">
        <v>0.055296732654441676</v>
      </c>
      <c r="N174" s="53"/>
      <c r="O174" s="52">
        <v>31763.79</v>
      </c>
      <c r="P174" s="52">
        <v>27350.57</v>
      </c>
      <c r="Q174" s="52">
        <v>4413.220000000001</v>
      </c>
      <c r="R174" s="53">
        <v>0.13893870976983544</v>
      </c>
      <c r="S174" s="54">
        <v>659.73</v>
      </c>
      <c r="T174" s="54">
        <v>548.75</v>
      </c>
      <c r="U174" s="54">
        <v>110.98000000000002</v>
      </c>
      <c r="V174" s="53">
        <v>0.16822033256028984</v>
      </c>
      <c r="W174" s="53"/>
      <c r="X174" s="55">
        <v>35.95626423690205</v>
      </c>
      <c r="Y174" s="55">
        <v>47.87601261940491</v>
      </c>
      <c r="Z174" s="53">
        <v>0.1574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101</v>
      </c>
      <c r="D175" s="52">
        <v>146237.11</v>
      </c>
      <c r="E175" s="52">
        <v>125386.21</v>
      </c>
      <c r="F175" s="52">
        <v>20850.89999999998</v>
      </c>
      <c r="G175" s="53">
        <v>0.14258282319720336</v>
      </c>
      <c r="H175" s="52">
        <v>114651.87</v>
      </c>
      <c r="I175" s="52">
        <v>105657.8</v>
      </c>
      <c r="J175" s="52">
        <v>82888.07999999999</v>
      </c>
      <c r="K175" s="52">
        <v>78304.64</v>
      </c>
      <c r="L175" s="52">
        <v>4583.439999999988</v>
      </c>
      <c r="M175" s="53">
        <v>0.05529673265444185</v>
      </c>
      <c r="N175" s="53"/>
      <c r="O175" s="52">
        <v>31763.79</v>
      </c>
      <c r="P175" s="52">
        <v>27353.16</v>
      </c>
      <c r="Q175" s="52">
        <v>4410.630000000001</v>
      </c>
      <c r="R175" s="53">
        <v>0.13885717038174603</v>
      </c>
      <c r="S175" s="54">
        <v>659.73</v>
      </c>
      <c r="T175" s="54">
        <v>548.75</v>
      </c>
      <c r="U175" s="54">
        <v>110.98000000000002</v>
      </c>
      <c r="V175" s="53">
        <v>0.16822033256028984</v>
      </c>
      <c r="W175" s="53"/>
      <c r="X175" s="55">
        <v>35.95154441913439</v>
      </c>
      <c r="Y175" s="55">
        <v>47.87601261940491</v>
      </c>
      <c r="Z175" s="53">
        <v>0.1573</v>
      </c>
      <c r="AA175" s="56">
        <v>0.216</v>
      </c>
      <c r="AB175" s="57"/>
      <c r="AD175" s="35" t="s">
        <v>102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103</v>
      </c>
      <c r="D176" s="52">
        <v>146237.1072</v>
      </c>
      <c r="E176" s="52">
        <v>125386.21</v>
      </c>
      <c r="F176" s="52">
        <v>20850.897199999992</v>
      </c>
      <c r="G176" s="53">
        <v>0.14258280678024784</v>
      </c>
      <c r="H176" s="52">
        <v>114651.8653946</v>
      </c>
      <c r="I176" s="52">
        <v>105824.3</v>
      </c>
      <c r="J176" s="52">
        <v>82888.0783946</v>
      </c>
      <c r="K176" s="52">
        <v>78304.64</v>
      </c>
      <c r="L176" s="52">
        <v>4583.438394600002</v>
      </c>
      <c r="M176" s="53">
        <v>0.055296714357159035</v>
      </c>
      <c r="N176" s="53"/>
      <c r="O176" s="52">
        <v>31763.787</v>
      </c>
      <c r="P176" s="52">
        <v>27519.66</v>
      </c>
      <c r="Q176" s="52">
        <v>4244.127</v>
      </c>
      <c r="R176" s="53">
        <v>0.1336152707484155</v>
      </c>
      <c r="S176" s="54">
        <v>659.73</v>
      </c>
      <c r="T176" s="54">
        <v>548.75</v>
      </c>
      <c r="U176" s="54">
        <v>110.98000000000002</v>
      </c>
      <c r="V176" s="53">
        <v>0.16822033256028984</v>
      </c>
      <c r="W176" s="53"/>
      <c r="X176" s="55">
        <v>35.648127562642365</v>
      </c>
      <c r="Y176" s="55">
        <v>47.87601261940491</v>
      </c>
      <c r="Z176" s="53">
        <v>0.156</v>
      </c>
      <c r="AA176" s="56">
        <v>0.216</v>
      </c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104</v>
      </c>
      <c r="D177" s="52">
        <v>146237.1072</v>
      </c>
      <c r="E177" s="52">
        <v>125386.21</v>
      </c>
      <c r="F177" s="52">
        <v>20850.897199999992</v>
      </c>
      <c r="G177" s="53">
        <v>0.14258280678024784</v>
      </c>
      <c r="H177" s="52">
        <v>114651.8653946</v>
      </c>
      <c r="I177" s="52">
        <v>105507.56</v>
      </c>
      <c r="J177" s="52">
        <v>82888.0783946</v>
      </c>
      <c r="K177" s="52">
        <v>77881.66</v>
      </c>
      <c r="L177" s="52">
        <v>5006.418394599998</v>
      </c>
      <c r="M177" s="53">
        <v>0.060399740126273166</v>
      </c>
      <c r="N177" s="53"/>
      <c r="O177" s="52">
        <v>31763.787</v>
      </c>
      <c r="P177" s="52">
        <v>27625.9</v>
      </c>
      <c r="Q177" s="52">
        <v>4137.886999999999</v>
      </c>
      <c r="R177" s="53">
        <v>0.1302705814013927</v>
      </c>
      <c r="S177" s="54">
        <v>659.73</v>
      </c>
      <c r="T177" s="54">
        <v>550.75</v>
      </c>
      <c r="U177" s="54">
        <v>108.98000000000002</v>
      </c>
      <c r="V177" s="53">
        <v>0.1651887893532203</v>
      </c>
      <c r="W177" s="53"/>
      <c r="X177" s="55">
        <v>36.093781207444394</v>
      </c>
      <c r="Y177" s="55">
        <v>47.87601261940491</v>
      </c>
      <c r="Z177" s="53">
        <v>0.1585</v>
      </c>
      <c r="AA177" s="56">
        <v>0.216</v>
      </c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96</v>
      </c>
      <c r="D179" s="52">
        <v>16897.53</v>
      </c>
      <c r="E179" s="52">
        <v>5491.7</v>
      </c>
      <c r="F179" s="52">
        <v>11405.829999999998</v>
      </c>
      <c r="G179" s="53">
        <v>0.6749998372543206</v>
      </c>
      <c r="H179" s="52">
        <v>9226.27</v>
      </c>
      <c r="I179" s="52">
        <v>3702.78</v>
      </c>
      <c r="J179" s="52">
        <v>2977.1100000000006</v>
      </c>
      <c r="K179" s="52">
        <v>2335.9700000000003</v>
      </c>
      <c r="L179" s="52">
        <v>641.1400000000003</v>
      </c>
      <c r="M179" s="53">
        <v>0.2153565034546927</v>
      </c>
      <c r="N179" s="53"/>
      <c r="O179" s="52">
        <v>6249.16</v>
      </c>
      <c r="P179" s="52">
        <v>1366.81</v>
      </c>
      <c r="Q179" s="52">
        <v>4882.35</v>
      </c>
      <c r="R179" s="53">
        <v>0.7812810041669601</v>
      </c>
      <c r="S179" s="54">
        <v>125.17</v>
      </c>
      <c r="T179" s="54">
        <v>23.75</v>
      </c>
      <c r="U179" s="54">
        <v>101.42</v>
      </c>
      <c r="V179" s="53">
        <v>0.8102580490532876</v>
      </c>
      <c r="W179" s="53"/>
      <c r="X179" s="55">
        <v>75.32294736842105</v>
      </c>
      <c r="Y179" s="55">
        <v>61.286703843093385</v>
      </c>
      <c r="Z179" s="53">
        <v>0.3257</v>
      </c>
      <c r="AA179" s="56">
        <v>0.454</v>
      </c>
      <c r="AB179" s="57"/>
      <c r="AD179" s="35" t="s">
        <v>97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98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99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100</v>
      </c>
      <c r="D181" s="52">
        <v>16897.53</v>
      </c>
      <c r="E181" s="52">
        <v>5491.7</v>
      </c>
      <c r="F181" s="52">
        <v>11405.829999999998</v>
      </c>
      <c r="G181" s="53">
        <v>0.6749998372543206</v>
      </c>
      <c r="H181" s="52">
        <v>9226.27</v>
      </c>
      <c r="I181" s="52">
        <v>3702.78</v>
      </c>
      <c r="J181" s="52">
        <v>2977.1100000000006</v>
      </c>
      <c r="K181" s="52">
        <v>2335.9700000000003</v>
      </c>
      <c r="L181" s="52">
        <v>641.1400000000003</v>
      </c>
      <c r="M181" s="53">
        <v>0.2153565034546927</v>
      </c>
      <c r="N181" s="53"/>
      <c r="O181" s="52">
        <v>6249.16</v>
      </c>
      <c r="P181" s="52">
        <v>1366.81</v>
      </c>
      <c r="Q181" s="52">
        <v>4882.35</v>
      </c>
      <c r="R181" s="53">
        <v>0.7812810041669601</v>
      </c>
      <c r="S181" s="54">
        <v>125.17</v>
      </c>
      <c r="T181" s="54">
        <v>23.75</v>
      </c>
      <c r="U181" s="54">
        <v>101.42</v>
      </c>
      <c r="V181" s="53">
        <v>0.8102580490532876</v>
      </c>
      <c r="W181" s="53"/>
      <c r="X181" s="55">
        <v>75.32294736842105</v>
      </c>
      <c r="Y181" s="55">
        <v>61.286703843093385</v>
      </c>
      <c r="Z181" s="53">
        <v>0.3257</v>
      </c>
      <c r="AA181" s="56">
        <v>0.454</v>
      </c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101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102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103</v>
      </c>
      <c r="D183" s="52">
        <v>16897.52982004</v>
      </c>
      <c r="E183" s="52">
        <v>5491.7</v>
      </c>
      <c r="F183" s="52">
        <v>11405.829820039999</v>
      </c>
      <c r="G183" s="53">
        <v>0.6749998337930436</v>
      </c>
      <c r="H183" s="52">
        <v>9226.2731</v>
      </c>
      <c r="I183" s="52">
        <v>5421.03</v>
      </c>
      <c r="J183" s="52">
        <v>2977.1135000000004</v>
      </c>
      <c r="K183" s="52">
        <v>2842.2799999999997</v>
      </c>
      <c r="L183" s="52">
        <v>134.83350000000064</v>
      </c>
      <c r="M183" s="53">
        <v>0.04529000993747824</v>
      </c>
      <c r="N183" s="53"/>
      <c r="O183" s="52">
        <v>6249.1596</v>
      </c>
      <c r="P183" s="52">
        <v>2578.75</v>
      </c>
      <c r="Q183" s="52">
        <v>3670.4096</v>
      </c>
      <c r="R183" s="53">
        <v>0.5873445126925547</v>
      </c>
      <c r="S183" s="54">
        <v>125.17</v>
      </c>
      <c r="T183" s="54">
        <v>49.25</v>
      </c>
      <c r="U183" s="54">
        <v>75.92</v>
      </c>
      <c r="V183" s="53">
        <v>0.6065351122473436</v>
      </c>
      <c r="W183" s="53"/>
      <c r="X183" s="55">
        <v>1.4349238578680203</v>
      </c>
      <c r="Y183" s="55">
        <v>61.286703843093385</v>
      </c>
      <c r="Z183" s="53">
        <v>0.0129</v>
      </c>
      <c r="AA183" s="56">
        <v>0.454</v>
      </c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104</v>
      </c>
      <c r="D184" s="52">
        <v>16897.52982004</v>
      </c>
      <c r="E184" s="52">
        <v>9293.64</v>
      </c>
      <c r="F184" s="52">
        <v>7603.88982004</v>
      </c>
      <c r="G184" s="53">
        <v>0.450000082912829</v>
      </c>
      <c r="H184" s="52">
        <v>9226.2731</v>
      </c>
      <c r="I184" s="52">
        <v>6976.46</v>
      </c>
      <c r="J184" s="52">
        <v>2977.1135000000004</v>
      </c>
      <c r="K184" s="52">
        <v>3448.13</v>
      </c>
      <c r="L184" s="52">
        <v>-471.0164999999997</v>
      </c>
      <c r="M184" s="53">
        <v>-0.15821247661535232</v>
      </c>
      <c r="N184" s="53"/>
      <c r="O184" s="52">
        <v>6249.1596</v>
      </c>
      <c r="P184" s="52">
        <v>3528.33</v>
      </c>
      <c r="Q184" s="52">
        <v>2720.8296</v>
      </c>
      <c r="R184" s="53">
        <v>0.43539128045313485</v>
      </c>
      <c r="S184" s="54">
        <v>125.17</v>
      </c>
      <c r="T184" s="54">
        <v>65.75</v>
      </c>
      <c r="U184" s="54">
        <v>59.42</v>
      </c>
      <c r="V184" s="53">
        <v>0.47471438843173286</v>
      </c>
      <c r="W184" s="53"/>
      <c r="X184" s="55">
        <v>35.24228136882129</v>
      </c>
      <c r="Y184" s="55">
        <v>61.286703843093385</v>
      </c>
      <c r="Z184" s="53">
        <v>0.2493</v>
      </c>
      <c r="AA184" s="56">
        <v>0.454</v>
      </c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96</v>
      </c>
      <c r="D186" s="52">
        <v>20992.12</v>
      </c>
      <c r="E186" s="52">
        <v>14169.68</v>
      </c>
      <c r="F186" s="52">
        <v>6822.439999999999</v>
      </c>
      <c r="G186" s="53">
        <v>0.32500004763692275</v>
      </c>
      <c r="H186" s="52">
        <v>16299.09</v>
      </c>
      <c r="I186" s="52">
        <v>9699.51</v>
      </c>
      <c r="J186" s="52">
        <v>9784.33</v>
      </c>
      <c r="K186" s="52">
        <v>8137.88</v>
      </c>
      <c r="L186" s="52">
        <v>1646.4499999999998</v>
      </c>
      <c r="M186" s="53">
        <v>0.16827416900288522</v>
      </c>
      <c r="N186" s="53"/>
      <c r="O186" s="52">
        <v>6514.76</v>
      </c>
      <c r="P186" s="52">
        <v>1561.63</v>
      </c>
      <c r="Q186" s="52">
        <v>4953.13</v>
      </c>
      <c r="R186" s="53">
        <v>0.7602935488030257</v>
      </c>
      <c r="S186" s="54">
        <v>130.62</v>
      </c>
      <c r="T186" s="54">
        <v>34.75</v>
      </c>
      <c r="U186" s="54">
        <v>95.87</v>
      </c>
      <c r="V186" s="53">
        <v>0.7339611085591793</v>
      </c>
      <c r="W186" s="53"/>
      <c r="X186" s="55">
        <v>128.6379856115108</v>
      </c>
      <c r="Y186" s="55">
        <v>35.92887828502527</v>
      </c>
      <c r="Z186" s="53">
        <v>0.3155</v>
      </c>
      <c r="AA186" s="56">
        <v>0.2236</v>
      </c>
      <c r="AB186" s="57"/>
      <c r="AD186" s="35" t="s">
        <v>97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98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9699.51</v>
      </c>
      <c r="J187" s="52">
        <v>9784.33</v>
      </c>
      <c r="K187" s="52">
        <v>8137.88</v>
      </c>
      <c r="L187" s="52">
        <v>1646.4499999999998</v>
      </c>
      <c r="M187" s="53">
        <v>0.16827416900288522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128.6379856115108</v>
      </c>
      <c r="Y187" s="55">
        <v>35.92887828502527</v>
      </c>
      <c r="Z187" s="53">
        <v>0.3155</v>
      </c>
      <c r="AA187" s="56">
        <v>0.2236</v>
      </c>
      <c r="AB187" s="57"/>
      <c r="AD187" s="35" t="s">
        <v>99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100</v>
      </c>
      <c r="D188" s="52">
        <v>20992.12</v>
      </c>
      <c r="E188" s="52">
        <v>14169.68</v>
      </c>
      <c r="F188" s="52">
        <v>6822.439999999999</v>
      </c>
      <c r="G188" s="53">
        <v>0.32500004763692275</v>
      </c>
      <c r="H188" s="52">
        <v>16299.09</v>
      </c>
      <c r="I188" s="52">
        <v>9699.51</v>
      </c>
      <c r="J188" s="52">
        <v>9784.33</v>
      </c>
      <c r="K188" s="52">
        <v>8137.88</v>
      </c>
      <c r="L188" s="52">
        <v>1646.4499999999998</v>
      </c>
      <c r="M188" s="53">
        <v>0.16827416900288522</v>
      </c>
      <c r="N188" s="53"/>
      <c r="O188" s="52">
        <v>6514.76</v>
      </c>
      <c r="P188" s="52">
        <v>1561.63</v>
      </c>
      <c r="Q188" s="52">
        <v>4953.13</v>
      </c>
      <c r="R188" s="53">
        <v>0.7602935488030257</v>
      </c>
      <c r="S188" s="54">
        <v>130.62</v>
      </c>
      <c r="T188" s="54">
        <v>34.75</v>
      </c>
      <c r="U188" s="54">
        <v>95.87</v>
      </c>
      <c r="V188" s="53">
        <v>0.7339611085591793</v>
      </c>
      <c r="W188" s="53"/>
      <c r="X188" s="55">
        <v>128.6379856115108</v>
      </c>
      <c r="Y188" s="55">
        <v>35.92887828502527</v>
      </c>
      <c r="Z188" s="53">
        <v>0.3155</v>
      </c>
      <c r="AA188" s="56">
        <v>0.2236</v>
      </c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101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9699.51</v>
      </c>
      <c r="J189" s="52">
        <v>9784.33</v>
      </c>
      <c r="K189" s="52">
        <v>8137.88</v>
      </c>
      <c r="L189" s="52">
        <v>1646.4499999999998</v>
      </c>
      <c r="M189" s="53">
        <v>0.16827416900288522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128.6379856115108</v>
      </c>
      <c r="Y189" s="55">
        <v>35.92887828502527</v>
      </c>
      <c r="Z189" s="53">
        <v>0.3155</v>
      </c>
      <c r="AA189" s="56">
        <v>0.2236</v>
      </c>
      <c r="AB189" s="57"/>
      <c r="AD189" s="35" t="s">
        <v>102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103</v>
      </c>
      <c r="D190" s="52">
        <v>20992.11525559</v>
      </c>
      <c r="E190" s="52">
        <v>14169.68</v>
      </c>
      <c r="F190" s="52">
        <v>6822.43525559</v>
      </c>
      <c r="G190" s="53">
        <v>0.3249998950807614</v>
      </c>
      <c r="H190" s="52">
        <v>16299.085174</v>
      </c>
      <c r="I190" s="52">
        <v>9699.51</v>
      </c>
      <c r="J190" s="52">
        <v>9784.324774</v>
      </c>
      <c r="K190" s="52">
        <v>8137.88</v>
      </c>
      <c r="L190" s="52">
        <v>1646.4447740000005</v>
      </c>
      <c r="M190" s="53">
        <v>0.16827372476178604</v>
      </c>
      <c r="N190" s="53"/>
      <c r="O190" s="52">
        <v>6514.7604</v>
      </c>
      <c r="P190" s="52">
        <v>1561.63</v>
      </c>
      <c r="Q190" s="52">
        <v>4953.1304</v>
      </c>
      <c r="R190" s="53">
        <v>0.7602935635207705</v>
      </c>
      <c r="S190" s="54">
        <v>130.62</v>
      </c>
      <c r="T190" s="54">
        <v>34.75</v>
      </c>
      <c r="U190" s="54">
        <v>95.87</v>
      </c>
      <c r="V190" s="53">
        <v>0.7339611085591793</v>
      </c>
      <c r="W190" s="53"/>
      <c r="X190" s="55">
        <v>128.6379856115108</v>
      </c>
      <c r="Y190" s="55">
        <v>35.92887828502527</v>
      </c>
      <c r="Z190" s="53">
        <v>0.3155</v>
      </c>
      <c r="AA190" s="56">
        <v>0.2236</v>
      </c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104</v>
      </c>
      <c r="D191" s="52">
        <v>20992.11525559</v>
      </c>
      <c r="E191" s="52">
        <v>14169.68</v>
      </c>
      <c r="F191" s="52">
        <v>6822.43525559</v>
      </c>
      <c r="G191" s="53">
        <v>0.3249998950807614</v>
      </c>
      <c r="H191" s="52">
        <v>16299.085174</v>
      </c>
      <c r="I191" s="52">
        <v>9699.51</v>
      </c>
      <c r="J191" s="52">
        <v>9784.324774</v>
      </c>
      <c r="K191" s="52">
        <v>8137.88</v>
      </c>
      <c r="L191" s="52">
        <v>1646.4447740000005</v>
      </c>
      <c r="M191" s="53">
        <v>0.16827372476178604</v>
      </c>
      <c r="N191" s="53"/>
      <c r="O191" s="52">
        <v>6514.7604</v>
      </c>
      <c r="P191" s="52">
        <v>1561.63</v>
      </c>
      <c r="Q191" s="52">
        <v>4953.1304</v>
      </c>
      <c r="R191" s="53">
        <v>0.7602935635207705</v>
      </c>
      <c r="S191" s="54">
        <v>130.62</v>
      </c>
      <c r="T191" s="54">
        <v>34.75</v>
      </c>
      <c r="U191" s="54">
        <v>95.87</v>
      </c>
      <c r="V191" s="53">
        <v>0.7339611085591793</v>
      </c>
      <c r="W191" s="53"/>
      <c r="X191" s="55">
        <v>128.6379856115108</v>
      </c>
      <c r="Y191" s="55">
        <v>35.92887828502527</v>
      </c>
      <c r="Z191" s="53">
        <v>0.3155</v>
      </c>
      <c r="AA191" s="56">
        <v>0.2236</v>
      </c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96</v>
      </c>
      <c r="D193" s="52">
        <v>23770.95</v>
      </c>
      <c r="E193" s="52">
        <v>10204.54</v>
      </c>
      <c r="F193" s="52">
        <v>13566.41</v>
      </c>
      <c r="G193" s="53">
        <v>0.5707138334816235</v>
      </c>
      <c r="H193" s="52">
        <v>14310.96</v>
      </c>
      <c r="I193" s="52">
        <v>6935.96</v>
      </c>
      <c r="J193" s="52">
        <v>7389.339999999999</v>
      </c>
      <c r="K193" s="52">
        <v>6605.05</v>
      </c>
      <c r="L193" s="52">
        <v>784.289999999999</v>
      </c>
      <c r="M193" s="53">
        <v>0.1061380312720756</v>
      </c>
      <c r="N193" s="53"/>
      <c r="O193" s="52">
        <v>6921.62</v>
      </c>
      <c r="P193" s="52">
        <v>330.91</v>
      </c>
      <c r="Q193" s="52">
        <v>6590.71</v>
      </c>
      <c r="R193" s="53">
        <v>0.9521918279246766</v>
      </c>
      <c r="S193" s="54">
        <v>140.15</v>
      </c>
      <c r="T193" s="54">
        <v>5.75</v>
      </c>
      <c r="U193" s="54">
        <v>134.4</v>
      </c>
      <c r="V193" s="53">
        <v>0.9589725294327506</v>
      </c>
      <c r="W193" s="53"/>
      <c r="X193" s="55">
        <v>568.4486956521739</v>
      </c>
      <c r="Y193" s="55">
        <v>67.49902570438813</v>
      </c>
      <c r="Z193" s="53">
        <v>0.32030000000000003</v>
      </c>
      <c r="AA193" s="56">
        <v>0.398</v>
      </c>
      <c r="AB193" s="57"/>
      <c r="AD193" s="35" t="s">
        <v>97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98</v>
      </c>
      <c r="D194" s="52">
        <v>23770.95</v>
      </c>
      <c r="E194" s="52">
        <v>10204.54</v>
      </c>
      <c r="F194" s="52">
        <v>13566.41</v>
      </c>
      <c r="G194" s="53">
        <v>0.5707138334816235</v>
      </c>
      <c r="H194" s="52">
        <v>14310.96</v>
      </c>
      <c r="I194" s="52">
        <v>6935.96</v>
      </c>
      <c r="J194" s="52">
        <v>7389.339999999999</v>
      </c>
      <c r="K194" s="52">
        <v>6605.05</v>
      </c>
      <c r="L194" s="52">
        <v>784.289999999999</v>
      </c>
      <c r="M194" s="53">
        <v>0.1061380312720756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568.4486956521739</v>
      </c>
      <c r="Y194" s="55">
        <v>67.49902570438813</v>
      </c>
      <c r="Z194" s="53">
        <v>0.32030000000000003</v>
      </c>
      <c r="AA194" s="56">
        <v>0.398</v>
      </c>
      <c r="AB194" s="57"/>
      <c r="AD194" s="35" t="s">
        <v>99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100</v>
      </c>
      <c r="D195" s="52">
        <v>23770.95</v>
      </c>
      <c r="E195" s="52">
        <v>10204.54</v>
      </c>
      <c r="F195" s="52">
        <v>13566.41</v>
      </c>
      <c r="G195" s="53">
        <v>0.5707138334816235</v>
      </c>
      <c r="H195" s="52">
        <v>14310.96</v>
      </c>
      <c r="I195" s="52">
        <v>7114.14</v>
      </c>
      <c r="J195" s="52">
        <v>7389.339999999999</v>
      </c>
      <c r="K195" s="52">
        <v>6605.05</v>
      </c>
      <c r="L195" s="52">
        <v>784.289999999999</v>
      </c>
      <c r="M195" s="53">
        <v>0.1061380312720756</v>
      </c>
      <c r="N195" s="53"/>
      <c r="O195" s="52">
        <v>6921.62</v>
      </c>
      <c r="P195" s="52">
        <v>509.09</v>
      </c>
      <c r="Q195" s="52">
        <v>6412.53</v>
      </c>
      <c r="R195" s="53">
        <v>0.9264492994414603</v>
      </c>
      <c r="S195" s="54">
        <v>140.15</v>
      </c>
      <c r="T195" s="54">
        <v>9.25</v>
      </c>
      <c r="U195" s="54">
        <v>130.9</v>
      </c>
      <c r="V195" s="53">
        <v>0.9339992864787727</v>
      </c>
      <c r="W195" s="53"/>
      <c r="X195" s="55">
        <v>334.0972972972973</v>
      </c>
      <c r="Y195" s="55">
        <v>67.49902570438813</v>
      </c>
      <c r="Z195" s="53">
        <v>0.3028</v>
      </c>
      <c r="AA195" s="56">
        <v>0.398</v>
      </c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101</v>
      </c>
      <c r="D196" s="52">
        <v>23770.95</v>
      </c>
      <c r="E196" s="52">
        <v>10204.54</v>
      </c>
      <c r="F196" s="52">
        <v>13566.41</v>
      </c>
      <c r="G196" s="53">
        <v>0.5707138334816235</v>
      </c>
      <c r="H196" s="52">
        <v>14310.96</v>
      </c>
      <c r="I196" s="52">
        <v>7116.73</v>
      </c>
      <c r="J196" s="52">
        <v>7389.339999999999</v>
      </c>
      <c r="K196" s="52">
        <v>6605.049999999999</v>
      </c>
      <c r="L196" s="52">
        <v>784.29</v>
      </c>
      <c r="M196" s="53">
        <v>0.10613803127207573</v>
      </c>
      <c r="N196" s="53"/>
      <c r="O196" s="52">
        <v>6921.62</v>
      </c>
      <c r="P196" s="52">
        <v>511.68</v>
      </c>
      <c r="Q196" s="52">
        <v>6409.94</v>
      </c>
      <c r="R196" s="53">
        <v>0.9260751095841725</v>
      </c>
      <c r="S196" s="54">
        <v>140.15</v>
      </c>
      <c r="T196" s="54">
        <v>9.25</v>
      </c>
      <c r="U196" s="54">
        <v>130.9</v>
      </c>
      <c r="V196" s="53">
        <v>0.9339992864787727</v>
      </c>
      <c r="W196" s="53"/>
      <c r="X196" s="55">
        <v>333.8172972972973</v>
      </c>
      <c r="Y196" s="55">
        <v>67.49902570438813</v>
      </c>
      <c r="Z196" s="53">
        <v>0.30260000000000004</v>
      </c>
      <c r="AA196" s="56">
        <v>0.398</v>
      </c>
      <c r="AB196" s="57"/>
      <c r="AD196" s="35" t="s">
        <v>102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103</v>
      </c>
      <c r="D197" s="52">
        <v>23770.94615247</v>
      </c>
      <c r="E197" s="52">
        <v>10204.54</v>
      </c>
      <c r="F197" s="52">
        <v>13566.406152469997</v>
      </c>
      <c r="G197" s="53">
        <v>0.5707137639980029</v>
      </c>
      <c r="H197" s="52">
        <v>14310.9577</v>
      </c>
      <c r="I197" s="52">
        <v>7116.73</v>
      </c>
      <c r="J197" s="52">
        <v>7389.335500000001</v>
      </c>
      <c r="K197" s="52">
        <v>6605.049999999999</v>
      </c>
      <c r="L197" s="52">
        <v>784.2855000000018</v>
      </c>
      <c r="M197" s="53">
        <v>0.10613748692287713</v>
      </c>
      <c r="N197" s="53"/>
      <c r="O197" s="52">
        <v>6921.6222</v>
      </c>
      <c r="P197" s="52">
        <v>511.68</v>
      </c>
      <c r="Q197" s="52">
        <v>6409.9421999999995</v>
      </c>
      <c r="R197" s="53">
        <v>0.9260751330807971</v>
      </c>
      <c r="S197" s="54">
        <v>140.15</v>
      </c>
      <c r="T197" s="54">
        <v>9.25</v>
      </c>
      <c r="U197" s="54">
        <v>130.9</v>
      </c>
      <c r="V197" s="53">
        <v>0.9339992864787727</v>
      </c>
      <c r="W197" s="53"/>
      <c r="X197" s="55">
        <v>333.8172972972973</v>
      </c>
      <c r="Y197" s="55">
        <v>67.49902570438813</v>
      </c>
      <c r="Z197" s="53">
        <v>0.30260000000000004</v>
      </c>
      <c r="AA197" s="56">
        <v>0.398</v>
      </c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104</v>
      </c>
      <c r="D198" s="52">
        <v>23770.94615247</v>
      </c>
      <c r="E198" s="52">
        <v>10204.54</v>
      </c>
      <c r="F198" s="52">
        <v>13566.406152469997</v>
      </c>
      <c r="G198" s="53">
        <v>0.5707137639980029</v>
      </c>
      <c r="H198" s="52">
        <v>14310.9577</v>
      </c>
      <c r="I198" s="52">
        <v>7116.73</v>
      </c>
      <c r="J198" s="52">
        <v>7389.335500000001</v>
      </c>
      <c r="K198" s="52">
        <v>6605.049999999999</v>
      </c>
      <c r="L198" s="52">
        <v>784.2855000000018</v>
      </c>
      <c r="M198" s="53">
        <v>0.10613748692287713</v>
      </c>
      <c r="N198" s="53"/>
      <c r="O198" s="52">
        <v>6921.6222</v>
      </c>
      <c r="P198" s="52">
        <v>511.68</v>
      </c>
      <c r="Q198" s="52">
        <v>6409.9421999999995</v>
      </c>
      <c r="R198" s="53">
        <v>0.9260751330807971</v>
      </c>
      <c r="S198" s="54">
        <v>140.15</v>
      </c>
      <c r="T198" s="54">
        <v>9.25</v>
      </c>
      <c r="U198" s="54">
        <v>130.9</v>
      </c>
      <c r="V198" s="53">
        <v>0.9339992864787727</v>
      </c>
      <c r="W198" s="53"/>
      <c r="X198" s="55">
        <v>333.8172972972973</v>
      </c>
      <c r="Y198" s="55">
        <v>67.49902570438813</v>
      </c>
      <c r="Z198" s="53">
        <v>0.30260000000000004</v>
      </c>
      <c r="AA198" s="56">
        <v>0.398</v>
      </c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96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97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98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99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100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101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102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103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104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96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97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98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99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100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101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102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103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104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96</v>
      </c>
      <c r="D214" s="52">
        <v>137109.56</v>
      </c>
      <c r="E214" s="52">
        <v>30174.75</v>
      </c>
      <c r="F214" s="52">
        <v>106934.81</v>
      </c>
      <c r="G214" s="53">
        <v>0.7799223482301307</v>
      </c>
      <c r="H214" s="52">
        <v>117394.57</v>
      </c>
      <c r="I214" s="52">
        <v>26124</v>
      </c>
      <c r="J214" s="52">
        <v>99479.62000000001</v>
      </c>
      <c r="K214" s="52">
        <v>26124</v>
      </c>
      <c r="L214" s="52">
        <v>73355.62000000001</v>
      </c>
      <c r="M214" s="53">
        <v>0.7373934480248316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>
        <v>0</v>
      </c>
      <c r="Y214" s="55">
        <v>54.93783457863793</v>
      </c>
      <c r="Z214" s="53">
        <v>0.13419999999999999</v>
      </c>
      <c r="AA214" s="56">
        <v>0.1438</v>
      </c>
      <c r="AB214" s="57"/>
      <c r="AD214" s="35" t="s">
        <v>97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98</v>
      </c>
      <c r="D215" s="52">
        <v>137109.56</v>
      </c>
      <c r="E215" s="52">
        <v>30174.75</v>
      </c>
      <c r="F215" s="52">
        <v>106934.81</v>
      </c>
      <c r="G215" s="53">
        <v>0.7799223482301307</v>
      </c>
      <c r="H215" s="52">
        <v>117394.57</v>
      </c>
      <c r="I215" s="52">
        <v>30594.96</v>
      </c>
      <c r="J215" s="52">
        <v>99479.62000000001</v>
      </c>
      <c r="K215" s="52">
        <v>30594.96</v>
      </c>
      <c r="L215" s="52">
        <v>68884.66</v>
      </c>
      <c r="M215" s="53">
        <v>0.692449971159922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-0.0139</v>
      </c>
      <c r="AA215" s="56">
        <v>0.1438</v>
      </c>
      <c r="AB215" s="57"/>
      <c r="AD215" s="35" t="s">
        <v>99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100</v>
      </c>
      <c r="D216" s="52">
        <v>137109.56</v>
      </c>
      <c r="E216" s="52">
        <v>30174.75</v>
      </c>
      <c r="F216" s="52">
        <v>106934.81</v>
      </c>
      <c r="G216" s="53">
        <v>0.7799223482301307</v>
      </c>
      <c r="H216" s="52">
        <v>117394.57</v>
      </c>
      <c r="I216" s="52">
        <v>30594.96</v>
      </c>
      <c r="J216" s="52">
        <v>99479.62000000001</v>
      </c>
      <c r="K216" s="52">
        <v>30594.96</v>
      </c>
      <c r="L216" s="52">
        <v>68884.66</v>
      </c>
      <c r="M216" s="53">
        <v>0.692449971159922</v>
      </c>
      <c r="N216" s="53"/>
      <c r="O216" s="52">
        <v>17914.95</v>
      </c>
      <c r="P216" s="52">
        <v>0</v>
      </c>
      <c r="Q216" s="52">
        <v>17914.95</v>
      </c>
      <c r="R216" s="53">
        <v>1</v>
      </c>
      <c r="S216" s="54">
        <v>358.86</v>
      </c>
      <c r="T216" s="54">
        <v>0</v>
      </c>
      <c r="U216" s="54">
        <v>358.86</v>
      </c>
      <c r="V216" s="53">
        <v>1</v>
      </c>
      <c r="W216" s="53"/>
      <c r="X216" s="55">
        <v>0</v>
      </c>
      <c r="Y216" s="55">
        <v>54.93783457863793</v>
      </c>
      <c r="Z216" s="53">
        <v>-0.0139</v>
      </c>
      <c r="AA216" s="56">
        <v>0.1438</v>
      </c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101</v>
      </c>
      <c r="D217" s="52">
        <v>137109.56</v>
      </c>
      <c r="E217" s="52">
        <v>30174.75</v>
      </c>
      <c r="F217" s="52">
        <v>106934.81</v>
      </c>
      <c r="G217" s="53">
        <v>0.7799223482301307</v>
      </c>
      <c r="H217" s="52">
        <v>117394.57</v>
      </c>
      <c r="I217" s="52">
        <v>30594.96</v>
      </c>
      <c r="J217" s="52">
        <v>99479.62000000001</v>
      </c>
      <c r="K217" s="52">
        <v>30594.96</v>
      </c>
      <c r="L217" s="52">
        <v>68884.66</v>
      </c>
      <c r="M217" s="53">
        <v>0.692449971159922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-0.0139</v>
      </c>
      <c r="AA217" s="56">
        <v>0.1438</v>
      </c>
      <c r="AB217" s="57"/>
      <c r="AD217" s="35" t="s">
        <v>102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103</v>
      </c>
      <c r="D218" s="52">
        <v>137109.56054889</v>
      </c>
      <c r="E218" s="52">
        <v>30174.75</v>
      </c>
      <c r="F218" s="52">
        <v>106934.81054889</v>
      </c>
      <c r="G218" s="53">
        <v>0.7799223491111664</v>
      </c>
      <c r="H218" s="52">
        <v>117394.569232</v>
      </c>
      <c r="I218" s="52">
        <v>37161.14</v>
      </c>
      <c r="J218" s="52">
        <v>99479.615032</v>
      </c>
      <c r="K218" s="52">
        <v>37161.14</v>
      </c>
      <c r="L218" s="52">
        <v>62318.475032</v>
      </c>
      <c r="M218" s="53">
        <v>0.6264446742375689</v>
      </c>
      <c r="N218" s="53"/>
      <c r="O218" s="52">
        <v>17914.9542</v>
      </c>
      <c r="P218" s="52">
        <v>0</v>
      </c>
      <c r="Q218" s="52">
        <v>17914.9542</v>
      </c>
      <c r="R218" s="53">
        <v>1</v>
      </c>
      <c r="S218" s="54">
        <v>358.86</v>
      </c>
      <c r="T218" s="54">
        <v>0</v>
      </c>
      <c r="U218" s="54">
        <v>358.86</v>
      </c>
      <c r="V218" s="53">
        <v>1</v>
      </c>
      <c r="W218" s="53"/>
      <c r="X218" s="55">
        <v>0</v>
      </c>
      <c r="Y218" s="55">
        <v>54.93783457863793</v>
      </c>
      <c r="Z218" s="53">
        <v>-0.23149999999999998</v>
      </c>
      <c r="AA218" s="56">
        <v>0.1438</v>
      </c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104</v>
      </c>
      <c r="D219" s="52">
        <v>137109.56054889</v>
      </c>
      <c r="E219" s="52">
        <v>42368.33</v>
      </c>
      <c r="F219" s="52">
        <v>94741.23054889</v>
      </c>
      <c r="G219" s="53">
        <v>0.6909892364151188</v>
      </c>
      <c r="H219" s="52">
        <v>117394.569232</v>
      </c>
      <c r="I219" s="52">
        <v>37161.14</v>
      </c>
      <c r="J219" s="52">
        <v>99479.615032</v>
      </c>
      <c r="K219" s="52">
        <v>37161.14</v>
      </c>
      <c r="L219" s="52">
        <v>62318.475032</v>
      </c>
      <c r="M219" s="53">
        <v>0.6264446742375689</v>
      </c>
      <c r="N219" s="53"/>
      <c r="O219" s="52">
        <v>17914.9542</v>
      </c>
      <c r="P219" s="52">
        <v>0</v>
      </c>
      <c r="Q219" s="52">
        <v>17914.9542</v>
      </c>
      <c r="R219" s="53">
        <v>1</v>
      </c>
      <c r="S219" s="54">
        <v>358.86</v>
      </c>
      <c r="T219" s="54">
        <v>0</v>
      </c>
      <c r="U219" s="54">
        <v>358.86</v>
      </c>
      <c r="V219" s="53">
        <v>1</v>
      </c>
      <c r="W219" s="53"/>
      <c r="X219" s="55">
        <v>0</v>
      </c>
      <c r="Y219" s="55">
        <v>54.93783457863793</v>
      </c>
      <c r="Z219" s="53">
        <v>0.1229</v>
      </c>
      <c r="AA219" s="56">
        <v>0.1438</v>
      </c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96</v>
      </c>
      <c r="D221" s="52">
        <v>396453.46</v>
      </c>
      <c r="E221" s="52">
        <v>271388.15</v>
      </c>
      <c r="F221" s="52">
        <v>125065.31</v>
      </c>
      <c r="G221" s="53">
        <v>0.3154602560411504</v>
      </c>
      <c r="H221" s="52">
        <v>295569.99</v>
      </c>
      <c r="I221" s="52">
        <v>234322.81</v>
      </c>
      <c r="J221" s="52">
        <v>178700.37</v>
      </c>
      <c r="K221" s="52">
        <v>177071.47999999998</v>
      </c>
      <c r="L221" s="52">
        <v>1628.890000000014</v>
      </c>
      <c r="M221" s="53">
        <v>0.009115202167740415</v>
      </c>
      <c r="N221" s="53"/>
      <c r="O221" s="52">
        <v>116869.62</v>
      </c>
      <c r="P221" s="52">
        <v>57251.33</v>
      </c>
      <c r="Q221" s="52">
        <v>59618.28999999999</v>
      </c>
      <c r="R221" s="53">
        <v>0.5101264982293944</v>
      </c>
      <c r="S221" s="54">
        <v>2344.68</v>
      </c>
      <c r="T221" s="54">
        <v>1212</v>
      </c>
      <c r="U221" s="54">
        <v>1132.6799999999998</v>
      </c>
      <c r="V221" s="53">
        <v>0.48308511182762676</v>
      </c>
      <c r="W221" s="53"/>
      <c r="X221" s="55">
        <v>30.581963696369634</v>
      </c>
      <c r="Y221" s="55">
        <v>43.0265399367206</v>
      </c>
      <c r="Z221" s="53">
        <v>0.1366</v>
      </c>
      <c r="AA221" s="56">
        <v>0.2545</v>
      </c>
      <c r="AB221" s="57"/>
      <c r="AD221" s="35" t="s">
        <v>97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98</v>
      </c>
      <c r="D222" s="52">
        <v>396453.46</v>
      </c>
      <c r="E222" s="52">
        <v>306038.55</v>
      </c>
      <c r="F222" s="52">
        <v>90414.91000000003</v>
      </c>
      <c r="G222" s="53">
        <v>0.2280593288301735</v>
      </c>
      <c r="H222" s="52">
        <v>295569.99</v>
      </c>
      <c r="I222" s="52">
        <v>241753.24</v>
      </c>
      <c r="J222" s="52">
        <v>178700.37</v>
      </c>
      <c r="K222" s="52">
        <v>178956.15</v>
      </c>
      <c r="L222" s="52">
        <v>-255.77999999999884</v>
      </c>
      <c r="M222" s="53">
        <v>-0.0014313344734540776</v>
      </c>
      <c r="N222" s="53"/>
      <c r="O222" s="52">
        <v>116869.62</v>
      </c>
      <c r="P222" s="52">
        <v>62797.09</v>
      </c>
      <c r="Q222" s="52">
        <v>54072.53</v>
      </c>
      <c r="R222" s="53">
        <v>0.4626739609489618</v>
      </c>
      <c r="S222" s="54">
        <v>2344.68</v>
      </c>
      <c r="T222" s="54">
        <v>1335</v>
      </c>
      <c r="U222" s="54">
        <v>1009.6799999999998</v>
      </c>
      <c r="V222" s="53">
        <v>0.4306259276319156</v>
      </c>
      <c r="W222" s="53"/>
      <c r="X222" s="55">
        <v>48.153790262172286</v>
      </c>
      <c r="Y222" s="55">
        <v>43.0265399367206</v>
      </c>
      <c r="Z222" s="53">
        <v>0.2101</v>
      </c>
      <c r="AA222" s="56">
        <v>0.2545</v>
      </c>
      <c r="AB222" s="57"/>
      <c r="AD222" s="35" t="s">
        <v>99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100</v>
      </c>
      <c r="D223" s="52">
        <v>408794.64</v>
      </c>
      <c r="E223" s="52">
        <v>306038.55</v>
      </c>
      <c r="F223" s="52">
        <v>102756.09000000003</v>
      </c>
      <c r="G223" s="53">
        <v>0.25136359419976745</v>
      </c>
      <c r="H223" s="52">
        <v>304310.08</v>
      </c>
      <c r="I223" s="52">
        <v>249180.5</v>
      </c>
      <c r="J223" s="52">
        <v>185072.60000000003</v>
      </c>
      <c r="K223" s="52">
        <v>182215.95</v>
      </c>
      <c r="L223" s="52">
        <v>2856.6500000000233</v>
      </c>
      <c r="M223" s="53">
        <v>0.015435294041365512</v>
      </c>
      <c r="N223" s="53"/>
      <c r="O223" s="52">
        <v>119237.48</v>
      </c>
      <c r="P223" s="52">
        <v>66964.55</v>
      </c>
      <c r="Q223" s="52">
        <v>52272.92999999999</v>
      </c>
      <c r="R223" s="53">
        <v>0.4383934481003791</v>
      </c>
      <c r="S223" s="54">
        <v>2397.2</v>
      </c>
      <c r="T223" s="54">
        <v>1427.42</v>
      </c>
      <c r="U223" s="54">
        <v>969.7799999999997</v>
      </c>
      <c r="V223" s="53">
        <v>0.4045469714667111</v>
      </c>
      <c r="W223" s="53"/>
      <c r="X223" s="55">
        <v>39.832740188592005</v>
      </c>
      <c r="Y223" s="55">
        <v>43.58608178135741</v>
      </c>
      <c r="Z223" s="53">
        <v>0.1858</v>
      </c>
      <c r="AA223" s="56">
        <v>0.2556</v>
      </c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101</v>
      </c>
      <c r="D224" s="52">
        <v>412300.73</v>
      </c>
      <c r="E224" s="52">
        <v>306038.55</v>
      </c>
      <c r="F224" s="52">
        <v>106262.18</v>
      </c>
      <c r="G224" s="53">
        <v>0.25772978864238244</v>
      </c>
      <c r="H224" s="52">
        <v>306356.28</v>
      </c>
      <c r="I224" s="52">
        <v>250902.09</v>
      </c>
      <c r="J224" s="52">
        <v>186357.49000000005</v>
      </c>
      <c r="K224" s="52">
        <v>183091.72999999998</v>
      </c>
      <c r="L224" s="52">
        <v>3265.7600000000675</v>
      </c>
      <c r="M224" s="53">
        <v>0.01752416819951839</v>
      </c>
      <c r="N224" s="53"/>
      <c r="O224" s="52">
        <v>119998.79</v>
      </c>
      <c r="P224" s="52">
        <v>67810.36</v>
      </c>
      <c r="Q224" s="52">
        <v>52188.42999999999</v>
      </c>
      <c r="R224" s="53">
        <v>0.4349079686553506</v>
      </c>
      <c r="S224" s="54">
        <v>2412.45</v>
      </c>
      <c r="T224" s="54">
        <v>1444.92</v>
      </c>
      <c r="U224" s="54">
        <v>967.5299999999997</v>
      </c>
      <c r="V224" s="53">
        <v>0.4010570167257352</v>
      </c>
      <c r="W224" s="53"/>
      <c r="X224" s="55">
        <v>38.158832322896764</v>
      </c>
      <c r="Y224" s="55">
        <v>43.91570973337064</v>
      </c>
      <c r="Z224" s="53">
        <v>0.1802</v>
      </c>
      <c r="AA224" s="56">
        <v>0.257</v>
      </c>
      <c r="AB224" s="57"/>
      <c r="AD224" s="35" t="s">
        <v>102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103</v>
      </c>
      <c r="D225" s="52">
        <v>412300.73261827</v>
      </c>
      <c r="E225" s="52">
        <v>353667.87</v>
      </c>
      <c r="F225" s="52">
        <v>58632.86261826998</v>
      </c>
      <c r="G225" s="53">
        <v>0.1422089702483149</v>
      </c>
      <c r="H225" s="52">
        <v>306356.278672</v>
      </c>
      <c r="I225" s="52">
        <v>256729.4</v>
      </c>
      <c r="J225" s="52">
        <v>186357.488872</v>
      </c>
      <c r="K225" s="52">
        <v>184765.38</v>
      </c>
      <c r="L225" s="52">
        <v>1592.1088719999825</v>
      </c>
      <c r="M225" s="53">
        <v>0.008543305029686924</v>
      </c>
      <c r="N225" s="53"/>
      <c r="O225" s="52">
        <v>119998.7898</v>
      </c>
      <c r="P225" s="52">
        <v>71964.02</v>
      </c>
      <c r="Q225" s="52">
        <v>48034.769799999995</v>
      </c>
      <c r="R225" s="53">
        <v>0.400293785296158</v>
      </c>
      <c r="S225" s="54">
        <v>2412.45</v>
      </c>
      <c r="T225" s="54">
        <v>1535.92</v>
      </c>
      <c r="U225" s="54">
        <v>876.5299999999997</v>
      </c>
      <c r="V225" s="53">
        <v>0.363336027689693</v>
      </c>
      <c r="W225" s="53"/>
      <c r="X225" s="55">
        <v>63.114270274493464</v>
      </c>
      <c r="Y225" s="55">
        <v>43.91570973337064</v>
      </c>
      <c r="Z225" s="53">
        <v>0.2741</v>
      </c>
      <c r="AA225" s="56">
        <v>0.257</v>
      </c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104</v>
      </c>
      <c r="D226" s="52">
        <v>412300.73261827</v>
      </c>
      <c r="E226" s="52">
        <v>353667.87</v>
      </c>
      <c r="F226" s="52">
        <v>58632.86261826998</v>
      </c>
      <c r="G226" s="53">
        <v>0.1422089702483149</v>
      </c>
      <c r="H226" s="52">
        <v>306356.278672</v>
      </c>
      <c r="I226" s="52">
        <v>252680.7</v>
      </c>
      <c r="J226" s="52">
        <v>186357.488872</v>
      </c>
      <c r="K226" s="52">
        <v>180716.68</v>
      </c>
      <c r="L226" s="52">
        <v>5640.808871999994</v>
      </c>
      <c r="M226" s="53">
        <v>0.03026875338438583</v>
      </c>
      <c r="N226" s="53"/>
      <c r="O226" s="52">
        <v>119998.7898</v>
      </c>
      <c r="P226" s="52">
        <v>71964.02</v>
      </c>
      <c r="Q226" s="52">
        <v>48034.769799999995</v>
      </c>
      <c r="R226" s="53">
        <v>0.400293785296158</v>
      </c>
      <c r="S226" s="54">
        <v>2412.45</v>
      </c>
      <c r="T226" s="54">
        <v>1535.92</v>
      </c>
      <c r="U226" s="54">
        <v>876.5299999999997</v>
      </c>
      <c r="V226" s="53">
        <v>0.363336027689693</v>
      </c>
      <c r="W226" s="53"/>
      <c r="X226" s="55">
        <v>65.75027996249804</v>
      </c>
      <c r="Y226" s="55">
        <v>43.91570973337064</v>
      </c>
      <c r="Z226" s="53">
        <v>0.28550000000000003</v>
      </c>
      <c r="AA226" s="56">
        <v>0.257</v>
      </c>
      <c r="AB226" s="57"/>
      <c r="AD226" s="35"/>
      <c r="AE226" s="35"/>
      <c r="AH226" s="59">
        <v>-1014.25</v>
      </c>
      <c r="AI226" s="60"/>
    </row>
    <row r="227" ht="9" customHeight="1" spans="1:35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D227" s="35"/>
      <c r="AE227" s="35"/>
      <c r="AH227" s="35"/>
      <c r="AI227" s="35"/>
    </row>
    <row r="228" ht="15" customHeight="1" spans="1:35" x14ac:dyDescent="0.25">
      <c r="A228" s="19">
        <v>8530</v>
      </c>
      <c r="B228" s="19" t="s">
        <v>63</v>
      </c>
      <c r="C228" s="51" t="s">
        <v>96</v>
      </c>
      <c r="D228" s="52">
        <v>0</v>
      </c>
      <c r="E228" s="52">
        <v>0</v>
      </c>
      <c r="F228" s="52">
        <v>0</v>
      </c>
      <c r="G228" s="53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3">
        <v>0</v>
      </c>
      <c r="N228" s="53"/>
      <c r="O228" s="52">
        <v>0</v>
      </c>
      <c r="P228" s="52">
        <v>0</v>
      </c>
      <c r="Q228" s="52">
        <v>0</v>
      </c>
      <c r="R228" s="53">
        <v>0</v>
      </c>
      <c r="S228" s="54">
        <v>0</v>
      </c>
      <c r="T228" s="54">
        <v>0</v>
      </c>
      <c r="U228" s="54">
        <v>0</v>
      </c>
      <c r="V228" s="53">
        <v>0</v>
      </c>
      <c r="W228" s="53"/>
      <c r="X228" s="55">
        <v>0</v>
      </c>
      <c r="Y228" s="55">
        <v>0</v>
      </c>
      <c r="Z228" s="53">
        <v>0</v>
      </c>
      <c r="AA228" s="56">
        <v>0</v>
      </c>
      <c r="AB228" s="57"/>
      <c r="AD228" s="35"/>
      <c r="AE228" s="35"/>
      <c r="AH228" s="19"/>
      <c r="AI228" s="58"/>
    </row>
    <row r="229" ht="15" customHeight="1" spans="1:35" x14ac:dyDescent="0.25">
      <c r="A229" s="19"/>
      <c r="B229" s="20"/>
      <c r="C229" s="51" t="s">
        <v>98</v>
      </c>
      <c r="D229" s="52">
        <v>8795.03</v>
      </c>
      <c r="E229" s="52">
        <v>0</v>
      </c>
      <c r="F229" s="52">
        <v>8795.03</v>
      </c>
      <c r="G229" s="53">
        <v>1</v>
      </c>
      <c r="H229" s="52">
        <v>6369.12</v>
      </c>
      <c r="I229" s="52">
        <v>0</v>
      </c>
      <c r="J229" s="52">
        <v>4527.889999999999</v>
      </c>
      <c r="K229" s="52">
        <v>0</v>
      </c>
      <c r="L229" s="52">
        <v>4527.889999999999</v>
      </c>
      <c r="M229" s="53">
        <v>1</v>
      </c>
      <c r="N229" s="53"/>
      <c r="O229" s="52">
        <v>1841.23</v>
      </c>
      <c r="P229" s="52">
        <v>0</v>
      </c>
      <c r="Q229" s="52">
        <v>1841.23</v>
      </c>
      <c r="R229" s="53">
        <v>1</v>
      </c>
      <c r="S229" s="54">
        <v>36.92</v>
      </c>
      <c r="T229" s="54">
        <v>0</v>
      </c>
      <c r="U229" s="54">
        <v>36.92</v>
      </c>
      <c r="V229" s="53">
        <v>1</v>
      </c>
      <c r="W229" s="53"/>
      <c r="X229" s="55">
        <v>0</v>
      </c>
      <c r="Y229" s="55">
        <v>65.70711175027087</v>
      </c>
      <c r="Z229" s="53">
        <v>0</v>
      </c>
      <c r="AA229" s="56">
        <v>0.2758</v>
      </c>
      <c r="AB229" s="57"/>
      <c r="AD229" s="35"/>
      <c r="AE229" s="36"/>
      <c r="AH229" s="19"/>
      <c r="AI229" s="58"/>
    </row>
    <row r="230" ht="15" customHeight="1" spans="1:35" x14ac:dyDescent="0.25">
      <c r="A230" s="19"/>
      <c r="B230" s="20"/>
      <c r="C230" s="51" t="s">
        <v>100</v>
      </c>
      <c r="D230" s="52">
        <v>8795.03</v>
      </c>
      <c r="E230" s="52">
        <v>0</v>
      </c>
      <c r="F230" s="52">
        <v>8795.03</v>
      </c>
      <c r="G230" s="53">
        <v>1</v>
      </c>
      <c r="H230" s="52">
        <v>6369.12</v>
      </c>
      <c r="I230" s="52">
        <v>0</v>
      </c>
      <c r="J230" s="52">
        <v>4527.889999999999</v>
      </c>
      <c r="K230" s="52">
        <v>0</v>
      </c>
      <c r="L230" s="52">
        <v>4527.889999999999</v>
      </c>
      <c r="M230" s="53">
        <v>1</v>
      </c>
      <c r="N230" s="53"/>
      <c r="O230" s="52">
        <v>1841.23</v>
      </c>
      <c r="P230" s="52">
        <v>0</v>
      </c>
      <c r="Q230" s="52">
        <v>1841.23</v>
      </c>
      <c r="R230" s="53">
        <v>1</v>
      </c>
      <c r="S230" s="54">
        <v>36.92</v>
      </c>
      <c r="T230" s="54">
        <v>0</v>
      </c>
      <c r="U230" s="54">
        <v>36.92</v>
      </c>
      <c r="V230" s="53">
        <v>1</v>
      </c>
      <c r="W230" s="53"/>
      <c r="X230" s="55">
        <v>0</v>
      </c>
      <c r="Y230" s="55">
        <v>65.70711175027087</v>
      </c>
      <c r="Z230" s="53">
        <v>0</v>
      </c>
      <c r="AA230" s="56">
        <v>0.2758</v>
      </c>
      <c r="AB230" s="57"/>
      <c r="AD230" s="35"/>
      <c r="AE230" s="35"/>
      <c r="AH230" s="19"/>
      <c r="AI230" s="58"/>
    </row>
    <row r="231" ht="15" customHeight="1" spans="1:35" x14ac:dyDescent="0.25">
      <c r="A231" s="19"/>
      <c r="B231" s="20"/>
      <c r="C231" s="51" t="s">
        <v>101</v>
      </c>
      <c r="D231" s="52">
        <v>8795.03</v>
      </c>
      <c r="E231" s="52">
        <v>0</v>
      </c>
      <c r="F231" s="52">
        <v>8795.03</v>
      </c>
      <c r="G231" s="53">
        <v>1</v>
      </c>
      <c r="H231" s="52">
        <v>6369.12</v>
      </c>
      <c r="I231" s="52">
        <v>0</v>
      </c>
      <c r="J231" s="52">
        <v>4527.889999999999</v>
      </c>
      <c r="K231" s="52">
        <v>0</v>
      </c>
      <c r="L231" s="52">
        <v>4527.889999999999</v>
      </c>
      <c r="M231" s="53">
        <v>1</v>
      </c>
      <c r="N231" s="53"/>
      <c r="O231" s="52">
        <v>1841.23</v>
      </c>
      <c r="P231" s="52">
        <v>0</v>
      </c>
      <c r="Q231" s="52">
        <v>1841.23</v>
      </c>
      <c r="R231" s="53">
        <v>1</v>
      </c>
      <c r="S231" s="54">
        <v>36.92</v>
      </c>
      <c r="T231" s="54">
        <v>0</v>
      </c>
      <c r="U231" s="54">
        <v>36.92</v>
      </c>
      <c r="V231" s="53">
        <v>1</v>
      </c>
      <c r="W231" s="53"/>
      <c r="X231" s="55">
        <v>0</v>
      </c>
      <c r="Y231" s="55">
        <v>65.70711175027087</v>
      </c>
      <c r="Z231" s="53">
        <v>0</v>
      </c>
      <c r="AA231" s="56">
        <v>0.2758</v>
      </c>
      <c r="AB231" s="57"/>
      <c r="AD231" s="35"/>
      <c r="AE231" s="36"/>
      <c r="AH231" s="19"/>
      <c r="AI231" s="58"/>
    </row>
    <row r="232" ht="15" customHeight="1" spans="1:35" x14ac:dyDescent="0.25">
      <c r="A232" s="19"/>
      <c r="B232" s="20"/>
      <c r="C232" s="51" t="s">
        <v>103</v>
      </c>
      <c r="D232" s="52">
        <v>8795.02836582</v>
      </c>
      <c r="E232" s="52">
        <v>0</v>
      </c>
      <c r="F232" s="52">
        <v>8795.02836582</v>
      </c>
      <c r="G232" s="53">
        <v>1</v>
      </c>
      <c r="H232" s="52">
        <v>6369.1218</v>
      </c>
      <c r="I232" s="52">
        <v>397</v>
      </c>
      <c r="J232" s="52">
        <v>4527.894</v>
      </c>
      <c r="K232" s="52">
        <v>397</v>
      </c>
      <c r="L232" s="52">
        <v>4130.894</v>
      </c>
      <c r="M232" s="53">
        <v>0.9123212690049723</v>
      </c>
      <c r="N232" s="53"/>
      <c r="O232" s="52">
        <v>1841.2278</v>
      </c>
      <c r="P232" s="52">
        <v>0</v>
      </c>
      <c r="Q232" s="52">
        <v>1841.2278</v>
      </c>
      <c r="R232" s="53">
        <v>1</v>
      </c>
      <c r="S232" s="54">
        <v>36.92</v>
      </c>
      <c r="T232" s="54">
        <v>0</v>
      </c>
      <c r="U232" s="54">
        <v>36.92</v>
      </c>
      <c r="V232" s="53">
        <v>1</v>
      </c>
      <c r="W232" s="53"/>
      <c r="X232" s="55">
        <v>0</v>
      </c>
      <c r="Y232" s="55">
        <v>65.70711175027087</v>
      </c>
      <c r="Z232" s="53">
        <v>0</v>
      </c>
      <c r="AA232" s="56">
        <v>0.2758</v>
      </c>
      <c r="AB232" s="57"/>
      <c r="AD232" s="35"/>
      <c r="AE232" s="35"/>
      <c r="AH232" s="19"/>
      <c r="AI232" s="58"/>
    </row>
    <row r="233" ht="15.75" customHeight="1" spans="1:35" x14ac:dyDescent="0.25">
      <c r="A233" s="59"/>
      <c r="B233" s="75"/>
      <c r="C233" s="76" t="s">
        <v>104</v>
      </c>
      <c r="D233" s="52">
        <v>8795.02836582</v>
      </c>
      <c r="E233" s="52">
        <v>1740.2</v>
      </c>
      <c r="F233" s="52">
        <v>7054.828365820001</v>
      </c>
      <c r="G233" s="53">
        <v>0.8021382163174237</v>
      </c>
      <c r="H233" s="52">
        <v>6369.1218</v>
      </c>
      <c r="I233" s="52">
        <v>584.85</v>
      </c>
      <c r="J233" s="52">
        <v>4527.894</v>
      </c>
      <c r="K233" s="52">
        <v>239.55</v>
      </c>
      <c r="L233" s="52">
        <v>4288.344</v>
      </c>
      <c r="M233" s="53">
        <v>0.9470946095469549</v>
      </c>
      <c r="N233" s="53"/>
      <c r="O233" s="52">
        <v>1841.2278</v>
      </c>
      <c r="P233" s="52">
        <v>345.3</v>
      </c>
      <c r="Q233" s="52">
        <v>1495.9278</v>
      </c>
      <c r="R233" s="53">
        <v>0.8124620973026804</v>
      </c>
      <c r="S233" s="54">
        <v>36.92</v>
      </c>
      <c r="T233" s="54">
        <v>6</v>
      </c>
      <c r="U233" s="54">
        <v>30.92</v>
      </c>
      <c r="V233" s="53">
        <v>0.8374864572047671</v>
      </c>
      <c r="W233" s="53"/>
      <c r="X233" s="55">
        <v>192.5583333333333</v>
      </c>
      <c r="Y233" s="55">
        <v>65.70711175027087</v>
      </c>
      <c r="Z233" s="53">
        <v>0.6639</v>
      </c>
      <c r="AA233" s="56">
        <v>0.2758</v>
      </c>
      <c r="AB233" s="57"/>
      <c r="AD233" s="35"/>
      <c r="AE233" s="35"/>
      <c r="AH233" s="59"/>
      <c r="AI233" s="60"/>
    </row>
    <row r="234" ht="9" customHeight="1" spans="1:35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D234" s="35"/>
      <c r="AE234" s="35"/>
      <c r="AH234" s="35"/>
      <c r="AI234" s="35"/>
    </row>
    <row r="235" ht="15" customHeight="1" spans="1:35" x14ac:dyDescent="0.25">
      <c r="A235" s="19">
        <v>8386</v>
      </c>
      <c r="B235" s="19" t="s">
        <v>65</v>
      </c>
      <c r="C235" s="51" t="s">
        <v>96</v>
      </c>
      <c r="D235" s="52">
        <v>0</v>
      </c>
      <c r="E235" s="52">
        <v>0</v>
      </c>
      <c r="F235" s="52">
        <v>0</v>
      </c>
      <c r="G235" s="53">
        <v>0</v>
      </c>
      <c r="H235" s="52">
        <v>0</v>
      </c>
      <c r="I235" s="52">
        <v>0</v>
      </c>
      <c r="J235" s="52">
        <v>0</v>
      </c>
      <c r="K235" s="52">
        <v>0</v>
      </c>
      <c r="L235" s="52">
        <v>0</v>
      </c>
      <c r="M235" s="53">
        <v>0</v>
      </c>
      <c r="N235" s="53"/>
      <c r="O235" s="52">
        <v>0</v>
      </c>
      <c r="P235" s="52">
        <v>0</v>
      </c>
      <c r="Q235" s="52">
        <v>0</v>
      </c>
      <c r="R235" s="53">
        <v>0</v>
      </c>
      <c r="S235" s="54">
        <v>0</v>
      </c>
      <c r="T235" s="54">
        <v>0</v>
      </c>
      <c r="U235" s="54">
        <v>0</v>
      </c>
      <c r="V235" s="53">
        <v>0</v>
      </c>
      <c r="W235" s="53"/>
      <c r="X235" s="55">
        <v>0</v>
      </c>
      <c r="Y235" s="55">
        <v>0</v>
      </c>
      <c r="Z235" s="53">
        <v>0</v>
      </c>
      <c r="AA235" s="56">
        <v>0</v>
      </c>
      <c r="AB235" s="57"/>
      <c r="AD235" s="35"/>
      <c r="AE235" s="35"/>
      <c r="AH235" s="19"/>
      <c r="AI235" s="58"/>
    </row>
    <row r="236" ht="15" customHeight="1" spans="1:35" x14ac:dyDescent="0.25">
      <c r="A236" s="19"/>
      <c r="B236" s="20"/>
      <c r="C236" s="51" t="s">
        <v>98</v>
      </c>
      <c r="D236" s="52"/>
      <c r="E236" s="52"/>
      <c r="F236" s="52"/>
      <c r="G236" s="53"/>
      <c r="H236" s="52"/>
      <c r="I236" s="52"/>
      <c r="J236" s="52"/>
      <c r="K236" s="52"/>
      <c r="L236" s="52"/>
      <c r="M236" s="53"/>
      <c r="N236" s="53"/>
      <c r="O236" s="52"/>
      <c r="P236" s="52"/>
      <c r="Q236" s="52"/>
      <c r="R236" s="53"/>
      <c r="S236" s="54"/>
      <c r="T236" s="54"/>
      <c r="U236" s="54"/>
      <c r="V236" s="53"/>
      <c r="W236" s="53"/>
      <c r="X236" s="55"/>
      <c r="Y236" s="55"/>
      <c r="Z236" s="53"/>
      <c r="AA236" s="56"/>
      <c r="AB236" s="57"/>
      <c r="AD236" s="35"/>
      <c r="AE236" s="36"/>
      <c r="AH236" s="19"/>
      <c r="AI236" s="58"/>
    </row>
    <row r="237" ht="15" customHeight="1" spans="1:35" x14ac:dyDescent="0.25">
      <c r="A237" s="19"/>
      <c r="B237" s="20"/>
      <c r="C237" s="51" t="s">
        <v>100</v>
      </c>
      <c r="D237" s="52">
        <v>27503.14</v>
      </c>
      <c r="E237" s="52">
        <v>0</v>
      </c>
      <c r="F237" s="52">
        <v>27503.14</v>
      </c>
      <c r="G237" s="53">
        <v>1</v>
      </c>
      <c r="H237" s="52">
        <v>19683.28</v>
      </c>
      <c r="I237" s="52">
        <v>0</v>
      </c>
      <c r="J237" s="52">
        <v>10693.529999999999</v>
      </c>
      <c r="K237" s="52">
        <v>0</v>
      </c>
      <c r="L237" s="52">
        <v>10693.529999999999</v>
      </c>
      <c r="M237" s="53">
        <v>1</v>
      </c>
      <c r="N237" s="53"/>
      <c r="O237" s="52">
        <v>8989.75</v>
      </c>
      <c r="P237" s="52">
        <v>0</v>
      </c>
      <c r="Q237" s="52">
        <v>8989.75</v>
      </c>
      <c r="R237" s="53">
        <v>1</v>
      </c>
      <c r="S237" s="54">
        <v>180.16</v>
      </c>
      <c r="T237" s="54">
        <v>0</v>
      </c>
      <c r="U237" s="54">
        <v>180.16</v>
      </c>
      <c r="V237" s="53">
        <v>1</v>
      </c>
      <c r="W237" s="53"/>
      <c r="X237" s="55">
        <v>0</v>
      </c>
      <c r="Y237" s="55">
        <v>43.40506224750221</v>
      </c>
      <c r="Z237" s="53">
        <v>0</v>
      </c>
      <c r="AA237" s="56">
        <v>0.2843</v>
      </c>
      <c r="AB237" s="57"/>
      <c r="AD237" s="35"/>
      <c r="AE237" s="35"/>
      <c r="AH237" s="19"/>
      <c r="AI237" s="58"/>
    </row>
    <row r="238" ht="15" customHeight="1" spans="1:35" x14ac:dyDescent="0.25">
      <c r="A238" s="19"/>
      <c r="B238" s="20"/>
      <c r="C238" s="51" t="s">
        <v>101</v>
      </c>
      <c r="D238" s="52">
        <v>27503.14</v>
      </c>
      <c r="E238" s="52">
        <v>0</v>
      </c>
      <c r="F238" s="52">
        <v>27503.14</v>
      </c>
      <c r="G238" s="53">
        <v>1</v>
      </c>
      <c r="H238" s="52">
        <v>19683.28</v>
      </c>
      <c r="I238" s="52">
        <v>0</v>
      </c>
      <c r="J238" s="52">
        <v>10693.529999999999</v>
      </c>
      <c r="K238" s="52">
        <v>0</v>
      </c>
      <c r="L238" s="52">
        <v>10693.529999999999</v>
      </c>
      <c r="M238" s="53">
        <v>1</v>
      </c>
      <c r="N238" s="53"/>
      <c r="O238" s="52">
        <v>8989.75</v>
      </c>
      <c r="P238" s="52">
        <v>0</v>
      </c>
      <c r="Q238" s="52">
        <v>8989.75</v>
      </c>
      <c r="R238" s="53">
        <v>1</v>
      </c>
      <c r="S238" s="54">
        <v>180.16</v>
      </c>
      <c r="T238" s="54">
        <v>0</v>
      </c>
      <c r="U238" s="54">
        <v>180.16</v>
      </c>
      <c r="V238" s="53">
        <v>1</v>
      </c>
      <c r="W238" s="53"/>
      <c r="X238" s="55">
        <v>0</v>
      </c>
      <c r="Y238" s="55">
        <v>43.40506224750221</v>
      </c>
      <c r="Z238" s="53">
        <v>0</v>
      </c>
      <c r="AA238" s="56">
        <v>0.2843</v>
      </c>
      <c r="AB238" s="57"/>
      <c r="AD238" s="35"/>
      <c r="AE238" s="36"/>
      <c r="AH238" s="19"/>
      <c r="AI238" s="58"/>
    </row>
    <row r="239" ht="15" customHeight="1" spans="1:35" x14ac:dyDescent="0.25">
      <c r="A239" s="19"/>
      <c r="B239" s="20"/>
      <c r="C239" s="51" t="s">
        <v>103</v>
      </c>
      <c r="D239" s="52">
        <v>27503.13664251</v>
      </c>
      <c r="E239" s="52">
        <v>0</v>
      </c>
      <c r="F239" s="52">
        <v>27503.13664251</v>
      </c>
      <c r="G239" s="53">
        <v>1</v>
      </c>
      <c r="H239" s="52">
        <v>19683.280628</v>
      </c>
      <c r="I239" s="52">
        <v>0</v>
      </c>
      <c r="J239" s="52">
        <v>10693.531628</v>
      </c>
      <c r="K239" s="52">
        <v>0</v>
      </c>
      <c r="L239" s="52">
        <v>10693.531628</v>
      </c>
      <c r="M239" s="53">
        <v>1</v>
      </c>
      <c r="N239" s="53"/>
      <c r="O239" s="52">
        <v>8989.749</v>
      </c>
      <c r="P239" s="52">
        <v>0</v>
      </c>
      <c r="Q239" s="52">
        <v>8989.749</v>
      </c>
      <c r="R239" s="53">
        <v>1</v>
      </c>
      <c r="S239" s="54">
        <v>180.16</v>
      </c>
      <c r="T239" s="54">
        <v>0</v>
      </c>
      <c r="U239" s="54">
        <v>180.16</v>
      </c>
      <c r="V239" s="53">
        <v>1</v>
      </c>
      <c r="W239" s="53"/>
      <c r="X239" s="55">
        <v>0</v>
      </c>
      <c r="Y239" s="55">
        <v>43.40506224750221</v>
      </c>
      <c r="Z239" s="53">
        <v>0</v>
      </c>
      <c r="AA239" s="56">
        <v>0.2843</v>
      </c>
      <c r="AB239" s="57"/>
      <c r="AD239" s="35"/>
      <c r="AE239" s="35"/>
      <c r="AH239" s="19"/>
      <c r="AI239" s="58"/>
    </row>
    <row r="240" ht="15.75" customHeight="1" spans="1:35" x14ac:dyDescent="0.25">
      <c r="A240" s="59"/>
      <c r="B240" s="75"/>
      <c r="C240" s="76" t="s">
        <v>104</v>
      </c>
      <c r="D240" s="52">
        <v>27503.13664251</v>
      </c>
      <c r="E240" s="52">
        <v>0</v>
      </c>
      <c r="F240" s="52">
        <v>27503.13664251</v>
      </c>
      <c r="G240" s="53">
        <v>1</v>
      </c>
      <c r="H240" s="52">
        <v>19683.280628</v>
      </c>
      <c r="I240" s="52">
        <v>0</v>
      </c>
      <c r="J240" s="52">
        <v>10693.531628</v>
      </c>
      <c r="K240" s="52">
        <v>0</v>
      </c>
      <c r="L240" s="52">
        <v>10693.531628</v>
      </c>
      <c r="M240" s="53">
        <v>1</v>
      </c>
      <c r="N240" s="53"/>
      <c r="O240" s="52">
        <v>8989.749</v>
      </c>
      <c r="P240" s="52">
        <v>0</v>
      </c>
      <c r="Q240" s="52">
        <v>8989.749</v>
      </c>
      <c r="R240" s="53">
        <v>1</v>
      </c>
      <c r="S240" s="54">
        <v>180.16</v>
      </c>
      <c r="T240" s="54">
        <v>0</v>
      </c>
      <c r="U240" s="54">
        <v>180.16</v>
      </c>
      <c r="V240" s="53">
        <v>1</v>
      </c>
      <c r="W240" s="53"/>
      <c r="X240" s="55">
        <v>0</v>
      </c>
      <c r="Y240" s="55">
        <v>43.40506224750221</v>
      </c>
      <c r="Z240" s="53">
        <v>0</v>
      </c>
      <c r="AA240" s="56">
        <v>0.2843</v>
      </c>
      <c r="AB240" s="57"/>
      <c r="AD240" s="35"/>
      <c r="AE240" s="35"/>
      <c r="AH240" s="59"/>
      <c r="AI240" s="60"/>
    </row>
    <row r="241" ht="9" customHeight="1" spans="1:35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D241" s="35"/>
      <c r="AE241" s="35"/>
      <c r="AH241" s="35"/>
      <c r="AI241" s="35"/>
    </row>
    <row r="242" ht="15" customHeight="1" spans="1:35" x14ac:dyDescent="0.25">
      <c r="A242" s="19">
        <v>8829</v>
      </c>
      <c r="B242" s="19" t="s">
        <v>66</v>
      </c>
      <c r="C242" s="51" t="s">
        <v>96</v>
      </c>
      <c r="D242" s="52">
        <v>0</v>
      </c>
      <c r="E242" s="52">
        <v>0</v>
      </c>
      <c r="F242" s="52">
        <v>0</v>
      </c>
      <c r="G242" s="53">
        <v>0</v>
      </c>
      <c r="H242" s="52">
        <v>0</v>
      </c>
      <c r="I242" s="52">
        <v>0</v>
      </c>
      <c r="J242" s="52">
        <v>0</v>
      </c>
      <c r="K242" s="52">
        <v>0</v>
      </c>
      <c r="L242" s="52">
        <v>0</v>
      </c>
      <c r="M242" s="53">
        <v>0</v>
      </c>
      <c r="N242" s="53"/>
      <c r="O242" s="52">
        <v>0</v>
      </c>
      <c r="P242" s="52">
        <v>0</v>
      </c>
      <c r="Q242" s="52">
        <v>0</v>
      </c>
      <c r="R242" s="53">
        <v>0</v>
      </c>
      <c r="S242" s="54">
        <v>0</v>
      </c>
      <c r="T242" s="54">
        <v>0</v>
      </c>
      <c r="U242" s="54">
        <v>0</v>
      </c>
      <c r="V242" s="53">
        <v>0</v>
      </c>
      <c r="W242" s="53"/>
      <c r="X242" s="55">
        <v>0</v>
      </c>
      <c r="Y242" s="55">
        <v>0</v>
      </c>
      <c r="Z242" s="53">
        <v>0</v>
      </c>
      <c r="AA242" s="56">
        <v>0</v>
      </c>
      <c r="AB242" s="57"/>
      <c r="AD242" s="35"/>
      <c r="AE242" s="35"/>
      <c r="AH242" s="19"/>
      <c r="AI242" s="58"/>
    </row>
    <row r="243" ht="15" customHeight="1" spans="1:35" x14ac:dyDescent="0.25">
      <c r="A243" s="19"/>
      <c r="B243" s="20"/>
      <c r="C243" s="51" t="s">
        <v>98</v>
      </c>
      <c r="D243" s="52"/>
      <c r="E243" s="52"/>
      <c r="F243" s="52"/>
      <c r="G243" s="53"/>
      <c r="H243" s="52"/>
      <c r="I243" s="52"/>
      <c r="J243" s="52"/>
      <c r="K243" s="52"/>
      <c r="L243" s="52"/>
      <c r="M243" s="53"/>
      <c r="N243" s="53"/>
      <c r="O243" s="52"/>
      <c r="P243" s="52"/>
      <c r="Q243" s="52"/>
      <c r="R243" s="53"/>
      <c r="S243" s="54"/>
      <c r="T243" s="54"/>
      <c r="U243" s="54"/>
      <c r="V243" s="53"/>
      <c r="W243" s="53"/>
      <c r="X243" s="55"/>
      <c r="Y243" s="55"/>
      <c r="Z243" s="53"/>
      <c r="AA243" s="56"/>
      <c r="AB243" s="57"/>
      <c r="AD243" s="35"/>
      <c r="AE243" s="36"/>
      <c r="AH243" s="19"/>
      <c r="AI243" s="58"/>
    </row>
    <row r="244" ht="15" customHeight="1" spans="1:35" x14ac:dyDescent="0.25">
      <c r="A244" s="19"/>
      <c r="B244" s="20"/>
      <c r="C244" s="51" t="s">
        <v>100</v>
      </c>
      <c r="D244" s="52">
        <v>40670.15</v>
      </c>
      <c r="E244" s="52">
        <v>0</v>
      </c>
      <c r="F244" s="52">
        <v>40670.15</v>
      </c>
      <c r="G244" s="53">
        <v>1</v>
      </c>
      <c r="H244" s="52">
        <v>29498.31</v>
      </c>
      <c r="I244" s="52">
        <v>0</v>
      </c>
      <c r="J244" s="52">
        <v>24964.33</v>
      </c>
      <c r="K244" s="52">
        <v>0</v>
      </c>
      <c r="L244" s="52">
        <v>24964.33</v>
      </c>
      <c r="M244" s="53">
        <v>1</v>
      </c>
      <c r="N244" s="53"/>
      <c r="O244" s="52">
        <v>4533.98</v>
      </c>
      <c r="P244" s="52">
        <v>0</v>
      </c>
      <c r="Q244" s="52">
        <v>4533.98</v>
      </c>
      <c r="R244" s="53">
        <v>1</v>
      </c>
      <c r="S244" s="54">
        <v>90.88</v>
      </c>
      <c r="T244" s="54">
        <v>0</v>
      </c>
      <c r="U244" s="54">
        <v>90.88</v>
      </c>
      <c r="V244" s="53">
        <v>1</v>
      </c>
      <c r="W244" s="53"/>
      <c r="X244" s="55">
        <v>0</v>
      </c>
      <c r="Y244" s="55">
        <v>122.92957895026407</v>
      </c>
      <c r="Z244" s="53">
        <v>0</v>
      </c>
      <c r="AA244" s="56">
        <v>0.2747</v>
      </c>
      <c r="AB244" s="57"/>
      <c r="AD244" s="35"/>
      <c r="AE244" s="35"/>
      <c r="AH244" s="19"/>
      <c r="AI244" s="58"/>
    </row>
    <row r="245" ht="15" customHeight="1" spans="1:35" x14ac:dyDescent="0.25">
      <c r="A245" s="19"/>
      <c r="B245" s="20"/>
      <c r="C245" s="51" t="s">
        <v>101</v>
      </c>
      <c r="D245" s="52">
        <v>40670.15</v>
      </c>
      <c r="E245" s="52">
        <v>0</v>
      </c>
      <c r="F245" s="52">
        <v>40670.15</v>
      </c>
      <c r="G245" s="53">
        <v>1</v>
      </c>
      <c r="H245" s="52">
        <v>29498.31</v>
      </c>
      <c r="I245" s="52">
        <v>0</v>
      </c>
      <c r="J245" s="52">
        <v>24964.33</v>
      </c>
      <c r="K245" s="52">
        <v>0</v>
      </c>
      <c r="L245" s="52">
        <v>24964.33</v>
      </c>
      <c r="M245" s="53">
        <v>1</v>
      </c>
      <c r="N245" s="53"/>
      <c r="O245" s="52">
        <v>4533.98</v>
      </c>
      <c r="P245" s="52">
        <v>0</v>
      </c>
      <c r="Q245" s="52">
        <v>4533.98</v>
      </c>
      <c r="R245" s="53">
        <v>1</v>
      </c>
      <c r="S245" s="54">
        <v>90.88</v>
      </c>
      <c r="T245" s="54">
        <v>0</v>
      </c>
      <c r="U245" s="54">
        <v>90.88</v>
      </c>
      <c r="V245" s="53">
        <v>1</v>
      </c>
      <c r="W245" s="53"/>
      <c r="X245" s="55">
        <v>0</v>
      </c>
      <c r="Y245" s="55">
        <v>122.92957895026407</v>
      </c>
      <c r="Z245" s="53">
        <v>0</v>
      </c>
      <c r="AA245" s="56">
        <v>0.2747</v>
      </c>
      <c r="AB245" s="57"/>
      <c r="AD245" s="35"/>
      <c r="AE245" s="36"/>
      <c r="AH245" s="19"/>
      <c r="AI245" s="58"/>
    </row>
    <row r="246" ht="15" customHeight="1" spans="1:35" x14ac:dyDescent="0.25">
      <c r="A246" s="19"/>
      <c r="B246" s="20"/>
      <c r="C246" s="51" t="s">
        <v>103</v>
      </c>
      <c r="D246" s="52">
        <v>40670.1518342</v>
      </c>
      <c r="E246" s="52">
        <v>0</v>
      </c>
      <c r="F246" s="52">
        <v>40670.1518342</v>
      </c>
      <c r="G246" s="53">
        <v>1</v>
      </c>
      <c r="H246" s="52">
        <v>29498.3116992</v>
      </c>
      <c r="I246" s="52">
        <v>0</v>
      </c>
      <c r="J246" s="52">
        <v>24964.3288992</v>
      </c>
      <c r="K246" s="52">
        <v>0</v>
      </c>
      <c r="L246" s="52">
        <v>24964.3288992</v>
      </c>
      <c r="M246" s="53">
        <v>1</v>
      </c>
      <c r="N246" s="53"/>
      <c r="O246" s="52">
        <v>4533.9828</v>
      </c>
      <c r="P246" s="52">
        <v>0</v>
      </c>
      <c r="Q246" s="52">
        <v>4533.9828</v>
      </c>
      <c r="R246" s="53">
        <v>1</v>
      </c>
      <c r="S246" s="54">
        <v>90.88</v>
      </c>
      <c r="T246" s="54">
        <v>0</v>
      </c>
      <c r="U246" s="54">
        <v>90.88</v>
      </c>
      <c r="V246" s="53">
        <v>1</v>
      </c>
      <c r="W246" s="53"/>
      <c r="X246" s="55">
        <v>0</v>
      </c>
      <c r="Y246" s="55">
        <v>122.92957895026407</v>
      </c>
      <c r="Z246" s="53">
        <v>0</v>
      </c>
      <c r="AA246" s="56">
        <v>0.2747</v>
      </c>
      <c r="AB246" s="57"/>
      <c r="AD246" s="35"/>
      <c r="AE246" s="35"/>
      <c r="AH246" s="19"/>
      <c r="AI246" s="58"/>
    </row>
    <row r="247" ht="15.75" customHeight="1" spans="1:35" x14ac:dyDescent="0.25">
      <c r="A247" s="59"/>
      <c r="B247" s="75"/>
      <c r="C247" s="76" t="s">
        <v>104</v>
      </c>
      <c r="D247" s="52">
        <v>40670.1518342</v>
      </c>
      <c r="E247" s="52">
        <v>0</v>
      </c>
      <c r="F247" s="52">
        <v>40670.1518342</v>
      </c>
      <c r="G247" s="53">
        <v>1</v>
      </c>
      <c r="H247" s="52">
        <v>29498.3116992</v>
      </c>
      <c r="I247" s="52">
        <v>0</v>
      </c>
      <c r="J247" s="52">
        <v>24964.3288992</v>
      </c>
      <c r="K247" s="52">
        <v>0</v>
      </c>
      <c r="L247" s="52">
        <v>24964.3288992</v>
      </c>
      <c r="M247" s="53">
        <v>1</v>
      </c>
      <c r="N247" s="53"/>
      <c r="O247" s="52">
        <v>4533.9828</v>
      </c>
      <c r="P247" s="52">
        <v>0</v>
      </c>
      <c r="Q247" s="52">
        <v>4533.9828</v>
      </c>
      <c r="R247" s="53">
        <v>1</v>
      </c>
      <c r="S247" s="54">
        <v>90.88</v>
      </c>
      <c r="T247" s="54">
        <v>0</v>
      </c>
      <c r="U247" s="54">
        <v>90.88</v>
      </c>
      <c r="V247" s="53">
        <v>1</v>
      </c>
      <c r="W247" s="53"/>
      <c r="X247" s="55">
        <v>0</v>
      </c>
      <c r="Y247" s="55">
        <v>122.92957895026407</v>
      </c>
      <c r="Z247" s="53">
        <v>0</v>
      </c>
      <c r="AA247" s="56">
        <v>0.2747</v>
      </c>
      <c r="AB247" s="57"/>
      <c r="AD247" s="35"/>
      <c r="AE247" s="35"/>
      <c r="AH247" s="59"/>
      <c r="AI247" s="60"/>
    </row>
    <row r="248" ht="9" customHeight="1" spans="1:35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D248" s="35"/>
      <c r="AE248" s="35"/>
      <c r="AH248" s="35"/>
      <c r="AI248" s="35"/>
    </row>
    <row r="249" ht="15" customHeight="1" spans="1:35" x14ac:dyDescent="0.25">
      <c r="A249" s="19">
        <v>7480</v>
      </c>
      <c r="B249" s="19" t="s">
        <v>67</v>
      </c>
      <c r="C249" s="51" t="s">
        <v>96</v>
      </c>
      <c r="D249" s="52">
        <v>0</v>
      </c>
      <c r="E249" s="52">
        <v>0</v>
      </c>
      <c r="F249" s="52">
        <v>0</v>
      </c>
      <c r="G249" s="53">
        <v>0</v>
      </c>
      <c r="H249" s="52">
        <v>0</v>
      </c>
      <c r="I249" s="52">
        <v>0</v>
      </c>
      <c r="J249" s="52">
        <v>0</v>
      </c>
      <c r="K249" s="52">
        <v>0</v>
      </c>
      <c r="L249" s="52">
        <v>0</v>
      </c>
      <c r="M249" s="53">
        <v>0</v>
      </c>
      <c r="N249" s="53"/>
      <c r="O249" s="52">
        <v>0</v>
      </c>
      <c r="P249" s="52">
        <v>0</v>
      </c>
      <c r="Q249" s="52">
        <v>0</v>
      </c>
      <c r="R249" s="53">
        <v>0</v>
      </c>
      <c r="S249" s="54">
        <v>0</v>
      </c>
      <c r="T249" s="54">
        <v>0</v>
      </c>
      <c r="U249" s="54">
        <v>0</v>
      </c>
      <c r="V249" s="53">
        <v>0</v>
      </c>
      <c r="W249" s="53"/>
      <c r="X249" s="55">
        <v>0</v>
      </c>
      <c r="Y249" s="55">
        <v>0</v>
      </c>
      <c r="Z249" s="53">
        <v>0</v>
      </c>
      <c r="AA249" s="56">
        <v>0</v>
      </c>
      <c r="AB249" s="57"/>
      <c r="AD249" s="35"/>
      <c r="AE249" s="35"/>
      <c r="AH249" s="19"/>
      <c r="AI249" s="58"/>
    </row>
    <row r="250" ht="15" customHeight="1" spans="1:35" x14ac:dyDescent="0.25">
      <c r="A250" s="19"/>
      <c r="B250" s="20"/>
      <c r="C250" s="51" t="s">
        <v>98</v>
      </c>
      <c r="D250" s="52"/>
      <c r="E250" s="52"/>
      <c r="F250" s="52"/>
      <c r="G250" s="53"/>
      <c r="H250" s="52"/>
      <c r="I250" s="52"/>
      <c r="J250" s="52"/>
      <c r="K250" s="52"/>
      <c r="L250" s="52"/>
      <c r="M250" s="53"/>
      <c r="N250" s="53"/>
      <c r="O250" s="52"/>
      <c r="P250" s="52"/>
      <c r="Q250" s="52"/>
      <c r="R250" s="53"/>
      <c r="S250" s="54"/>
      <c r="T250" s="54"/>
      <c r="U250" s="54"/>
      <c r="V250" s="53"/>
      <c r="W250" s="53"/>
      <c r="X250" s="55"/>
      <c r="Y250" s="55"/>
      <c r="Z250" s="53"/>
      <c r="AA250" s="56"/>
      <c r="AB250" s="57"/>
      <c r="AD250" s="35"/>
      <c r="AE250" s="36"/>
      <c r="AH250" s="19"/>
      <c r="AI250" s="58"/>
    </row>
    <row r="251" ht="15" customHeight="1" spans="1:35" x14ac:dyDescent="0.25">
      <c r="A251" s="19"/>
      <c r="B251" s="20"/>
      <c r="C251" s="51" t="s">
        <v>100</v>
      </c>
      <c r="D251" s="52">
        <v>21396.5</v>
      </c>
      <c r="E251" s="52">
        <v>0</v>
      </c>
      <c r="F251" s="52">
        <v>21396.5</v>
      </c>
      <c r="G251" s="53">
        <v>1</v>
      </c>
      <c r="H251" s="52">
        <v>15378.24</v>
      </c>
      <c r="I251" s="52">
        <v>0</v>
      </c>
      <c r="J251" s="52">
        <v>8344.599999999999</v>
      </c>
      <c r="K251" s="52">
        <v>0</v>
      </c>
      <c r="L251" s="52">
        <v>8344.599999999999</v>
      </c>
      <c r="M251" s="53">
        <v>1</v>
      </c>
      <c r="N251" s="53"/>
      <c r="O251" s="52">
        <v>7033.64</v>
      </c>
      <c r="P251" s="52">
        <v>0</v>
      </c>
      <c r="Q251" s="52">
        <v>7033.64</v>
      </c>
      <c r="R251" s="53">
        <v>1</v>
      </c>
      <c r="S251" s="54">
        <v>140.9</v>
      </c>
      <c r="T251" s="54">
        <v>0</v>
      </c>
      <c r="U251" s="54">
        <v>140.9</v>
      </c>
      <c r="V251" s="53">
        <v>1</v>
      </c>
      <c r="W251" s="53"/>
      <c r="X251" s="55">
        <v>0</v>
      </c>
      <c r="Y251" s="55">
        <v>42.71295951611073</v>
      </c>
      <c r="Z251" s="53">
        <v>0</v>
      </c>
      <c r="AA251" s="56">
        <v>0.2813</v>
      </c>
      <c r="AB251" s="57"/>
      <c r="AD251" s="35"/>
      <c r="AE251" s="35"/>
      <c r="AH251" s="19"/>
      <c r="AI251" s="58"/>
    </row>
    <row r="252" ht="15" customHeight="1" spans="1:35" x14ac:dyDescent="0.25">
      <c r="A252" s="19"/>
      <c r="B252" s="20"/>
      <c r="C252" s="51" t="s">
        <v>101</v>
      </c>
      <c r="D252" s="52">
        <v>21396.5</v>
      </c>
      <c r="E252" s="52">
        <v>0</v>
      </c>
      <c r="F252" s="52">
        <v>21396.5</v>
      </c>
      <c r="G252" s="53">
        <v>1</v>
      </c>
      <c r="H252" s="52">
        <v>15378.24</v>
      </c>
      <c r="I252" s="52">
        <v>0</v>
      </c>
      <c r="J252" s="52">
        <v>8344.599999999999</v>
      </c>
      <c r="K252" s="52">
        <v>0</v>
      </c>
      <c r="L252" s="52">
        <v>8344.599999999999</v>
      </c>
      <c r="M252" s="53">
        <v>1</v>
      </c>
      <c r="N252" s="53"/>
      <c r="O252" s="52">
        <v>7033.64</v>
      </c>
      <c r="P252" s="52">
        <v>0</v>
      </c>
      <c r="Q252" s="52">
        <v>7033.64</v>
      </c>
      <c r="R252" s="53">
        <v>1</v>
      </c>
      <c r="S252" s="54">
        <v>140.9</v>
      </c>
      <c r="T252" s="54">
        <v>0</v>
      </c>
      <c r="U252" s="54">
        <v>140.9</v>
      </c>
      <c r="V252" s="53">
        <v>1</v>
      </c>
      <c r="W252" s="53"/>
      <c r="X252" s="55">
        <v>0</v>
      </c>
      <c r="Y252" s="55">
        <v>42.71295951611073</v>
      </c>
      <c r="Z252" s="53">
        <v>0</v>
      </c>
      <c r="AA252" s="56">
        <v>0.2813</v>
      </c>
      <c r="AB252" s="57"/>
      <c r="AD252" s="35"/>
      <c r="AE252" s="36"/>
      <c r="AH252" s="19"/>
      <c r="AI252" s="58"/>
    </row>
    <row r="253" ht="15" customHeight="1" spans="1:35" x14ac:dyDescent="0.25">
      <c r="A253" s="19"/>
      <c r="B253" s="20"/>
      <c r="C253" s="51" t="s">
        <v>103</v>
      </c>
      <c r="D253" s="52">
        <v>21396.50036782</v>
      </c>
      <c r="E253" s="52">
        <v>0</v>
      </c>
      <c r="F253" s="52">
        <v>21396.50036782</v>
      </c>
      <c r="G253" s="53">
        <v>1</v>
      </c>
      <c r="H253" s="52">
        <v>15378.244372</v>
      </c>
      <c r="I253" s="52">
        <v>0</v>
      </c>
      <c r="J253" s="52">
        <v>8344.608772</v>
      </c>
      <c r="K253" s="52">
        <v>0</v>
      </c>
      <c r="L253" s="52">
        <v>8344.608772</v>
      </c>
      <c r="M253" s="53">
        <v>1</v>
      </c>
      <c r="N253" s="53"/>
      <c r="O253" s="52">
        <v>7033.6356</v>
      </c>
      <c r="P253" s="52">
        <v>0</v>
      </c>
      <c r="Q253" s="52">
        <v>7033.6356</v>
      </c>
      <c r="R253" s="53">
        <v>1</v>
      </c>
      <c r="S253" s="54">
        <v>140.9</v>
      </c>
      <c r="T253" s="54">
        <v>0</v>
      </c>
      <c r="U253" s="54">
        <v>140.9</v>
      </c>
      <c r="V253" s="53">
        <v>1</v>
      </c>
      <c r="W253" s="53"/>
      <c r="X253" s="55">
        <v>0</v>
      </c>
      <c r="Y253" s="55">
        <v>42.71295951611073</v>
      </c>
      <c r="Z253" s="53">
        <v>0</v>
      </c>
      <c r="AA253" s="56">
        <v>0.2813</v>
      </c>
      <c r="AB253" s="57"/>
      <c r="AD253" s="35"/>
      <c r="AE253" s="35"/>
      <c r="AH253" s="19"/>
      <c r="AI253" s="58"/>
    </row>
    <row r="254" ht="15.75" customHeight="1" spans="1:35" x14ac:dyDescent="0.25">
      <c r="A254" s="59"/>
      <c r="B254" s="75"/>
      <c r="C254" s="76" t="s">
        <v>104</v>
      </c>
      <c r="D254" s="52">
        <v>21396.50036782</v>
      </c>
      <c r="E254" s="52">
        <v>0</v>
      </c>
      <c r="F254" s="52">
        <v>21396.50036782</v>
      </c>
      <c r="G254" s="53">
        <v>1</v>
      </c>
      <c r="H254" s="52">
        <v>15378.244372</v>
      </c>
      <c r="I254" s="52">
        <v>0</v>
      </c>
      <c r="J254" s="52">
        <v>8344.608772</v>
      </c>
      <c r="K254" s="52">
        <v>0</v>
      </c>
      <c r="L254" s="52">
        <v>8344.608772</v>
      </c>
      <c r="M254" s="53">
        <v>1</v>
      </c>
      <c r="N254" s="53"/>
      <c r="O254" s="52">
        <v>7033.6356</v>
      </c>
      <c r="P254" s="52">
        <v>0</v>
      </c>
      <c r="Q254" s="52">
        <v>7033.6356</v>
      </c>
      <c r="R254" s="53">
        <v>1</v>
      </c>
      <c r="S254" s="54">
        <v>140.9</v>
      </c>
      <c r="T254" s="54">
        <v>0</v>
      </c>
      <c r="U254" s="54">
        <v>140.9</v>
      </c>
      <c r="V254" s="53">
        <v>1</v>
      </c>
      <c r="W254" s="53"/>
      <c r="X254" s="55">
        <v>0</v>
      </c>
      <c r="Y254" s="55">
        <v>42.71295951611073</v>
      </c>
      <c r="Z254" s="53">
        <v>0</v>
      </c>
      <c r="AA254" s="56">
        <v>0.2813</v>
      </c>
      <c r="AB254" s="57"/>
      <c r="AD254" s="35"/>
      <c r="AE254" s="35"/>
      <c r="AH254" s="59"/>
      <c r="AI254" s="60"/>
    </row>
    <row r="255" ht="9" customHeight="1" spans="1:35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D255" s="35"/>
      <c r="AE255" s="35"/>
      <c r="AH255" s="35"/>
      <c r="AI255" s="35"/>
    </row>
    <row r="256" ht="15" customHeight="1" spans="1:35" x14ac:dyDescent="0.25">
      <c r="A256" s="19">
        <v>9437</v>
      </c>
      <c r="B256" s="19" t="s">
        <v>68</v>
      </c>
      <c r="C256" s="51" t="s">
        <v>96</v>
      </c>
      <c r="D256" s="52">
        <v>0</v>
      </c>
      <c r="E256" s="52">
        <v>0</v>
      </c>
      <c r="F256" s="52">
        <v>0</v>
      </c>
      <c r="G256" s="53">
        <v>0</v>
      </c>
      <c r="H256" s="52">
        <v>0</v>
      </c>
      <c r="I256" s="52">
        <v>0</v>
      </c>
      <c r="J256" s="52">
        <v>0</v>
      </c>
      <c r="K256" s="52">
        <v>0</v>
      </c>
      <c r="L256" s="52">
        <v>0</v>
      </c>
      <c r="M256" s="53">
        <v>0</v>
      </c>
      <c r="N256" s="53"/>
      <c r="O256" s="52">
        <v>0</v>
      </c>
      <c r="P256" s="52">
        <v>0</v>
      </c>
      <c r="Q256" s="52">
        <v>0</v>
      </c>
      <c r="R256" s="53">
        <v>0</v>
      </c>
      <c r="S256" s="54">
        <v>0</v>
      </c>
      <c r="T256" s="54">
        <v>0</v>
      </c>
      <c r="U256" s="54">
        <v>0</v>
      </c>
      <c r="V256" s="53">
        <v>0</v>
      </c>
      <c r="W256" s="53"/>
      <c r="X256" s="55">
        <v>0</v>
      </c>
      <c r="Y256" s="55">
        <v>0</v>
      </c>
      <c r="Z256" s="53">
        <v>0</v>
      </c>
      <c r="AA256" s="56">
        <v>0</v>
      </c>
      <c r="AB256" s="57"/>
      <c r="AD256" s="35"/>
      <c r="AE256" s="35"/>
      <c r="AH256" s="19"/>
      <c r="AI256" s="58"/>
    </row>
    <row r="257" ht="15" customHeight="1" spans="1:35" x14ac:dyDescent="0.25">
      <c r="A257" s="19"/>
      <c r="B257" s="20"/>
      <c r="C257" s="51" t="s">
        <v>98</v>
      </c>
      <c r="D257" s="52"/>
      <c r="E257" s="52"/>
      <c r="F257" s="52"/>
      <c r="G257" s="53"/>
      <c r="H257" s="52"/>
      <c r="I257" s="52"/>
      <c r="J257" s="52"/>
      <c r="K257" s="52"/>
      <c r="L257" s="52"/>
      <c r="M257" s="53"/>
      <c r="N257" s="53"/>
      <c r="O257" s="52"/>
      <c r="P257" s="52"/>
      <c r="Q257" s="52"/>
      <c r="R257" s="53"/>
      <c r="S257" s="54"/>
      <c r="T257" s="54"/>
      <c r="U257" s="54"/>
      <c r="V257" s="53"/>
      <c r="W257" s="53"/>
      <c r="X257" s="55"/>
      <c r="Y257" s="55"/>
      <c r="Z257" s="53"/>
      <c r="AA257" s="56"/>
      <c r="AB257" s="57"/>
      <c r="AD257" s="35"/>
      <c r="AE257" s="36"/>
      <c r="AH257" s="19"/>
      <c r="AI257" s="58"/>
    </row>
    <row r="258" ht="15" customHeight="1" spans="1:35" x14ac:dyDescent="0.25">
      <c r="A258" s="19"/>
      <c r="B258" s="20"/>
      <c r="C258" s="51" t="s">
        <v>100</v>
      </c>
      <c r="D258" s="52">
        <v>239296.88</v>
      </c>
      <c r="E258" s="52">
        <v>10598.48</v>
      </c>
      <c r="F258" s="52">
        <v>228698.4</v>
      </c>
      <c r="G258" s="53">
        <v>0.9557099114706384</v>
      </c>
      <c r="H258" s="52">
        <v>203192.69</v>
      </c>
      <c r="I258" s="52">
        <v>18229.7</v>
      </c>
      <c r="J258" s="52">
        <v>175849.53</v>
      </c>
      <c r="K258" s="52">
        <v>16839.61</v>
      </c>
      <c r="L258" s="52">
        <v>159009.91999999998</v>
      </c>
      <c r="M258" s="53">
        <v>0.9042385271089436</v>
      </c>
      <c r="N258" s="53"/>
      <c r="O258" s="52">
        <v>27343.16</v>
      </c>
      <c r="P258" s="52">
        <v>1390.09</v>
      </c>
      <c r="Q258" s="52">
        <v>25953.07</v>
      </c>
      <c r="R258" s="53">
        <v>0.9491613259038092</v>
      </c>
      <c r="S258" s="54">
        <v>547.57</v>
      </c>
      <c r="T258" s="54">
        <v>27.84</v>
      </c>
      <c r="U258" s="54">
        <v>519.73</v>
      </c>
      <c r="V258" s="53">
        <v>0.9491571853826908</v>
      </c>
      <c r="W258" s="53"/>
      <c r="X258" s="55">
        <v>-274.10991379310343</v>
      </c>
      <c r="Y258" s="55">
        <v>65.93529946112827</v>
      </c>
      <c r="Z258" s="53">
        <v>-0.72</v>
      </c>
      <c r="AA258" s="56">
        <v>0.1509</v>
      </c>
      <c r="AB258" s="57"/>
      <c r="AD258" s="35"/>
      <c r="AE258" s="35"/>
      <c r="AH258" s="19"/>
      <c r="AI258" s="58"/>
    </row>
    <row r="259" ht="15" customHeight="1" spans="1:35" x14ac:dyDescent="0.25">
      <c r="A259" s="19"/>
      <c r="B259" s="20"/>
      <c r="C259" s="51" t="s">
        <v>101</v>
      </c>
      <c r="D259" s="52">
        <v>239296.88</v>
      </c>
      <c r="E259" s="52">
        <v>10598.48</v>
      </c>
      <c r="F259" s="52">
        <v>228698.4</v>
      </c>
      <c r="G259" s="53">
        <v>0.9557099114706384</v>
      </c>
      <c r="H259" s="52">
        <v>203192.69</v>
      </c>
      <c r="I259" s="52">
        <v>18229.7</v>
      </c>
      <c r="J259" s="52">
        <v>175849.53</v>
      </c>
      <c r="K259" s="52">
        <v>16839.61</v>
      </c>
      <c r="L259" s="52">
        <v>159009.91999999998</v>
      </c>
      <c r="M259" s="53">
        <v>0.9042385271089436</v>
      </c>
      <c r="N259" s="53"/>
      <c r="O259" s="52">
        <v>27343.16</v>
      </c>
      <c r="P259" s="52">
        <v>1390.09</v>
      </c>
      <c r="Q259" s="52">
        <v>25953.07</v>
      </c>
      <c r="R259" s="53">
        <v>0.9491613259038092</v>
      </c>
      <c r="S259" s="54">
        <v>547.57</v>
      </c>
      <c r="T259" s="54">
        <v>27.84</v>
      </c>
      <c r="U259" s="54">
        <v>519.73</v>
      </c>
      <c r="V259" s="53">
        <v>0.9491571853826908</v>
      </c>
      <c r="W259" s="53"/>
      <c r="X259" s="55">
        <v>-274.10991379310343</v>
      </c>
      <c r="Y259" s="55">
        <v>65.93529946112827</v>
      </c>
      <c r="Z259" s="53">
        <v>-0.72</v>
      </c>
      <c r="AA259" s="56">
        <v>0.1509</v>
      </c>
      <c r="AB259" s="57"/>
      <c r="AD259" s="35"/>
      <c r="AE259" s="36"/>
      <c r="AH259" s="19"/>
      <c r="AI259" s="58"/>
    </row>
    <row r="260" ht="15" customHeight="1" spans="1:35" x14ac:dyDescent="0.25">
      <c r="A260" s="19"/>
      <c r="B260" s="20"/>
      <c r="C260" s="51" t="s">
        <v>103</v>
      </c>
      <c r="D260" s="52">
        <v>239296.88379393</v>
      </c>
      <c r="E260" s="52">
        <v>10598.48</v>
      </c>
      <c r="F260" s="52">
        <v>228698.40379393</v>
      </c>
      <c r="G260" s="53">
        <v>0.9557099121728352</v>
      </c>
      <c r="H260" s="52">
        <v>203192.691868</v>
      </c>
      <c r="I260" s="52">
        <v>18235.02</v>
      </c>
      <c r="J260" s="52">
        <v>175849.529668</v>
      </c>
      <c r="K260" s="52">
        <v>16839.61</v>
      </c>
      <c r="L260" s="52">
        <v>159009.91966800002</v>
      </c>
      <c r="M260" s="53">
        <v>0.9042385269281482</v>
      </c>
      <c r="N260" s="53"/>
      <c r="O260" s="52">
        <v>27343.1622</v>
      </c>
      <c r="P260" s="52">
        <v>1395.41</v>
      </c>
      <c r="Q260" s="52">
        <v>25947.7522</v>
      </c>
      <c r="R260" s="53">
        <v>0.9489667658117465</v>
      </c>
      <c r="S260" s="54">
        <v>547.57</v>
      </c>
      <c r="T260" s="54">
        <v>27.84</v>
      </c>
      <c r="U260" s="54">
        <v>519.73</v>
      </c>
      <c r="V260" s="53">
        <v>0.9491571853826908</v>
      </c>
      <c r="W260" s="53"/>
      <c r="X260" s="55">
        <v>-274.30100574712645</v>
      </c>
      <c r="Y260" s="55">
        <v>65.93529946112827</v>
      </c>
      <c r="Z260" s="53">
        <v>-0.7204999999999999</v>
      </c>
      <c r="AA260" s="56">
        <v>0.1509</v>
      </c>
      <c r="AB260" s="57"/>
      <c r="AD260" s="35"/>
      <c r="AE260" s="35"/>
      <c r="AH260" s="19"/>
      <c r="AI260" s="58"/>
    </row>
    <row r="261" ht="15.75" customHeight="1" spans="1:35" x14ac:dyDescent="0.25">
      <c r="A261" s="59"/>
      <c r="B261" s="75"/>
      <c r="C261" s="76" t="s">
        <v>104</v>
      </c>
      <c r="D261" s="52">
        <v>239296.88379393</v>
      </c>
      <c r="E261" s="52">
        <v>19872.16</v>
      </c>
      <c r="F261" s="52">
        <v>219424.72379393</v>
      </c>
      <c r="G261" s="53">
        <v>0.916956043534972</v>
      </c>
      <c r="H261" s="52">
        <v>203192.691868</v>
      </c>
      <c r="I261" s="52">
        <v>18292.87</v>
      </c>
      <c r="J261" s="52">
        <v>175849.529668</v>
      </c>
      <c r="K261" s="52">
        <v>16897.46</v>
      </c>
      <c r="L261" s="52">
        <v>158952.069668</v>
      </c>
      <c r="M261" s="53">
        <v>0.9039095524912576</v>
      </c>
      <c r="N261" s="53"/>
      <c r="O261" s="52">
        <v>27343.1622</v>
      </c>
      <c r="P261" s="52">
        <v>1395.41</v>
      </c>
      <c r="Q261" s="52">
        <v>25947.7522</v>
      </c>
      <c r="R261" s="53">
        <v>0.9489667658117465</v>
      </c>
      <c r="S261" s="54">
        <v>547.57</v>
      </c>
      <c r="T261" s="54">
        <v>27.84</v>
      </c>
      <c r="U261" s="54">
        <v>519.73</v>
      </c>
      <c r="V261" s="53">
        <v>0.9491571853826908</v>
      </c>
      <c r="W261" s="53"/>
      <c r="X261" s="55">
        <v>56.727370689655174</v>
      </c>
      <c r="Y261" s="55">
        <v>65.93529946112827</v>
      </c>
      <c r="Z261" s="53">
        <v>0.0795</v>
      </c>
      <c r="AA261" s="56">
        <v>0.1509</v>
      </c>
      <c r="AB261" s="57"/>
      <c r="AD261" s="35"/>
      <c r="AE261" s="35"/>
      <c r="AH261" s="59"/>
      <c r="AI261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106</v>
      </c>
      <c r="B2" s="81" t="s">
        <v>107</v>
      </c>
      <c r="C2" s="82" t="s">
        <v>108</v>
      </c>
      <c r="D2" s="82" t="s">
        <v>109</v>
      </c>
      <c r="E2" s="82" t="s">
        <v>110</v>
      </c>
      <c r="F2" s="82" t="s">
        <v>111</v>
      </c>
      <c r="G2" s="83" t="s">
        <v>112</v>
      </c>
      <c r="H2" s="83" t="s">
        <v>113</v>
      </c>
      <c r="I2" s="81" t="s">
        <v>114</v>
      </c>
      <c r="J2" s="82" t="s">
        <v>115</v>
      </c>
      <c r="K2" s="82" t="s">
        <v>116</v>
      </c>
      <c r="L2" s="83" t="s">
        <v>117</v>
      </c>
      <c r="M2" s="83" t="s">
        <v>118</v>
      </c>
      <c r="N2" s="81" t="s">
        <v>119</v>
      </c>
      <c r="O2" s="84" t="s">
        <v>120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v>7658</v>
      </c>
      <c r="B4" s="54" t="s">
        <v>25</v>
      </c>
      <c r="C4" s="52">
        <v>22202.890000000014</v>
      </c>
      <c r="D4" s="52">
        <v>21498.290000000008</v>
      </c>
      <c r="E4" s="52">
        <v>704.6000000000058</v>
      </c>
      <c r="F4" s="52">
        <v>0</v>
      </c>
      <c r="G4" s="53">
        <v>0.03173460752181385</v>
      </c>
      <c r="H4" s="53">
        <v>0.2149</v>
      </c>
      <c r="I4" s="86">
        <v>50</v>
      </c>
      <c r="J4" s="87">
        <v>5000</v>
      </c>
      <c r="K4" s="52">
        <v>7000</v>
      </c>
      <c r="L4" s="53">
        <v>-0.283539665331855</v>
      </c>
      <c r="M4" s="52">
        <v>-6295.399999999994</v>
      </c>
      <c r="N4" s="54">
        <v>20</v>
      </c>
      <c r="O4" s="58">
        <v>-89.93428571428564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v>8142</v>
      </c>
      <c r="B6" s="54" t="s">
        <v>29</v>
      </c>
      <c r="C6" s="52">
        <v>42019.899999999994</v>
      </c>
      <c r="D6" s="52">
        <v>21082.62999999999</v>
      </c>
      <c r="E6" s="52">
        <v>20937.270000000004</v>
      </c>
      <c r="F6" s="52">
        <v>7</v>
      </c>
      <c r="G6" s="53">
        <v>0.4984369310731346</v>
      </c>
      <c r="H6" s="53">
        <v>0.239214585617637</v>
      </c>
      <c r="I6" s="54">
        <v>500</v>
      </c>
      <c r="J6" s="52">
        <v>272.6</v>
      </c>
      <c r="K6" s="52">
        <v>20272.6</v>
      </c>
      <c r="L6" s="53">
        <v>0.01598456921601445</v>
      </c>
      <c r="M6" s="52">
        <v>671.6700000000055</v>
      </c>
      <c r="N6" s="54">
        <v>-52.5</v>
      </c>
      <c r="O6" s="58">
        <v>1.500938547486046</v>
      </c>
      <c r="Q6" s="35" t="s">
        <v>121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v>8824</v>
      </c>
      <c r="B8" s="54" t="s">
        <v>31</v>
      </c>
      <c r="C8" s="52">
        <v>0</v>
      </c>
      <c r="D8" s="52">
        <v>462</v>
      </c>
      <c r="E8" s="52">
        <v>-462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-1102</v>
      </c>
      <c r="N8" s="54">
        <v>-34.75</v>
      </c>
      <c r="O8" s="58">
        <v>58.77333333333333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v>8127</v>
      </c>
      <c r="B10" s="54" t="s">
        <v>32</v>
      </c>
      <c r="C10" s="52">
        <v>0</v>
      </c>
      <c r="D10" s="52">
        <v>4539.259999999995</v>
      </c>
      <c r="E10" s="52">
        <v>-4539.259999999995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-9459.259999999995</v>
      </c>
      <c r="N10" s="54">
        <v>-388.25</v>
      </c>
      <c r="O10" s="58">
        <v>27.80091109478323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122</v>
      </c>
      <c r="C12" s="52">
        <v>93276.07999999999</v>
      </c>
      <c r="D12" s="52">
        <v>62750.76999999999</v>
      </c>
      <c r="E12" s="52">
        <v>30525.309999999998</v>
      </c>
      <c r="F12" s="52">
        <v>3</v>
      </c>
      <c r="G12" s="53">
        <v>0.327289804631584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0.2989867284302685</v>
      </c>
      <c r="M12" s="52">
        <v>27888.309999999998</v>
      </c>
      <c r="N12" s="54">
        <v>53</v>
      </c>
      <c r="O12" s="58">
        <v>404.1784057971014</v>
      </c>
      <c r="Q12" s="35" t="s">
        <v>123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v>8886</v>
      </c>
      <c r="B14" s="54" t="s">
        <v>35</v>
      </c>
      <c r="C14" s="52">
        <v>61369.72</v>
      </c>
      <c r="D14" s="52">
        <v>16020.68</v>
      </c>
      <c r="E14" s="52">
        <v>45349.04</v>
      </c>
      <c r="F14" s="52">
        <v>0</v>
      </c>
      <c r="G14" s="53">
        <v>0.738948132727345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0.6900640902386389</v>
      </c>
      <c r="M14" s="52">
        <v>42349.04</v>
      </c>
      <c r="N14" s="54">
        <v>-112</v>
      </c>
      <c r="O14" s="58">
        <v>-378.11642857142857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v>8887</v>
      </c>
      <c r="B16" s="54" t="s">
        <v>36</v>
      </c>
      <c r="C16" s="52">
        <v>27951.480000000003</v>
      </c>
      <c r="D16" s="52">
        <v>4389.459999999999</v>
      </c>
      <c r="E16" s="52">
        <v>23562.020000000004</v>
      </c>
      <c r="F16" s="52"/>
      <c r="G16" s="53">
        <v>0.842961446048653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0.735632603354098</v>
      </c>
      <c r="M16" s="52">
        <v>20562.020000000004</v>
      </c>
      <c r="N16" s="54">
        <v>-86.75</v>
      </c>
      <c r="O16" s="58">
        <v>-237.0261671469741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v>8670</v>
      </c>
      <c r="B18" s="54" t="s">
        <v>37</v>
      </c>
      <c r="C18" s="52">
        <v>27482.319999999992</v>
      </c>
      <c r="D18" s="52">
        <v>19232.930000000008</v>
      </c>
      <c r="E18" s="52">
        <v>8249.389999999985</v>
      </c>
      <c r="F18" s="52">
        <v>0</v>
      </c>
      <c r="G18" s="53">
        <v>0.30017080071842506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0.0017971554075487397</v>
      </c>
      <c r="M18" s="52">
        <v>49.389999999984866</v>
      </c>
      <c r="N18" s="54">
        <v>-269</v>
      </c>
      <c r="O18" s="58">
        <v>-0.26132275132267124</v>
      </c>
      <c r="Q18" s="35" t="s">
        <v>124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v>8907</v>
      </c>
      <c r="B20" s="54" t="s">
        <v>38</v>
      </c>
      <c r="C20" s="52">
        <v>0</v>
      </c>
      <c r="D20" s="52">
        <v>0</v>
      </c>
      <c r="E20" s="52">
        <v>0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0</v>
      </c>
      <c r="N20" s="54"/>
      <c r="O20" s="58">
        <v>0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v>9065</v>
      </c>
      <c r="B22" s="54" t="s">
        <v>39</v>
      </c>
      <c r="C22" s="52">
        <v>19065.239999999998</v>
      </c>
      <c r="D22" s="52">
        <v>20702.6</v>
      </c>
      <c r="E22" s="52">
        <v>-1637.3600000000006</v>
      </c>
      <c r="F22" s="52">
        <v>3</v>
      </c>
      <c r="G22" s="53">
        <v>-0.08572459617607756</v>
      </c>
      <c r="H22" s="53">
        <v>0.252488256827238</v>
      </c>
      <c r="I22" s="54"/>
      <c r="J22" s="52"/>
      <c r="K22" s="52">
        <v>0</v>
      </c>
      <c r="L22" s="53">
        <v>-0.08572459617607756</v>
      </c>
      <c r="M22" s="52">
        <v>-1634.3600000000006</v>
      </c>
      <c r="N22" s="54"/>
      <c r="O22" s="58">
        <v>0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v>9259</v>
      </c>
      <c r="B24" s="54" t="s">
        <v>40</v>
      </c>
      <c r="C24" s="52">
        <v>16999.83</v>
      </c>
      <c r="D24" s="52">
        <v>15288.169999999998</v>
      </c>
      <c r="E24" s="52">
        <v>1711.6600000000035</v>
      </c>
      <c r="F24" s="52">
        <v>3</v>
      </c>
      <c r="G24" s="53">
        <v>0.1008633615747924</v>
      </c>
      <c r="H24" s="53"/>
      <c r="I24" s="54"/>
      <c r="J24" s="52"/>
      <c r="K24" s="52">
        <v>0</v>
      </c>
      <c r="L24" s="53">
        <v>0.1008633615747924</v>
      </c>
      <c r="M24" s="52">
        <v>1714.6600000000035</v>
      </c>
      <c r="N24" s="54"/>
      <c r="O24" s="58">
        <v>0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v>8352</v>
      </c>
      <c r="B26" s="54" t="s">
        <v>41</v>
      </c>
      <c r="C26" s="52">
        <v>0</v>
      </c>
      <c r="D26" s="52">
        <v>1159.83</v>
      </c>
      <c r="E26" s="52">
        <v>-1159.83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-1159.83</v>
      </c>
      <c r="N26" s="54">
        <v>-143.25</v>
      </c>
      <c r="O26" s="58">
        <v>8.096544502617801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v>8234</v>
      </c>
      <c r="B28" s="54" t="s">
        <v>43</v>
      </c>
      <c r="C28" s="52">
        <v>0</v>
      </c>
      <c r="D28" s="52">
        <v>-902.1700000000019</v>
      </c>
      <c r="E28" s="52">
        <v>902.1700000000019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902.1700000000019</v>
      </c>
      <c r="N28" s="54">
        <v>-148.5</v>
      </c>
      <c r="O28" s="58">
        <v>-6.075218855218868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v>8214</v>
      </c>
      <c r="B30" s="54" t="s">
        <v>44</v>
      </c>
      <c r="C30" s="52">
        <v>0</v>
      </c>
      <c r="D30" s="52">
        <v>93.54999999999927</v>
      </c>
      <c r="E30" s="52">
        <v>-93.54999999999927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-93.54999999999927</v>
      </c>
      <c r="N30" s="54">
        <v>-5</v>
      </c>
      <c r="O30" s="58">
        <v>18.709999999999855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v>6792</v>
      </c>
      <c r="B32" s="54" t="s">
        <v>45</v>
      </c>
      <c r="C32" s="52">
        <v>-715</v>
      </c>
      <c r="D32" s="52">
        <v>245.72999999999956</v>
      </c>
      <c r="E32" s="52">
        <v>-960.7299999999996</v>
      </c>
      <c r="F32" s="52">
        <v>0</v>
      </c>
      <c r="G32" s="53">
        <v>1.343678321678321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4.924097902097902</v>
      </c>
      <c r="M32" s="52">
        <v>-3520.7299999999996</v>
      </c>
      <c r="N32" s="54">
        <v>-317.25</v>
      </c>
      <c r="O32" s="58">
        <v>13.90219151036525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v>8840</v>
      </c>
      <c r="B34" s="54" t="s">
        <v>47</v>
      </c>
      <c r="C34" s="52">
        <v>0</v>
      </c>
      <c r="D34" s="52">
        <v>923.8799999999974</v>
      </c>
      <c r="E34" s="52">
        <v>-923.8799999999974</v>
      </c>
      <c r="F34" s="52">
        <v>0</v>
      </c>
      <c r="G34" s="53">
        <v>0</v>
      </c>
      <c r="H34" s="53">
        <v>0.364182044343228</v>
      </c>
      <c r="I34" s="54"/>
      <c r="J34" s="52">
        <v>0</v>
      </c>
      <c r="K34" s="52">
        <v>0</v>
      </c>
      <c r="L34" s="53">
        <v>0</v>
      </c>
      <c r="M34" s="52">
        <v>-923.8799999999974</v>
      </c>
      <c r="N34" s="54">
        <v>-204.75</v>
      </c>
      <c r="O34" s="58">
        <v>4.512234432234419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v>8769</v>
      </c>
      <c r="B36" s="54" t="s">
        <v>48</v>
      </c>
      <c r="C36" s="52">
        <v>0</v>
      </c>
      <c r="D36" s="52">
        <v>58.32</v>
      </c>
      <c r="E36" s="52">
        <v>-58.32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-3258.32</v>
      </c>
      <c r="N36" s="54"/>
      <c r="O36" s="58">
        <v>-40.729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v>7901</v>
      </c>
      <c r="B38" s="54" t="s">
        <v>49</v>
      </c>
      <c r="C38" s="52">
        <v>64090.99</v>
      </c>
      <c r="D38" s="52">
        <v>8038.550000000003</v>
      </c>
      <c r="E38" s="52">
        <v>56052.439999999995</v>
      </c>
      <c r="F38" s="52">
        <v>0</v>
      </c>
      <c r="G38" s="53">
        <v>0.8745759739395506</v>
      </c>
      <c r="H38" s="53">
        <v>0.1750921737769</v>
      </c>
      <c r="I38" s="54"/>
      <c r="J38" s="52"/>
      <c r="K38" s="52">
        <v>0</v>
      </c>
      <c r="L38" s="53">
        <v>0.8745759739395506</v>
      </c>
      <c r="M38" s="52">
        <v>56052.439999999995</v>
      </c>
      <c r="N38" s="54"/>
      <c r="O38" s="58">
        <v>0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v>8923</v>
      </c>
      <c r="B40" s="54" t="s">
        <v>50</v>
      </c>
      <c r="C40" s="52">
        <v>2127.8099999999995</v>
      </c>
      <c r="D40" s="52">
        <v>0</v>
      </c>
      <c r="E40" s="52">
        <v>2127.8099999999995</v>
      </c>
      <c r="F40" s="52">
        <v>0</v>
      </c>
      <c r="G40" s="53">
        <v>1</v>
      </c>
      <c r="H40" s="53">
        <v>0.262692984588275</v>
      </c>
      <c r="I40" s="54"/>
      <c r="J40" s="52">
        <v>0</v>
      </c>
      <c r="K40" s="52">
        <v>0</v>
      </c>
      <c r="L40" s="53">
        <v>1</v>
      </c>
      <c r="M40" s="52">
        <v>2127.8099999999995</v>
      </c>
      <c r="N40" s="54">
        <v>-2</v>
      </c>
      <c r="O40" s="58">
        <v>-1063.9049999999997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v>7864</v>
      </c>
      <c r="B42" s="54" t="s">
        <v>51</v>
      </c>
      <c r="C42" s="52">
        <v>0</v>
      </c>
      <c r="D42" s="52">
        <v>-13.369999999998981</v>
      </c>
      <c r="E42" s="52">
        <v>13.369999999998981</v>
      </c>
      <c r="F42" s="52"/>
      <c r="G42" s="53">
        <v>0</v>
      </c>
      <c r="H42" s="53">
        <v>0.257245709794332</v>
      </c>
      <c r="I42" s="54">
        <v>0</v>
      </c>
      <c r="J42" s="52"/>
      <c r="K42" s="52">
        <v>0</v>
      </c>
      <c r="L42" s="53">
        <v>0</v>
      </c>
      <c r="M42" s="52">
        <v>13.369999999998981</v>
      </c>
      <c r="N42" s="54">
        <v>-266.75</v>
      </c>
      <c r="O42" s="58">
        <v>-0.05012183692595682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v>7912</v>
      </c>
      <c r="B44" s="54" t="s">
        <v>52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v>8360</v>
      </c>
      <c r="B46" s="98" t="s">
        <v>53</v>
      </c>
      <c r="C46" s="99">
        <v>0</v>
      </c>
      <c r="D46" s="99">
        <v>0</v>
      </c>
      <c r="E46" s="99">
        <v>0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0</v>
      </c>
      <c r="N46" s="98">
        <v>-260.75</v>
      </c>
      <c r="O46" s="60">
        <v>0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v>8337</v>
      </c>
      <c r="B48" s="98" t="s">
        <v>54</v>
      </c>
      <c r="C48" s="99">
        <v>6081.02</v>
      </c>
      <c r="D48" s="99">
        <v>3650.3599999999988</v>
      </c>
      <c r="E48" s="99">
        <v>2430.6600000000017</v>
      </c>
      <c r="F48" s="99"/>
      <c r="G48" s="100">
        <v>0.39971254822381797</v>
      </c>
      <c r="H48" s="100">
        <v>0.222350780727547</v>
      </c>
      <c r="I48" s="98"/>
      <c r="J48" s="99">
        <v>2530</v>
      </c>
      <c r="K48" s="99">
        <v>2530</v>
      </c>
      <c r="L48" s="100">
        <v>-0.0163360751979106</v>
      </c>
      <c r="M48" s="99">
        <v>-99.33999999999833</v>
      </c>
      <c r="N48" s="98">
        <v>-44.75</v>
      </c>
      <c r="O48" s="60">
        <v>2.2198882681563874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v>9240</v>
      </c>
      <c r="B50" s="98" t="s">
        <v>55</v>
      </c>
      <c r="C50" s="99">
        <v>0</v>
      </c>
      <c r="D50" s="99">
        <v>2097.39</v>
      </c>
      <c r="E50" s="99">
        <v>-2097.39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-2097.39</v>
      </c>
      <c r="N50" s="98"/>
      <c r="O50" s="60">
        <v>0</v>
      </c>
      <c r="Q50" s="35" t="s">
        <v>125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v>7428</v>
      </c>
      <c r="B52" s="98" t="s">
        <v>56</v>
      </c>
      <c r="C52" s="99">
        <v>0</v>
      </c>
      <c r="D52" s="99">
        <v>2625.4400000000023</v>
      </c>
      <c r="E52" s="99">
        <v>-2625.4400000000023</v>
      </c>
      <c r="F52" s="99"/>
      <c r="G52" s="100">
        <v>0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-3905.4400000000023</v>
      </c>
      <c r="N52" s="98">
        <v>-304.75</v>
      </c>
      <c r="O52" s="60">
        <v>14.318753437213575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v>9351</v>
      </c>
      <c r="B54" s="98" t="s">
        <v>57</v>
      </c>
      <c r="C54" s="99">
        <v>3801.9399999999996</v>
      </c>
      <c r="D54" s="99">
        <v>3273.68</v>
      </c>
      <c r="E54" s="99">
        <v>528.2599999999998</v>
      </c>
      <c r="F54" s="99"/>
      <c r="G54" s="100">
        <v>0.13894485446903418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-0.029390258657422327</v>
      </c>
      <c r="M54" s="99">
        <v>-111.74000000000024</v>
      </c>
      <c r="N54" s="98">
        <v>-11.25</v>
      </c>
      <c r="O54" s="60">
        <v>-23.52421052631584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v>7429</v>
      </c>
      <c r="B56" s="98" t="s">
        <v>58</v>
      </c>
      <c r="C56" s="99">
        <v>0</v>
      </c>
      <c r="D56" s="99">
        <v>0</v>
      </c>
      <c r="E56" s="99">
        <v>0</v>
      </c>
      <c r="F56" s="99"/>
      <c r="G56" s="100">
        <v>0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</v>
      </c>
      <c r="M56" s="99">
        <v>-5400</v>
      </c>
      <c r="N56" s="98">
        <v>-32.25</v>
      </c>
      <c r="O56" s="60">
        <v>242.69662921348313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v>9508</v>
      </c>
      <c r="B58" s="98" t="s">
        <v>59</v>
      </c>
      <c r="C58" s="99">
        <v>0</v>
      </c>
      <c r="D58" s="99">
        <v>180.76999999999953</v>
      </c>
      <c r="E58" s="99">
        <v>-180.76999999999953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-180.76999999999953</v>
      </c>
      <c r="N58" s="98"/>
      <c r="O58" s="60">
        <v>0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/>
      <c r="B62" s="98" t="s">
        <v>60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v>8946</v>
      </c>
      <c r="B64" s="98" t="s">
        <v>61</v>
      </c>
      <c r="C64" s="99">
        <v>12193.580000000002</v>
      </c>
      <c r="D64" s="99">
        <v>11037.14</v>
      </c>
      <c r="E64" s="99">
        <v>1156.4400000000023</v>
      </c>
      <c r="F64" s="99"/>
      <c r="G64" s="100">
        <v>0.09484007157865058</v>
      </c>
      <c r="H64" s="100">
        <v>0.143790046441692</v>
      </c>
      <c r="I64" s="98"/>
      <c r="J64" s="99">
        <v>1750</v>
      </c>
      <c r="K64" s="99">
        <v>1750</v>
      </c>
      <c r="L64" s="100">
        <v>-0.04867807485578457</v>
      </c>
      <c r="M64" s="99">
        <v>-593.5599999999977</v>
      </c>
      <c r="N64" s="98"/>
      <c r="O64" s="60">
        <v>0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">
        <v>62</v>
      </c>
      <c r="C66" s="99">
        <v>82279.71999999997</v>
      </c>
      <c r="D66" s="99">
        <v>18357.890000000014</v>
      </c>
      <c r="E66" s="99">
        <v>63921.82999999996</v>
      </c>
      <c r="F66" s="99"/>
      <c r="G66" s="100">
        <v>0.7768843890086158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0.7379926669658086</v>
      </c>
      <c r="M66" s="99">
        <v>60721.82999999996</v>
      </c>
      <c r="N66" s="98">
        <v>-1014.25</v>
      </c>
      <c r="O66" s="60">
        <v>-64.99526893229859</v>
      </c>
    </row>
    <row r="67" ht="15" customHeight="1" spans="1:30" x14ac:dyDescent="0.25">
      <c r="A67" s="102">
        <v>9437</v>
      </c>
      <c r="B67" s="98" t="s">
        <v>68</v>
      </c>
      <c r="C67" s="99">
        <v>19872.16</v>
      </c>
      <c r="D67" s="99">
        <v>18292.87</v>
      </c>
      <c r="E67" s="99">
        <v>1579.2900000000009</v>
      </c>
      <c r="F67" s="99"/>
      <c r="G67" s="100">
        <v>0.07947248814421788</v>
      </c>
      <c r="H67" s="100">
        <f>'Deliverables Sheet'!AA256</f>
      </c>
      <c r="I67" s="98"/>
      <c r="J67" s="99"/>
      <c r="K67" s="99">
        <v>0</v>
      </c>
      <c r="L67" s="100">
        <v>0.07947248814421788</v>
      </c>
      <c r="M67" s="99">
        <v>1579.2900000000009</v>
      </c>
      <c r="N67" s="98"/>
      <c r="O67" s="60">
        <v>0</v>
      </c>
    </row>
    <row r="68" ht="15" customHeight="1" spans="1:30" x14ac:dyDescent="0.25">
      <c r="A68" s="102">
        <v>7480</v>
      </c>
      <c r="B68" s="98" t="s">
        <v>67</v>
      </c>
      <c r="C68" s="99">
        <v>0</v>
      </c>
      <c r="D68" s="99">
        <v>0</v>
      </c>
      <c r="E68" s="99">
        <v>0</v>
      </c>
      <c r="F68" s="99"/>
      <c r="G68" s="100">
        <v>0</v>
      </c>
      <c r="H68" s="100">
        <f>'Deliverables Sheet'!AA249</f>
      </c>
      <c r="I68" s="98"/>
      <c r="J68" s="99"/>
      <c r="K68" s="99">
        <v>0</v>
      </c>
      <c r="L68" s="100">
        <v>0</v>
      </c>
      <c r="M68" s="99">
        <v>0</v>
      </c>
      <c r="N68" s="98"/>
      <c r="O68" s="60">
        <v>0</v>
      </c>
    </row>
    <row r="69" ht="15" customHeight="1" spans="1:30" x14ac:dyDescent="0.25">
      <c r="A69" s="102">
        <v>8829</v>
      </c>
      <c r="B69" s="98" t="s">
        <v>66</v>
      </c>
      <c r="C69" s="99">
        <v>0</v>
      </c>
      <c r="D69" s="99">
        <v>0</v>
      </c>
      <c r="E69" s="99">
        <v>0</v>
      </c>
      <c r="F69" s="99"/>
      <c r="G69" s="100">
        <v>0</v>
      </c>
      <c r="H69" s="100">
        <f>'Deliverables Sheet'!AA242</f>
      </c>
      <c r="I69" s="98"/>
      <c r="J69" s="99"/>
      <c r="K69" s="99">
        <v>0</v>
      </c>
      <c r="L69" s="100">
        <v>0</v>
      </c>
      <c r="M69" s="99">
        <v>0</v>
      </c>
      <c r="N69" s="98"/>
      <c r="O69" s="60">
        <v>0</v>
      </c>
    </row>
    <row r="70" ht="15" customHeight="1" spans="1:30" x14ac:dyDescent="0.25">
      <c r="A70" s="102">
        <v>8386</v>
      </c>
      <c r="B70" s="98" t="s">
        <v>65</v>
      </c>
      <c r="C70" s="99">
        <v>0</v>
      </c>
      <c r="D70" s="99">
        <v>0</v>
      </c>
      <c r="E70" s="99">
        <v>0</v>
      </c>
      <c r="F70" s="99"/>
      <c r="G70" s="100">
        <v>0</v>
      </c>
      <c r="H70" s="100">
        <f>'Deliverables Sheet'!AA235</f>
      </c>
      <c r="I70" s="98"/>
      <c r="J70" s="99"/>
      <c r="K70" s="99">
        <v>0</v>
      </c>
      <c r="L70" s="100">
        <v>0</v>
      </c>
      <c r="M70" s="99">
        <v>0</v>
      </c>
      <c r="N70" s="98"/>
      <c r="O70" s="60">
        <v>0</v>
      </c>
    </row>
    <row r="71" ht="15" customHeight="1" spans="1:30" x14ac:dyDescent="0.25">
      <c r="A71" s="102">
        <v>8530</v>
      </c>
      <c r="B71" s="98" t="s">
        <v>63</v>
      </c>
      <c r="C71" s="99">
        <v>1740.2</v>
      </c>
      <c r="D71" s="99">
        <v>584.85</v>
      </c>
      <c r="E71" s="99">
        <v>1155.35</v>
      </c>
      <c r="F71" s="99"/>
      <c r="G71" s="100">
        <v>0.663917940466613</v>
      </c>
      <c r="H71" s="100">
        <f>'Deliverables Sheet'!AA228</f>
      </c>
      <c r="I71" s="98"/>
      <c r="J71" s="99"/>
      <c r="K71" s="99">
        <v>0</v>
      </c>
      <c r="L71" s="100">
        <v>0.663917940466613</v>
      </c>
      <c r="M71" s="99">
        <v>1155.35</v>
      </c>
      <c r="N71" s="98"/>
      <c r="O71" s="60">
        <v>0</v>
      </c>
    </row>
    <row r="72" ht="15" customHeight="1" spans="1:30" x14ac:dyDescent="0.25">
      <c r="A72" s="35"/>
      <c r="B72" s="35"/>
      <c r="C72" s="36"/>
      <c r="D72" s="36"/>
      <c r="E72" s="36"/>
      <c r="F72" s="36"/>
      <c r="G72" s="37"/>
      <c r="H72" s="37"/>
      <c r="I72" s="35"/>
      <c r="J72" s="36"/>
      <c r="K72" s="36"/>
      <c r="L72" s="37"/>
      <c r="M72" s="36"/>
      <c r="N72" s="35"/>
      <c r="O72" s="36"/>
    </row>
    <row r="73" spans="1:30" x14ac:dyDescent="0.25">
      <c r="A73" s="35"/>
      <c r="B73" s="35"/>
      <c r="C73" s="36"/>
      <c r="D73" s="36"/>
      <c r="E73" s="36"/>
      <c r="F73" s="36"/>
      <c r="G73" s="37"/>
      <c r="H73" s="37"/>
      <c r="I73" s="35"/>
      <c r="J73" s="36"/>
      <c r="K73" s="36"/>
      <c r="L73" s="37"/>
      <c r="M73" s="37"/>
      <c r="N73" s="35"/>
      <c r="O73" s="35"/>
    </row>
    <row r="74" ht="15" customHeight="1" spans="1:30" x14ac:dyDescent="0.25">
      <c r="A74" s="49" t="s">
        <v>126</v>
      </c>
      <c r="B74" s="103" t="s">
        <v>127</v>
      </c>
      <c r="C74" s="104">
        <v>501839.88</v>
      </c>
      <c r="D74" s="104">
        <v>255671.49999999997</v>
      </c>
      <c r="E74" s="105">
        <v>246168.37999999998</v>
      </c>
      <c r="F74" s="106" t="s">
        <v>128</v>
      </c>
      <c r="G74" s="107">
        <v>0.49053172099435377</v>
      </c>
      <c r="H74" s="108" t="s">
        <v>129</v>
      </c>
      <c r="I74" s="109">
        <v>0.3505815042040899</v>
      </c>
      <c r="J74" s="36"/>
      <c r="K74" s="36"/>
      <c r="L74" s="37"/>
      <c r="M74" s="37"/>
      <c r="N74" s="35"/>
      <c r="O74" s="35"/>
    </row>
    <row r="75" ht="15" customHeight="1" spans="1:30" x14ac:dyDescent="0.25">
      <c r="A75" s="59"/>
      <c r="B75" s="98" t="s">
        <v>130</v>
      </c>
      <c r="C75" s="99">
        <v>-22865.6</v>
      </c>
      <c r="D75" s="99">
        <v>32774.04000000001</v>
      </c>
      <c r="E75" s="110">
        <v>-55639.640000000014</v>
      </c>
      <c r="F75" s="111"/>
      <c r="G75" s="112">
        <v>2.433333916450914</v>
      </c>
      <c r="H75" s="113" t="s">
        <v>129</v>
      </c>
      <c r="I75" s="114">
        <v>2.685240710936954</v>
      </c>
      <c r="J75" s="36"/>
      <c r="K75" s="36"/>
      <c r="L75" s="37"/>
      <c r="M75" s="37"/>
      <c r="N75" s="35"/>
      <c r="O75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131</v>
      </c>
      <c r="C2" s="117" t="s">
        <v>132</v>
      </c>
      <c r="D2" s="117" t="s">
        <v>133</v>
      </c>
      <c r="E2" s="117" t="s">
        <v>134</v>
      </c>
      <c r="F2" s="117" t="s">
        <v>135</v>
      </c>
      <c r="G2" s="117" t="s">
        <v>136</v>
      </c>
      <c r="H2" s="117" t="s">
        <v>137</v>
      </c>
      <c r="I2" s="117" t="s">
        <v>138</v>
      </c>
      <c r="J2" s="117" t="s">
        <v>139</v>
      </c>
      <c r="K2" s="117" t="s">
        <v>140</v>
      </c>
      <c r="L2" s="117" t="s">
        <v>141</v>
      </c>
      <c r="M2" s="117" t="s">
        <v>142</v>
      </c>
      <c r="N2" s="117" t="s">
        <v>143</v>
      </c>
      <c r="O2" s="117" t="s">
        <v>144</v>
      </c>
      <c r="P2" s="117" t="s">
        <v>145</v>
      </c>
      <c r="Q2" s="118" t="s">
        <v>146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147</v>
      </c>
      <c r="B3" s="123" t="s">
        <v>148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v>7658</v>
      </c>
      <c r="B4" s="20" t="s">
        <v>25</v>
      </c>
      <c r="C4" s="54">
        <v>638.02</v>
      </c>
      <c r="D4" s="54">
        <v>625.25</v>
      </c>
      <c r="E4" s="54">
        <v>12.769999999999982</v>
      </c>
      <c r="F4" s="54">
        <v>0</v>
      </c>
      <c r="G4" s="54">
        <v>0</v>
      </c>
      <c r="H4" s="54">
        <v>0</v>
      </c>
      <c r="I4" s="54"/>
      <c r="J4" s="54"/>
      <c r="K4" s="54"/>
      <c r="L4" s="54"/>
      <c r="M4" s="54">
        <v>0</v>
      </c>
      <c r="N4" s="54"/>
      <c r="O4" s="54"/>
      <c r="P4" s="54"/>
      <c r="Q4" s="131"/>
      <c r="S4" s="35" t="s">
        <v>149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v>8142</v>
      </c>
      <c r="B6" s="20" t="s">
        <v>29</v>
      </c>
      <c r="C6" s="54">
        <v>363.57</v>
      </c>
      <c r="D6" s="54">
        <v>331.25</v>
      </c>
      <c r="E6" s="54">
        <v>32.31999999999999</v>
      </c>
      <c r="F6" s="54"/>
      <c r="G6" s="54"/>
      <c r="H6" s="54"/>
      <c r="I6" s="54"/>
      <c r="J6" s="54"/>
      <c r="K6" s="54"/>
      <c r="L6" s="54"/>
      <c r="M6" s="54"/>
      <c r="N6" s="54">
        <v>0</v>
      </c>
      <c r="O6" s="54">
        <v>60</v>
      </c>
      <c r="P6" s="54"/>
      <c r="Q6" s="131"/>
      <c r="S6" s="35" t="s">
        <v>150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v>8824</v>
      </c>
      <c r="B8" s="20" t="s">
        <v>31</v>
      </c>
      <c r="C8" s="54">
        <v>125.39</v>
      </c>
      <c r="D8" s="54">
        <v>34.75</v>
      </c>
      <c r="E8" s="54">
        <v>90.64</v>
      </c>
      <c r="F8" s="54"/>
      <c r="G8" s="54"/>
      <c r="H8" s="54"/>
      <c r="I8" s="54"/>
      <c r="J8" s="54"/>
      <c r="K8" s="54"/>
      <c r="L8" s="54"/>
      <c r="M8" s="54"/>
      <c r="N8" s="54">
        <v>0</v>
      </c>
      <c r="O8" s="54">
        <v>58</v>
      </c>
      <c r="P8" s="54"/>
      <c r="Q8" s="131"/>
      <c r="S8" s="35" t="s">
        <v>149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v>8127</v>
      </c>
      <c r="B10" s="20" t="s">
        <v>32</v>
      </c>
      <c r="C10" s="54">
        <v>805.22</v>
      </c>
      <c r="D10" s="54">
        <v>625</v>
      </c>
      <c r="E10" s="54">
        <v>180.22000000000003</v>
      </c>
      <c r="F10" s="54"/>
      <c r="G10" s="54"/>
      <c r="H10" s="54"/>
      <c r="I10" s="54"/>
      <c r="J10" s="54"/>
      <c r="K10" s="54"/>
      <c r="L10" s="54"/>
      <c r="M10" s="54">
        <v>0</v>
      </c>
      <c r="N10" s="54">
        <v>0</v>
      </c>
      <c r="O10" s="54">
        <v>0</v>
      </c>
      <c r="P10" s="54"/>
      <c r="Q10" s="131"/>
      <c r="S10" s="35" t="s">
        <v>149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122</v>
      </c>
      <c r="C12" s="54">
        <v>1124.47</v>
      </c>
      <c r="D12" s="54">
        <v>821.5</v>
      </c>
      <c r="E12" s="54">
        <v>302.97</v>
      </c>
      <c r="F12" s="54"/>
      <c r="G12" s="54"/>
      <c r="H12" s="54"/>
      <c r="I12" s="54"/>
      <c r="J12" s="54"/>
      <c r="K12" s="54"/>
      <c r="L12" s="54"/>
      <c r="M12" s="54">
        <v>0</v>
      </c>
      <c r="N12" s="54">
        <v>0</v>
      </c>
      <c r="O12" s="86">
        <v>80</v>
      </c>
      <c r="P12" s="54">
        <v>0</v>
      </c>
      <c r="Q12" s="131"/>
      <c r="S12" s="35" t="s">
        <v>30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v>8886</v>
      </c>
      <c r="B14" s="20" t="s">
        <v>35</v>
      </c>
      <c r="C14" s="54">
        <v>501.83</v>
      </c>
      <c r="D14" s="54">
        <v>366.25</v>
      </c>
      <c r="E14" s="54">
        <v>135.57999999999998</v>
      </c>
      <c r="F14" s="54"/>
      <c r="G14" s="54"/>
      <c r="H14" s="54"/>
      <c r="I14" s="54"/>
      <c r="J14" s="54"/>
      <c r="K14" s="54"/>
      <c r="L14" s="54">
        <v>0</v>
      </c>
      <c r="M14" s="54">
        <v>0</v>
      </c>
      <c r="N14" s="54">
        <v>0</v>
      </c>
      <c r="O14" s="54">
        <v>30</v>
      </c>
      <c r="P14" s="54"/>
      <c r="Q14" s="131"/>
      <c r="S14" s="35" t="s">
        <v>149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v>8887</v>
      </c>
      <c r="B16" s="20" t="s">
        <v>36</v>
      </c>
      <c r="C16" s="54">
        <v>223.22</v>
      </c>
      <c r="D16" s="54">
        <v>216.5</v>
      </c>
      <c r="E16" s="54">
        <v>6.719999999999999</v>
      </c>
      <c r="F16" s="54"/>
      <c r="G16" s="54"/>
      <c r="H16" s="54"/>
      <c r="I16" s="54"/>
      <c r="J16" s="54"/>
      <c r="K16" s="54"/>
      <c r="L16" s="54"/>
      <c r="M16" s="54">
        <v>0</v>
      </c>
      <c r="N16" s="54">
        <v>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v>8670</v>
      </c>
      <c r="B18" s="20" t="s">
        <v>37</v>
      </c>
      <c r="C18" s="54">
        <v>685.48</v>
      </c>
      <c r="D18" s="54">
        <v>699.75</v>
      </c>
      <c r="E18" s="54">
        <v>-14.269999999999982</v>
      </c>
      <c r="F18" s="54"/>
      <c r="G18" s="54"/>
      <c r="H18" s="54"/>
      <c r="I18" s="54"/>
      <c r="J18" s="54"/>
      <c r="K18" s="54"/>
      <c r="L18" s="54"/>
      <c r="M18" s="54">
        <v>0</v>
      </c>
      <c r="N18" s="54">
        <v>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0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v>9065</v>
      </c>
      <c r="B22" s="20" t="s">
        <v>39</v>
      </c>
      <c r="C22" s="54">
        <v>193.32</v>
      </c>
      <c r="D22" s="54">
        <v>90.75</v>
      </c>
      <c r="E22" s="54">
        <v>102.57</v>
      </c>
      <c r="F22" s="54"/>
      <c r="G22" s="54"/>
      <c r="H22" s="54"/>
      <c r="I22" s="54"/>
      <c r="J22" s="54"/>
      <c r="K22" s="54"/>
      <c r="L22" s="54"/>
      <c r="M22" s="54">
        <v>0</v>
      </c>
      <c r="N22" s="54">
        <v>0</v>
      </c>
      <c r="O22" s="54">
        <v>160</v>
      </c>
      <c r="P22" s="54">
        <v>30</v>
      </c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v>9259</v>
      </c>
      <c r="B24" s="20" t="s">
        <v>40</v>
      </c>
      <c r="C24" s="54">
        <v>472.14</v>
      </c>
      <c r="D24" s="54">
        <v>237.25</v>
      </c>
      <c r="E24" s="54">
        <v>234.89</v>
      </c>
      <c r="F24" s="54"/>
      <c r="G24" s="54"/>
      <c r="H24" s="54"/>
      <c r="I24" s="54"/>
      <c r="J24" s="54"/>
      <c r="K24" s="54"/>
      <c r="L24" s="54"/>
      <c r="M24" s="54">
        <v>0</v>
      </c>
      <c r="N24" s="54">
        <v>0</v>
      </c>
      <c r="O24" s="54">
        <v>80</v>
      </c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v>8352</v>
      </c>
      <c r="B26" s="20" t="s">
        <v>41</v>
      </c>
      <c r="C26" s="54">
        <v>139.07</v>
      </c>
      <c r="D26" s="54">
        <v>167.75</v>
      </c>
      <c r="E26" s="54">
        <v>-28.680000000000007</v>
      </c>
      <c r="F26" s="54"/>
      <c r="G26" s="54"/>
      <c r="H26" s="54"/>
      <c r="I26" s="54"/>
      <c r="J26" s="54"/>
      <c r="K26" s="54"/>
      <c r="L26" s="54"/>
      <c r="M26" s="54">
        <v>0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v>8234</v>
      </c>
      <c r="B28" s="20" t="s">
        <v>43</v>
      </c>
      <c r="C28" s="54">
        <v>231.75</v>
      </c>
      <c r="D28" s="54">
        <v>225.5</v>
      </c>
      <c r="E28" s="54">
        <v>6.25</v>
      </c>
      <c r="F28" s="54"/>
      <c r="G28" s="54"/>
      <c r="H28" s="54"/>
      <c r="I28" s="54"/>
      <c r="J28" s="54"/>
      <c r="K28" s="54"/>
      <c r="L28" s="54"/>
      <c r="M28" s="54">
        <v>0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v>8214</v>
      </c>
      <c r="B30" s="20" t="s">
        <v>44</v>
      </c>
      <c r="C30" s="54">
        <v>147.9</v>
      </c>
      <c r="D30" s="54">
        <v>6.5</v>
      </c>
      <c r="E30" s="54">
        <v>141.4</v>
      </c>
      <c r="F30" s="54"/>
      <c r="G30" s="54"/>
      <c r="H30" s="54"/>
      <c r="I30" s="54"/>
      <c r="J30" s="54"/>
      <c r="K30" s="54"/>
      <c r="L30" s="54"/>
      <c r="M30" s="54"/>
      <c r="N30" s="54">
        <v>0</v>
      </c>
      <c r="O30" s="54">
        <v>0</v>
      </c>
      <c r="P30" s="54">
        <v>48</v>
      </c>
      <c r="Q30" s="131">
        <v>16</v>
      </c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v>6792</v>
      </c>
      <c r="B32" s="20" t="s">
        <v>45</v>
      </c>
      <c r="C32" s="54">
        <v>208.2</v>
      </c>
      <c r="D32" s="54">
        <v>324.25</v>
      </c>
      <c r="E32" s="54">
        <v>-116.05000000000001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v>8840</v>
      </c>
      <c r="B34" s="20" t="s">
        <v>47</v>
      </c>
      <c r="C34" s="54">
        <v>324.19</v>
      </c>
      <c r="D34" s="54">
        <v>472.75</v>
      </c>
      <c r="E34" s="54">
        <v>-148.56</v>
      </c>
      <c r="F34" s="54"/>
      <c r="G34" s="54"/>
      <c r="H34" s="54"/>
      <c r="I34" s="54"/>
      <c r="J34" s="54"/>
      <c r="K34" s="54"/>
      <c r="L34" s="54"/>
      <c r="M34" s="54">
        <v>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v>8769</v>
      </c>
      <c r="B36" s="20" t="s">
        <v>48</v>
      </c>
      <c r="C36" s="54">
        <v>82.37</v>
      </c>
      <c r="D36" s="54">
        <v>0</v>
      </c>
      <c r="E36" s="54">
        <v>82.37</v>
      </c>
      <c r="F36" s="54"/>
      <c r="G36" s="54"/>
      <c r="H36" s="54"/>
      <c r="I36" s="54"/>
      <c r="J36" s="54"/>
      <c r="K36" s="54"/>
      <c r="L36" s="54"/>
      <c r="M36" s="54">
        <v>0</v>
      </c>
      <c r="N36" s="54">
        <v>0</v>
      </c>
      <c r="O36" s="54">
        <v>30</v>
      </c>
      <c r="P36" s="54">
        <v>50</v>
      </c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v>7901</v>
      </c>
      <c r="B38" s="20" t="s">
        <v>49</v>
      </c>
      <c r="C38" s="54">
        <v>317.92</v>
      </c>
      <c r="D38" s="54">
        <v>106</v>
      </c>
      <c r="E38" s="54">
        <v>211.92000000000002</v>
      </c>
      <c r="F38" s="54"/>
      <c r="G38" s="54"/>
      <c r="H38" s="54"/>
      <c r="I38" s="54"/>
      <c r="J38" s="54"/>
      <c r="K38" s="54"/>
      <c r="L38" s="54"/>
      <c r="M38" s="54">
        <v>0</v>
      </c>
      <c r="N38" s="54">
        <v>0</v>
      </c>
      <c r="O38" s="54">
        <v>170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v>8923</v>
      </c>
      <c r="B40" s="20" t="s">
        <v>50</v>
      </c>
      <c r="C40" s="54">
        <v>156.69</v>
      </c>
      <c r="D40" s="54">
        <v>11.5</v>
      </c>
      <c r="E40" s="54">
        <v>145.19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>
        <v>58</v>
      </c>
      <c r="P40" s="54">
        <v>16</v>
      </c>
      <c r="Q40" s="131">
        <v>72</v>
      </c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v>7864</v>
      </c>
      <c r="B42" s="20" t="s">
        <v>51</v>
      </c>
      <c r="C42" s="54">
        <v>200.82</v>
      </c>
      <c r="D42" s="54">
        <v>283.75</v>
      </c>
      <c r="E42" s="54">
        <v>-82.93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v>7912</v>
      </c>
      <c r="B44" s="20" t="s">
        <v>52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0</v>
      </c>
      <c r="O44" s="54">
        <v>0</v>
      </c>
      <c r="P44" s="54">
        <v>0</v>
      </c>
      <c r="Q44" s="131">
        <v>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v>8360</v>
      </c>
      <c r="B46" s="75" t="s">
        <v>53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v>8337</v>
      </c>
      <c r="B48" s="20" t="s">
        <v>54</v>
      </c>
      <c r="C48" s="54">
        <v>120.44</v>
      </c>
      <c r="D48" s="54">
        <v>116.25</v>
      </c>
      <c r="E48" s="54">
        <v>4.189999999999998</v>
      </c>
      <c r="F48" s="54"/>
      <c r="G48" s="54"/>
      <c r="H48" s="54"/>
      <c r="I48" s="54"/>
      <c r="J48" s="54"/>
      <c r="K48" s="54"/>
      <c r="L48" s="54"/>
      <c r="M48" s="54">
        <v>0</v>
      </c>
      <c r="N48" s="54">
        <v>0</v>
      </c>
      <c r="O48" s="54">
        <v>18</v>
      </c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v>9240</v>
      </c>
      <c r="B50" s="20" t="s">
        <v>55</v>
      </c>
      <c r="C50" s="54">
        <v>65.13</v>
      </c>
      <c r="D50" s="54">
        <v>24.33</v>
      </c>
      <c r="E50" s="54">
        <v>40.8</v>
      </c>
      <c r="F50" s="54"/>
      <c r="G50" s="54"/>
      <c r="H50" s="54"/>
      <c r="I50" s="54"/>
      <c r="J50" s="54"/>
      <c r="K50" s="54"/>
      <c r="L50" s="54"/>
      <c r="M50" s="54">
        <v>0</v>
      </c>
      <c r="N50" s="54">
        <v>0</v>
      </c>
      <c r="O50" s="54">
        <v>40</v>
      </c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v>7428</v>
      </c>
      <c r="B52" s="20" t="s">
        <v>56</v>
      </c>
      <c r="C52" s="54">
        <v>659.73</v>
      </c>
      <c r="D52" s="54">
        <v>550.75</v>
      </c>
      <c r="E52" s="54">
        <v>108.98000000000002</v>
      </c>
      <c r="F52" s="54"/>
      <c r="G52" s="54"/>
      <c r="H52" s="54"/>
      <c r="I52" s="54"/>
      <c r="J52" s="54"/>
      <c r="K52" s="54"/>
      <c r="L52" s="54"/>
      <c r="M52" s="54">
        <v>0</v>
      </c>
      <c r="N52" s="54">
        <v>0</v>
      </c>
      <c r="O52" s="141">
        <v>110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v>9351</v>
      </c>
      <c r="B54" s="20" t="s">
        <v>57</v>
      </c>
      <c r="C54" s="54">
        <v>125.17</v>
      </c>
      <c r="D54" s="54">
        <v>65.75</v>
      </c>
      <c r="E54" s="54">
        <v>59.42</v>
      </c>
      <c r="F54" s="54"/>
      <c r="G54" s="54"/>
      <c r="H54" s="54"/>
      <c r="I54" s="54"/>
      <c r="J54" s="54"/>
      <c r="K54" s="54"/>
      <c r="L54" s="54">
        <v>0</v>
      </c>
      <c r="M54" s="54">
        <v>0</v>
      </c>
      <c r="N54" s="54">
        <v>0</v>
      </c>
      <c r="O54" s="54">
        <v>60</v>
      </c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v>7429</v>
      </c>
      <c r="B56" s="20" t="s">
        <v>58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0</v>
      </c>
      <c r="N56" s="54">
        <v>0</v>
      </c>
      <c r="O56" s="54">
        <v>16</v>
      </c>
      <c r="P56" s="54">
        <v>70</v>
      </c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v>9508</v>
      </c>
      <c r="B58" s="20" t="s">
        <v>59</v>
      </c>
      <c r="C58" s="54">
        <v>140.15</v>
      </c>
      <c r="D58" s="54">
        <v>9.25</v>
      </c>
      <c r="E58" s="54">
        <v>130.9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/>
      <c r="B62" s="20" t="s">
        <v>60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v>8946</v>
      </c>
      <c r="B64" s="20" t="s">
        <v>61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0</v>
      </c>
      <c r="O64" s="54">
        <v>140</v>
      </c>
      <c r="P64" s="54">
        <v>40</v>
      </c>
      <c r="Q64" s="131">
        <v>178</v>
      </c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v>8308</v>
      </c>
      <c r="B66" s="20" t="s">
        <v>62</v>
      </c>
      <c r="C66" s="54">
        <v>2412.45</v>
      </c>
      <c r="D66" s="54">
        <v>1535.92</v>
      </c>
      <c r="E66" s="54">
        <v>876.5299999999997</v>
      </c>
      <c r="F66" s="54"/>
      <c r="G66" s="54"/>
      <c r="H66" s="54"/>
      <c r="I66" s="54"/>
      <c r="J66" s="54"/>
      <c r="K66" s="54"/>
      <c r="L66" s="54"/>
      <c r="M66" s="54">
        <v>0</v>
      </c>
      <c r="N66" s="54">
        <v>0</v>
      </c>
      <c r="O66" s="54">
        <v>320</v>
      </c>
      <c r="P66" s="54">
        <v>80</v>
      </c>
      <c r="Q66" s="54">
        <v>80</v>
      </c>
    </row>
    <row r="67" ht="15" customHeight="1" spans="1:30" x14ac:dyDescent="0.25">
      <c r="A67" s="19">
        <v>9437</v>
      </c>
      <c r="B67" s="20" t="s">
        <v>68</v>
      </c>
      <c r="C67" s="54">
        <v>547.57</v>
      </c>
      <c r="D67" s="54">
        <v>27.84</v>
      </c>
      <c r="E67" s="54">
        <v>519.73</v>
      </c>
      <c r="F67" s="54">
        <v>240</v>
      </c>
      <c r="G67" s="54"/>
      <c r="H67" s="54"/>
      <c r="I67" s="54"/>
      <c r="J67" s="54"/>
      <c r="K67" s="54"/>
      <c r="L67" s="54"/>
      <c r="M67" s="54"/>
      <c r="N67" s="54"/>
      <c r="O67" s="54">
        <v>0</v>
      </c>
      <c r="P67" s="54">
        <v>0</v>
      </c>
      <c r="Q67" s="54">
        <v>240</v>
      </c>
    </row>
    <row r="68" ht="15" customHeight="1" spans="1:30" x14ac:dyDescent="0.25">
      <c r="A68" s="19">
        <v>7480</v>
      </c>
      <c r="B68" s="20" t="s">
        <v>67</v>
      </c>
      <c r="C68" s="54">
        <v>140.9</v>
      </c>
      <c r="D68" s="54">
        <v>0</v>
      </c>
      <c r="E68" s="54">
        <v>140.9</v>
      </c>
      <c r="F68" s="54"/>
      <c r="G68" s="54"/>
      <c r="H68" s="54"/>
      <c r="I68" s="54"/>
      <c r="J68" s="54"/>
      <c r="K68" s="54"/>
      <c r="L68" s="54"/>
      <c r="M68" s="54"/>
      <c r="N68" s="54"/>
      <c r="O68" s="54">
        <v>56</v>
      </c>
      <c r="P68" s="54">
        <v>16</v>
      </c>
      <c r="Q68" s="54">
        <v>68</v>
      </c>
    </row>
    <row r="69" ht="15" customHeight="1" spans="1:30" x14ac:dyDescent="0.25">
      <c r="A69" s="19">
        <v>8829</v>
      </c>
      <c r="B69" s="20" t="s">
        <v>66</v>
      </c>
      <c r="C69" s="54">
        <v>90.88</v>
      </c>
      <c r="D69" s="54">
        <v>0</v>
      </c>
      <c r="E69" s="54">
        <v>90.88</v>
      </c>
      <c r="F69" s="54"/>
      <c r="G69" s="54"/>
      <c r="H69" s="54"/>
      <c r="I69" s="54"/>
      <c r="J69" s="54"/>
      <c r="K69" s="54"/>
      <c r="L69" s="54"/>
      <c r="M69" s="54"/>
      <c r="N69" s="54"/>
      <c r="O69" s="54">
        <v>56</v>
      </c>
      <c r="P69" s="54"/>
      <c r="Q69" s="54">
        <v>16</v>
      </c>
    </row>
    <row r="70" ht="15" customHeight="1" spans="1:30" x14ac:dyDescent="0.25">
      <c r="A70" s="19">
        <v>8386</v>
      </c>
      <c r="B70" s="20" t="s">
        <v>65</v>
      </c>
      <c r="C70" s="54">
        <v>180.16</v>
      </c>
      <c r="D70" s="54">
        <v>0</v>
      </c>
      <c r="E70" s="54">
        <v>180.16</v>
      </c>
      <c r="F70" s="54"/>
      <c r="G70" s="54"/>
      <c r="H70" s="54"/>
      <c r="I70" s="54"/>
      <c r="J70" s="54"/>
      <c r="K70" s="54"/>
      <c r="L70" s="54"/>
      <c r="M70" s="54"/>
      <c r="N70" s="54"/>
      <c r="O70" s="54">
        <v>72</v>
      </c>
      <c r="P70" s="54">
        <v>18</v>
      </c>
      <c r="Q70" s="54">
        <v>90</v>
      </c>
    </row>
    <row r="71" ht="15" customHeight="1" spans="1:30" x14ac:dyDescent="0.25">
      <c r="A71" s="19">
        <v>8530</v>
      </c>
      <c r="B71" s="20" t="s">
        <v>63</v>
      </c>
      <c r="C71" s="54">
        <v>36.92</v>
      </c>
      <c r="D71" s="54">
        <v>6</v>
      </c>
      <c r="E71" s="54">
        <v>30.92</v>
      </c>
      <c r="F71" s="54"/>
      <c r="G71" s="54"/>
      <c r="H71" s="54"/>
      <c r="I71" s="54"/>
      <c r="J71" s="54"/>
      <c r="K71" s="54"/>
      <c r="L71" s="54"/>
      <c r="M71" s="54"/>
      <c r="N71" s="54"/>
      <c r="O71" s="54">
        <v>20</v>
      </c>
      <c r="P71" s="54">
        <v>16</v>
      </c>
      <c r="Q71" s="54"/>
    </row>
    <row r="72" ht="15" customHeight="1" spans="1:30" x14ac:dyDescent="0.25">
      <c r="A72" s="142"/>
      <c r="B72" s="14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144"/>
    </row>
    <row r="73" ht="15" customHeight="1" spans="1:30" x14ac:dyDescent="0.25">
      <c r="A73" s="142"/>
      <c r="B73" s="14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144"/>
    </row>
    <row r="74" ht="15.75" customHeight="1" spans="1:30" x14ac:dyDescent="0.25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</row>
    <row r="75" ht="15" customHeight="1" spans="1:30" x14ac:dyDescent="0.25">
      <c r="A75" s="142"/>
      <c r="B75" s="146" t="s">
        <v>151</v>
      </c>
      <c r="C75" s="147"/>
      <c r="D75" s="147"/>
      <c r="E75" s="147"/>
      <c r="F75" s="147">
        <v>640</v>
      </c>
      <c r="G75" s="147">
        <v>715</v>
      </c>
      <c r="H75" s="147">
        <v>790</v>
      </c>
      <c r="I75" s="147">
        <v>700</v>
      </c>
      <c r="J75" s="147">
        <v>700</v>
      </c>
      <c r="K75" s="147">
        <v>700</v>
      </c>
      <c r="L75" s="147">
        <v>716</v>
      </c>
      <c r="M75" s="147">
        <v>2520</v>
      </c>
      <c r="N75" s="147">
        <v>3060</v>
      </c>
      <c r="O75" s="147">
        <v>1316</v>
      </c>
      <c r="P75" s="147">
        <v>914</v>
      </c>
      <c r="Q75" s="147">
        <v>650</v>
      </c>
    </row>
    <row r="76" ht="15" customHeight="1" spans="1:30" x14ac:dyDescent="0.25">
      <c r="A76" s="142"/>
      <c r="B76" s="77" t="s">
        <v>152</v>
      </c>
      <c r="C76" s="20"/>
      <c r="D76" s="20"/>
      <c r="E76" s="20"/>
      <c r="F76" s="20">
        <v>140</v>
      </c>
      <c r="G76" s="20">
        <v>15</v>
      </c>
      <c r="H76" s="20">
        <v>90</v>
      </c>
      <c r="I76" s="20"/>
      <c r="J76" s="20"/>
      <c r="K76" s="20"/>
      <c r="L76" s="20">
        <v>16</v>
      </c>
      <c r="M76" s="20">
        <v>800</v>
      </c>
      <c r="N76" s="20">
        <v>858</v>
      </c>
      <c r="O76" s="20">
        <v>476</v>
      </c>
      <c r="P76" s="20">
        <v>214</v>
      </c>
      <c r="Q76" s="20">
        <v>150</v>
      </c>
    </row>
    <row r="77" ht="15" customHeight="1" spans="1:30" x14ac:dyDescent="0.25">
      <c r="A77" s="142"/>
      <c r="B77" s="77" t="s">
        <v>153</v>
      </c>
      <c r="C77" s="20">
        <v>4490.26</v>
      </c>
      <c r="D77" s="20"/>
      <c r="E77" s="20"/>
      <c r="F77" s="20"/>
      <c r="G77" s="20"/>
      <c r="H77" s="20"/>
      <c r="I77" s="20"/>
      <c r="J77" s="20"/>
      <c r="K77" s="20"/>
      <c r="L77" s="20"/>
      <c r="M77" s="20">
        <v>1020</v>
      </c>
      <c r="N77" s="20">
        <v>1502</v>
      </c>
      <c r="O77" s="20">
        <v>140</v>
      </c>
      <c r="P77" s="20"/>
      <c r="Q77" s="20"/>
    </row>
    <row r="78" ht="15" customHeight="1" spans="1:30" x14ac:dyDescent="0.25">
      <c r="A78" s="142"/>
      <c r="B78" s="148" t="s">
        <v>154</v>
      </c>
      <c r="C78" s="149"/>
      <c r="D78" s="149"/>
      <c r="E78" s="149"/>
      <c r="F78" s="149">
        <v>1488</v>
      </c>
      <c r="G78" s="149">
        <v>2112</v>
      </c>
      <c r="H78" s="149">
        <v>1984</v>
      </c>
      <c r="I78" s="149">
        <v>1884.8</v>
      </c>
      <c r="J78" s="149">
        <v>1948.8</v>
      </c>
      <c r="K78" s="149">
        <v>2083.2</v>
      </c>
      <c r="L78" s="149">
        <v>2604.8</v>
      </c>
      <c r="M78" s="149">
        <v>2486.4</v>
      </c>
      <c r="N78" s="149">
        <v>2604.8</v>
      </c>
      <c r="O78" s="149">
        <v>2217.6</v>
      </c>
      <c r="P78" s="149">
        <v>2112</v>
      </c>
      <c r="Q78" s="150">
        <v>1478.4</v>
      </c>
    </row>
    <row r="79" ht="15" customHeight="1" spans="1:30" x14ac:dyDescent="0.25">
      <c r="A79" s="142"/>
      <c r="B79" s="151" t="s">
        <v>155</v>
      </c>
      <c r="C79" s="152"/>
      <c r="D79" s="152"/>
      <c r="E79" s="152"/>
      <c r="F79" s="153">
        <v>-848</v>
      </c>
      <c r="G79" s="153">
        <v>-1397</v>
      </c>
      <c r="H79" s="154">
        <v>-1194</v>
      </c>
      <c r="I79" s="153">
        <v>-1184.8</v>
      </c>
      <c r="J79" s="153">
        <v>-1248.8</v>
      </c>
      <c r="K79" s="153">
        <v>-1383.2</v>
      </c>
      <c r="L79" s="153">
        <v>-1888.8</v>
      </c>
      <c r="M79" s="153">
        <v>33.5999999999999</v>
      </c>
      <c r="N79" s="153">
        <v>455.2</v>
      </c>
      <c r="O79" s="153">
        <v>-901.6</v>
      </c>
      <c r="P79" s="153">
        <v>-1198</v>
      </c>
      <c r="Q79" s="155">
        <v>-828.4</v>
      </c>
    </row>
    <row r="80" ht="15" customHeight="1" spans="1:30" x14ac:dyDescent="0.25">
      <c r="A80" s="142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144"/>
    </row>
    <row r="81" ht="15" customHeight="1" spans="1:30" x14ac:dyDescent="0.25">
      <c r="A81" s="142"/>
      <c r="B81" s="156" t="s">
        <v>156</v>
      </c>
      <c r="C81" s="157" t="s">
        <v>157</v>
      </c>
      <c r="D81" s="157"/>
      <c r="E81" s="157"/>
      <c r="F81" s="158">
        <v>15</v>
      </c>
      <c r="G81" s="159">
        <v>20</v>
      </c>
      <c r="H81" s="159">
        <v>20</v>
      </c>
      <c r="I81" s="159">
        <v>19</v>
      </c>
      <c r="J81" s="159">
        <v>21</v>
      </c>
      <c r="K81" s="159">
        <v>21</v>
      </c>
      <c r="L81" s="159">
        <v>22</v>
      </c>
      <c r="M81" s="159">
        <v>21</v>
      </c>
      <c r="N81" s="159">
        <v>22</v>
      </c>
      <c r="O81" s="159">
        <v>21</v>
      </c>
      <c r="P81" s="159">
        <v>20</v>
      </c>
      <c r="Q81" s="160">
        <v>14</v>
      </c>
    </row>
    <row r="82" ht="15" customHeight="1" spans="1:30" x14ac:dyDescent="0.25">
      <c r="A82" s="161"/>
      <c r="B82" s="162" t="s">
        <v>158</v>
      </c>
      <c r="C82" s="157"/>
      <c r="D82" s="157"/>
      <c r="E82" s="157"/>
      <c r="F82" s="163">
        <v>15.5</v>
      </c>
      <c r="G82" s="163">
        <v>16.5</v>
      </c>
      <c r="H82" s="163">
        <v>15.5</v>
      </c>
      <c r="I82" s="163">
        <v>15.5</v>
      </c>
      <c r="J82" s="163">
        <v>14.5</v>
      </c>
      <c r="K82" s="163">
        <v>15.5</v>
      </c>
      <c r="L82" s="163">
        <v>18.5</v>
      </c>
      <c r="M82" s="163">
        <v>18.5</v>
      </c>
      <c r="N82" s="163">
        <v>18.5</v>
      </c>
      <c r="O82" s="163">
        <v>16.5</v>
      </c>
      <c r="P82" s="163">
        <v>16.5</v>
      </c>
      <c r="Q82" s="163">
        <v>16.5</v>
      </c>
    </row>
    <row r="83" spans="1:30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64" t="s">
        <v>159</v>
      </c>
      <c r="C84" s="165"/>
      <c r="D84" s="35"/>
      <c r="E84" s="35"/>
      <c r="F84" s="35"/>
      <c r="G84" s="35"/>
      <c r="H84" s="35"/>
      <c r="I84" s="35"/>
      <c r="J84" s="35"/>
      <c r="K84" s="35"/>
      <c r="L84" s="166" t="s">
        <v>160</v>
      </c>
      <c r="M84" s="166"/>
      <c r="N84" s="35"/>
      <c r="O84" s="35"/>
      <c r="P84" s="35"/>
      <c r="Q84" s="35"/>
    </row>
    <row r="85" ht="15" customHeight="1" spans="1:30" x14ac:dyDescent="0.25">
      <c r="A85" s="35"/>
      <c r="B85" s="167" t="s">
        <v>161</v>
      </c>
      <c r="C85" s="168">
        <v>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162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163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164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165</v>
      </c>
      <c r="C89" s="131">
        <v>1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166</v>
      </c>
      <c r="C90" s="131">
        <v>0.5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 t="s">
        <v>167</v>
      </c>
      <c r="C91" s="131">
        <v>1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 t="s">
        <v>168</v>
      </c>
      <c r="C92" s="131">
        <v>1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 t="s">
        <v>169</v>
      </c>
      <c r="C93" s="131">
        <v>1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 t="s">
        <v>170</v>
      </c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 t="s">
        <v>171</v>
      </c>
      <c r="C95" s="131">
        <v>1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/>
      <c r="C98" s="131"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/>
      <c r="C99" s="131"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/>
      <c r="C100" s="131"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/>
      <c r="C101" s="131"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/>
      <c r="C102" s="131"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172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173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 t="s">
        <v>174</v>
      </c>
      <c r="C105" s="131">
        <v>1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 t="s">
        <v>175</v>
      </c>
      <c r="C106" s="131">
        <v>1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 t="s">
        <v>176</v>
      </c>
      <c r="C107" s="131">
        <v>1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9" t="s">
        <v>177</v>
      </c>
      <c r="C108" s="131">
        <v>1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9" t="s">
        <v>178</v>
      </c>
      <c r="C109" s="131">
        <v>1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  <row r="110" ht="15" customHeight="1" spans="1:30" x14ac:dyDescent="0.25">
      <c r="A110" s="35"/>
      <c r="B110" s="19"/>
      <c r="C110" s="131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  <row r="111" ht="15" customHeight="1" spans="1:30" x14ac:dyDescent="0.25">
      <c r="A111" s="35"/>
      <c r="B111" s="19"/>
      <c r="C111" s="131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</row>
    <row r="112" ht="15" customHeight="1" spans="1:30" x14ac:dyDescent="0.25">
      <c r="A112" s="35"/>
      <c r="B112" s="19"/>
      <c r="C112" s="131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</row>
    <row r="113" ht="15" customHeight="1" spans="1:30" x14ac:dyDescent="0.25">
      <c r="A113" s="35"/>
      <c r="B113" s="169"/>
      <c r="C113" s="150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</row>
    <row r="114" ht="15" customHeight="1" spans="1:30" x14ac:dyDescent="0.25">
      <c r="A114" s="35"/>
      <c r="B114" s="164" t="s">
        <v>179</v>
      </c>
      <c r="C114" s="170">
        <v>16.5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74:Q74"/>
    <mergeCell ref="C81:E82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180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181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182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183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184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185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186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187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188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189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190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191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192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193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194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195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196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197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198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199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200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201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202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203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204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205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206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207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208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209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210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211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212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213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214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215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216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217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218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219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220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218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219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69</v>
      </c>
      <c r="D2" s="43" t="s">
        <v>70</v>
      </c>
      <c r="E2" s="43" t="s">
        <v>71</v>
      </c>
      <c r="F2" s="39" t="s">
        <v>72</v>
      </c>
      <c r="G2" s="40" t="s">
        <v>73</v>
      </c>
      <c r="H2" s="43" t="s">
        <v>74</v>
      </c>
      <c r="I2" s="43" t="s">
        <v>75</v>
      </c>
      <c r="J2" s="41" t="s">
        <v>76</v>
      </c>
      <c r="K2" s="41" t="s">
        <v>77</v>
      </c>
      <c r="L2" s="39" t="s">
        <v>78</v>
      </c>
      <c r="M2" s="40" t="s">
        <v>79</v>
      </c>
      <c r="N2" s="42" t="s">
        <v>80</v>
      </c>
      <c r="O2" s="42" t="s">
        <v>221</v>
      </c>
      <c r="P2" s="42" t="s">
        <v>222</v>
      </c>
      <c r="Q2" s="42" t="s">
        <v>223</v>
      </c>
      <c r="R2" s="43" t="s">
        <v>81</v>
      </c>
      <c r="S2" s="43" t="s">
        <v>82</v>
      </c>
      <c r="T2" s="39" t="s">
        <v>83</v>
      </c>
      <c r="U2" s="40" t="s">
        <v>84</v>
      </c>
      <c r="V2" s="214" t="s">
        <v>85</v>
      </c>
      <c r="W2" s="214" t="s">
        <v>86</v>
      </c>
      <c r="X2" s="45" t="s">
        <v>87</v>
      </c>
      <c r="Y2" s="40" t="s">
        <v>88</v>
      </c>
      <c r="Z2" s="42" t="s">
        <v>89</v>
      </c>
      <c r="AA2" s="46" t="s">
        <v>90</v>
      </c>
      <c r="AB2" s="47" t="s">
        <v>91</v>
      </c>
      <c r="AC2" s="46" t="s">
        <v>92</v>
      </c>
      <c r="AD2" s="48" t="s">
        <v>93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94</v>
      </c>
      <c r="AL3" s="50" t="s">
        <v>95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96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97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98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99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100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101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102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103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104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96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97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98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99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100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101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102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103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104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96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97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98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99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100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101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102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103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104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96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97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98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99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100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101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102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103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104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96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97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98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99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100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101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102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103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104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96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97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98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99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100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101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102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103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104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96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97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98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99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100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101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102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103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104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96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97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98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99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100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101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102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103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104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96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97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98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99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100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101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102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103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104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96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97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98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99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100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101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102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103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104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96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97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98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99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100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101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102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103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104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96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97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98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99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100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101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102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103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104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96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97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98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99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100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101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102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103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104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96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97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98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99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100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101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102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103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104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96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97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98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99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100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101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102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103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104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96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97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98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99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100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101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102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103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104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96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97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98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99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100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101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102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103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104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96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97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98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99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100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101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102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103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104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96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97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98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99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100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101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102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103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104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96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97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98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99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100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101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102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103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104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96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97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98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99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100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101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102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103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104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96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97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98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99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100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101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102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103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104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96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97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98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99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100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101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102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103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104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96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97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98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99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100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101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102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103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104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96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97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98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99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100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101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102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103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104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96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97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98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99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100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101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102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103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104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96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97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98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99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100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101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102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103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104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96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97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98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99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100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101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102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103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104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96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97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98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99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100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101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102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103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104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96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97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98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99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100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101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102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103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104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96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97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98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99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100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101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102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103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104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96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97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98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99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100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101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102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103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104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224</v>
      </c>
      <c r="C3" s="35" t="s">
        <v>225</v>
      </c>
      <c r="D3" s="35" t="s">
        <v>226</v>
      </c>
    </row>
    <row r="4" ht="15" customHeight="1" spans="1:30" x14ac:dyDescent="0.25">
      <c r="A4" s="35" t="s">
        <v>227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228</v>
      </c>
      <c r="B5" s="35">
        <v>60</v>
      </c>
      <c r="P5" s="35">
        <v>95.35</v>
      </c>
    </row>
    <row r="6" ht="15" customHeight="1" spans="1:30" x14ac:dyDescent="0.25">
      <c r="A6" s="35" t="s">
        <v>229</v>
      </c>
      <c r="B6" s="35">
        <v>100</v>
      </c>
      <c r="P6" s="35">
        <v>102.69</v>
      </c>
    </row>
    <row r="7" ht="15" customHeight="1" spans="1:30" x14ac:dyDescent="0.25">
      <c r="A7" s="35" t="s">
        <v>230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