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3"/>
  </bookViews>
  <sheets>
    <sheet sheetId="1" name="Main Sheet" state="visible" r:id="rId4"/>
    <sheet sheetId="2" name="Deliverables Sheet" state="visible" r:id="rId5"/>
    <sheet sheetId="3" name="Claim Calculator By Month" state="visible" r:id="rId6"/>
    <sheet sheetId="4" name="Upcoming Work Calculator" state="visible" r:id="rId7"/>
    <sheet sheetId="5" name="Note Cam (To Do)" state="visible" r:id="rId8"/>
    <sheet sheetId="6" name="Note Tom (To Do) " state="visible" r:id="rId9"/>
    <sheet sheetId="7" name="Deliverables_RR_Test_Sheet (2)" state="visible" r:id="rId10"/>
    <sheet sheetId="8" name="Sheet1" state="visible" r:id="rId11"/>
  </sheets>
  <calcPr calcId="171027"/>
</workbook>
</file>

<file path=xl/sharedStrings.xml><?xml version="1.0" encoding="utf-8"?>
<sst xmlns="http://schemas.openxmlformats.org/spreadsheetml/2006/main" count="1139" uniqueCount="227">
  <si>
    <t xml:space="preserve">                        Updated Job Spreadsheet</t>
  </si>
  <si>
    <t xml:space="preserve">Job
Number</t>
  </si>
  <si>
    <t xml:space="preserve">Job
Name</t>
  </si>
  <si>
    <t xml:space="preserve">Job
Owner</t>
  </si>
  <si>
    <t xml:space="preserve">Contract
Signed &amp;
Returned. Retention % loaded correctly into Katipolt</t>
  </si>
  <si>
    <t xml:space="preserve">Warranty
Signed &amp;
Returned</t>
  </si>
  <si>
    <t xml:space="preserve">Construction
Programme
Received</t>
  </si>
  <si>
    <t xml:space="preserve">Into Work
Calculator
2 Weekly</t>
  </si>
  <si>
    <t xml:space="preserve">Temp Application
Done</t>
  </si>
  <si>
    <t xml:space="preserve">Mains
Connection
Application</t>
  </si>
  <si>
    <t xml:space="preserve">POs Sent
to Sub
contractors</t>
  </si>
  <si>
    <t xml:space="preserve">Switchboard
Drawing
Sent for
Approval</t>
  </si>
  <si>
    <t xml:space="preserve">Email
Sent to
QS/Builder
to Confirm
Order Gear</t>
  </si>
  <si>
    <t xml:space="preserve">Long Lead Time
Materials Ordered</t>
  </si>
  <si>
    <t xml:space="preserve">Client Walk
Through</t>
  </si>
  <si>
    <t xml:space="preserve">Pre Job Meeting
Completed
with Staff
Job Pack Made</t>
  </si>
  <si>
    <t>O&amp;M Manual underway (notes for what's needed)</t>
  </si>
  <si>
    <t xml:space="preserve">QA
Completed
By Others</t>
  </si>
  <si>
    <t xml:space="preserve">Job 
Completion 
Paperwork 
Completed </t>
  </si>
  <si>
    <t xml:space="preserve">All V.Os captured </t>
  </si>
  <si>
    <t>Last toolbox date</t>
  </si>
  <si>
    <t>Ordered</t>
  </si>
  <si>
    <t xml:space="preserve">Lead Times
Comm.</t>
  </si>
  <si>
    <t xml:space="preserve">1st
Fix</t>
  </si>
  <si>
    <t xml:space="preserve">2nd
Fix</t>
  </si>
  <si>
    <t>Charity Hospital</t>
  </si>
  <si>
    <t>Cameron</t>
  </si>
  <si>
    <t>Yes</t>
  </si>
  <si>
    <t>N/A</t>
  </si>
  <si>
    <t>Fisher Developements</t>
  </si>
  <si>
    <t>yes</t>
  </si>
  <si>
    <t>3 Innovation Road</t>
  </si>
  <si>
    <t>Rolly Autowash</t>
  </si>
  <si>
    <t>No</t>
  </si>
  <si>
    <t>Murney - 1 Freight Drive + 109 Iport</t>
  </si>
  <si>
    <t>Monkey Toe - Fisher fit out</t>
  </si>
  <si>
    <t>Tenancy 2 - Fisher Fit out</t>
  </si>
  <si>
    <t>Studio DB - tautara fit out</t>
  </si>
  <si>
    <t>35 Mania</t>
  </si>
  <si>
    <t>Cooltranz stage 4</t>
  </si>
  <si>
    <t>Andrew Reeve Stage 2</t>
  </si>
  <si>
    <t>5 Sanscrit Place</t>
  </si>
  <si>
    <t>Tom</t>
  </si>
  <si>
    <t>Melhuish House</t>
  </si>
  <si>
    <t>6 Tiroroa Lane</t>
  </si>
  <si>
    <t xml:space="preserve">Major Hornbrook </t>
  </si>
  <si>
    <t/>
  </si>
  <si>
    <t>NA</t>
  </si>
  <si>
    <t>Inline Architecture</t>
  </si>
  <si>
    <t>Percival Bach</t>
  </si>
  <si>
    <t>St Albans Street</t>
  </si>
  <si>
    <t>4 Perry St</t>
  </si>
  <si>
    <t>Ryans House</t>
  </si>
  <si>
    <t xml:space="preserve">71A Fendalton Road </t>
  </si>
  <si>
    <t>Dixon House</t>
  </si>
  <si>
    <t xml:space="preserve">Waimak Dairys </t>
  </si>
  <si>
    <t>Daves Twizel Shack</t>
  </si>
  <si>
    <t>FAB Pegasus Lakeside</t>
  </si>
  <si>
    <t>Harewood Golf Club</t>
  </si>
  <si>
    <t>Taggart House</t>
  </si>
  <si>
    <t>St Barnabas Church</t>
  </si>
  <si>
    <t>Contracting</t>
  </si>
  <si>
    <t>Westcoast Vaults</t>
  </si>
  <si>
    <t>Roydvale</t>
  </si>
  <si>
    <t>224 Cashel St - Eastern WC Block Reno</t>
  </si>
  <si>
    <t>Week</t>
  </si>
  <si>
    <t>Quoted Price</t>
  </si>
  <si>
    <t>Claim to date</t>
  </si>
  <si>
    <t>Remaining to claim</t>
  </si>
  <si>
    <t>% Claim remaining</t>
  </si>
  <si>
    <t>Total quoted cost</t>
  </si>
  <si>
    <t>Total actual cost</t>
  </si>
  <si>
    <t>Quoted material cost</t>
  </si>
  <si>
    <t>Actual material cost</t>
  </si>
  <si>
    <t>Material cost remaining</t>
  </si>
  <si>
    <t>Material % remaining</t>
  </si>
  <si>
    <t>Estimated % of materials recieved</t>
  </si>
  <si>
    <t>Quoted labour cost</t>
  </si>
  <si>
    <t>Actual labour cost</t>
  </si>
  <si>
    <t>Labour  cost remaining</t>
  </si>
  <si>
    <t>Labour cost % remaining</t>
  </si>
  <si>
    <t>Quoted labour hours</t>
  </si>
  <si>
    <t>Actual labour hours</t>
  </si>
  <si>
    <t>Labour hours remaining</t>
  </si>
  <si>
    <t>Labour hour % remaining</t>
  </si>
  <si>
    <t>Estimated % of job complete</t>
  </si>
  <si>
    <t>GP $ Per Hour</t>
  </si>
  <si>
    <t>Quoted GP $ Per Hour</t>
  </si>
  <si>
    <t>Margin to date</t>
  </si>
  <si>
    <t>Quoted margin</t>
  </si>
  <si>
    <t>Hours calcs</t>
  </si>
  <si>
    <t>Materials calcs</t>
  </si>
  <si>
    <t>Start of month</t>
  </si>
  <si>
    <t>Hours calc for monthly claims</t>
  </si>
  <si>
    <t>Week 1</t>
  </si>
  <si>
    <t>Materials calc for monthly claims</t>
  </si>
  <si>
    <t>Week 2</t>
  </si>
  <si>
    <t>Week 3</t>
  </si>
  <si>
    <t>Estimated months claim</t>
  </si>
  <si>
    <t>Week 4</t>
  </si>
  <si>
    <t>Week 5</t>
  </si>
  <si>
    <t>[object Object]</t>
  </si>
  <si>
    <t>Job Number</t>
  </si>
  <si>
    <t>Job Name</t>
  </si>
  <si>
    <t>Claim</t>
  </si>
  <si>
    <t>Costs</t>
  </si>
  <si>
    <t>Profit</t>
  </si>
  <si>
    <t>Retention</t>
  </si>
  <si>
    <t>Margin</t>
  </si>
  <si>
    <t>Quoted Margin</t>
  </si>
  <si>
    <t>Hours to complete before E.O.M</t>
  </si>
  <si>
    <t>Costs to come before E.O.M</t>
  </si>
  <si>
    <t>Total cost to come before E.O.M</t>
  </si>
  <si>
    <t>Estimated margin E.O.M</t>
  </si>
  <si>
    <t>GP End of month</t>
  </si>
  <si>
    <t>Hours this month</t>
  </si>
  <si>
    <t>GP $ per hour this month</t>
  </si>
  <si>
    <t>14 Mirrors and 49 Downlights have been ordered</t>
  </si>
  <si>
    <t>Murney Custodian - 1 Freight Drive</t>
  </si>
  <si>
    <t>Couldnt get this rite because of ers but they re claiming 30%</t>
  </si>
  <si>
    <t>48 Hours need to be made non Billable</t>
  </si>
  <si>
    <t>$18627.12 from Sharp Electrical</t>
  </si>
  <si>
    <t>Totals</t>
  </si>
  <si>
    <t>Total</t>
  </si>
  <si>
    <t>GP%</t>
  </si>
  <si>
    <t>E.O.M GP%</t>
  </si>
  <si>
    <t>Residential</t>
  </si>
  <si>
    <t>Job</t>
  </si>
  <si>
    <t>Quoted Hours</t>
  </si>
  <si>
    <t>Hours Used</t>
  </si>
  <si>
    <t>Hours 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</si>
  <si>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</si>
  <si>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</si>
  <si>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</si>
  <si>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</si>
  <si>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</si>
  <si>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</si>
  <si>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</si>
  <si>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</si>
  <si>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</si>
  <si>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</si>
  <si>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</si>
  <si>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</si>
  <si>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Servicing</t>
  </si>
  <si>
    <t>Servicing work any job under 30 hours</t>
  </si>
  <si>
    <t>Programme Checked 24/03/26</t>
  </si>
  <si>
    <t>Cant find a Programme for this.</t>
  </si>
  <si>
    <t>Total Hours</t>
  </si>
  <si>
    <t>Residential Hours</t>
  </si>
  <si>
    <t>Commercial Hours</t>
  </si>
  <si>
    <t>Hours Available</t>
  </si>
  <si>
    <t>Balance Hours</t>
  </si>
  <si>
    <t>Working Days In Month</t>
  </si>
  <si>
    <t>Check Staff Numbers</t>
  </si>
  <si>
    <t>No - Staff On Tools</t>
  </si>
  <si>
    <t>Staff</t>
  </si>
  <si>
    <t>2 x PPLguys here for July and August</t>
  </si>
  <si>
    <t>Turbo</t>
  </si>
  <si>
    <t>Sean</t>
  </si>
  <si>
    <t>Jacob</t>
  </si>
  <si>
    <t>Hayden</t>
  </si>
  <si>
    <t>Doug</t>
  </si>
  <si>
    <t>Kyle</t>
  </si>
  <si>
    <t>Jack</t>
  </si>
  <si>
    <t xml:space="preserve">Andy </t>
  </si>
  <si>
    <t>Ben Ruffles</t>
  </si>
  <si>
    <t>Ben Dyer</t>
  </si>
  <si>
    <t xml:space="preserve">Jake </t>
  </si>
  <si>
    <t>Ethan</t>
  </si>
  <si>
    <t>Rhod</t>
  </si>
  <si>
    <t>George</t>
  </si>
  <si>
    <t>Jasper</t>
  </si>
  <si>
    <t>Logan</t>
  </si>
  <si>
    <t>Quin</t>
  </si>
  <si>
    <t>Regan</t>
  </si>
  <si>
    <t>Total Staff (enter in above spreadsheet)</t>
  </si>
  <si>
    <t>Cams Notes</t>
  </si>
  <si>
    <t>Koawa:</t>
  </si>
  <si>
    <t>New job meeting set up for 8am wednesday - Tim, Dylan, VD, Cam - Perhaps bring in Jacob once back from leave??</t>
  </si>
  <si>
    <t>Tray shop drawings into engineers - waiting on geoff to send back multidraw drawings.</t>
  </si>
  <si>
    <t>DB dates for sites (livening 11 July)</t>
  </si>
  <si>
    <t>Confirm Warrenties agreement</t>
  </si>
  <si>
    <t>Go to tech submissions meeting on Wednesday 12th March</t>
  </si>
  <si>
    <t>Start getting orders in, (so far PDL gear ordered through rads)  need to look at lights beign ordered that we can - confirm process.</t>
  </si>
  <si>
    <t>Tru Hire:</t>
  </si>
  <si>
    <t>Temp should be on Monday morning 14.04.25</t>
  </si>
  <si>
    <t>Craig would like an export/list for me please mate that captures all of the costs to date from you guys and ILS?</t>
  </si>
  <si>
    <t>Riccarton High:</t>
  </si>
  <si>
    <t>1x pits to repair</t>
  </si>
  <si>
    <t xml:space="preserve">Follow up VO’s (Light pole to loop off date TBC, </t>
  </si>
  <si>
    <t>Arrange PS3 &amp; PS4 (PS3 filled in)</t>
  </si>
  <si>
    <t>Start O&amp;M manuals early - started; PS3 and board schedule in.</t>
  </si>
  <si>
    <t>Check Strawberry sound hardware in swbd – report back to pete</t>
  </si>
  <si>
    <t xml:space="preserve">From southbase deliverables register - Provide lifting handles for pits, </t>
  </si>
  <si>
    <t>Missing 3x J lights (external wall lights)</t>
  </si>
  <si>
    <t>EM's only have lights no drivers/batteries?</t>
  </si>
  <si>
    <t>Strip light for under cabinets 2520mm</t>
  </si>
  <si>
    <t>Spare light pole and head on site,was deleted from scope when landscaping changed</t>
  </si>
  <si>
    <t>Gills:</t>
  </si>
  <si>
    <t>Follow up sensor return/outcome (waiting to hear back)</t>
  </si>
  <si>
    <t>Lunns:</t>
  </si>
  <si>
    <t>Tidy up mains/ conduits coming out building</t>
  </si>
  <si>
    <t>finish external lights (tuesday 15.04.25)</t>
  </si>
  <si>
    <t>Unit 2 roller door no limits (V.O)</t>
  </si>
  <si>
    <t>Rosiez unhappy with level of tidy up and removal of old cables, need to clarify what we actually scoped to what we did.</t>
  </si>
  <si>
    <t>Kingsford Smith Drive</t>
  </si>
  <si>
    <t xml:space="preserve">Main 100A unit 1 approved, ready for livening date. - Had a phone call from genesis regarding wheather this would need CT's? </t>
  </si>
  <si>
    <t>Mains 2nd application is on hold until we get load breakdown for 160A - probably need to sort this asap.</t>
  </si>
  <si>
    <t>Confirm start date with Wolfy, and order materials lifter</t>
  </si>
  <si>
    <t>Te Aratai</t>
  </si>
  <si>
    <t>Ellesmere College (Temp power)</t>
  </si>
  <si>
    <t>Live</t>
  </si>
  <si>
    <t>Cooltranz</t>
  </si>
  <si>
    <t>Confirm correct data logger, depending on incoming size 1500A or 6kA then confirm price with cooltranz for hire rates etc.</t>
  </si>
  <si>
    <t>Other:</t>
  </si>
  <si>
    <t>Comes up with hours tracking solution</t>
  </si>
  <si>
    <t>Tom's Notes:</t>
  </si>
  <si>
    <t>Contractor Quoted Cost</t>
  </si>
  <si>
    <t>Contractor Actual Cost</t>
  </si>
  <si>
    <t>Contractor Balance</t>
  </si>
  <si>
    <t>Allowed</t>
  </si>
  <si>
    <t>Actual</t>
  </si>
  <si>
    <t>% of job</t>
  </si>
  <si>
    <t>Box out</t>
  </si>
  <si>
    <t>pre-wire</t>
  </si>
  <si>
    <t>cut out</t>
  </si>
  <si>
    <t>fit off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</si>
</sst>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_-[$$-409]* #,##0.00_ ;_-[$$-409]* -#,##0.00 ;_-[$$-409]* -??_ ;_-@_ "/>
    <numFmt numFmtId="166" formatCode="_([$$-409]* #,##0.00_);_([$$-409]* (#,##0.00);_([$$-409]* -??_);_(@_)"/>
  </numFmts>
  <fonts count="23" x14ac:knownFonts="1">
    <font>
      <color theme="1"/>
      <family val="2"/>
      <scheme val="minor"/>
      <sz val="11"/>
      <name val="Calibri"/>
    </font>
    <font>
      <charset val="1"/>
      <color theme="1"/>
      <sz val="11"/>
      <name val="Aptos Display"/>
    </font>
    <font>
      <b/>
      <charset val="1"/>
      <color theme="1"/>
      <sz val="24"/>
      <name val="Aptos Display"/>
    </font>
    <font>
      <b/>
      <charset val="1"/>
      <color theme="1"/>
      <sz val="11"/>
      <name val="Aptos Display"/>
    </font>
    <font>
      <charset val="1"/>
      <color theme="0"/>
      <sz val="11"/>
      <name val="Aptos Display"/>
    </font>
    <font>
      <b/>
      <charset val="1"/>
      <color theme="1"/>
      <family val="2"/>
      <sz val="11"/>
      <name val="Aptos Display"/>
    </font>
    <font>
      <charset val="1"/>
      <color theme="1"/>
      <family val="2"/>
      <sz val="11"/>
      <name val="Aptos Narrow"/>
    </font>
    <font>
      <b/>
      <charset val="1"/>
      <color theme="1"/>
      <family val="2"/>
      <sz val="11"/>
      <name val="Aptos Narrow"/>
    </font>
    <font>
      <charset val="1"/>
      <color rgb="FF000000"/>
      <sz val="11"/>
      <name val="Aptos Narrow"/>
    </font>
    <font>
      <charset val="1"/>
      <color theme="1"/>
      <sz val="11"/>
      <name val="Aptos Narrow"/>
    </font>
    <font>
      <charset val="1"/>
      <color theme="1"/>
      <sz val="11"/>
      <name val="Calibri"/>
    </font>
    <font>
      <charset val="1"/>
      <color rgb="FFFFFFFF"/>
      <sz val="11"/>
      <name val="Arial"/>
    </font>
    <font>
      <b/>
      <charset val="1"/>
      <color theme="1"/>
      <sz val="11"/>
      <name val="Arial"/>
    </font>
    <font>
      <b/>
      <charset val="1"/>
      <color theme="1"/>
      <sz val="11"/>
      <name val="Calibri"/>
    </font>
    <font>
      <charset val="1"/>
      <color theme="1"/>
      <sz val="11"/>
      <name val="Arial"/>
    </font>
    <font>
      <charset val="1"/>
      <color rgb="FF242424"/>
      <family val="2"/>
      <sz val="11"/>
      <name val="Aptos"/>
    </font>
    <font>
      <charset val="1"/>
      <sz val="11"/>
      <name val="Aptos"/>
    </font>
    <font>
      <charset val="1"/>
      <color rgb="FF242424"/>
      <sz val="11"/>
      <name val="Aptos"/>
    </font>
    <font>
      <charset val="1"/>
      <color rgb="FF000000"/>
      <sz val="11"/>
      <name val="Aptos"/>
    </font>
    <font>
      <charset val="1"/>
      <color rgb="FF000000"/>
      <family val="2"/>
      <sz val="11"/>
      <name val="Aptos"/>
    </font>
    <font>
      <charset val="1"/>
      <color rgb="FF000000"/>
      <family val="2"/>
      <sz val="11"/>
      <name val="Aptos Narrow"/>
    </font>
    <font>
      <charset val="1"/>
      <color rgb="FFFF0000"/>
      <family val="2"/>
      <sz val="11"/>
      <name val="Aptos Narrow"/>
    </font>
    <font>
      <charset val="1"/>
      <family val="2"/>
      <sz val="11"/>
      <name val="Aptos"/>
    </font>
  </fonts>
  <fills count="17">
    <fill>
      <patternFill patternType="none"/>
    </fill>
    <fill>
      <patternFill patternType="gray125"/>
    </fill>
    <fill>
      <patternFill patternType="solid">
        <fgColor theme="9" tint="0.7999"/>
        <bgColor rgb="FFC6EFCE"/>
      </patternFill>
    </fill>
    <fill>
      <patternFill patternType="solid">
        <fgColor theme="0" tint="-0.15"/>
        <bgColor rgb="FFD1D1D1"/>
      </patternFill>
    </fill>
    <fill>
      <patternFill patternType="solid">
        <fgColor theme="3"/>
        <bgColor rgb="FF242424"/>
      </patternFill>
    </fill>
    <fill>
      <patternFill patternType="solid">
        <fgColor theme="2" tint="-0.1"/>
        <bgColor rgb="FFCCCCCC"/>
      </patternFill>
    </fill>
    <fill>
      <patternFill patternType="solid">
        <fgColor rgb="FFFF0000"/>
        <bgColor rgb="FF9C0006"/>
      </patternFill>
    </fill>
    <fill>
      <patternFill patternType="solid">
        <fgColor theme="1"/>
        <bgColor rgb="FF242424"/>
      </patternFill>
    </fill>
    <fill>
      <patternFill patternType="solid">
        <fgColor theme="0"/>
        <bgColor rgb="FFE8E8E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808000"/>
      </patternFill>
    </fill>
    <fill>
      <patternFill patternType="solid">
        <fgColor theme="7" tint="0.7999"/>
        <bgColor rgb="FFCFE2F3"/>
      </patternFill>
    </fill>
    <fill>
      <patternFill patternType="solid">
        <fgColor theme="5"/>
        <bgColor rgb="FFFF8080"/>
      </patternFill>
    </fill>
    <fill>
      <patternFill patternType="solid">
        <fgColor theme="5" tint="0.7999"/>
        <bgColor rgb="FFE8E8E8"/>
      </patternFill>
    </fill>
    <fill>
      <patternFill patternType="solid">
        <fgColor rgb="FFCFE2F3"/>
        <bgColor rgb="FFCAEEFB"/>
      </patternFill>
    </fill>
    <fill>
      <patternFill patternType="solid">
        <fgColor theme="2"/>
        <bgColor rgb="FFFAE3D6"/>
      </patternFill>
    </fill>
    <fill>
      <patternFill patternType="solid">
        <fgColor theme="6" tint="0.7999"/>
        <bgColor rgb="FFC6EFCE"/>
      </patternFill>
    </fill>
  </fills>
  <borders count="5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ck"/>
      <top style="thin"/>
      <bottom style="thin">
        <color rgb="FFCCCCCC"/>
      </bottom>
      <diagonal/>
    </border>
    <border>
      <left style="thin">
        <color rgb="FFCCCCCC"/>
      </left>
      <right/>
      <top style="thin"/>
      <bottom style="thick">
        <color rgb="FF434343"/>
      </bottom>
      <diagonal/>
    </border>
    <border>
      <left style="thin">
        <color rgb="FFCCCCCC"/>
      </left>
      <right style="thin">
        <color rgb="FFCCCCCC"/>
      </right>
      <top style="thin"/>
      <bottom style="thick">
        <color rgb="FF434343"/>
      </bottom>
      <diagonal/>
    </border>
    <border>
      <left style="thin">
        <color rgb="FFCCCCCC"/>
      </left>
      <right style="medium"/>
      <top style="thin"/>
      <bottom style="thick">
        <color rgb="FF434343"/>
      </bottom>
      <diagonal/>
    </border>
    <border>
      <left/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/>
      <bottom style="thin">
        <color rgb="FFCCCCCC"/>
      </bottom>
      <diagonal/>
    </border>
    <border>
      <left style="thin">
        <color rgb="FFCCCCCC"/>
      </left>
      <right style="thin"/>
      <top style="thin"/>
      <bottom style="thin">
        <color rgb="FFCCCCCC"/>
      </bottom>
      <diagonal/>
    </border>
    <border>
      <left style="medium"/>
      <right style="thin"/>
      <top style="thin">
        <color rgb="FFCCCCCC"/>
      </top>
      <bottom style="thin"/>
      <diagonal/>
    </border>
    <border>
      <left style="thin"/>
      <right style="thin"/>
      <top style="thin">
        <color rgb="FFCCCCCC"/>
      </top>
      <bottom style="thin"/>
      <diagonal/>
    </border>
    <border>
      <left style="thin"/>
      <right style="medium"/>
      <top style="thin">
        <color rgb="FFCCCCCC"/>
      </top>
      <bottom style="thin"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>
      <left/>
      <right style="medium"/>
      <top style="thin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medium"/>
      <diagonal/>
    </border>
    <border>
      <left/>
      <right style="thin"/>
      <top style="medium"/>
      <bottom style="thin"/>
      <diagonal/>
    </border>
    <border>
      <left style="medium"/>
      <right/>
      <top/>
      <bottom style="medium"/>
      <diagonal/>
    </border>
    <border>
      <left style="medium"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medium"/>
      <right style="medium"/>
      <top/>
      <bottom style="medium"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9" fontId="1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6" fillId="0" borderId="2" xfId="0" applyFont="1" applyBorder="1" applyAlignment="1">
      <alignment vertical="bottom"/>
    </xf>
    <xf numFmtId="0" fontId="7" fillId="0" borderId="3" xfId="0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9" fontId="1" fillId="6" borderId="3" xfId="0" applyNumberFormat="1" applyFont="1" applyFill="1" applyBorder="1" applyAlignment="1">
      <alignment horizontal="right" vertical="center"/>
    </xf>
    <xf numFmtId="0" fontId="3" fillId="8" borderId="3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bottom"/>
    </xf>
    <xf numFmtId="165" fontId="6" fillId="0" borderId="0" xfId="0" applyNumberFormat="1" applyFont="1" applyAlignment="1">
      <alignment vertical="bottom"/>
    </xf>
    <xf numFmtId="9" fontId="6" fillId="0" borderId="0" xfId="0" applyNumberFormat="1" applyFont="1" applyAlignment="1">
      <alignment vertical="bottom"/>
    </xf>
    <xf numFmtId="165" fontId="7" fillId="9" borderId="3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 wrapText="1"/>
    </xf>
    <xf numFmtId="165" fontId="7" fillId="10" borderId="3" xfId="0" applyNumberFormat="1" applyFont="1" applyFill="1" applyBorder="1" applyAlignment="1">
      <alignment horizontal="center" vertical="center" wrapText="1"/>
    </xf>
    <xf numFmtId="9" fontId="7" fillId="11" borderId="3" xfId="0" applyNumberFormat="1" applyFont="1" applyFill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9" fontId="7" fillId="12" borderId="3" xfId="0" applyNumberFormat="1" applyFont="1" applyFill="1" applyBorder="1" applyAlignment="1">
      <alignment horizontal="center" vertical="center" wrapText="1"/>
    </xf>
    <xf numFmtId="9" fontId="7" fillId="8" borderId="3" xfId="0" applyNumberFormat="1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bottom"/>
    </xf>
    <xf numFmtId="0" fontId="6" fillId="0" borderId="9" xfId="0" applyFont="1" applyBorder="1" applyAlignment="1">
      <alignment vertical="bottom"/>
    </xf>
    <xf numFmtId="0" fontId="7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vertical="bottom"/>
    </xf>
    <xf numFmtId="9" fontId="6" fillId="0" borderId="3" xfId="0" applyNumberFormat="1" applyFont="1" applyBorder="1" applyAlignment="1">
      <alignment vertical="bottom"/>
    </xf>
    <xf numFmtId="0" fontId="6" fillId="0" borderId="3" xfId="0" applyFont="1" applyBorder="1" applyAlignment="1">
      <alignment vertical="bottom"/>
    </xf>
    <xf numFmtId="166" fontId="6" fillId="0" borderId="3" xfId="0" applyNumberFormat="1" applyFont="1" applyBorder="1" applyAlignment="1">
      <alignment vertical="bottom"/>
    </xf>
    <xf numFmtId="9" fontId="6" fillId="0" borderId="4" xfId="0" applyNumberFormat="1" applyFont="1" applyBorder="1" applyAlignment="1">
      <alignment vertical="bottom"/>
    </xf>
    <xf numFmtId="166" fontId="6" fillId="0" borderId="0" xfId="0" applyNumberFormat="1" applyFont="1" applyAlignment="1">
      <alignment vertical="bottom"/>
    </xf>
    <xf numFmtId="165" fontId="6" fillId="0" borderId="4" xfId="0" applyNumberFormat="1" applyFont="1" applyBorder="1" applyAlignment="1">
      <alignment vertical="bottom"/>
    </xf>
    <xf numFmtId="0" fontId="6" fillId="0" borderId="6" xfId="0" applyFont="1" applyBorder="1" applyAlignment="1">
      <alignment vertical="bottom"/>
    </xf>
    <xf numFmtId="165" fontId="6" fillId="0" borderId="8" xfId="0" applyNumberFormat="1" applyFont="1" applyBorder="1" applyAlignment="1">
      <alignment vertical="bottom"/>
    </xf>
    <xf numFmtId="0" fontId="6" fillId="3" borderId="2" xfId="0" applyFont="1" applyFill="1" applyBorder="1" applyAlignment="1">
      <alignment vertical="bottom"/>
    </xf>
    <xf numFmtId="165" fontId="6" fillId="0" borderId="10" xfId="0" applyNumberFormat="1" applyFont="1" applyBorder="1" applyAlignment="1">
      <alignment vertical="bottom"/>
    </xf>
    <xf numFmtId="0" fontId="7" fillId="0" borderId="11" xfId="0" applyFont="1" applyBorder="1" applyAlignment="1">
      <alignment horizontal="center" vertical="center"/>
    </xf>
    <xf numFmtId="9" fontId="6" fillId="0" borderId="11" xfId="0" applyNumberFormat="1" applyFont="1" applyBorder="1" applyAlignment="1">
      <alignment vertical="bottom"/>
    </xf>
    <xf numFmtId="165" fontId="6" fillId="0" borderId="12" xfId="0" applyNumberFormat="1" applyFont="1" applyBorder="1" applyAlignment="1">
      <alignment vertical="bottom"/>
    </xf>
    <xf numFmtId="0" fontId="6" fillId="7" borderId="2" xfId="0" applyFont="1" applyFill="1" applyBorder="1" applyAlignment="1">
      <alignment vertical="bottom"/>
    </xf>
    <xf numFmtId="165" fontId="8" fillId="0" borderId="3" xfId="0" applyNumberFormat="1" applyFont="1" applyBorder="1" applyAlignment="1">
      <alignment vertical="bottom"/>
    </xf>
    <xf numFmtId="0" fontId="8" fillId="0" borderId="12" xfId="0" applyFont="1" applyBorder="1" applyAlignment="1">
      <alignment vertical="bottom"/>
    </xf>
    <xf numFmtId="165" fontId="9" fillId="0" borderId="3" xfId="0" applyNumberFormat="1" applyFont="1" applyBorder="1" applyAlignment="1">
      <alignment vertical="bottom"/>
    </xf>
    <xf numFmtId="0" fontId="6" fillId="3" borderId="5" xfId="0" applyFont="1" applyFill="1" applyBorder="1" applyAlignment="1">
      <alignment vertical="bottom"/>
    </xf>
    <xf numFmtId="0" fontId="6" fillId="3" borderId="3" xfId="0" applyFont="1" applyFill="1" applyBorder="1" applyAlignment="1">
      <alignment vertical="bottom"/>
    </xf>
    <xf numFmtId="0" fontId="6" fillId="3" borderId="4" xfId="0" applyFont="1" applyFill="1" applyBorder="1" applyAlignment="1">
      <alignment vertical="bottom"/>
    </xf>
    <xf numFmtId="0" fontId="6" fillId="8" borderId="2" xfId="0" applyFont="1" applyFill="1" applyBorder="1" applyAlignment="1">
      <alignment vertical="bottom"/>
    </xf>
    <xf numFmtId="0" fontId="7" fillId="8" borderId="3" xfId="0" applyFont="1" applyFill="1" applyBorder="1" applyAlignment="1">
      <alignment vertical="bottom"/>
    </xf>
    <xf numFmtId="0" fontId="7" fillId="0" borderId="7" xfId="0" applyFont="1" applyBorder="1" applyAlignment="1">
      <alignment vertical="bottom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165" fontId="7" fillId="3" borderId="3" xfId="0" applyNumberFormat="1" applyFont="1" applyFill="1" applyBorder="1" applyAlignment="1">
      <alignment horizontal="center" vertical="center" wrapText="1"/>
    </xf>
    <xf numFmtId="9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bottom" wrapText="1"/>
    </xf>
    <xf numFmtId="0" fontId="6" fillId="13" borderId="2" xfId="0" applyFont="1" applyFill="1" applyBorder="1" applyAlignment="1">
      <alignment vertical="bottom"/>
    </xf>
    <xf numFmtId="0" fontId="6" fillId="8" borderId="3" xfId="0" applyFont="1" applyFill="1" applyBorder="1" applyAlignment="1">
      <alignment vertical="bottom"/>
    </xf>
    <xf numFmtId="165" fontId="6" fillId="8" borderId="3" xfId="0" applyNumberFormat="1" applyFont="1" applyFill="1" applyBorder="1" applyAlignment="1">
      <alignment vertical="bottom"/>
    </xf>
    <xf numFmtId="0" fontId="6" fillId="3" borderId="2" xfId="0" applyFont="1" applyFill="1" applyBorder="1" applyAlignment="1">
      <alignment horizontal="center" vertical="bottom"/>
    </xf>
    <xf numFmtId="0" fontId="6" fillId="3" borderId="3" xfId="0" applyFont="1" applyFill="1" applyBorder="1" applyAlignment="1">
      <alignment horizontal="center" vertical="bottom"/>
    </xf>
    <xf numFmtId="0" fontId="6" fillId="3" borderId="13" xfId="0" applyFont="1" applyFill="1" applyBorder="1" applyAlignment="1">
      <alignment horizontal="center" vertical="bottom"/>
    </xf>
    <xf numFmtId="0" fontId="6" fillId="3" borderId="14" xfId="0" applyFont="1" applyFill="1" applyBorder="1" applyAlignment="1">
      <alignment horizontal="center" vertical="bottom"/>
    </xf>
    <xf numFmtId="165" fontId="6" fillId="3" borderId="3" xfId="0" applyNumberFormat="1" applyFont="1" applyFill="1" applyBorder="1" applyAlignment="1">
      <alignment vertical="bottom"/>
    </xf>
    <xf numFmtId="9" fontId="6" fillId="3" borderId="3" xfId="0" applyNumberFormat="1" applyFont="1" applyFill="1" applyBorder="1" applyAlignment="1">
      <alignment vertical="bottom"/>
    </xf>
    <xf numFmtId="0" fontId="6" fillId="7" borderId="13" xfId="0" applyFont="1" applyFill="1" applyBorder="1" applyAlignment="1">
      <alignment horizontal="center" vertical="bottom"/>
    </xf>
    <xf numFmtId="0" fontId="6" fillId="7" borderId="14" xfId="0" applyFont="1" applyFill="1" applyBorder="1" applyAlignment="1">
      <alignment horizontal="center" vertical="bottom"/>
    </xf>
    <xf numFmtId="0" fontId="6" fillId="3" borderId="15" xfId="0" applyFont="1" applyFill="1" applyBorder="1" applyAlignment="1">
      <alignment horizontal="center" vertical="bottom"/>
    </xf>
    <xf numFmtId="165" fontId="6" fillId="0" borderId="16" xfId="0" applyNumberFormat="1" applyFont="1" applyBorder="1" applyAlignment="1">
      <alignment vertical="bottom"/>
    </xf>
    <xf numFmtId="0" fontId="6" fillId="0" borderId="7" xfId="0" applyFont="1" applyBorder="1" applyAlignment="1">
      <alignment vertical="bottom"/>
    </xf>
    <xf numFmtId="165" fontId="6" fillId="0" borderId="7" xfId="0" applyNumberFormat="1" applyFont="1" applyBorder="1" applyAlignment="1">
      <alignment vertical="bottom"/>
    </xf>
    <xf numFmtId="9" fontId="6" fillId="0" borderId="7" xfId="0" applyNumberFormat="1" applyFont="1" applyBorder="1" applyAlignment="1">
      <alignment vertical="bottom"/>
    </xf>
    <xf numFmtId="0" fontId="6" fillId="2" borderId="6" xfId="0" applyFont="1" applyFill="1" applyBorder="1" applyAlignment="1">
      <alignment vertical="bottom"/>
    </xf>
    <xf numFmtId="0" fontId="6" fillId="13" borderId="6" xfId="0" applyFont="1" applyFill="1" applyBorder="1" applyAlignment="1">
      <alignment vertical="bottom"/>
    </xf>
    <xf numFmtId="0" fontId="6" fillId="0" borderId="17" xfId="0" applyFont="1" applyBorder="1" applyAlignment="1">
      <alignment vertical="bottom"/>
    </xf>
    <xf numFmtId="165" fontId="6" fillId="0" borderId="17" xfId="0" applyNumberFormat="1" applyFont="1" applyBorder="1" applyAlignment="1">
      <alignment vertical="bottom"/>
    </xf>
    <xf numFmtId="165" fontId="6" fillId="0" borderId="18" xfId="0" applyNumberFormat="1" applyFont="1" applyBorder="1" applyAlignment="1">
      <alignment vertical="bottom"/>
    </xf>
    <xf numFmtId="165" fontId="6" fillId="2" borderId="1" xfId="0" applyNumberFormat="1" applyFont="1" applyFill="1" applyBorder="1" applyAlignment="1">
      <alignment vertical="bottom"/>
    </xf>
    <xf numFmtId="9" fontId="6" fillId="2" borderId="18" xfId="0" applyNumberFormat="1" applyFont="1" applyFill="1" applyBorder="1" applyAlignment="1">
      <alignment vertical="bottom"/>
    </xf>
    <xf numFmtId="9" fontId="6" fillId="2" borderId="1" xfId="0" applyNumberFormat="1" applyFont="1" applyFill="1" applyBorder="1" applyAlignment="1">
      <alignment vertical="bottom"/>
    </xf>
    <xf numFmtId="9" fontId="6" fillId="2" borderId="9" xfId="0" applyNumberFormat="1" applyFont="1" applyFill="1" applyBorder="1" applyAlignment="1">
      <alignment vertical="bottom"/>
    </xf>
    <xf numFmtId="165" fontId="6" fillId="0" borderId="19" xfId="0" applyNumberFormat="1" applyFont="1" applyBorder="1" applyAlignment="1">
      <alignment vertical="bottom"/>
    </xf>
    <xf numFmtId="165" fontId="6" fillId="2" borderId="6" xfId="0" applyNumberFormat="1" applyFont="1" applyFill="1" applyBorder="1" applyAlignment="1">
      <alignment vertical="bottom"/>
    </xf>
    <xf numFmtId="9" fontId="6" fillId="2" borderId="19" xfId="0" applyNumberFormat="1" applyFont="1" applyFill="1" applyBorder="1" applyAlignment="1">
      <alignment vertical="bottom"/>
    </xf>
    <xf numFmtId="9" fontId="6" fillId="2" borderId="6" xfId="0" applyNumberFormat="1" applyFont="1" applyFill="1" applyBorder="1" applyAlignment="1">
      <alignment vertical="bottom"/>
    </xf>
    <xf numFmtId="9" fontId="6" fillId="2" borderId="8" xfId="0" applyNumberFormat="1" applyFont="1" applyFill="1" applyBorder="1" applyAlignment="1">
      <alignment vertical="bottom"/>
    </xf>
    <xf numFmtId="0" fontId="10" fillId="8" borderId="20" xfId="0" applyFont="1" applyFill="1" applyBorder="1" applyAlignment="1">
      <alignment vertical="bottom" readingOrder="1"/>
    </xf>
    <xf numFmtId="0" fontId="11" fillId="7" borderId="21" xfId="0" applyFont="1" applyFill="1" applyBorder="1" applyAlignment="1">
      <alignment vertical="bottom" readingOrder="1"/>
    </xf>
    <xf numFmtId="0" fontId="11" fillId="7" borderId="22" xfId="0" applyFont="1" applyFill="1" applyBorder="1" applyAlignment="1">
      <alignment vertical="bottom" readingOrder="1"/>
    </xf>
    <xf numFmtId="0" fontId="11" fillId="7" borderId="23" xfId="0" applyFont="1" applyFill="1" applyBorder="1" applyAlignment="1">
      <alignment vertical="bottom" readingOrder="1"/>
    </xf>
    <xf numFmtId="0" fontId="10" fillId="0" borderId="24" xfId="0" applyFont="1" applyBorder="1" applyAlignment="1">
      <alignment vertical="bottom" readingOrder="1"/>
    </xf>
    <xf numFmtId="0" fontId="10" fillId="0" borderId="25" xfId="0" applyFont="1" applyBorder="1" applyAlignment="1">
      <alignment vertical="bottom" readingOrder="1"/>
    </xf>
    <xf numFmtId="0" fontId="10" fillId="0" borderId="26" xfId="0" applyFont="1" applyBorder="1" applyAlignment="1">
      <alignment vertical="bottom" readingOrder="1"/>
    </xf>
    <xf numFmtId="0" fontId="12" fillId="14" borderId="27" xfId="0" applyFont="1" applyFill="1" applyBorder="1" applyAlignment="1">
      <alignment vertical="bottom" readingOrder="1"/>
    </xf>
    <xf numFmtId="0" fontId="12" fillId="14" borderId="28" xfId="0" applyFont="1" applyFill="1" applyBorder="1" applyAlignment="1">
      <alignment vertical="bottom" readingOrder="1"/>
    </xf>
    <xf numFmtId="2" fontId="10" fillId="14" borderId="28" xfId="0" applyNumberFormat="1" applyFont="1" applyFill="1" applyBorder="1" applyAlignment="1">
      <alignment vertical="bottom" readingOrder="1"/>
    </xf>
    <xf numFmtId="0" fontId="13" fillId="14" borderId="28" xfId="0" applyFont="1" applyFill="1" applyBorder="1" applyAlignment="1">
      <alignment vertical="bottom" readingOrder="1"/>
    </xf>
    <xf numFmtId="0" fontId="14" fillId="14" borderId="28" xfId="0" applyFont="1" applyFill="1" applyBorder="1" applyAlignment="1">
      <alignment vertical="bottom" readingOrder="1"/>
    </xf>
    <xf numFmtId="0" fontId="14" fillId="14" borderId="29" xfId="0" applyFont="1" applyFill="1" applyBorder="1" applyAlignment="1">
      <alignment vertical="bottom" readingOrder="1"/>
    </xf>
    <xf numFmtId="0" fontId="10" fillId="0" borderId="30" xfId="0" applyFont="1" applyBorder="1" applyAlignment="1">
      <alignment vertical="bottom" readingOrder="1"/>
    </xf>
    <xf numFmtId="0" fontId="10" fillId="0" borderId="31" xfId="0" applyFont="1" applyBorder="1" applyAlignment="1">
      <alignment vertical="bottom" readingOrder="1"/>
    </xf>
    <xf numFmtId="0" fontId="10" fillId="0" borderId="32" xfId="0" applyFont="1" applyBorder="1" applyAlignment="1">
      <alignment vertical="bottom" readingOrder="1"/>
    </xf>
    <xf numFmtId="0" fontId="6" fillId="0" borderId="4" xfId="0" applyFont="1" applyBorder="1" applyAlignment="1">
      <alignment vertical="bottom"/>
    </xf>
    <xf numFmtId="0" fontId="7" fillId="3" borderId="2" xfId="0" applyFont="1" applyFill="1" applyBorder="1" applyAlignment="1">
      <alignment vertical="bottom"/>
    </xf>
    <xf numFmtId="0" fontId="6" fillId="3" borderId="13" xfId="0" applyFont="1" applyFill="1" applyBorder="1" applyAlignment="1">
      <alignment vertical="bottom"/>
    </xf>
    <xf numFmtId="0" fontId="6" fillId="3" borderId="14" xfId="0" applyFont="1" applyFill="1" applyBorder="1" applyAlignment="1">
      <alignment vertical="bottom"/>
    </xf>
    <xf numFmtId="0" fontId="6" fillId="5" borderId="14" xfId="0" applyFont="1" applyFill="1" applyBorder="1" applyAlignment="1">
      <alignment vertical="bottom"/>
    </xf>
    <xf numFmtId="0" fontId="6" fillId="5" borderId="3" xfId="0" applyFont="1" applyFill="1" applyBorder="1" applyAlignment="1">
      <alignment vertical="bottom"/>
    </xf>
    <xf numFmtId="0" fontId="6" fillId="3" borderId="33" xfId="0" applyFont="1" applyFill="1" applyBorder="1" applyAlignment="1">
      <alignment vertical="bottom"/>
    </xf>
    <xf numFmtId="0" fontId="6" fillId="2" borderId="0" xfId="0" applyFont="1" applyFill="1" applyAlignment="1">
      <alignment vertical="bottom"/>
    </xf>
    <xf numFmtId="0" fontId="6" fillId="13" borderId="0" xfId="0" applyFont="1" applyFill="1" applyAlignment="1">
      <alignment vertical="bottom"/>
    </xf>
    <xf numFmtId="0" fontId="6" fillId="0" borderId="8" xfId="0" applyFont="1" applyBorder="1" applyAlignment="1">
      <alignment vertical="bottom"/>
    </xf>
    <xf numFmtId="0" fontId="6" fillId="9" borderId="3" xfId="0" applyFont="1" applyFill="1" applyBorder="1" applyAlignment="1">
      <alignment vertical="bottom"/>
    </xf>
    <xf numFmtId="0" fontId="6" fillId="0" borderId="34" xfId="0" applyFont="1" applyBorder="1" applyAlignment="1">
      <alignment vertical="bottom"/>
    </xf>
    <xf numFmtId="0" fontId="7" fillId="0" borderId="0" xfId="0" applyFont="1" applyAlignment="1">
      <alignment vertical="bottom"/>
    </xf>
    <xf numFmtId="0" fontId="6" fillId="0" borderId="35" xfId="0" applyFont="1" applyBorder="1" applyAlignment="1">
      <alignment vertical="bottom"/>
    </xf>
    <xf numFmtId="0" fontId="6" fillId="0" borderId="36" xfId="0" applyFont="1" applyBorder="1" applyAlignment="1">
      <alignment vertical="bottom"/>
    </xf>
    <xf numFmtId="0" fontId="7" fillId="0" borderId="1" xfId="0" applyFont="1" applyBorder="1" applyAlignment="1">
      <alignment vertical="bottom"/>
    </xf>
    <xf numFmtId="1" fontId="7" fillId="0" borderId="17" xfId="0" applyNumberFormat="1" applyFont="1" applyBorder="1" applyAlignment="1">
      <alignment vertical="bottom"/>
    </xf>
    <xf numFmtId="0" fontId="7" fillId="0" borderId="37" xfId="0" applyFont="1" applyBorder="1" applyAlignment="1">
      <alignment vertical="bottom"/>
    </xf>
    <xf numFmtId="0" fontId="6" fillId="0" borderId="38" xfId="0" applyFont="1" applyBorder="1" applyAlignment="1">
      <alignment vertical="bottom"/>
    </xf>
    <xf numFmtId="0" fontId="6" fillId="0" borderId="16" xfId="0" applyFont="1" applyBorder="1" applyAlignment="1">
      <alignment vertical="bottom"/>
    </xf>
    <xf numFmtId="0" fontId="7" fillId="0" borderId="39" xfId="0" applyFont="1" applyBorder="1" applyAlignment="1">
      <alignment vertical="bottom"/>
    </xf>
    <xf numFmtId="0" fontId="6" fillId="0" borderId="40" xfId="0" applyFont="1" applyBorder="1" applyAlignment="1">
      <alignment vertical="bottom"/>
    </xf>
    <xf numFmtId="0" fontId="7" fillId="0" borderId="40" xfId="0" applyFont="1" applyBorder="1" applyAlignment="1">
      <alignment vertical="bottom"/>
    </xf>
    <xf numFmtId="1" fontId="7" fillId="0" borderId="40" xfId="0" applyNumberFormat="1" applyFont="1" applyBorder="1" applyAlignment="1">
      <alignment vertical="bottom"/>
    </xf>
    <xf numFmtId="0" fontId="7" fillId="0" borderId="41" xfId="0" applyFont="1" applyBorder="1" applyAlignment="1">
      <alignment vertical="bottom"/>
    </xf>
    <xf numFmtId="0" fontId="6" fillId="13" borderId="42" xfId="0" applyFont="1" applyFill="1" applyBorder="1" applyAlignment="1">
      <alignment vertical="bottom"/>
    </xf>
    <xf numFmtId="0" fontId="7" fillId="12" borderId="43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vertical="bottom"/>
    </xf>
    <xf numFmtId="0" fontId="6" fillId="13" borderId="17" xfId="0" applyFont="1" applyFill="1" applyBorder="1" applyAlignment="1">
      <alignment vertical="bottom"/>
    </xf>
    <xf numFmtId="0" fontId="6" fillId="13" borderId="9" xfId="0" applyFont="1" applyFill="1" applyBorder="1" applyAlignment="1">
      <alignment vertical="bottom"/>
    </xf>
    <xf numFmtId="0" fontId="6" fillId="0" borderId="45" xfId="0" applyFont="1" applyBorder="1" applyAlignment="1">
      <alignment vertical="bottom"/>
    </xf>
    <xf numFmtId="0" fontId="6" fillId="13" borderId="46" xfId="0" applyFont="1" applyFill="1" applyBorder="1" applyAlignment="1">
      <alignment vertical="bottom"/>
    </xf>
    <xf numFmtId="0" fontId="6" fillId="13" borderId="47" xfId="0" applyFont="1" applyFill="1" applyBorder="1" applyAlignment="1">
      <alignment vertical="bottom"/>
    </xf>
    <xf numFmtId="0" fontId="7" fillId="13" borderId="48" xfId="0" applyFont="1" applyFill="1" applyBorder="1" applyAlignment="1">
      <alignment vertical="bottom"/>
    </xf>
    <xf numFmtId="0" fontId="6" fillId="13" borderId="49" xfId="0" applyFont="1" applyFill="1" applyBorder="1" applyAlignment="1">
      <alignment vertical="bottom"/>
    </xf>
    <xf numFmtId="0" fontId="6" fillId="9" borderId="0" xfId="0" applyFont="1" applyFill="1" applyAlignment="1">
      <alignment vertical="bottom"/>
    </xf>
    <xf numFmtId="0" fontId="6" fillId="0" borderId="50" xfId="0" applyFont="1" applyBorder="1" applyAlignment="1">
      <alignment vertical="bottom"/>
    </xf>
    <xf numFmtId="0" fontId="6" fillId="0" borderId="51" xfId="0" applyFont="1" applyBorder="1" applyAlignment="1">
      <alignment vertical="bottom"/>
    </xf>
    <xf numFmtId="0" fontId="6" fillId="0" borderId="37" xfId="0" applyFont="1" applyBorder="1" applyAlignment="1">
      <alignment vertical="bottom"/>
    </xf>
    <xf numFmtId="0" fontId="7" fillId="13" borderId="49" xfId="0" applyFont="1" applyFill="1" applyBorder="1" applyAlignment="1">
      <alignment vertical="bottom"/>
    </xf>
    <xf numFmtId="0" fontId="7" fillId="2" borderId="52" xfId="0" applyFont="1" applyFill="1" applyBorder="1" applyAlignment="1">
      <alignment horizontal="left" vertical="top"/>
    </xf>
    <xf numFmtId="0" fontId="7" fillId="15" borderId="39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bottom"/>
    </xf>
    <xf numFmtId="0" fontId="15" fillId="8" borderId="50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7" fillId="8" borderId="2" xfId="0" applyFont="1" applyFill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/>
    </xf>
    <xf numFmtId="0" fontId="18" fillId="8" borderId="3" xfId="0" applyFont="1" applyFill="1" applyBorder="1" applyAlignment="1">
      <alignment horizontal="left" vertical="top" wrapText="1"/>
    </xf>
    <xf numFmtId="0" fontId="19" fillId="8" borderId="3" xfId="0" applyFont="1" applyFill="1" applyBorder="1" applyAlignment="1">
      <alignment horizontal="left" vertical="center" wrapText="1"/>
    </xf>
    <xf numFmtId="0" fontId="7" fillId="15" borderId="53" xfId="0" applyFont="1" applyFill="1" applyBorder="1" applyAlignment="1">
      <alignment horizontal="left" vertical="top"/>
    </xf>
    <xf numFmtId="0" fontId="8" fillId="0" borderId="54" xfId="0" applyFont="1" applyBorder="1" applyAlignment="1">
      <alignment horizontal="left" vertical="top"/>
    </xf>
    <xf numFmtId="0" fontId="8" fillId="0" borderId="55" xfId="0" applyFont="1" applyBorder="1" applyAlignment="1">
      <alignment horizontal="left" vertical="top"/>
    </xf>
    <xf numFmtId="0" fontId="20" fillId="0" borderId="50" xfId="0" applyFont="1" applyBorder="1" applyAlignment="1">
      <alignment horizontal="left" vertical="top"/>
    </xf>
    <xf numFmtId="0" fontId="18" fillId="8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19" fillId="8" borderId="54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/>
    </xf>
    <xf numFmtId="0" fontId="7" fillId="15" borderId="54" xfId="0" applyFont="1" applyFill="1" applyBorder="1" applyAlignment="1">
      <alignment horizontal="left" vertical="top"/>
    </xf>
    <xf numFmtId="0" fontId="17" fillId="8" borderId="3" xfId="0" applyFont="1" applyFill="1" applyBorder="1" applyAlignment="1">
      <alignment horizontal="left" vertical="top" wrapText="1"/>
    </xf>
    <xf numFmtId="0" fontId="17" fillId="8" borderId="54" xfId="0" applyFont="1" applyFill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/>
    </xf>
    <xf numFmtId="0" fontId="9" fillId="0" borderId="54" xfId="0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7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22" fillId="8" borderId="2" xfId="0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/>
    </xf>
    <xf numFmtId="0" fontId="19" fillId="8" borderId="37" xfId="0" applyFont="1" applyFill="1" applyBorder="1" applyAlignment="1">
      <alignment horizontal="left" vertical="top" wrapText="1"/>
    </xf>
    <xf numFmtId="0" fontId="20" fillId="0" borderId="54" xfId="0" applyFont="1" applyBorder="1" applyAlignment="1">
      <alignment horizontal="left" vertical="top"/>
    </xf>
    <xf numFmtId="0" fontId="19" fillId="8" borderId="2" xfId="0" applyFont="1" applyFill="1" applyBorder="1" applyAlignment="1">
      <alignment horizontal="left" vertical="top" wrapText="1"/>
    </xf>
    <xf numFmtId="0" fontId="20" fillId="0" borderId="37" xfId="0" applyFont="1" applyBorder="1" applyAlignment="1">
      <alignment horizontal="left" vertical="top"/>
    </xf>
    <xf numFmtId="0" fontId="19" fillId="8" borderId="50" xfId="0" applyFont="1" applyFill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/>
    </xf>
    <xf numFmtId="0" fontId="18" fillId="8" borderId="37" xfId="0" applyFont="1" applyFill="1" applyBorder="1" applyAlignment="1">
      <alignment horizontal="left" vertical="top" wrapText="1"/>
    </xf>
    <xf numFmtId="0" fontId="6" fillId="0" borderId="5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center" vertical="center" wrapText="1"/>
    </xf>
    <xf numFmtId="165" fontId="6" fillId="16" borderId="3" xfId="0" applyNumberFormat="1" applyFont="1" applyFill="1" applyBorder="1" applyAlignment="1">
      <alignment vertical="bottom"/>
    </xf>
    <xf numFmtId="9" fontId="6" fillId="16" borderId="3" xfId="0" applyNumberFormat="1" applyFont="1" applyFill="1" applyBorder="1" applyAlignment="1">
      <alignment vertical="bottom"/>
    </xf>
  </cellXfs>
  <cellStyles count="1">
    <cellStyle name="Normal" xfId="0" builtinId="0"/>
  </cellStyles>
  <dxfs count="331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8"/>
  <sheetViews>
    <sheetView workbookViewId="0" zoomScale="100" zoomScaleNormal="100" view="normal">
      <pane xSplit="2" ySplit="3" topLeftCell="C4" activePane="bottomRight" state="frozen"/>
      <selection pane="bottomRight" activeCell="D22" sqref="D22"/>
    </sheetView>
  </sheetViews>
  <sheetFormatPr defaultRowHeight="15" outlineLevelRow="0" outlineLevelCol="0" x14ac:dyDescent="0" defaultColWidth="9.14453125"/>
  <cols>
    <col min="1" max="1" width="8.29" style="1" customWidth="1"/>
    <col min="2" max="2" width="28.57" style="1" customWidth="1"/>
    <col min="3" max="20" width="12.43" style="1" customWidth="1"/>
    <col min="21" max="16384" width="9.14" style="1" customWidth="1"/>
  </cols>
  <sheetData>
    <row r="1" ht="37.5" customHeight="1" spans="1: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</row>
    <row r="2" ht="102" customHeight="1" spans="1:30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/>
      <c r="O2" s="4" t="s">
        <v>14</v>
      </c>
      <c r="P2" s="4" t="s">
        <v>15</v>
      </c>
      <c r="Q2" s="4" t="s">
        <v>16</v>
      </c>
      <c r="R2" s="4" t="s">
        <v>17</v>
      </c>
      <c r="S2" s="4"/>
      <c r="T2" s="5" t="s">
        <v>18</v>
      </c>
      <c r="U2" s="1" t="s">
        <v>19</v>
      </c>
      <c r="V2" s="1"/>
      <c r="W2" s="1" t="s">
        <v>20</v>
      </c>
      <c r="X2" s="1"/>
      <c r="Y2" s="1"/>
      <c r="Z2" s="1"/>
      <c r="AA2" s="1"/>
      <c r="AB2" s="1"/>
      <c r="AC2" s="1"/>
      <c r="AD2" s="1"/>
    </row>
    <row r="3" ht="31.5" customHeight="1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 t="s">
        <v>21</v>
      </c>
      <c r="N3" s="8" t="s">
        <v>22</v>
      </c>
      <c r="O3" s="9"/>
      <c r="P3" s="9"/>
      <c r="Q3" s="9"/>
      <c r="R3" s="8" t="s">
        <v>23</v>
      </c>
      <c r="S3" s="8" t="s">
        <v>24</v>
      </c>
      <c r="T3" s="10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" customHeight="1" spans="1:30" x14ac:dyDescent="0.25">
      <c r="A4" s="11">
        <v>7658</v>
      </c>
      <c r="B4" s="12" t="s">
        <v>25</v>
      </c>
      <c r="C4" s="13" t="s">
        <v>26</v>
      </c>
      <c r="D4" s="13" t="s">
        <v>27</v>
      </c>
      <c r="E4" s="13"/>
      <c r="F4" s="13" t="s">
        <v>27</v>
      </c>
      <c r="G4" s="14" t="s">
        <v>27</v>
      </c>
      <c r="H4" s="13" t="s">
        <v>28</v>
      </c>
      <c r="I4" s="13" t="s">
        <v>28</v>
      </c>
      <c r="J4" s="13" t="s">
        <v>27</v>
      </c>
      <c r="K4" s="13" t="s">
        <v>27</v>
      </c>
      <c r="L4" s="13" t="s">
        <v>27</v>
      </c>
      <c r="M4" s="13" t="s">
        <v>27</v>
      </c>
      <c r="N4" s="14"/>
      <c r="O4" s="13"/>
      <c r="P4" s="13" t="s">
        <v>27</v>
      </c>
      <c r="Q4" s="15"/>
      <c r="R4" s="13"/>
      <c r="S4" s="13"/>
      <c r="T4" s="16"/>
      <c r="U4" s="1"/>
      <c r="V4" s="1"/>
      <c r="W4" s="1"/>
      <c r="X4" s="1"/>
      <c r="Y4" s="1"/>
      <c r="Z4" s="1"/>
      <c r="AA4" s="1"/>
      <c r="AB4" s="1"/>
      <c r="AC4" s="1"/>
      <c r="AD4" s="1"/>
    </row>
    <row r="5" ht="6.75" customHeight="1" spans="1:30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" customHeight="1" spans="1:30" x14ac:dyDescent="0.25">
      <c r="A6" s="11">
        <v>8142</v>
      </c>
      <c r="B6" s="12" t="s">
        <v>29</v>
      </c>
      <c r="C6" s="13" t="s">
        <v>26</v>
      </c>
      <c r="D6" s="13" t="s">
        <v>27</v>
      </c>
      <c r="E6" s="13"/>
      <c r="F6" s="13" t="s">
        <v>27</v>
      </c>
      <c r="G6" s="14" t="s">
        <v>30</v>
      </c>
      <c r="H6" s="13" t="s">
        <v>27</v>
      </c>
      <c r="I6" s="18" t="s">
        <v>27</v>
      </c>
      <c r="J6" s="13" t="s">
        <v>27</v>
      </c>
      <c r="K6" s="13" t="s">
        <v>27</v>
      </c>
      <c r="L6" s="13"/>
      <c r="M6" s="13" t="s">
        <v>27</v>
      </c>
      <c r="N6" s="14"/>
      <c r="O6" s="13"/>
      <c r="P6" s="13"/>
      <c r="Q6" s="15"/>
      <c r="R6" s="13"/>
      <c r="S6" s="13"/>
      <c r="T6" s="16"/>
      <c r="U6" s="1"/>
      <c r="V6" s="1"/>
      <c r="W6" s="1"/>
      <c r="X6" s="1"/>
      <c r="Y6" s="1"/>
      <c r="Z6" s="1"/>
      <c r="AA6" s="1"/>
      <c r="AB6" s="1"/>
      <c r="AC6" s="1"/>
      <c r="AD6" s="1"/>
    </row>
    <row r="7" ht="6.75" customHeight="1" spans="1:30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"/>
      <c r="V7" s="1"/>
      <c r="W7" s="1"/>
      <c r="X7" s="1"/>
      <c r="Y7" s="1"/>
      <c r="Z7" s="1"/>
      <c r="AA7" s="1"/>
      <c r="AB7" s="1"/>
      <c r="AC7" s="1"/>
      <c r="AD7" s="1"/>
    </row>
    <row r="8" ht="15" customHeight="1" spans="1:30" x14ac:dyDescent="0.25">
      <c r="A8" s="19">
        <v>8824</v>
      </c>
      <c r="B8" s="20" t="s">
        <v>31</v>
      </c>
      <c r="C8" s="13" t="s">
        <v>26</v>
      </c>
      <c r="D8" s="13"/>
      <c r="E8" s="13"/>
      <c r="F8" s="13" t="s">
        <v>27</v>
      </c>
      <c r="G8" s="14" t="s">
        <v>28</v>
      </c>
      <c r="H8" s="13" t="s">
        <v>28</v>
      </c>
      <c r="I8" s="13" t="s">
        <v>27</v>
      </c>
      <c r="J8" s="13" t="s">
        <v>27</v>
      </c>
      <c r="K8" s="13" t="s">
        <v>27</v>
      </c>
      <c r="L8" s="13" t="s">
        <v>27</v>
      </c>
      <c r="M8" s="13" t="s">
        <v>28</v>
      </c>
      <c r="N8" s="14" t="s">
        <v>28</v>
      </c>
      <c r="O8" s="13" t="s">
        <v>27</v>
      </c>
      <c r="P8" s="13"/>
      <c r="Q8" s="15" t="s">
        <v>27</v>
      </c>
      <c r="R8" s="13" t="s">
        <v>27</v>
      </c>
      <c r="S8" s="13" t="s">
        <v>27</v>
      </c>
      <c r="T8" s="16"/>
      <c r="U8" s="1" t="s">
        <v>27</v>
      </c>
      <c r="V8" s="1"/>
      <c r="W8" s="1"/>
      <c r="X8" s="1"/>
      <c r="Y8" s="1"/>
      <c r="Z8" s="1"/>
      <c r="AA8" s="1"/>
      <c r="AB8" s="1"/>
      <c r="AC8" s="1"/>
      <c r="AD8" s="1"/>
    </row>
    <row r="9" ht="6.75" customHeight="1" spans="1:30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"/>
      <c r="V9" s="1"/>
      <c r="W9" s="1"/>
      <c r="X9" s="1"/>
      <c r="Y9" s="1"/>
      <c r="Z9" s="1"/>
      <c r="AA9" s="1"/>
      <c r="AB9" s="1"/>
      <c r="AC9" s="1"/>
      <c r="AD9" s="1"/>
    </row>
    <row r="10" ht="15" customHeight="1" spans="1:30" x14ac:dyDescent="0.25">
      <c r="A10" s="11">
        <v>8127</v>
      </c>
      <c r="B10" s="21" t="s">
        <v>32</v>
      </c>
      <c r="C10" s="13" t="s">
        <v>26</v>
      </c>
      <c r="D10" s="13" t="s">
        <v>27</v>
      </c>
      <c r="E10" s="13"/>
      <c r="F10" s="13" t="s">
        <v>27</v>
      </c>
      <c r="G10" s="14" t="s">
        <v>33</v>
      </c>
      <c r="H10" s="13" t="s">
        <v>27</v>
      </c>
      <c r="I10" s="13" t="s">
        <v>27</v>
      </c>
      <c r="J10" s="13" t="s">
        <v>28</v>
      </c>
      <c r="K10" s="13" t="s">
        <v>27</v>
      </c>
      <c r="L10" s="13"/>
      <c r="M10" s="13" t="s">
        <v>27</v>
      </c>
      <c r="N10" s="14"/>
      <c r="O10" s="13"/>
      <c r="P10" s="13"/>
      <c r="Q10" s="15"/>
      <c r="R10" s="13"/>
      <c r="S10" s="13"/>
      <c r="T10" s="16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ht="6.75" customHeight="1" spans="1:30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ht="15" customHeight="1" spans="1:30" x14ac:dyDescent="0.25">
      <c r="A12" s="11">
        <v>8183</v>
      </c>
      <c r="B12" s="21" t="s">
        <v>34</v>
      </c>
      <c r="C12" s="13" t="s">
        <v>26</v>
      </c>
      <c r="D12" s="13" t="s">
        <v>27</v>
      </c>
      <c r="E12" s="13"/>
      <c r="F12" s="13" t="s">
        <v>27</v>
      </c>
      <c r="G12" s="14" t="s">
        <v>27</v>
      </c>
      <c r="H12" s="13" t="s">
        <v>27</v>
      </c>
      <c r="I12" s="13" t="s">
        <v>27</v>
      </c>
      <c r="J12" s="13" t="s">
        <v>27</v>
      </c>
      <c r="K12" s="13" t="s">
        <v>27</v>
      </c>
      <c r="L12" s="13" t="s">
        <v>27</v>
      </c>
      <c r="M12" s="13" t="s">
        <v>27</v>
      </c>
      <c r="N12" s="14"/>
      <c r="O12" s="18" t="s">
        <v>27</v>
      </c>
      <c r="P12" s="13" t="s">
        <v>27</v>
      </c>
      <c r="Q12" s="15" t="s">
        <v>27</v>
      </c>
      <c r="R12" s="13" t="s">
        <v>27</v>
      </c>
      <c r="S12" s="13" t="s">
        <v>27</v>
      </c>
      <c r="T12" s="16"/>
      <c r="U12" s="1" t="s">
        <v>27</v>
      </c>
      <c r="V12" s="1"/>
      <c r="W12" s="1"/>
      <c r="X12" s="1"/>
      <c r="Y12" s="1"/>
      <c r="Z12" s="1"/>
      <c r="AA12" s="1"/>
      <c r="AB12" s="1"/>
      <c r="AC12" s="1"/>
      <c r="AD12" s="1"/>
    </row>
    <row r="13" ht="6.75" customHeight="1" spans="1:30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ht="15" customHeight="1" spans="1:30" x14ac:dyDescent="0.25">
      <c r="A14" s="11">
        <v>8886</v>
      </c>
      <c r="B14" s="21" t="s">
        <v>35</v>
      </c>
      <c r="C14" s="13" t="s">
        <v>26</v>
      </c>
      <c r="D14" s="13"/>
      <c r="E14" s="13"/>
      <c r="F14" s="13" t="s">
        <v>27</v>
      </c>
      <c r="G14" s="14" t="s">
        <v>33</v>
      </c>
      <c r="H14" s="13" t="s">
        <v>28</v>
      </c>
      <c r="I14" s="13" t="s">
        <v>27</v>
      </c>
      <c r="J14" s="13" t="s">
        <v>27</v>
      </c>
      <c r="K14" s="13" t="s">
        <v>27</v>
      </c>
      <c r="L14" s="13"/>
      <c r="M14" s="13"/>
      <c r="N14" s="14"/>
      <c r="O14" s="13"/>
      <c r="P14" s="13"/>
      <c r="Q14" s="15"/>
      <c r="R14" s="13"/>
      <c r="S14" s="13"/>
      <c r="T14" s="16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6.75" customHeight="1" spans="1:30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5" customHeight="1" spans="1:30" x14ac:dyDescent="0.25">
      <c r="A16" s="11">
        <v>8887</v>
      </c>
      <c r="B16" s="21" t="s">
        <v>36</v>
      </c>
      <c r="C16" s="13" t="s">
        <v>26</v>
      </c>
      <c r="D16" s="13"/>
      <c r="E16" s="13"/>
      <c r="F16" s="13" t="s">
        <v>27</v>
      </c>
      <c r="G16" s="14" t="s">
        <v>33</v>
      </c>
      <c r="H16" s="13" t="s">
        <v>28</v>
      </c>
      <c r="I16" s="13" t="s">
        <v>27</v>
      </c>
      <c r="J16" s="18" t="s">
        <v>27</v>
      </c>
      <c r="K16" s="13" t="s">
        <v>27</v>
      </c>
      <c r="L16" s="13"/>
      <c r="M16" s="18"/>
      <c r="N16" s="14"/>
      <c r="O16" s="13"/>
      <c r="P16" s="18"/>
      <c r="Q16" s="15"/>
      <c r="R16" s="13"/>
      <c r="S16" s="13"/>
      <c r="T16" s="16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6.75" customHeight="1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15" customHeight="1" spans="1:30" x14ac:dyDescent="0.25">
      <c r="A18" s="11">
        <v>8670</v>
      </c>
      <c r="B18" s="21" t="s">
        <v>37</v>
      </c>
      <c r="C18" s="13" t="s">
        <v>26</v>
      </c>
      <c r="D18" s="13" t="s">
        <v>27</v>
      </c>
      <c r="E18" s="13"/>
      <c r="F18" s="13"/>
      <c r="G18" s="14"/>
      <c r="H18" s="13"/>
      <c r="I18" s="13"/>
      <c r="J18" s="13"/>
      <c r="K18" s="13"/>
      <c r="L18" s="13"/>
      <c r="M18" s="13"/>
      <c r="N18" s="14"/>
      <c r="O18" s="13"/>
      <c r="P18" s="13"/>
      <c r="Q18" s="15"/>
      <c r="R18" s="13"/>
      <c r="S18" s="13"/>
      <c r="T18" s="16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6.75" customHeight="1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15" customHeight="1" spans="1:30" x14ac:dyDescent="0.25">
      <c r="A20" s="11">
        <v>8907</v>
      </c>
      <c r="B20" s="21" t="s">
        <v>38</v>
      </c>
      <c r="C20" s="13" t="s">
        <v>26</v>
      </c>
      <c r="D20" s="13" t="s">
        <v>27</v>
      </c>
      <c r="E20" s="13"/>
      <c r="F20" s="13"/>
      <c r="G20" s="14"/>
      <c r="H20" s="13"/>
      <c r="I20" s="13"/>
      <c r="J20" s="13"/>
      <c r="K20" s="13"/>
      <c r="L20" s="13"/>
      <c r="M20" s="13"/>
      <c r="N20" s="14"/>
      <c r="O20" s="13"/>
      <c r="P20" s="13"/>
      <c r="Q20" s="15"/>
      <c r="R20" s="13"/>
      <c r="S20" s="13"/>
      <c r="T20" s="16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6.75" customHeight="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15" customHeight="1" spans="1:30" x14ac:dyDescent="0.25">
      <c r="A22" s="11">
        <v>9065</v>
      </c>
      <c r="B22" s="21" t="s">
        <v>39</v>
      </c>
      <c r="C22" s="13" t="s">
        <v>26</v>
      </c>
      <c r="D22" s="13" t="s">
        <v>27</v>
      </c>
      <c r="E22" s="13"/>
      <c r="F22" s="13" t="s">
        <v>27</v>
      </c>
      <c r="G22" s="14" t="s">
        <v>27</v>
      </c>
      <c r="H22" s="13" t="s">
        <v>28</v>
      </c>
      <c r="I22" s="13" t="s">
        <v>27</v>
      </c>
      <c r="J22" s="13" t="s">
        <v>27</v>
      </c>
      <c r="K22" s="13" t="s">
        <v>27</v>
      </c>
      <c r="L22" s="13" t="s">
        <v>27</v>
      </c>
      <c r="M22" s="13" t="s">
        <v>27</v>
      </c>
      <c r="N22" s="14" t="s">
        <v>27</v>
      </c>
      <c r="O22" s="13"/>
      <c r="P22" s="13"/>
      <c r="Q22" s="15" t="s">
        <v>27</v>
      </c>
      <c r="R22" s="13" t="s">
        <v>27</v>
      </c>
      <c r="S22" s="13" t="s">
        <v>28</v>
      </c>
      <c r="T22" s="16"/>
      <c r="U22" s="1" t="s">
        <v>27</v>
      </c>
      <c r="V22" s="1"/>
      <c r="W22" s="1"/>
      <c r="X22" s="1"/>
      <c r="Y22" s="1"/>
      <c r="Z22" s="1"/>
      <c r="AA22" s="1"/>
      <c r="AB22" s="1"/>
      <c r="AC22" s="1"/>
      <c r="AD22" s="1"/>
    </row>
    <row r="23" ht="6.75" customHeight="1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15" customHeight="1" spans="1:30" x14ac:dyDescent="0.25">
      <c r="A24" s="11">
        <v>9259</v>
      </c>
      <c r="B24" s="21" t="s">
        <v>40</v>
      </c>
      <c r="C24" s="13" t="s">
        <v>26</v>
      </c>
      <c r="D24" s="13" t="s">
        <v>27</v>
      </c>
      <c r="E24" s="13"/>
      <c r="F24" s="13" t="s">
        <v>27</v>
      </c>
      <c r="G24" s="14" t="s">
        <v>27</v>
      </c>
      <c r="H24" s="13" t="s">
        <v>28</v>
      </c>
      <c r="I24" s="13" t="s">
        <v>27</v>
      </c>
      <c r="J24" s="13" t="s">
        <v>27</v>
      </c>
      <c r="K24" s="13" t="s">
        <v>27</v>
      </c>
      <c r="L24" s="13" t="s">
        <v>27</v>
      </c>
      <c r="M24" s="13" t="s">
        <v>27</v>
      </c>
      <c r="N24" s="14" t="s">
        <v>27</v>
      </c>
      <c r="O24" s="13" t="s">
        <v>27</v>
      </c>
      <c r="P24" s="13" t="s">
        <v>27</v>
      </c>
      <c r="Q24" s="15" t="s">
        <v>27</v>
      </c>
      <c r="R24" s="13" t="s">
        <v>27</v>
      </c>
      <c r="S24" s="13" t="s">
        <v>28</v>
      </c>
      <c r="T24" s="16"/>
      <c r="U24" s="1" t="s">
        <v>27</v>
      </c>
      <c r="V24" s="1"/>
      <c r="W24" s="1"/>
      <c r="X24" s="1"/>
      <c r="Y24" s="1"/>
      <c r="Z24" s="1"/>
      <c r="AA24" s="1"/>
      <c r="AB24" s="1"/>
      <c r="AC24" s="1"/>
      <c r="AD24" s="1"/>
    </row>
    <row r="25" ht="6.75" customHeight="1" spans="1:30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15" customHeight="1" spans="1:30" x14ac:dyDescent="0.25">
      <c r="A26" s="11">
        <v>8352</v>
      </c>
      <c r="B26" s="21" t="s">
        <v>41</v>
      </c>
      <c r="C26" s="13" t="s">
        <v>42</v>
      </c>
      <c r="D26" s="13" t="s">
        <v>27</v>
      </c>
      <c r="E26" s="13" t="s">
        <v>28</v>
      </c>
      <c r="F26" s="13" t="s">
        <v>27</v>
      </c>
      <c r="G26" s="14"/>
      <c r="H26" s="13" t="s">
        <v>28</v>
      </c>
      <c r="I26" s="13" t="s">
        <v>28</v>
      </c>
      <c r="J26" s="13"/>
      <c r="K26" s="13" t="s">
        <v>28</v>
      </c>
      <c r="L26" s="13" t="s">
        <v>27</v>
      </c>
      <c r="M26" s="13"/>
      <c r="N26" s="14"/>
      <c r="O26" s="13" t="s">
        <v>27</v>
      </c>
      <c r="P26" s="13"/>
      <c r="Q26" s="15"/>
      <c r="R26" s="13"/>
      <c r="S26" s="13"/>
      <c r="T26" s="16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6.75" customHeight="1" spans="1:30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15" customHeight="1" spans="1:30" x14ac:dyDescent="0.25">
      <c r="A28" s="11">
        <v>8234</v>
      </c>
      <c r="B28" s="21" t="s">
        <v>43</v>
      </c>
      <c r="C28" s="13" t="s">
        <v>42</v>
      </c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4"/>
      <c r="O28" s="13"/>
      <c r="P28" s="13"/>
      <c r="Q28" s="15"/>
      <c r="R28" s="13"/>
      <c r="S28" s="13"/>
      <c r="T28" s="16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6.75" customHeight="1" spans="1:30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"/>
      <c r="V29" s="1"/>
      <c r="W29" s="1"/>
      <c r="X29" s="1"/>
      <c r="Y29" s="1"/>
      <c r="Z29" s="23"/>
      <c r="AA29" s="1"/>
      <c r="AB29" s="1"/>
      <c r="AC29" s="1"/>
      <c r="AD29" s="1"/>
    </row>
    <row r="30" ht="15" customHeight="1" spans="1:30" x14ac:dyDescent="0.25">
      <c r="A30" s="11">
        <v>8214</v>
      </c>
      <c r="B30" s="21" t="s">
        <v>44</v>
      </c>
      <c r="C30" s="13" t="s">
        <v>42</v>
      </c>
      <c r="D30" s="13" t="s">
        <v>27</v>
      </c>
      <c r="E30" s="13" t="s">
        <v>28</v>
      </c>
      <c r="F30" s="13"/>
      <c r="G30" s="14"/>
      <c r="H30" s="13"/>
      <c r="I30" s="13"/>
      <c r="J30" s="13"/>
      <c r="K30" s="13" t="s">
        <v>28</v>
      </c>
      <c r="L30" s="13"/>
      <c r="M30" s="13"/>
      <c r="N30" s="14"/>
      <c r="O30" s="13"/>
      <c r="P30" s="13"/>
      <c r="Q30" s="15"/>
      <c r="R30" s="13"/>
      <c r="S30" s="18"/>
      <c r="T30" s="16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6.75" customHeight="1" spans="1:30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15" customHeight="1" spans="1:30" x14ac:dyDescent="0.25">
      <c r="A32" s="11">
        <v>6792</v>
      </c>
      <c r="B32" s="21" t="s">
        <v>45</v>
      </c>
      <c r="C32" s="13" t="s">
        <v>42</v>
      </c>
      <c r="D32" s="13" t="s">
        <v>27</v>
      </c>
      <c r="E32" s="13" t="s">
        <v>27</v>
      </c>
      <c r="F32" s="13" t="s">
        <v>27</v>
      </c>
      <c r="G32" s="14" t="s">
        <v>27</v>
      </c>
      <c r="H32" s="13" t="s">
        <v>28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28</v>
      </c>
      <c r="N32" s="14" t="s">
        <v>27</v>
      </c>
      <c r="O32" s="13" t="s">
        <v>27</v>
      </c>
      <c r="P32" s="18" t="s">
        <v>46</v>
      </c>
      <c r="Q32" s="15" t="s">
        <v>47</v>
      </c>
      <c r="R32" s="13"/>
      <c r="S32" s="13"/>
      <c r="T32" s="16"/>
      <c r="U32" s="1" t="s">
        <v>27</v>
      </c>
      <c r="V32" s="1"/>
      <c r="W32" s="1"/>
      <c r="X32" s="1"/>
      <c r="Y32" s="1"/>
      <c r="Z32" s="1"/>
      <c r="AA32" s="1"/>
      <c r="AB32" s="1"/>
      <c r="AC32" s="1"/>
      <c r="AD32" s="1"/>
    </row>
    <row r="33" ht="6.75" customHeight="1" spans="1:30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15" customHeight="1" spans="1:30" x14ac:dyDescent="0.25">
      <c r="A34" s="11">
        <v>8840</v>
      </c>
      <c r="B34" s="21" t="s">
        <v>48</v>
      </c>
      <c r="C34" s="13" t="s">
        <v>42</v>
      </c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4"/>
      <c r="O34" s="13"/>
      <c r="P34" s="18"/>
      <c r="Q34" s="24"/>
      <c r="R34" s="13"/>
      <c r="S34" s="13"/>
      <c r="T34" s="16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6.75" customHeight="1" spans="1:30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15" customHeight="1" spans="1:30" x14ac:dyDescent="0.25">
      <c r="A36" s="11">
        <v>8769</v>
      </c>
      <c r="B36" s="21" t="s">
        <v>49</v>
      </c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4"/>
      <c r="O36" s="13"/>
      <c r="P36" s="13"/>
      <c r="Q36" s="15"/>
      <c r="R36" s="13"/>
      <c r="S36" s="13"/>
      <c r="T36" s="16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6.75" customHeight="1" spans="1:30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" customHeight="1" spans="1:30" x14ac:dyDescent="0.25">
      <c r="A38" s="11">
        <v>7901</v>
      </c>
      <c r="B38" s="25" t="s">
        <v>50</v>
      </c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4"/>
      <c r="O38" s="13"/>
      <c r="P38" s="13"/>
      <c r="Q38" s="15"/>
      <c r="R38" s="13"/>
      <c r="S38" s="13"/>
      <c r="T38" s="16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6.75" customHeight="1" spans="1:30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" customHeight="1" spans="1:30" x14ac:dyDescent="0.25">
      <c r="A40" s="11">
        <v>8923</v>
      </c>
      <c r="B40" s="21" t="s">
        <v>51</v>
      </c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4"/>
      <c r="O40" s="13"/>
      <c r="P40" s="13"/>
      <c r="Q40" s="15"/>
      <c r="R40" s="13"/>
      <c r="S40" s="13"/>
      <c r="T40" s="16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6.75" customHeight="1" spans="1:30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" customHeight="1" spans="1:30" x14ac:dyDescent="0.25">
      <c r="A42" s="26">
        <v>7864</v>
      </c>
      <c r="B42" s="25" t="s">
        <v>52</v>
      </c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4"/>
      <c r="O42" s="13"/>
      <c r="P42" s="13"/>
      <c r="Q42" s="15"/>
      <c r="R42" s="13"/>
      <c r="S42" s="13"/>
      <c r="T42" s="16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6.75" customHeight="1" spans="1:30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" customHeight="1" spans="1:30" x14ac:dyDescent="0.25">
      <c r="A44" s="11">
        <v>7912</v>
      </c>
      <c r="B44" s="25" t="s">
        <v>53</v>
      </c>
      <c r="C44" s="13" t="s">
        <v>42</v>
      </c>
      <c r="D44" s="13" t="s">
        <v>27</v>
      </c>
      <c r="E44" s="13" t="s">
        <v>28</v>
      </c>
      <c r="F44" s="18"/>
      <c r="G44" s="14">
        <v>45979</v>
      </c>
      <c r="H44" s="18"/>
      <c r="I44" s="18"/>
      <c r="J44" s="13" t="s">
        <v>28</v>
      </c>
      <c r="K44" s="13" t="s">
        <v>28</v>
      </c>
      <c r="L44" s="18"/>
      <c r="M44" s="18"/>
      <c r="N44" s="14"/>
      <c r="O44" s="18" t="s">
        <v>33</v>
      </c>
      <c r="P44" s="18"/>
      <c r="Q44" s="15"/>
      <c r="R44" s="13"/>
      <c r="S44" s="13"/>
      <c r="T44" s="16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6.75" customHeight="1" spans="1:30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" customHeight="1" spans="1:30" x14ac:dyDescent="0.25">
      <c r="A46" s="27">
        <v>8360</v>
      </c>
      <c r="B46" s="28" t="s">
        <v>54</v>
      </c>
      <c r="C46" s="29" t="s">
        <v>42</v>
      </c>
      <c r="D46" s="29" t="s">
        <v>27</v>
      </c>
      <c r="E46" s="29" t="s">
        <v>28</v>
      </c>
      <c r="F46" s="29" t="s">
        <v>27</v>
      </c>
      <c r="G46" s="30">
        <v>45979</v>
      </c>
      <c r="H46" s="29" t="s">
        <v>28</v>
      </c>
      <c r="I46" s="29" t="s">
        <v>27</v>
      </c>
      <c r="J46" s="29" t="s">
        <v>28</v>
      </c>
      <c r="K46" s="29" t="s">
        <v>28</v>
      </c>
      <c r="L46" s="29" t="s">
        <v>28</v>
      </c>
      <c r="M46" s="29" t="s">
        <v>28</v>
      </c>
      <c r="N46" s="30"/>
      <c r="O46" s="29" t="s">
        <v>27</v>
      </c>
      <c r="P46" s="29"/>
      <c r="Q46" s="31"/>
      <c r="R46" s="29"/>
      <c r="S46" s="29"/>
      <c r="T46" s="32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6.75" customHeight="1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" customHeight="1" spans="1:30" x14ac:dyDescent="0.25">
      <c r="A48" s="11">
        <v>8337</v>
      </c>
      <c r="B48" s="21" t="s">
        <v>55</v>
      </c>
      <c r="C48" s="13"/>
      <c r="D48" s="13"/>
      <c r="E48" s="13"/>
      <c r="F48" s="13"/>
      <c r="G48" s="14"/>
      <c r="H48" s="13"/>
      <c r="I48" s="18"/>
      <c r="J48" s="13"/>
      <c r="K48" s="13"/>
      <c r="L48" s="13"/>
      <c r="M48" s="13"/>
      <c r="N48" s="14"/>
      <c r="O48" s="13"/>
      <c r="P48" s="13"/>
      <c r="Q48" s="15"/>
      <c r="R48" s="13"/>
      <c r="S48" s="13"/>
      <c r="T48" s="16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6.75" customHeight="1" spans="1:30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 spans="1:30" x14ac:dyDescent="0.25">
      <c r="A50" s="27">
        <v>9240</v>
      </c>
      <c r="B50" s="21" t="s">
        <v>56</v>
      </c>
      <c r="C50" s="29"/>
      <c r="D50" s="29"/>
      <c r="E50" s="13"/>
      <c r="F50" s="13"/>
      <c r="G50" s="14"/>
      <c r="H50" s="13"/>
      <c r="I50" s="13"/>
      <c r="J50" s="13"/>
      <c r="K50" s="13"/>
      <c r="L50" s="13"/>
      <c r="M50" s="13"/>
      <c r="N50" s="14"/>
      <c r="O50" s="13"/>
      <c r="P50" s="13"/>
      <c r="Q50" s="15"/>
      <c r="R50" s="13"/>
      <c r="S50" s="13"/>
      <c r="T50" s="16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6.75" customHeight="1" spans="1:30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 spans="1:30" x14ac:dyDescent="0.25">
      <c r="A52" s="27">
        <v>7428</v>
      </c>
      <c r="B52" s="21" t="s">
        <v>57</v>
      </c>
      <c r="C52" s="29" t="s">
        <v>42</v>
      </c>
      <c r="D52" s="29" t="s">
        <v>27</v>
      </c>
      <c r="E52" s="13" t="s">
        <v>28</v>
      </c>
      <c r="F52" s="13" t="s">
        <v>27</v>
      </c>
      <c r="G52" s="14">
        <v>45979</v>
      </c>
      <c r="H52" s="13" t="s">
        <v>27</v>
      </c>
      <c r="I52" s="18"/>
      <c r="J52" s="13" t="s">
        <v>28</v>
      </c>
      <c r="K52" s="13" t="s">
        <v>28</v>
      </c>
      <c r="L52" s="13" t="s">
        <v>28</v>
      </c>
      <c r="M52" s="13"/>
      <c r="N52" s="14"/>
      <c r="O52" s="13" t="s">
        <v>33</v>
      </c>
      <c r="P52" s="18"/>
      <c r="Q52" s="15"/>
      <c r="R52" s="13"/>
      <c r="S52" s="13"/>
      <c r="T52" s="16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6.75" customHeight="1" spans="1:30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 spans="1:30" x14ac:dyDescent="0.25">
      <c r="A54" s="27">
        <v>9351</v>
      </c>
      <c r="B54" s="21" t="s">
        <v>58</v>
      </c>
      <c r="C54" s="29" t="s">
        <v>42</v>
      </c>
      <c r="D54" s="29"/>
      <c r="E54" s="13"/>
      <c r="F54" s="13"/>
      <c r="G54" s="14"/>
      <c r="H54" s="13"/>
      <c r="I54" s="18"/>
      <c r="J54" s="13"/>
      <c r="K54" s="13"/>
      <c r="L54" s="13"/>
      <c r="M54" s="13"/>
      <c r="N54" s="14"/>
      <c r="O54" s="13"/>
      <c r="P54" s="18"/>
      <c r="Q54" s="15"/>
      <c r="R54" s="13"/>
      <c r="S54" s="13"/>
      <c r="T54" s="16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6.75" customHeight="1" spans="1:30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 spans="1:30" x14ac:dyDescent="0.25">
      <c r="A56" s="27">
        <v>7429</v>
      </c>
      <c r="B56" s="21" t="s">
        <v>59</v>
      </c>
      <c r="C56" s="29" t="s">
        <v>42</v>
      </c>
      <c r="D56" s="29" t="s">
        <v>27</v>
      </c>
      <c r="E56" s="13" t="s">
        <v>28</v>
      </c>
      <c r="F56" s="13" t="s">
        <v>27</v>
      </c>
      <c r="G56" s="14">
        <v>45979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28</v>
      </c>
      <c r="M56" s="13"/>
      <c r="N56" s="14"/>
      <c r="O56" s="13" t="s">
        <v>33</v>
      </c>
      <c r="P56" s="18"/>
      <c r="Q56" s="15"/>
      <c r="R56" s="13"/>
      <c r="S56" s="13"/>
      <c r="T56" s="16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6.75" customHeight="1" spans="1:30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 spans="1:30" x14ac:dyDescent="0.25">
      <c r="A58" s="27">
        <v>9508</v>
      </c>
      <c r="B58" s="21" t="s">
        <v>60</v>
      </c>
      <c r="C58" s="29" t="s">
        <v>42</v>
      </c>
      <c r="D58" s="29"/>
      <c r="E58" s="13" t="s">
        <v>28</v>
      </c>
      <c r="F58" s="13" t="s">
        <v>27</v>
      </c>
      <c r="G58" s="14">
        <v>45979</v>
      </c>
      <c r="H58" s="13" t="s">
        <v>28</v>
      </c>
      <c r="I58" s="13" t="s">
        <v>28</v>
      </c>
      <c r="J58" s="13" t="s">
        <v>28</v>
      </c>
      <c r="K58" s="13" t="s">
        <v>28</v>
      </c>
      <c r="L58" s="13" t="s">
        <v>28</v>
      </c>
      <c r="M58" s="13"/>
      <c r="N58" s="14"/>
      <c r="O58" s="13" t="s">
        <v>33</v>
      </c>
      <c r="P58" s="18"/>
      <c r="Q58" s="15"/>
      <c r="R58" s="13"/>
      <c r="S58" s="13"/>
      <c r="T58" s="16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6.75" customHeight="1" spans="1:30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 spans="1:30" x14ac:dyDescent="0.25">
      <c r="A60" s="27"/>
      <c r="B60" s="21"/>
      <c r="C60" s="29"/>
      <c r="D60" s="29"/>
      <c r="E60" s="13" t="s">
        <v>28</v>
      </c>
      <c r="F60" s="13" t="s">
        <v>27</v>
      </c>
      <c r="G60" s="14"/>
      <c r="H60" s="13" t="s">
        <v>28</v>
      </c>
      <c r="I60" s="13"/>
      <c r="J60" s="13" t="s">
        <v>28</v>
      </c>
      <c r="K60" s="13"/>
      <c r="L60" s="13"/>
      <c r="M60" s="13"/>
      <c r="N60" s="14"/>
      <c r="O60" s="13"/>
      <c r="P60" s="13"/>
      <c r="Q60" s="15"/>
      <c r="R60" s="13"/>
      <c r="S60" s="13"/>
      <c r="T60" s="16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6.75" customHeight="1" spans="1:30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 spans="1:30" x14ac:dyDescent="0.25">
      <c r="A62" s="27"/>
      <c r="B62" s="21" t="s">
        <v>61</v>
      </c>
      <c r="C62" s="29"/>
      <c r="D62" s="29"/>
      <c r="E62" s="13"/>
      <c r="F62" s="13"/>
      <c r="G62" s="14"/>
      <c r="H62" s="13"/>
      <c r="I62" s="13"/>
      <c r="J62" s="13"/>
      <c r="K62" s="13"/>
      <c r="L62" s="13"/>
      <c r="M62" s="13"/>
      <c r="N62" s="14"/>
      <c r="O62" s="13"/>
      <c r="P62" s="18"/>
      <c r="Q62" s="15"/>
      <c r="R62" s="13"/>
      <c r="S62" s="13"/>
      <c r="T62" s="16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6.75" customHeight="1" spans="1:30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 spans="1:30" x14ac:dyDescent="0.25">
      <c r="A64" s="27">
        <v>8946</v>
      </c>
      <c r="B64" s="21" t="s">
        <v>62</v>
      </c>
      <c r="C64" s="29" t="s">
        <v>26</v>
      </c>
      <c r="D64" s="29" t="s">
        <v>27</v>
      </c>
      <c r="E64" s="13" t="s">
        <v>28</v>
      </c>
      <c r="F64" s="13" t="s">
        <v>27</v>
      </c>
      <c r="G64" s="14" t="s">
        <v>27</v>
      </c>
      <c r="H64" s="13" t="s">
        <v>27</v>
      </c>
      <c r="I64" s="13" t="s">
        <v>27</v>
      </c>
      <c r="J64" s="13" t="s">
        <v>27</v>
      </c>
      <c r="K64" s="13" t="s">
        <v>27</v>
      </c>
      <c r="L64" s="13" t="s">
        <v>27</v>
      </c>
      <c r="M64" s="13"/>
      <c r="N64" s="14" t="s">
        <v>27</v>
      </c>
      <c r="O64" s="13"/>
      <c r="P64" s="18"/>
      <c r="Q64" s="15" t="s">
        <v>27</v>
      </c>
      <c r="R64" s="13" t="s">
        <v>27</v>
      </c>
      <c r="S64" s="13" t="s">
        <v>27</v>
      </c>
      <c r="T64" s="16"/>
      <c r="U64" s="1" t="s">
        <v>27</v>
      </c>
      <c r="V64" s="1"/>
      <c r="W64" s="1"/>
      <c r="X64" s="1"/>
      <c r="Y64" s="1"/>
      <c r="Z64" s="1"/>
      <c r="AA64" s="1"/>
      <c r="AB64" s="1"/>
      <c r="AC64" s="1"/>
      <c r="AD64" s="1"/>
    </row>
    <row r="65" ht="6.75" customHeight="1" spans="1:30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 spans="1:30" x14ac:dyDescent="0.25">
      <c r="A66" s="27">
        <v>8308</v>
      </c>
      <c r="B66" s="21" t="s">
        <v>63</v>
      </c>
      <c r="C66" s="29" t="s">
        <v>42</v>
      </c>
      <c r="D66" s="29"/>
      <c r="E66" s="13" t="s">
        <v>28</v>
      </c>
      <c r="F66" s="13" t="s">
        <v>27</v>
      </c>
      <c r="G66" s="14"/>
      <c r="H66" s="13" t="s">
        <v>28</v>
      </c>
      <c r="I66" s="13"/>
      <c r="J66" s="13" t="s">
        <v>28</v>
      </c>
      <c r="K66" s="13"/>
      <c r="L66" s="13"/>
      <c r="M66" s="13"/>
      <c r="N66" s="14"/>
      <c r="O66" s="13"/>
      <c r="P66" s="13"/>
      <c r="Q66" s="15"/>
      <c r="R66" s="13"/>
      <c r="S66" s="13"/>
      <c r="T66" s="16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" customHeight="1" spans="1:30" x14ac:dyDescent="0.25">
      <c r="A67" s="1"/>
      <c r="B67" s="23"/>
      <c r="C67" s="1"/>
      <c r="D67" s="1"/>
      <c r="E67" s="1"/>
      <c r="F67" s="1"/>
      <c r="G67" s="33"/>
      <c r="H67" s="1"/>
      <c r="I67" s="1"/>
      <c r="J67" s="1"/>
      <c r="K67" s="1"/>
      <c r="L67" s="1"/>
      <c r="M67" s="1"/>
      <c r="N67" s="33"/>
      <c r="O67" s="1"/>
      <c r="P67" s="1"/>
      <c r="Q67" s="3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 spans="1:30" x14ac:dyDescent="0.25">
      <c r="A68" s="27">
        <v>8530</v>
      </c>
      <c r="B68" s="21" t="s">
        <v>64</v>
      </c>
      <c r="C68" s="29" t="s">
        <v>46</v>
      </c>
      <c r="D68" s="29"/>
      <c r="E68" s="13"/>
      <c r="F68" s="13"/>
      <c r="G68" s="14"/>
      <c r="H68" s="13"/>
      <c r="I68" s="13"/>
      <c r="J68" s="13"/>
      <c r="K68" s="13"/>
      <c r="L68" s="13"/>
      <c r="M68" s="13"/>
      <c r="N68" s="14"/>
      <c r="O68" s="13"/>
      <c r="P68" s="13"/>
      <c r="Q68" s="15"/>
      <c r="R68" s="13"/>
      <c r="S68" s="13"/>
      <c r="T68" s="16"/>
      <c r="U68" s="1"/>
      <c r="V68" s="1"/>
      <c r="W68" s="1"/>
      <c r="X68" s="1"/>
      <c r="Y68" s="1"/>
      <c r="Z68" s="1"/>
      <c r="AA68" s="1"/>
      <c r="AB68" s="1"/>
      <c r="AC68" s="1"/>
      <c r="AD68" s="1"/>
    </row>
  </sheetData>
  <mergeCells count="35">
    <mergeCell ref="A1:T1"/>
    <mergeCell ref="M2:N2"/>
    <mergeCell ref="R2:S2"/>
    <mergeCell ref="A3:L3"/>
    <mergeCell ref="A5:T5"/>
    <mergeCell ref="A7:T7"/>
    <mergeCell ref="A9:T9"/>
    <mergeCell ref="A11:T11"/>
    <mergeCell ref="A13:T13"/>
    <mergeCell ref="A15:T15"/>
    <mergeCell ref="A17:T17"/>
    <mergeCell ref="A19:T19"/>
    <mergeCell ref="A21:T21"/>
    <mergeCell ref="A23:T23"/>
    <mergeCell ref="A25:T25"/>
    <mergeCell ref="A27:T27"/>
    <mergeCell ref="A29:T29"/>
    <mergeCell ref="A31:T31"/>
    <mergeCell ref="A33:T33"/>
    <mergeCell ref="A35:T35"/>
    <mergeCell ref="A37:T37"/>
    <mergeCell ref="A39:T39"/>
    <mergeCell ref="A41:T41"/>
    <mergeCell ref="A43:T43"/>
    <mergeCell ref="A45:T45"/>
    <mergeCell ref="A47:T47"/>
    <mergeCell ref="A49:T49"/>
    <mergeCell ref="A51:T51"/>
    <mergeCell ref="A53:T53"/>
    <mergeCell ref="A55:T55"/>
    <mergeCell ref="A57:T57"/>
    <mergeCell ref="A59:T59"/>
    <mergeCell ref="A61:T61"/>
    <mergeCell ref="A63:T63"/>
    <mergeCell ref="A65:T65"/>
  </mergeCells>
  <conditionalFormatting sqref="D20">
    <cfRule type="containsText" dxfId="0" priority="2">
      <formula>NOT(ISERROR(SEARCH("Yes",D20)))</formula>
    </cfRule>
  </conditionalFormatting>
  <conditionalFormatting sqref="G12">
    <cfRule type="containsText" dxfId="1" priority="3">
      <formula>NOT(ISERROR(SEARCH("N/A",G12)))</formula>
    </cfRule>
    <cfRule type="containsText" dxfId="2" priority="4">
      <formula>NOT(ISERROR(SEARCH("Yes",G12)))</formula>
    </cfRule>
  </conditionalFormatting>
  <conditionalFormatting sqref="O60 O62 O64 O66:O67">
    <cfRule type="containsText" dxfId="3" priority="5">
      <formula>NOT(ISERROR(SEARCH("No",O60)))</formula>
    </cfRule>
  </conditionalFormatting>
  <conditionalFormatting sqref="E60:N60 E62:N62 E64:N64 E66:N67 P60 P62 P64 P66:P67">
    <cfRule type="containsText" dxfId="4" priority="6">
      <formula>NOT(ISERROR(SEARCH("N/A",E60)))</formula>
    </cfRule>
  </conditionalFormatting>
  <conditionalFormatting sqref="E60:P60 E62:P62 E64:P64 E66:P67 R60:T60 R62:T62 R64:T64 R66:T67">
    <cfRule type="containsText" dxfId="5" priority="7">
      <formula>NOT(ISERROR(SEARCH("Yes",E60)))</formula>
    </cfRule>
  </conditionalFormatting>
  <conditionalFormatting sqref="D60 D62 D64 D66:D67">
    <cfRule type="containsText" dxfId="6" priority="8">
      <formula>NOT(ISERROR(SEARCH("N/A",D60)))</formula>
    </cfRule>
    <cfRule type="containsText" dxfId="7" priority="9">
      <formula>NOT(ISERROR(SEARCH("Yes",D60)))</formula>
    </cfRule>
  </conditionalFormatting>
  <conditionalFormatting sqref="O58">
    <cfRule type="containsText" dxfId="8" priority="10">
      <formula>NOT(ISERROR(SEARCH("No",O58)))</formula>
    </cfRule>
  </conditionalFormatting>
  <conditionalFormatting sqref="E58:N58 P58">
    <cfRule type="containsText" dxfId="9" priority="11">
      <formula>NOT(ISERROR(SEARCH("N/A",E58)))</formula>
    </cfRule>
  </conditionalFormatting>
  <conditionalFormatting sqref="E58:P58 R58:T58">
    <cfRule type="containsText" dxfId="10" priority="12">
      <formula>NOT(ISERROR(SEARCH("Yes",E58)))</formula>
    </cfRule>
  </conditionalFormatting>
  <conditionalFormatting sqref="D58">
    <cfRule type="containsText" dxfId="11" priority="13">
      <formula>NOT(ISERROR(SEARCH("N/A",D58)))</formula>
    </cfRule>
    <cfRule type="containsText" dxfId="12" priority="14">
      <formula>NOT(ISERROR(SEARCH("Yes",D58)))</formula>
    </cfRule>
  </conditionalFormatting>
  <conditionalFormatting sqref="O56">
    <cfRule type="containsText" dxfId="13" priority="15">
      <formula>NOT(ISERROR(SEARCH("No",O56)))</formula>
    </cfRule>
  </conditionalFormatting>
  <conditionalFormatting sqref="E56:N56 P56">
    <cfRule type="containsText" dxfId="14" priority="16">
      <formula>NOT(ISERROR(SEARCH("N/A",E56)))</formula>
    </cfRule>
  </conditionalFormatting>
  <conditionalFormatting sqref="E56:P56 R56:T56">
    <cfRule type="containsText" dxfId="15" priority="17">
      <formula>NOT(ISERROR(SEARCH("Yes",E56)))</formula>
    </cfRule>
  </conditionalFormatting>
  <conditionalFormatting sqref="D56">
    <cfRule type="containsText" dxfId="16" priority="18">
      <formula>NOT(ISERROR(SEARCH("N/A",D56)))</formula>
    </cfRule>
    <cfRule type="containsText" dxfId="17" priority="19">
      <formula>NOT(ISERROR(SEARCH("Yes",D56)))</formula>
    </cfRule>
  </conditionalFormatting>
  <conditionalFormatting sqref="O54">
    <cfRule type="containsText" dxfId="18" priority="20">
      <formula>NOT(ISERROR(SEARCH("No",O54)))</formula>
    </cfRule>
  </conditionalFormatting>
  <conditionalFormatting sqref="E54:N54 P54">
    <cfRule type="containsText" dxfId="19" priority="21">
      <formula>NOT(ISERROR(SEARCH("N/A",E54)))</formula>
    </cfRule>
  </conditionalFormatting>
  <conditionalFormatting sqref="E54:P54 R54:T54">
    <cfRule type="containsText" dxfId="20" priority="22">
      <formula>NOT(ISERROR(SEARCH("Yes",E54)))</formula>
    </cfRule>
  </conditionalFormatting>
  <conditionalFormatting sqref="D54">
    <cfRule type="containsText" dxfId="21" priority="23">
      <formula>NOT(ISERROR(SEARCH("N/A",D54)))</formula>
    </cfRule>
    <cfRule type="containsText" dxfId="22" priority="24">
      <formula>NOT(ISERROR(SEARCH("Yes",D54)))</formula>
    </cfRule>
  </conditionalFormatting>
  <conditionalFormatting sqref="O52">
    <cfRule type="containsText" dxfId="23" priority="25">
      <formula>NOT(ISERROR(SEARCH("No",O52)))</formula>
    </cfRule>
  </conditionalFormatting>
  <conditionalFormatting sqref="E52:N52 P52">
    <cfRule type="containsText" dxfId="24" priority="26">
      <formula>NOT(ISERROR(SEARCH("N/A",E52)))</formula>
    </cfRule>
  </conditionalFormatting>
  <conditionalFormatting sqref="E52:P52 R52:T52">
    <cfRule type="containsText" dxfId="25" priority="27">
      <formula>NOT(ISERROR(SEARCH("Yes",E52)))</formula>
    </cfRule>
  </conditionalFormatting>
  <conditionalFormatting sqref="D52">
    <cfRule type="containsText" dxfId="26" priority="28">
      <formula>NOT(ISERROR(SEARCH("N/A",D52)))</formula>
    </cfRule>
    <cfRule type="containsText" dxfId="27" priority="29">
      <formula>NOT(ISERROR(SEARCH("Yes",D52)))</formula>
    </cfRule>
  </conditionalFormatting>
  <conditionalFormatting sqref="O50">
    <cfRule type="containsText" dxfId="28" priority="30">
      <formula>NOT(ISERROR(SEARCH("No",O50)))</formula>
    </cfRule>
  </conditionalFormatting>
  <conditionalFormatting sqref="E50:N50 P50">
    <cfRule type="containsText" dxfId="29" priority="31">
      <formula>NOT(ISERROR(SEARCH("N/A",E50)))</formula>
    </cfRule>
  </conditionalFormatting>
  <conditionalFormatting sqref="E50:P50 R50:T50">
    <cfRule type="containsText" dxfId="30" priority="32">
      <formula>NOT(ISERROR(SEARCH("Yes",E50)))</formula>
    </cfRule>
  </conditionalFormatting>
  <conditionalFormatting sqref="D50">
    <cfRule type="containsText" dxfId="31" priority="33">
      <formula>NOT(ISERROR(SEARCH("N/A",D50)))</formula>
    </cfRule>
    <cfRule type="containsText" dxfId="32" priority="34">
      <formula>NOT(ISERROR(SEARCH("Yes",D50)))</formula>
    </cfRule>
  </conditionalFormatting>
  <conditionalFormatting sqref="O48">
    <cfRule type="containsText" dxfId="33" priority="35">
      <formula>NOT(ISERROR(SEARCH("No",O48)))</formula>
    </cfRule>
  </conditionalFormatting>
  <conditionalFormatting sqref="D48:N48 P48">
    <cfRule type="containsText" dxfId="34" priority="36">
      <formula>NOT(ISERROR(SEARCH("N/A",D48)))</formula>
    </cfRule>
  </conditionalFormatting>
  <conditionalFormatting sqref="D48:P48 R48:T48">
    <cfRule type="containsText" dxfId="35" priority="37">
      <formula>NOT(ISERROR(SEARCH("Yes",D48)))</formula>
    </cfRule>
  </conditionalFormatting>
  <conditionalFormatting sqref="D12:F12 H12:N12">
    <cfRule type="containsText" dxfId="36" priority="38">
      <formula>NOT(ISERROR(SEARCH("N/A",D12)))</formula>
    </cfRule>
  </conditionalFormatting>
  <conditionalFormatting sqref="D12:F12">
    <cfRule type="containsText" dxfId="37" priority="39">
      <formula>NOT(ISERROR(SEARCH("Yes",D12)))</formula>
    </cfRule>
  </conditionalFormatting>
  <conditionalFormatting sqref="D10:N10">
    <cfRule type="containsText" dxfId="38" priority="40">
      <formula>NOT(ISERROR(SEARCH("N/A",D10)))</formula>
    </cfRule>
  </conditionalFormatting>
  <conditionalFormatting sqref="D10:G10 E20:P20">
    <cfRule type="containsText" dxfId="39" priority="41">
      <formula>NOT(ISERROR(SEARCH("Yes",D10)))</formula>
    </cfRule>
  </conditionalFormatting>
  <conditionalFormatting sqref="O46">
    <cfRule type="containsText" dxfId="40" priority="42">
      <formula>NOT(ISERROR(SEARCH("No",O46)))</formula>
    </cfRule>
  </conditionalFormatting>
  <conditionalFormatting sqref="D46:N46 P46">
    <cfRule type="containsText" dxfId="41" priority="43">
      <formula>NOT(ISERROR(SEARCH("N/A",D46)))</formula>
    </cfRule>
  </conditionalFormatting>
  <conditionalFormatting sqref="D46:P46 R46:T46">
    <cfRule type="containsText" dxfId="42" priority="44">
      <formula>NOT(ISERROR(SEARCH("Yes",D46)))</formula>
    </cfRule>
  </conditionalFormatting>
  <conditionalFormatting sqref="O44">
    <cfRule type="containsText" dxfId="43" priority="45">
      <formula>NOT(ISERROR(SEARCH("No",O44)))</formula>
    </cfRule>
  </conditionalFormatting>
  <conditionalFormatting sqref="D44:N44 P44">
    <cfRule type="containsText" dxfId="44" priority="46">
      <formula>NOT(ISERROR(SEARCH("N/A",D44)))</formula>
    </cfRule>
  </conditionalFormatting>
  <conditionalFormatting sqref="D44:P44 R44:T44">
    <cfRule type="containsText" dxfId="45" priority="47">
      <formula>NOT(ISERROR(SEARCH("Yes",D44)))</formula>
    </cfRule>
  </conditionalFormatting>
  <conditionalFormatting sqref="O42">
    <cfRule type="containsText" dxfId="46" priority="48">
      <formula>NOT(ISERROR(SEARCH("No",O42)))</formula>
    </cfRule>
  </conditionalFormatting>
  <conditionalFormatting sqref="D42:N42 P42">
    <cfRule type="containsText" dxfId="47" priority="49">
      <formula>NOT(ISERROR(SEARCH("N/A",D42)))</formula>
    </cfRule>
  </conditionalFormatting>
  <conditionalFormatting sqref="D42:P42 R42:T42">
    <cfRule type="containsText" dxfId="48" priority="50">
      <formula>NOT(ISERROR(SEARCH("Yes",D42)))</formula>
    </cfRule>
  </conditionalFormatting>
  <conditionalFormatting sqref="O40">
    <cfRule type="containsText" dxfId="49" priority="51">
      <formula>NOT(ISERROR(SEARCH("No",O40)))</formula>
    </cfRule>
  </conditionalFormatting>
  <conditionalFormatting sqref="D40:N40 P40">
    <cfRule type="containsText" dxfId="50" priority="52">
      <formula>NOT(ISERROR(SEARCH("N/A",D40)))</formula>
    </cfRule>
  </conditionalFormatting>
  <conditionalFormatting sqref="D40:P40 R40:T40">
    <cfRule type="containsText" dxfId="51" priority="53">
      <formula>NOT(ISERROR(SEARCH("Yes",D40)))</formula>
    </cfRule>
  </conditionalFormatting>
  <conditionalFormatting sqref="O38">
    <cfRule type="containsText" dxfId="52" priority="54">
      <formula>NOT(ISERROR(SEARCH("No",O38)))</formula>
    </cfRule>
  </conditionalFormatting>
  <conditionalFormatting sqref="D38:N38 P38">
    <cfRule type="containsText" dxfId="53" priority="55">
      <formula>NOT(ISERROR(SEARCH("N/A",D38)))</formula>
    </cfRule>
  </conditionalFormatting>
  <conditionalFormatting sqref="D38:P38 R38:T38">
    <cfRule type="containsText" dxfId="54" priority="56">
      <formula>NOT(ISERROR(SEARCH("Yes",D38)))</formula>
    </cfRule>
  </conditionalFormatting>
  <conditionalFormatting sqref="O12">
    <cfRule type="containsText" dxfId="55" priority="57">
      <formula>NOT(ISERROR(SEARCH("No",O12)))</formula>
    </cfRule>
  </conditionalFormatting>
  <conditionalFormatting sqref="P12">
    <cfRule type="containsText" dxfId="56" priority="58">
      <formula>NOT(ISERROR(SEARCH("N/A",P12)))</formula>
    </cfRule>
  </conditionalFormatting>
  <conditionalFormatting sqref="H12:P12 R12:T12">
    <cfRule type="containsText" dxfId="57" priority="59">
      <formula>NOT(ISERROR(SEARCH("Yes",H12)))</formula>
    </cfRule>
  </conditionalFormatting>
  <conditionalFormatting sqref="O10">
    <cfRule type="containsText" dxfId="58" priority="60">
      <formula>NOT(ISERROR(SEARCH("No",O10)))</formula>
    </cfRule>
  </conditionalFormatting>
  <conditionalFormatting sqref="P10">
    <cfRule type="containsText" dxfId="59" priority="61">
      <formula>NOT(ISERROR(SEARCH("N/A",P10)))</formula>
    </cfRule>
  </conditionalFormatting>
  <conditionalFormatting sqref="H10:P10 R10:T10">
    <cfRule type="containsText" dxfId="60" priority="62">
      <formula>NOT(ISERROR(SEARCH("Yes",H10)))</formula>
    </cfRule>
  </conditionalFormatting>
  <conditionalFormatting sqref="O4 O6 O8 O14 O16 O18 O20 O22 O24 O26 O28 O30 O32 O34 O36">
    <cfRule type="containsText" dxfId="61" priority="63">
      <formula>NOT(ISERROR(SEARCH("No",O4)))</formula>
    </cfRule>
  </conditionalFormatting>
  <conditionalFormatting sqref="D4:N4 D6:N6 D8:N8 D14:N14 D16:N16 D18:N18 D20:N20 D22:N22 D24:N24 D26:N26 D28:N28 D30:N30 D32:N32 D34:N34 D36:N36 P4 P6 P8 P14 P16 P18 P20 P22 P24 P26 P28 P30 P32 P34 P36">
    <cfRule type="containsText" dxfId="62" priority="64">
      <formula>NOT(ISERROR(SEARCH("N/A",D4)))</formula>
    </cfRule>
  </conditionalFormatting>
  <conditionalFormatting sqref="D4:P4 D6:P6 D8:P8 D14:P14 D16:P16 D18:P18 D22:P22 D24:P24 D26:P26 D28:P28 D30:P30 D32:P32 D34:P34 D36:P36 R4:T4 R6:T6 R8:T8 R14:T14 R16:T16 R18:T18 R20:T20 R22:T22 R24:T24 R26:T26 R28:T28 R30:T30 R32:T32 R34:T34 R36:T36">
    <cfRule type="containsText" dxfId="63" priority="65">
      <formula>NOT(ISERROR(SEARCH("Yes",D4)))</formula>
    </cfRule>
  </conditionalFormatting>
  <dataValidations count="224">
    <dataValidation type="list" allowBlank="1" showInputMessage="1" showErrorMessage="1" errorStyle="stop" sqref="C10">
      <formula1>"Tom,Cameron"</formula1>
      <formula2>0</formula2>
    </dataValidation>
    <dataValidation type="list" allowBlank="1" showInputMessage="1" showErrorMessage="1" errorStyle="stop" sqref="C12">
      <formula1>"Tom,Cameron"</formula1>
      <formula2>0</formula2>
    </dataValidation>
    <dataValidation type="list" allowBlank="1" showInputMessage="1" showErrorMessage="1" errorStyle="stop" sqref="C14">
      <formula1>"Tom,Cameron"</formula1>
      <formula2>0</formula2>
    </dataValidation>
    <dataValidation type="list" allowBlank="1" showInputMessage="1" showErrorMessage="1" errorStyle="stop" sqref="C16">
      <formula1>"Tom,Cameron"</formula1>
      <formula2>0</formula2>
    </dataValidation>
    <dataValidation type="list" allowBlank="1" showInputMessage="1" showErrorMessage="1" errorStyle="stop" sqref="C18">
      <formula1>"Tom,Cameron"</formula1>
      <formula2>0</formula2>
    </dataValidation>
    <dataValidation type="list" allowBlank="1" showInputMessage="1" showErrorMessage="1" errorStyle="stop" sqref="C20">
      <formula1>"Tom,Cameron"</formula1>
      <formula2>0</formula2>
    </dataValidation>
    <dataValidation type="list" allowBlank="1" showInputMessage="1" showErrorMessage="1" errorStyle="stop" sqref="C22">
      <formula1>"Tom,Cameron"</formula1>
      <formula2>0</formula2>
    </dataValidation>
    <dataValidation type="list" allowBlank="1" showInputMessage="1" showErrorMessage="1" errorStyle="stop" sqref="C24">
      <formula1>"Tom,Cameron"</formula1>
      <formula2>0</formula2>
    </dataValidation>
    <dataValidation type="list" allowBlank="1" showInputMessage="1" showErrorMessage="1" errorStyle="stop" sqref="C26">
      <formula1>"Tom,Cameron"</formula1>
      <formula2>0</formula2>
    </dataValidation>
    <dataValidation type="list" allowBlank="1" showInputMessage="1" showErrorMessage="1" errorStyle="stop" sqref="C28">
      <formula1>"Tom,Cameron"</formula1>
      <formula2>0</formula2>
    </dataValidation>
    <dataValidation type="list" allowBlank="1" showInputMessage="1" showErrorMessage="1" errorStyle="stop" sqref="C30">
      <formula1>"Tom,Cameron"</formula1>
      <formula2>0</formula2>
    </dataValidation>
    <dataValidation type="list" allowBlank="1" showInputMessage="1" showErrorMessage="1" errorStyle="stop" sqref="C32">
      <formula1>"Tom,Cameron"</formula1>
      <formula2>0</formula2>
    </dataValidation>
    <dataValidation type="list" allowBlank="1" showInputMessage="1" showErrorMessage="1" errorStyle="stop" sqref="C34">
      <formula1>"Tom,Cameron"</formula1>
      <formula2>0</formula2>
    </dataValidation>
    <dataValidation type="list" allowBlank="1" showInputMessage="1" showErrorMessage="1" errorStyle="stop" sqref="C36">
      <formula1>"Tom,Cameron"</formula1>
      <formula2>0</formula2>
    </dataValidation>
    <dataValidation type="list" allowBlank="1" showInputMessage="1" showErrorMessage="1" errorStyle="stop" sqref="C38">
      <formula1>"Tom,Cameron"</formula1>
      <formula2>0</formula2>
    </dataValidation>
    <dataValidation type="list" allowBlank="1" showInputMessage="1" showErrorMessage="1" errorStyle="stop" sqref="C4">
      <formula1>"Tom,Cameron"</formula1>
      <formula2>0</formula2>
    </dataValidation>
    <dataValidation type="list" allowBlank="1" showInputMessage="1" showErrorMessage="1" errorStyle="stop" sqref="C40">
      <formula1>"Tom,Cameron"</formula1>
      <formula2>0</formula2>
    </dataValidation>
    <dataValidation type="list" allowBlank="1" showInputMessage="1" showErrorMessage="1" errorStyle="stop" sqref="C42">
      <formula1>"Tom,Cameron"</formula1>
      <formula2>0</formula2>
    </dataValidation>
    <dataValidation type="list" allowBlank="1" showInputMessage="1" showErrorMessage="1" errorStyle="stop" sqref="C44">
      <formula1>"Tom,Cameron"</formula1>
      <formula2>0</formula2>
    </dataValidation>
    <dataValidation type="list" allowBlank="1" showInputMessage="1" showErrorMessage="1" errorStyle="stop" sqref="C46">
      <formula1>"Tom,Cameron"</formula1>
      <formula2>0</formula2>
    </dataValidation>
    <dataValidation type="list" allowBlank="1" showInputMessage="1" showErrorMessage="1" errorStyle="stop" sqref="C48">
      <formula1>"Tom,Cameron"</formula1>
      <formula2>0</formula2>
    </dataValidation>
    <dataValidation type="list" allowBlank="1" showInputMessage="1" showErrorMessage="1" errorStyle="stop" sqref="C50">
      <formula1>"Tom,Cameron"</formula1>
      <formula2>0</formula2>
    </dataValidation>
    <dataValidation type="list" allowBlank="1" showInputMessage="1" showErrorMessage="1" errorStyle="stop" sqref="C52">
      <formula1>"Tom,Cameron"</formula1>
      <formula2>0</formula2>
    </dataValidation>
    <dataValidation type="list" allowBlank="1" showInputMessage="1" showErrorMessage="1" errorStyle="stop" sqref="C54">
      <formula1>"Tom,Cameron"</formula1>
      <formula2>0</formula2>
    </dataValidation>
    <dataValidation type="list" allowBlank="1" showInputMessage="1" showErrorMessage="1" errorStyle="stop" sqref="C56">
      <formula1>"Tom,Cameron"</formula1>
      <formula2>0</formula2>
    </dataValidation>
    <dataValidation type="list" allowBlank="1" showInputMessage="1" showErrorMessage="1" errorStyle="stop" sqref="C58">
      <formula1>"Tom,Cameron"</formula1>
      <formula2>0</formula2>
    </dataValidation>
    <dataValidation type="list" allowBlank="1" showInputMessage="1" showErrorMessage="1" errorStyle="stop" sqref="C6">
      <formula1>"Tom,Cameron"</formula1>
      <formula2>0</formula2>
    </dataValidation>
    <dataValidation type="list" allowBlank="1" showInputMessage="1" showErrorMessage="1" errorStyle="stop" sqref="C60">
      <formula1>"Tom,Cameron"</formula1>
      <formula2>0</formula2>
    </dataValidation>
    <dataValidation type="list" allowBlank="1" showInputMessage="1" showErrorMessage="1" errorStyle="stop" sqref="C62">
      <formula1>"Tom,Cameron"</formula1>
      <formula2>0</formula2>
    </dataValidation>
    <dataValidation type="list" allowBlank="1" showInputMessage="1" showErrorMessage="1" errorStyle="stop" sqref="C64">
      <formula1>"Tom,Cameron"</formula1>
      <formula2>0</formula2>
    </dataValidation>
    <dataValidation type="list" allowBlank="1" showInputMessage="1" showErrorMessage="1" errorStyle="stop" sqref="C66:C67">
      <formula1>"Tom,Cameron"</formula1>
      <formula2>0</formula2>
    </dataValidation>
    <dataValidation type="list" allowBlank="1" showInputMessage="1" showErrorMessage="1" errorStyle="stop" sqref="C8">
      <formula1>"Tom,Cameron"</formula1>
      <formula2>0</formula2>
    </dataValidation>
    <dataValidation type="list" allowBlank="1" showInputMessage="1" showErrorMessage="1" errorStyle="stop" sqref="D10:F10">
      <formula1>"Yes,N/A"</formula1>
      <formula2>0</formula2>
    </dataValidation>
    <dataValidation type="list" allowBlank="1" showInputMessage="1" showErrorMessage="1" errorStyle="stop" sqref="D12:F12">
      <formula1>"Yes,N/A"</formula1>
      <formula2>0</formula2>
    </dataValidation>
    <dataValidation type="list" allowBlank="1" showInputMessage="1" showErrorMessage="1" errorStyle="stop" sqref="D14:F14">
      <formula1>"Yes,N/A"</formula1>
      <formula2>0</formula2>
    </dataValidation>
    <dataValidation type="list" allowBlank="1" showInputMessage="1" showErrorMessage="1" errorStyle="stop" sqref="D16:F16">
      <formula1>"Yes,N/A"</formula1>
      <formula2>0</formula2>
    </dataValidation>
    <dataValidation type="list" allowBlank="1" showInputMessage="1" showErrorMessage="1" errorStyle="stop" sqref="D18:F18">
      <formula1>"Yes,N/A"</formula1>
      <formula2>0</formula2>
    </dataValidation>
    <dataValidation type="list" allowBlank="1" showInputMessage="1" showErrorMessage="1" errorStyle="stop" sqref="D20:F20">
      <formula1>"Yes,N/A"</formula1>
      <formula2>0</formula2>
    </dataValidation>
    <dataValidation type="list" allowBlank="1" showInputMessage="1" showErrorMessage="1" errorStyle="stop" sqref="D22:F22">
      <formula1>"Yes,N/A"</formula1>
      <formula2>0</formula2>
    </dataValidation>
    <dataValidation type="list" allowBlank="1" showInputMessage="1" showErrorMessage="1" errorStyle="stop" sqref="D24:F24">
      <formula1>"Yes,N/A"</formula1>
      <formula2>0</formula2>
    </dataValidation>
    <dataValidation type="list" allowBlank="1" showInputMessage="1" showErrorMessage="1" errorStyle="stop" sqref="D26:F26">
      <formula1>"Yes,N/A"</formula1>
      <formula2>0</formula2>
    </dataValidation>
    <dataValidation type="list" allowBlank="1" showInputMessage="1" showErrorMessage="1" errorStyle="stop" sqref="D28:F28">
      <formula1>"Yes,N/A"</formula1>
      <formula2>0</formula2>
    </dataValidation>
    <dataValidation type="list" allowBlank="1" showInputMessage="1" showErrorMessage="1" errorStyle="stop" sqref="D30:F30">
      <formula1>"Yes,N/A"</formula1>
      <formula2>0</formula2>
    </dataValidation>
    <dataValidation type="list" allowBlank="1" showInputMessage="1" showErrorMessage="1" errorStyle="stop" sqref="D32:F32">
      <formula1>"Yes,N/A"</formula1>
      <formula2>0</formula2>
    </dataValidation>
    <dataValidation type="list" allowBlank="1" showInputMessage="1" showErrorMessage="1" errorStyle="stop" sqref="D34:F34">
      <formula1>"Yes,N/A"</formula1>
      <formula2>0</formula2>
    </dataValidation>
    <dataValidation type="list" allowBlank="1" showInputMessage="1" showErrorMessage="1" errorStyle="stop" sqref="D36:F36">
      <formula1>"Yes,N/A"</formula1>
      <formula2>0</formula2>
    </dataValidation>
    <dataValidation type="list" allowBlank="1" showInputMessage="1" showErrorMessage="1" errorStyle="stop" sqref="D38:F38">
      <formula1>"Yes,N/A"</formula1>
      <formula2>0</formula2>
    </dataValidation>
    <dataValidation type="list" allowBlank="1" showInputMessage="1" showErrorMessage="1" errorStyle="stop" sqref="D4:F4">
      <formula1>"Yes,N/A"</formula1>
      <formula2>0</formula2>
    </dataValidation>
    <dataValidation type="list" allowBlank="1" showInputMessage="1" showErrorMessage="1" errorStyle="stop" sqref="D40:F40">
      <formula1>"Yes,N/A"</formula1>
      <formula2>0</formula2>
    </dataValidation>
    <dataValidation type="list" allowBlank="1" showInputMessage="1" showErrorMessage="1" errorStyle="stop" sqref="D42:F42">
      <formula1>"Yes,N/A"</formula1>
      <formula2>0</formula2>
    </dataValidation>
    <dataValidation type="list" allowBlank="1" showInputMessage="1" showErrorMessage="1" errorStyle="stop" sqref="D44:F44">
      <formula1>"Yes,N/A"</formula1>
      <formula2>0</formula2>
    </dataValidation>
    <dataValidation type="list" allowBlank="1" showInputMessage="1" showErrorMessage="1" errorStyle="stop" sqref="D46:F46">
      <formula1>"Yes,N/A"</formula1>
      <formula2>0</formula2>
    </dataValidation>
    <dataValidation type="list" allowBlank="1" showInputMessage="1" showErrorMessage="1" errorStyle="stop" sqref="D48:F48">
      <formula1>"Yes,N/A"</formula1>
      <formula2>0</formula2>
    </dataValidation>
    <dataValidation type="list" allowBlank="1" showInputMessage="1" showErrorMessage="1" errorStyle="stop" sqref="D50:F50">
      <formula1>"Yes,N/A"</formula1>
      <formula2>0</formula2>
    </dataValidation>
    <dataValidation type="list" allowBlank="1" showInputMessage="1" showErrorMessage="1" errorStyle="stop" sqref="D52:F52">
      <formula1>"Yes,N/A"</formula1>
      <formula2>0</formula2>
    </dataValidation>
    <dataValidation type="list" allowBlank="1" showInputMessage="1" showErrorMessage="1" errorStyle="stop" sqref="D54:F54">
      <formula1>"Yes,N/A"</formula1>
      <formula2>0</formula2>
    </dataValidation>
    <dataValidation type="list" allowBlank="1" showInputMessage="1" showErrorMessage="1" errorStyle="stop" sqref="D56:F56">
      <formula1>"Yes,N/A"</formula1>
      <formula2>0</formula2>
    </dataValidation>
    <dataValidation type="list" allowBlank="1" showInputMessage="1" showErrorMessage="1" errorStyle="stop" sqref="D58:F58">
      <formula1>"Yes,N/A"</formula1>
      <formula2>0</formula2>
    </dataValidation>
    <dataValidation type="list" allowBlank="1" showInputMessage="1" showErrorMessage="1" errorStyle="stop" sqref="D6:F6">
      <formula1>"Yes,N/A"</formula1>
      <formula2>0</formula2>
    </dataValidation>
    <dataValidation type="list" allowBlank="1" showInputMessage="1" showErrorMessage="1" errorStyle="stop" sqref="D60:F60">
      <formula1>"Yes,N/A"</formula1>
      <formula2>0</formula2>
    </dataValidation>
    <dataValidation type="list" allowBlank="1" showInputMessage="1" showErrorMessage="1" errorStyle="stop" sqref="D62:F62">
      <formula1>"Yes,N/A"</formula1>
      <formula2>0</formula2>
    </dataValidation>
    <dataValidation type="list" allowBlank="1" showInputMessage="1" showErrorMessage="1" errorStyle="stop" sqref="D64:F64">
      <formula1>"Yes,N/A"</formula1>
      <formula2>0</formula2>
    </dataValidation>
    <dataValidation type="list" allowBlank="1" showInputMessage="1" showErrorMessage="1" errorStyle="stop" sqref="D66:F67">
      <formula1>"Yes,N/A"</formula1>
      <formula2>0</formula2>
    </dataValidation>
    <dataValidation type="list" allowBlank="1" showInputMessage="1" showErrorMessage="1" errorStyle="stop" sqref="D8:F8">
      <formula1>"Yes,N/A"</formula1>
      <formula2>0</formula2>
    </dataValidation>
    <dataValidation type="none" allowBlank="1" showInputMessage="1" showErrorMessage="1" errorStyle="stop" sqref="G10">
      <formula1>0</formula1>
      <formula2>0</formula2>
    </dataValidation>
    <dataValidation type="none" allowBlank="1" showInputMessage="1" showErrorMessage="1" errorStyle="stop" sqref="G12">
      <formula1>0</formula1>
      <formula2>0</formula2>
    </dataValidation>
    <dataValidation type="none" allowBlank="1" showInputMessage="1" showErrorMessage="1" errorStyle="stop" sqref="G14">
      <formula1>0</formula1>
      <formula2>0</formula2>
    </dataValidation>
    <dataValidation type="none" allowBlank="1" showInputMessage="1" showErrorMessage="1" errorStyle="stop" sqref="G16">
      <formula1>0</formula1>
      <formula2>0</formula2>
    </dataValidation>
    <dataValidation type="none" allowBlank="1" showInputMessage="1" showErrorMessage="1" errorStyle="stop" sqref="G18">
      <formula1>0</formula1>
      <formula2>0</formula2>
    </dataValidation>
    <dataValidation type="none" allowBlank="1" showInputMessage="1" showErrorMessage="1" errorStyle="stop" sqref="G20">
      <formula1>0</formula1>
      <formula2>0</formula2>
    </dataValidation>
    <dataValidation type="none" allowBlank="1" showInputMessage="1" showErrorMessage="1" errorStyle="stop" sqref="G22">
      <formula1>0</formula1>
      <formula2>0</formula2>
    </dataValidation>
    <dataValidation type="none" allowBlank="1" showInputMessage="1" showErrorMessage="1" errorStyle="stop" sqref="G24">
      <formula1>0</formula1>
      <formula2>0</formula2>
    </dataValidation>
    <dataValidation type="none" allowBlank="1" showInputMessage="1" showErrorMessage="1" errorStyle="stop" sqref="G26">
      <formula1>0</formula1>
      <formula2>0</formula2>
    </dataValidation>
    <dataValidation type="none" allowBlank="1" showInputMessage="1" showErrorMessage="1" errorStyle="stop" sqref="G28">
      <formula1>0</formula1>
      <formula2>0</formula2>
    </dataValidation>
    <dataValidation type="none" allowBlank="1" showInputMessage="1" showErrorMessage="1" errorStyle="stop" sqref="G30">
      <formula1>0</formula1>
      <formula2>0</formula2>
    </dataValidation>
    <dataValidation type="none" allowBlank="1" showInputMessage="1" showErrorMessage="1" errorStyle="stop" sqref="G32">
      <formula1>0</formula1>
      <formula2>0</formula2>
    </dataValidation>
    <dataValidation type="none" allowBlank="1" showInputMessage="1" showErrorMessage="1" errorStyle="stop" sqref="G34">
      <formula1>0</formula1>
      <formula2>0</formula2>
    </dataValidation>
    <dataValidation type="none" allowBlank="1" showInputMessage="1" showErrorMessage="1" errorStyle="stop" sqref="G36">
      <formula1>0</formula1>
      <formula2>0</formula2>
    </dataValidation>
    <dataValidation type="none" allowBlank="1" showInputMessage="1" showErrorMessage="1" errorStyle="stop" sqref="G38">
      <formula1>0</formula1>
      <formula2>0</formula2>
    </dataValidation>
    <dataValidation type="none" allowBlank="1" showInputMessage="1" showErrorMessage="1" errorStyle="stop" sqref="G4">
      <formula1>0</formula1>
      <formula2>0</formula2>
    </dataValidation>
    <dataValidation type="none" allowBlank="1" showInputMessage="1" showErrorMessage="1" errorStyle="stop" sqref="G40">
      <formula1>0</formula1>
      <formula2>0</formula2>
    </dataValidation>
    <dataValidation type="none" allowBlank="1" showInputMessage="1" showErrorMessage="1" errorStyle="stop" sqref="G42">
      <formula1>0</formula1>
      <formula2>0</formula2>
    </dataValidation>
    <dataValidation type="none" allowBlank="1" showInputMessage="1" showErrorMessage="1" errorStyle="stop" sqref="G44">
      <formula1>0</formula1>
      <formula2>0</formula2>
    </dataValidation>
    <dataValidation type="none" allowBlank="1" showInputMessage="1" showErrorMessage="1" errorStyle="stop" sqref="G46">
      <formula1>0</formula1>
      <formula2>0</formula2>
    </dataValidation>
    <dataValidation type="none" allowBlank="1" showInputMessage="1" showErrorMessage="1" errorStyle="stop" sqref="G48">
      <formula1>0</formula1>
      <formula2>0</formula2>
    </dataValidation>
    <dataValidation type="none" allowBlank="1" showInputMessage="1" showErrorMessage="1" errorStyle="stop" sqref="G50">
      <formula1>0</formula1>
      <formula2>0</formula2>
    </dataValidation>
    <dataValidation type="none" allowBlank="1" showInputMessage="1" showErrorMessage="1" errorStyle="stop" sqref="G52">
      <formula1>0</formula1>
      <formula2>0</formula2>
    </dataValidation>
    <dataValidation type="none" allowBlank="1" showInputMessage="1" showErrorMessage="1" errorStyle="stop" sqref="G54">
      <formula1>0</formula1>
      <formula2>0</formula2>
    </dataValidation>
    <dataValidation type="none" allowBlank="1" showInputMessage="1" showErrorMessage="1" errorStyle="stop" sqref="G56">
      <formula1>0</formula1>
      <formula2>0</formula2>
    </dataValidation>
    <dataValidation type="none" allowBlank="1" showInputMessage="1" showErrorMessage="1" errorStyle="stop" sqref="G58">
      <formula1>0</formula1>
      <formula2>0</formula2>
    </dataValidation>
    <dataValidation type="none" allowBlank="1" showInputMessage="1" showErrorMessage="1" errorStyle="stop" sqref="G6">
      <formula1>0</formula1>
      <formula2>0</formula2>
    </dataValidation>
    <dataValidation type="none" allowBlank="1" showInputMessage="1" showErrorMessage="1" errorStyle="stop" sqref="G60">
      <formula1>0</formula1>
      <formula2>0</formula2>
    </dataValidation>
    <dataValidation type="none" allowBlank="1" showInputMessage="1" showErrorMessage="1" errorStyle="stop" sqref="G62">
      <formula1>0</formula1>
      <formula2>0</formula2>
    </dataValidation>
    <dataValidation type="none" allowBlank="1" showInputMessage="1" showErrorMessage="1" errorStyle="stop" sqref="G64">
      <formula1>0</formula1>
      <formula2>0</formula2>
    </dataValidation>
    <dataValidation type="none" allowBlank="1" showInputMessage="1" showErrorMessage="1" errorStyle="stop" sqref="G66:G67">
      <formula1>0</formula1>
      <formula2>0</formula2>
    </dataValidation>
    <dataValidation type="none" allowBlank="1" showInputMessage="1" showErrorMessage="1" errorStyle="stop" sqref="G8">
      <formula1>0</formula1>
      <formula2>0</formula2>
    </dataValidation>
    <dataValidation type="list" allowBlank="1" showInputMessage="1" showErrorMessage="1" errorStyle="stop" sqref="H10:M10">
      <formula1>"Yes,N/A"</formula1>
      <formula2>0</formula2>
    </dataValidation>
    <dataValidation type="list" allowBlank="1" showInputMessage="1" showErrorMessage="1" errorStyle="stop" sqref="H12:M12">
      <formula1>"Yes,N/A"</formula1>
      <formula2>0</formula2>
    </dataValidation>
    <dataValidation type="list" allowBlank="1" showInputMessage="1" showErrorMessage="1" errorStyle="stop" sqref="H14:M14">
      <formula1>"Yes,N/A"</formula1>
      <formula2>0</formula2>
    </dataValidation>
    <dataValidation type="list" allowBlank="1" showInputMessage="1" showErrorMessage="1" errorStyle="stop" sqref="H16:M16">
      <formula1>"Yes,N/A"</formula1>
      <formula2>0</formula2>
    </dataValidation>
    <dataValidation type="list" allowBlank="1" showInputMessage="1" showErrorMessage="1" errorStyle="stop" sqref="H18:M18">
      <formula1>"Yes,N/A"</formula1>
      <formula2>0</formula2>
    </dataValidation>
    <dataValidation type="list" allowBlank="1" showInputMessage="1" showErrorMessage="1" errorStyle="stop" sqref="H20:M20">
      <formula1>"Yes,N/A"</formula1>
      <formula2>0</formula2>
    </dataValidation>
    <dataValidation type="list" allowBlank="1" showInputMessage="1" showErrorMessage="1" errorStyle="stop" sqref="H22:M22">
      <formula1>"Yes,N/A"</formula1>
      <formula2>0</formula2>
    </dataValidation>
    <dataValidation type="list" allowBlank="1" showInputMessage="1" showErrorMessage="1" errorStyle="stop" sqref="H24:M24">
      <formula1>"Yes,N/A"</formula1>
      <formula2>0</formula2>
    </dataValidation>
    <dataValidation type="list" allowBlank="1" showInputMessage="1" showErrorMessage="1" errorStyle="stop" sqref="H26:M26">
      <formula1>"Yes,N/A"</formula1>
      <formula2>0</formula2>
    </dataValidation>
    <dataValidation type="list" allowBlank="1" showInputMessage="1" showErrorMessage="1" errorStyle="stop" sqref="H28:M28">
      <formula1>"Yes,N/A"</formula1>
      <formula2>0</formula2>
    </dataValidation>
    <dataValidation type="list" allowBlank="1" showInputMessage="1" showErrorMessage="1" errorStyle="stop" sqref="H30:M30">
      <formula1>"Yes,N/A"</formula1>
      <formula2>0</formula2>
    </dataValidation>
    <dataValidation type="list" allowBlank="1" showInputMessage="1" showErrorMessage="1" errorStyle="stop" sqref="H32:M32">
      <formula1>"Yes,N/A"</formula1>
      <formula2>0</formula2>
    </dataValidation>
    <dataValidation type="list" allowBlank="1" showInputMessage="1" showErrorMessage="1" errorStyle="stop" sqref="H34:M34">
      <formula1>"Yes,N/A"</formula1>
      <formula2>0</formula2>
    </dataValidation>
    <dataValidation type="list" allowBlank="1" showInputMessage="1" showErrorMessage="1" errorStyle="stop" sqref="H36:M36">
      <formula1>"Yes,N/A"</formula1>
      <formula2>0</formula2>
    </dataValidation>
    <dataValidation type="list" allowBlank="1" showInputMessage="1" showErrorMessage="1" errorStyle="stop" sqref="H38:M38">
      <formula1>"Yes,N/A"</formula1>
      <formula2>0</formula2>
    </dataValidation>
    <dataValidation type="list" allowBlank="1" showInputMessage="1" showErrorMessage="1" errorStyle="stop" sqref="H4:M4">
      <formula1>"Yes,N/A"</formula1>
      <formula2>0</formula2>
    </dataValidation>
    <dataValidation type="list" allowBlank="1" showInputMessage="1" showErrorMessage="1" errorStyle="stop" sqref="H40:M40">
      <formula1>"Yes,N/A"</formula1>
      <formula2>0</formula2>
    </dataValidation>
    <dataValidation type="list" allowBlank="1" showInputMessage="1" showErrorMessage="1" errorStyle="stop" sqref="H42:M42">
      <formula1>"Yes,N/A"</formula1>
      <formula2>0</formula2>
    </dataValidation>
    <dataValidation type="list" allowBlank="1" showInputMessage="1" showErrorMessage="1" errorStyle="stop" sqref="H44:M44">
      <formula1>"Yes,N/A"</formula1>
      <formula2>0</formula2>
    </dataValidation>
    <dataValidation type="list" allowBlank="1" showInputMessage="1" showErrorMessage="1" errorStyle="stop" sqref="H46:M46">
      <formula1>"Yes,N/A"</formula1>
      <formula2>0</formula2>
    </dataValidation>
    <dataValidation type="list" allowBlank="1" showInputMessage="1" showErrorMessage="1" errorStyle="stop" sqref="H48:M48">
      <formula1>"Yes,N/A"</formula1>
      <formula2>0</formula2>
    </dataValidation>
    <dataValidation type="list" allowBlank="1" showInputMessage="1" showErrorMessage="1" errorStyle="stop" sqref="H50:M50">
      <formula1>"Yes,N/A"</formula1>
      <formula2>0</formula2>
    </dataValidation>
    <dataValidation type="list" allowBlank="1" showInputMessage="1" showErrorMessage="1" errorStyle="stop" sqref="H52:M52">
      <formula1>"Yes,N/A"</formula1>
      <formula2>0</formula2>
    </dataValidation>
    <dataValidation type="list" allowBlank="1" showInputMessage="1" showErrorMessage="1" errorStyle="stop" sqref="H54:M54">
      <formula1>"Yes,N/A"</formula1>
      <formula2>0</formula2>
    </dataValidation>
    <dataValidation type="list" allowBlank="1" showInputMessage="1" showErrorMessage="1" errorStyle="stop" sqref="H56:M56">
      <formula1>"Yes,N/A"</formula1>
      <formula2>0</formula2>
    </dataValidation>
    <dataValidation type="list" allowBlank="1" showInputMessage="1" showErrorMessage="1" errorStyle="stop" sqref="H58:M58">
      <formula1>"Yes,N/A"</formula1>
      <formula2>0</formula2>
    </dataValidation>
    <dataValidation type="list" allowBlank="1" showInputMessage="1" showErrorMessage="1" errorStyle="stop" sqref="H6:M6">
      <formula1>"Yes,N/A"</formula1>
      <formula2>0</formula2>
    </dataValidation>
    <dataValidation type="list" allowBlank="1" showInputMessage="1" showErrorMessage="1" errorStyle="stop" sqref="H60:M60">
      <formula1>"Yes,N/A"</formula1>
      <formula2>0</formula2>
    </dataValidation>
    <dataValidation type="list" allowBlank="1" showInputMessage="1" showErrorMessage="1" errorStyle="stop" sqref="H62:M62">
      <formula1>"Yes,N/A"</formula1>
      <formula2>0</formula2>
    </dataValidation>
    <dataValidation type="list" allowBlank="1" showInputMessage="1" showErrorMessage="1" errorStyle="stop" sqref="H64:M64">
      <formula1>"Yes,N/A"</formula1>
      <formula2>0</formula2>
    </dataValidation>
    <dataValidation type="list" allowBlank="1" showInputMessage="1" showErrorMessage="1" errorStyle="stop" sqref="H66:M67">
      <formula1>"Yes,N/A"</formula1>
      <formula2>0</formula2>
    </dataValidation>
    <dataValidation type="list" allowBlank="1" showInputMessage="1" showErrorMessage="1" errorStyle="stop" sqref="H8:M8">
      <formula1>"Yes,N/A"</formula1>
      <formula2>0</formula2>
    </dataValidation>
    <dataValidation type="list" allowBlank="1" showInputMessage="1" showErrorMessage="1" errorStyle="stop" sqref="O10">
      <formula1>"Yes,No"</formula1>
      <formula2>0</formula2>
    </dataValidation>
    <dataValidation type="list" allowBlank="1" showInputMessage="1" showErrorMessage="1" errorStyle="stop" sqref="O12">
      <formula1>"Yes,No"</formula1>
      <formula2>0</formula2>
    </dataValidation>
    <dataValidation type="list" allowBlank="1" showInputMessage="1" showErrorMessage="1" errorStyle="stop" sqref="O14">
      <formula1>"Yes,No"</formula1>
      <formula2>0</formula2>
    </dataValidation>
    <dataValidation type="list" allowBlank="1" showInputMessage="1" showErrorMessage="1" errorStyle="stop" sqref="O16">
      <formula1>"Yes,No"</formula1>
      <formula2>0</formula2>
    </dataValidation>
    <dataValidation type="list" allowBlank="1" showInputMessage="1" showErrorMessage="1" errorStyle="stop" sqref="O18">
      <formula1>"Yes,No"</formula1>
      <formula2>0</formula2>
    </dataValidation>
    <dataValidation type="list" allowBlank="1" showInputMessage="1" showErrorMessage="1" errorStyle="stop" sqref="O20">
      <formula1>"Yes,No"</formula1>
      <formula2>0</formula2>
    </dataValidation>
    <dataValidation type="list" allowBlank="1" showInputMessage="1" showErrorMessage="1" errorStyle="stop" sqref="O22">
      <formula1>"Yes,No"</formula1>
      <formula2>0</formula2>
    </dataValidation>
    <dataValidation type="list" allowBlank="1" showInputMessage="1" showErrorMessage="1" errorStyle="stop" sqref="O24">
      <formula1>"Yes,No"</formula1>
      <formula2>0</formula2>
    </dataValidation>
    <dataValidation type="list" allowBlank="1" showInputMessage="1" showErrorMessage="1" errorStyle="stop" sqref="O26">
      <formula1>"Yes,No"</formula1>
      <formula2>0</formula2>
    </dataValidation>
    <dataValidation type="list" allowBlank="1" showInputMessage="1" showErrorMessage="1" errorStyle="stop" sqref="O28">
      <formula1>"Yes,No"</formula1>
      <formula2>0</formula2>
    </dataValidation>
    <dataValidation type="list" allowBlank="1" showInputMessage="1" showErrorMessage="1" errorStyle="stop" sqref="O30">
      <formula1>"Yes,No"</formula1>
      <formula2>0</formula2>
    </dataValidation>
    <dataValidation type="list" allowBlank="1" showInputMessage="1" showErrorMessage="1" errorStyle="stop" sqref="O32">
      <formula1>"Yes,No"</formula1>
      <formula2>0</formula2>
    </dataValidation>
    <dataValidation type="list" allowBlank="1" showInputMessage="1" showErrorMessage="1" errorStyle="stop" sqref="O34">
      <formula1>"Yes,No"</formula1>
      <formula2>0</formula2>
    </dataValidation>
    <dataValidation type="list" allowBlank="1" showInputMessage="1" showErrorMessage="1" errorStyle="stop" sqref="O36">
      <formula1>"Yes,No"</formula1>
      <formula2>0</formula2>
    </dataValidation>
    <dataValidation type="list" allowBlank="1" showInputMessage="1" showErrorMessage="1" errorStyle="stop" sqref="O38">
      <formula1>"Yes,No"</formula1>
      <formula2>0</formula2>
    </dataValidation>
    <dataValidation type="list" allowBlank="1" showInputMessage="1" showErrorMessage="1" errorStyle="stop" sqref="O4">
      <formula1>"Yes,No"</formula1>
      <formula2>0</formula2>
    </dataValidation>
    <dataValidation type="list" allowBlank="1" showInputMessage="1" showErrorMessage="1" errorStyle="stop" sqref="O40">
      <formula1>"Yes,No"</formula1>
      <formula2>0</formula2>
    </dataValidation>
    <dataValidation type="list" allowBlank="1" showInputMessage="1" showErrorMessage="1" errorStyle="stop" sqref="O42">
      <formula1>"Yes,No"</formula1>
      <formula2>0</formula2>
    </dataValidation>
    <dataValidation type="list" allowBlank="1" showInputMessage="1" showErrorMessage="1" errorStyle="stop" sqref="O44">
      <formula1>"Yes,No"</formula1>
      <formula2>0</formula2>
    </dataValidation>
    <dataValidation type="list" allowBlank="1" showInputMessage="1" showErrorMessage="1" errorStyle="stop" sqref="O46">
      <formula1>"Yes,No"</formula1>
      <formula2>0</formula2>
    </dataValidation>
    <dataValidation type="list" allowBlank="1" showInputMessage="1" showErrorMessage="1" errorStyle="stop" sqref="O48">
      <formula1>"Yes,No"</formula1>
      <formula2>0</formula2>
    </dataValidation>
    <dataValidation type="list" allowBlank="1" showInputMessage="1" showErrorMessage="1" errorStyle="stop" sqref="O50">
      <formula1>"Yes,No"</formula1>
      <formula2>0</formula2>
    </dataValidation>
    <dataValidation type="list" allowBlank="1" showInputMessage="1" showErrorMessage="1" errorStyle="stop" sqref="O52">
      <formula1>"Yes,No"</formula1>
      <formula2>0</formula2>
    </dataValidation>
    <dataValidation type="list" allowBlank="1" showInputMessage="1" showErrorMessage="1" errorStyle="stop" sqref="O54">
      <formula1>"Yes,No"</formula1>
      <formula2>0</formula2>
    </dataValidation>
    <dataValidation type="list" allowBlank="1" showInputMessage="1" showErrorMessage="1" errorStyle="stop" sqref="O56">
      <formula1>"Yes,No"</formula1>
      <formula2>0</formula2>
    </dataValidation>
    <dataValidation type="list" allowBlank="1" showInputMessage="1" showErrorMessage="1" errorStyle="stop" sqref="O58">
      <formula1>"Yes,No"</formula1>
      <formula2>0</formula2>
    </dataValidation>
    <dataValidation type="list" allowBlank="1" showInputMessage="1" showErrorMessage="1" errorStyle="stop" sqref="O6">
      <formula1>"Yes,No"</formula1>
      <formula2>0</formula2>
    </dataValidation>
    <dataValidation type="list" allowBlank="1" showInputMessage="1" showErrorMessage="1" errorStyle="stop" sqref="O60">
      <formula1>"Yes,No"</formula1>
      <formula2>0</formula2>
    </dataValidation>
    <dataValidation type="list" allowBlank="1" showInputMessage="1" showErrorMessage="1" errorStyle="stop" sqref="O62">
      <formula1>"Yes,No"</formula1>
      <formula2>0</formula2>
    </dataValidation>
    <dataValidation type="list" allowBlank="1" showInputMessage="1" showErrorMessage="1" errorStyle="stop" sqref="O64">
      <formula1>"Yes,No"</formula1>
      <formula2>0</formula2>
    </dataValidation>
    <dataValidation type="list" allowBlank="1" showInputMessage="1" showErrorMessage="1" errorStyle="stop" sqref="O66:O67">
      <formula1>"Yes,No"</formula1>
      <formula2>0</formula2>
    </dataValidation>
    <dataValidation type="list" allowBlank="1" showInputMessage="1" showErrorMessage="1" errorStyle="stop" sqref="O8">
      <formula1>"Yes,No"</formula1>
      <formula2>0</formula2>
    </dataValidation>
    <dataValidation type="list" allowBlank="1" showInputMessage="1" showErrorMessage="1" errorStyle="stop" sqref="P10">
      <formula1>"Yes"</formula1>
      <formula2>0</formula2>
    </dataValidation>
    <dataValidation type="list" allowBlank="1" showInputMessage="1" showErrorMessage="1" errorStyle="stop" sqref="P12">
      <formula1>"Yes"</formula1>
      <formula2>0</formula2>
    </dataValidation>
    <dataValidation type="list" allowBlank="1" showInputMessage="1" showErrorMessage="1" errorStyle="stop" sqref="P14">
      <formula1>"Yes"</formula1>
      <formula2>0</formula2>
    </dataValidation>
    <dataValidation type="list" allowBlank="1" showInputMessage="1" showErrorMessage="1" errorStyle="stop" sqref="P16">
      <formula1>"Yes"</formula1>
      <formula2>0</formula2>
    </dataValidation>
    <dataValidation type="list" allowBlank="1" showInputMessage="1" showErrorMessage="1" errorStyle="stop" sqref="P18">
      <formula1>"Yes"</formula1>
      <formula2>0</formula2>
    </dataValidation>
    <dataValidation type="list" allowBlank="1" showInputMessage="1" showErrorMessage="1" errorStyle="stop" sqref="P20">
      <formula1>"Yes"</formula1>
      <formula2>0</formula2>
    </dataValidation>
    <dataValidation type="list" allowBlank="1" showInputMessage="1" showErrorMessage="1" errorStyle="stop" sqref="P22">
      <formula1>"Yes"</formula1>
      <formula2>0</formula2>
    </dataValidation>
    <dataValidation type="list" allowBlank="1" showInputMessage="1" showErrorMessage="1" errorStyle="stop" sqref="P24">
      <formula1>"Yes"</formula1>
      <formula2>0</formula2>
    </dataValidation>
    <dataValidation type="list" allowBlank="1" showInputMessage="1" showErrorMessage="1" errorStyle="stop" sqref="P26">
      <formula1>"Yes"</formula1>
      <formula2>0</formula2>
    </dataValidation>
    <dataValidation type="list" allowBlank="1" showInputMessage="1" showErrorMessage="1" errorStyle="stop" sqref="P28">
      <formula1>"Yes"</formula1>
      <formula2>0</formula2>
    </dataValidation>
    <dataValidation type="list" allowBlank="1" showInputMessage="1" showErrorMessage="1" errorStyle="stop" sqref="P30">
      <formula1>"Yes"</formula1>
      <formula2>0</formula2>
    </dataValidation>
    <dataValidation type="list" allowBlank="1" showInputMessage="1" showErrorMessage="1" errorStyle="stop" sqref="P32">
      <formula1>"Yes"</formula1>
      <formula2>0</formula2>
    </dataValidation>
    <dataValidation type="list" allowBlank="1" showInputMessage="1" showErrorMessage="1" errorStyle="stop" sqref="P34">
      <formula1>"Yes"</formula1>
      <formula2>0</formula2>
    </dataValidation>
    <dataValidation type="list" allowBlank="1" showInputMessage="1" showErrorMessage="1" errorStyle="stop" sqref="P36">
      <formula1>"Yes"</formula1>
      <formula2>0</formula2>
    </dataValidation>
    <dataValidation type="list" allowBlank="1" showInputMessage="1" showErrorMessage="1" errorStyle="stop" sqref="P38">
      <formula1>"Yes"</formula1>
      <formula2>0</formula2>
    </dataValidation>
    <dataValidation type="list" allowBlank="1" showInputMessage="1" showErrorMessage="1" errorStyle="stop" sqref="P4">
      <formula1>"Yes"</formula1>
      <formula2>0</formula2>
    </dataValidation>
    <dataValidation type="list" allowBlank="1" showInputMessage="1" showErrorMessage="1" errorStyle="stop" sqref="P40">
      <formula1>"Yes"</formula1>
      <formula2>0</formula2>
    </dataValidation>
    <dataValidation type="list" allowBlank="1" showInputMessage="1" showErrorMessage="1" errorStyle="stop" sqref="P42">
      <formula1>"Yes"</formula1>
      <formula2>0</formula2>
    </dataValidation>
    <dataValidation type="list" allowBlank="1" showInputMessage="1" showErrorMessage="1" errorStyle="stop" sqref="P44">
      <formula1>"Yes"</formula1>
      <formula2>0</formula2>
    </dataValidation>
    <dataValidation type="list" allowBlank="1" showInputMessage="1" showErrorMessage="1" errorStyle="stop" sqref="P46">
      <formula1>"Yes"</formula1>
      <formula2>0</formula2>
    </dataValidation>
    <dataValidation type="list" allowBlank="1" showInputMessage="1" showErrorMessage="1" errorStyle="stop" sqref="P48">
      <formula1>"Yes"</formula1>
      <formula2>0</formula2>
    </dataValidation>
    <dataValidation type="list" allowBlank="1" showInputMessage="1" showErrorMessage="1" errorStyle="stop" sqref="P50">
      <formula1>"Yes"</formula1>
      <formula2>0</formula2>
    </dataValidation>
    <dataValidation type="list" allowBlank="1" showInputMessage="1" showErrorMessage="1" errorStyle="stop" sqref="P52">
      <formula1>"Yes"</formula1>
      <formula2>0</formula2>
    </dataValidation>
    <dataValidation type="list" allowBlank="1" showInputMessage="1" showErrorMessage="1" errorStyle="stop" sqref="P54">
      <formula1>"Yes"</formula1>
      <formula2>0</formula2>
    </dataValidation>
    <dataValidation type="list" allowBlank="1" showInputMessage="1" showErrorMessage="1" errorStyle="stop" sqref="P56">
      <formula1>"Yes"</formula1>
      <formula2>0</formula2>
    </dataValidation>
    <dataValidation type="list" allowBlank="1" showInputMessage="1" showErrorMessage="1" errorStyle="stop" sqref="P58">
      <formula1>"Yes"</formula1>
      <formula2>0</formula2>
    </dataValidation>
    <dataValidation type="list" allowBlank="1" showInputMessage="1" showErrorMessage="1" errorStyle="stop" sqref="P6">
      <formula1>"Yes"</formula1>
      <formula2>0</formula2>
    </dataValidation>
    <dataValidation type="list" allowBlank="1" showInputMessage="1" showErrorMessage="1" errorStyle="stop" sqref="P60">
      <formula1>"Yes"</formula1>
      <formula2>0</formula2>
    </dataValidation>
    <dataValidation type="list" allowBlank="1" showInputMessage="1" showErrorMessage="1" errorStyle="stop" sqref="P62">
      <formula1>"Yes"</formula1>
      <formula2>0</formula2>
    </dataValidation>
    <dataValidation type="list" allowBlank="1" showInputMessage="1" showErrorMessage="1" errorStyle="stop" sqref="P64">
      <formula1>"Yes"</formula1>
      <formula2>0</formula2>
    </dataValidation>
    <dataValidation type="list" allowBlank="1" showInputMessage="1" showErrorMessage="1" errorStyle="stop" sqref="P66:P67">
      <formula1>"Yes"</formula1>
      <formula2>0</formula2>
    </dataValidation>
    <dataValidation type="list" allowBlank="1" showInputMessage="1" showErrorMessage="1" errorStyle="stop" sqref="P8">
      <formula1>"Yes"</formula1>
      <formula2>0</formula2>
    </dataValidation>
    <dataValidation type="list" allowBlank="1" showInputMessage="1" showErrorMessage="1" errorStyle="stop" sqref="R10:T10">
      <formula1>"Yes"</formula1>
      <formula2>0</formula2>
    </dataValidation>
    <dataValidation type="list" allowBlank="1" showInputMessage="1" showErrorMessage="1" errorStyle="stop" sqref="R12:T12">
      <formula1>"Yes"</formula1>
      <formula2>0</formula2>
    </dataValidation>
    <dataValidation type="list" allowBlank="1" showInputMessage="1" showErrorMessage="1" errorStyle="stop" sqref="R14:T14">
      <formula1>"Yes"</formula1>
      <formula2>0</formula2>
    </dataValidation>
    <dataValidation type="list" allowBlank="1" showInputMessage="1" showErrorMessage="1" errorStyle="stop" sqref="R16:T16">
      <formula1>"Yes"</formula1>
      <formula2>0</formula2>
    </dataValidation>
    <dataValidation type="list" allowBlank="1" showInputMessage="1" showErrorMessage="1" errorStyle="stop" sqref="R18:T18">
      <formula1>"Yes"</formula1>
      <formula2>0</formula2>
    </dataValidation>
    <dataValidation type="list" allowBlank="1" showInputMessage="1" showErrorMessage="1" errorStyle="stop" sqref="R20:T20">
      <formula1>"Yes"</formula1>
      <formula2>0</formula2>
    </dataValidation>
    <dataValidation type="list" allowBlank="1" showInputMessage="1" showErrorMessage="1" errorStyle="stop" sqref="R22:T22">
      <formula1>"Yes"</formula1>
      <formula2>0</formula2>
    </dataValidation>
    <dataValidation type="list" allowBlank="1" showInputMessage="1" showErrorMessage="1" errorStyle="stop" sqref="R24:T24">
      <formula1>"Yes"</formula1>
      <formula2>0</formula2>
    </dataValidation>
    <dataValidation type="list" allowBlank="1" showInputMessage="1" showErrorMessage="1" errorStyle="stop" sqref="R26:T26">
      <formula1>"Yes"</formula1>
      <formula2>0</formula2>
    </dataValidation>
    <dataValidation type="list" allowBlank="1" showInputMessage="1" showErrorMessage="1" errorStyle="stop" sqref="R28:T28">
      <formula1>"Yes"</formula1>
      <formula2>0</formula2>
    </dataValidation>
    <dataValidation type="list" allowBlank="1" showInputMessage="1" showErrorMessage="1" errorStyle="stop" sqref="R30:T30">
      <formula1>"Yes"</formula1>
      <formula2>0</formula2>
    </dataValidation>
    <dataValidation type="list" allowBlank="1" showInputMessage="1" showErrorMessage="1" errorStyle="stop" sqref="R32:T32">
      <formula1>"Yes"</formula1>
      <formula2>0</formula2>
    </dataValidation>
    <dataValidation type="list" allowBlank="1" showInputMessage="1" showErrorMessage="1" errorStyle="stop" sqref="R34:T34">
      <formula1>"Yes"</formula1>
      <formula2>0</formula2>
    </dataValidation>
    <dataValidation type="list" allowBlank="1" showInputMessage="1" showErrorMessage="1" errorStyle="stop" sqref="R36:T36">
      <formula1>"Yes"</formula1>
      <formula2>0</formula2>
    </dataValidation>
    <dataValidation type="list" allowBlank="1" showInputMessage="1" showErrorMessage="1" errorStyle="stop" sqref="R38:T38">
      <formula1>"Yes"</formula1>
      <formula2>0</formula2>
    </dataValidation>
    <dataValidation type="list" allowBlank="1" showInputMessage="1" showErrorMessage="1" errorStyle="stop" sqref="R4:T4">
      <formula1>"Yes"</formula1>
      <formula2>0</formula2>
    </dataValidation>
    <dataValidation type="list" allowBlank="1" showInputMessage="1" showErrorMessage="1" errorStyle="stop" sqref="R40:T40">
      <formula1>"Yes"</formula1>
      <formula2>0</formula2>
    </dataValidation>
    <dataValidation type="list" allowBlank="1" showInputMessage="1" showErrorMessage="1" errorStyle="stop" sqref="R42:T42">
      <formula1>"Yes"</formula1>
      <formula2>0</formula2>
    </dataValidation>
    <dataValidation type="list" allowBlank="1" showInputMessage="1" showErrorMessage="1" errorStyle="stop" sqref="R44:T44">
      <formula1>"Yes"</formula1>
      <formula2>0</formula2>
    </dataValidation>
    <dataValidation type="list" allowBlank="1" showInputMessage="1" showErrorMessage="1" errorStyle="stop" sqref="R46:T46">
      <formula1>"Yes"</formula1>
      <formula2>0</formula2>
    </dataValidation>
    <dataValidation type="list" allowBlank="1" showInputMessage="1" showErrorMessage="1" errorStyle="stop" sqref="R48:T48">
      <formula1>"Yes"</formula1>
      <formula2>0</formula2>
    </dataValidation>
    <dataValidation type="list" allowBlank="1" showInputMessage="1" showErrorMessage="1" errorStyle="stop" sqref="R50:T50">
      <formula1>"Yes"</formula1>
      <formula2>0</formula2>
    </dataValidation>
    <dataValidation type="list" allowBlank="1" showInputMessage="1" showErrorMessage="1" errorStyle="stop" sqref="R52:T52">
      <formula1>"Yes"</formula1>
      <formula2>0</formula2>
    </dataValidation>
    <dataValidation type="list" allowBlank="1" showInputMessage="1" showErrorMessage="1" errorStyle="stop" sqref="R54:T54">
      <formula1>"Yes"</formula1>
      <formula2>0</formula2>
    </dataValidation>
    <dataValidation type="list" allowBlank="1" showInputMessage="1" showErrorMessage="1" errorStyle="stop" sqref="R56:T56">
      <formula1>"Yes"</formula1>
      <formula2>0</formula2>
    </dataValidation>
    <dataValidation type="list" allowBlank="1" showInputMessage="1" showErrorMessage="1" errorStyle="stop" sqref="R58:T58">
      <formula1>"Yes"</formula1>
      <formula2>0</formula2>
    </dataValidation>
    <dataValidation type="list" allowBlank="1" showInputMessage="1" showErrorMessage="1" errorStyle="stop" sqref="R6:T6">
      <formula1>"Yes"</formula1>
      <formula2>0</formula2>
    </dataValidation>
    <dataValidation type="list" allowBlank="1" showInputMessage="1" showErrorMessage="1" errorStyle="stop" sqref="R60:T60">
      <formula1>"Yes"</formula1>
      <formula2>0</formula2>
    </dataValidation>
    <dataValidation type="list" allowBlank="1" showInputMessage="1" showErrorMessage="1" errorStyle="stop" sqref="R62:T62">
      <formula1>"Yes"</formula1>
      <formula2>0</formula2>
    </dataValidation>
    <dataValidation type="list" allowBlank="1" showInputMessage="1" showErrorMessage="1" errorStyle="stop" sqref="R64:T64">
      <formula1>"Yes"</formula1>
      <formula2>0</formula2>
    </dataValidation>
    <dataValidation type="list" allowBlank="1" showInputMessage="1" showErrorMessage="1" errorStyle="stop" sqref="R66:T67">
      <formula1>"Yes"</formula1>
      <formula2>0</formula2>
    </dataValidation>
    <dataValidation type="list" allowBlank="1" showInputMessage="1" showErrorMessage="1" errorStyle="stop" sqref="R8:T8">
      <formula1>"Yes"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3"/>
  <sheetViews>
    <sheetView workbookViewId="0" zoomScale="85" zoomScaleNormal="85" view="normal">
      <pane xSplit="2" ySplit="3" topLeftCell="J204" activePane="bottomRight" state="frozen"/>
      <selection pane="bottomRight" activeCell="T226" sqref="T226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4" width="12.72" style="37" customWidth="1"/>
    <col min="15" max="17" width="12.72" style="36" customWidth="1"/>
    <col min="18" max="18" width="12.72" style="37" customWidth="1"/>
    <col min="19" max="21" width="12.72" style="35" customWidth="1"/>
    <col min="22" max="27" width="12.72" style="37" customWidth="1"/>
    <col min="30" max="30" width="29" style="35" customWidth="1"/>
    <col min="31" max="31" width="17" style="35" customWidth="1"/>
    <col min="34" max="34" width="11" style="35" customWidth="1"/>
    <col min="35" max="35" width="13.72" style="35" customWidth="1"/>
  </cols>
  <sheetData>
    <row r="1" ht="31.5" customHeight="1" spans="1:3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"/>
      <c r="AD1" s="35"/>
      <c r="AE1" s="35"/>
      <c r="AH1" s="35"/>
      <c r="AI1" s="35"/>
    </row>
    <row r="2" ht="50.25" customHeight="1" spans="1:35" x14ac:dyDescent="0.25">
      <c r="A2" s="3" t="s">
        <v>1</v>
      </c>
      <c r="B2" s="4" t="s">
        <v>2</v>
      </c>
      <c r="C2" s="4" t="s">
        <v>65</v>
      </c>
      <c r="D2" s="38" t="s">
        <v>66</v>
      </c>
      <c r="E2" s="38" t="s">
        <v>67</v>
      </c>
      <c r="F2" s="39" t="s">
        <v>68</v>
      </c>
      <c r="G2" s="40" t="s">
        <v>69</v>
      </c>
      <c r="H2" s="38" t="s">
        <v>70</v>
      </c>
      <c r="I2" s="38" t="s">
        <v>71</v>
      </c>
      <c r="J2" s="41" t="s">
        <v>72</v>
      </c>
      <c r="K2" s="41" t="s">
        <v>73</v>
      </c>
      <c r="L2" s="39" t="s">
        <v>74</v>
      </c>
      <c r="M2" s="40" t="s">
        <v>75</v>
      </c>
      <c r="N2" s="42" t="s">
        <v>76</v>
      </c>
      <c r="O2" s="43" t="s">
        <v>77</v>
      </c>
      <c r="P2" s="43" t="s">
        <v>78</v>
      </c>
      <c r="Q2" s="39" t="s">
        <v>79</v>
      </c>
      <c r="R2" s="40" t="s">
        <v>80</v>
      </c>
      <c r="S2" s="44" t="s">
        <v>81</v>
      </c>
      <c r="T2" s="44" t="s">
        <v>82</v>
      </c>
      <c r="U2" s="45" t="s">
        <v>83</v>
      </c>
      <c r="V2" s="40" t="s">
        <v>84</v>
      </c>
      <c r="W2" s="42" t="s">
        <v>85</v>
      </c>
      <c r="X2" s="46" t="s">
        <v>86</v>
      </c>
      <c r="Y2" s="47" t="s">
        <v>87</v>
      </c>
      <c r="Z2" s="46" t="s">
        <v>88</v>
      </c>
      <c r="AA2" s="48" t="s">
        <v>89</v>
      </c>
      <c r="AD2" s="35"/>
      <c r="AE2" s="35"/>
      <c r="AH2" s="35"/>
      <c r="AI2" s="35"/>
    </row>
    <row r="3" ht="16.5" customHeight="1" spans="1:35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8"/>
      <c r="AD3" s="35"/>
      <c r="AE3" s="35"/>
      <c r="AH3" s="49" t="s">
        <v>90</v>
      </c>
      <c r="AI3" s="50" t="s">
        <v>91</v>
      </c>
    </row>
    <row r="4" ht="15" customHeight="1" spans="1:35" x14ac:dyDescent="0.25">
      <c r="A4" s="19">
        <v>7658</v>
      </c>
      <c r="B4" s="20" t="s">
        <v>25</v>
      </c>
      <c r="C4" s="51" t="s">
        <v>92</v>
      </c>
      <c r="D4" s="52">
        <v>245679.5</v>
      </c>
      <c r="E4" s="52">
        <v>216530.08</v>
      </c>
      <c r="F4" s="52">
        <v>29149.420000000013</v>
      </c>
      <c r="G4" s="53">
        <v>0.11864815745717495</v>
      </c>
      <c r="H4" s="52">
        <v>208360.5</v>
      </c>
      <c r="I4" s="52">
        <v>167957.68</v>
      </c>
      <c r="J4" s="52">
        <v>180366.49</v>
      </c>
      <c r="K4" s="52">
        <v>138548.02</v>
      </c>
      <c r="L4" s="52">
        <v>41818.47</v>
      </c>
      <c r="M4" s="53">
        <v>0.23185276821653514</v>
      </c>
      <c r="N4" s="53">
        <v>0.9</v>
      </c>
      <c r="O4" s="52">
        <v>27994.01</v>
      </c>
      <c r="P4" s="52">
        <v>29409.66</v>
      </c>
      <c r="Q4" s="52">
        <v>-1415.6500000000015</v>
      </c>
      <c r="R4" s="53">
        <v>-0.05056974688513727</v>
      </c>
      <c r="S4" s="54">
        <v>565.45</v>
      </c>
      <c r="T4" s="54">
        <v>588.25</v>
      </c>
      <c r="U4" s="54">
        <v>-22.799999999999955</v>
      </c>
      <c r="V4" s="53">
        <v>-0.040321867539128045</v>
      </c>
      <c r="W4" s="53"/>
      <c r="X4" s="55">
        <v>82.57101572460688</v>
      </c>
      <c r="Y4" s="55">
        <v>65.99877634098505</v>
      </c>
      <c r="Z4" s="53">
        <v>0.2243</v>
      </c>
      <c r="AA4" s="56">
        <v>0.1519</v>
      </c>
      <c r="AB4" s="57"/>
      <c r="AD4" s="35" t="s">
        <v>93</v>
      </c>
      <c r="AE4" s="35">
        <v>-418</v>
      </c>
      <c r="AH4" s="19">
        <v>-418</v>
      </c>
      <c r="AI4" s="58">
        <v>-92952.56</v>
      </c>
    </row>
    <row r="5" ht="15" customHeight="1" spans="1:35" x14ac:dyDescent="0.25">
      <c r="A5" s="19"/>
      <c r="B5" s="20"/>
      <c r="C5" s="51" t="s">
        <v>94</v>
      </c>
      <c r="D5" s="52">
        <v>245679.5</v>
      </c>
      <c r="E5" s="52">
        <v>216530.08</v>
      </c>
      <c r="F5" s="52">
        <v>29149.420000000013</v>
      </c>
      <c r="G5" s="53">
        <v>0.11864815745717495</v>
      </c>
      <c r="H5" s="52">
        <v>208360.5</v>
      </c>
      <c r="I5" s="52">
        <v>168361.6</v>
      </c>
      <c r="J5" s="52">
        <v>180366.49</v>
      </c>
      <c r="K5" s="52">
        <v>138438.46000000002</v>
      </c>
      <c r="L5" s="52">
        <v>41928.02999999997</v>
      </c>
      <c r="M5" s="53">
        <v>0.23246019812216767</v>
      </c>
      <c r="N5" s="53"/>
      <c r="O5" s="52">
        <v>27994.01</v>
      </c>
      <c r="P5" s="52">
        <v>29923.14</v>
      </c>
      <c r="Q5" s="52">
        <v>-1929.130000000001</v>
      </c>
      <c r="R5" s="53">
        <v>-0.06891224229754869</v>
      </c>
      <c r="S5" s="54">
        <v>565.45</v>
      </c>
      <c r="T5" s="54">
        <v>600.25</v>
      </c>
      <c r="U5" s="54">
        <v>-34.799999999999955</v>
      </c>
      <c r="V5" s="53">
        <v>-0.061543903086037584</v>
      </c>
      <c r="W5" s="53"/>
      <c r="X5" s="55">
        <v>80.24736359850063</v>
      </c>
      <c r="Y5" s="55">
        <v>65.99877634098505</v>
      </c>
      <c r="Z5" s="53">
        <v>0.2225</v>
      </c>
      <c r="AA5" s="56">
        <v>0.1519</v>
      </c>
      <c r="AB5" s="57"/>
      <c r="AD5" s="35" t="s">
        <v>95</v>
      </c>
      <c r="AE5" s="36">
        <v>-92952.56</v>
      </c>
      <c r="AH5" s="19"/>
      <c r="AI5" s="58"/>
    </row>
    <row r="6" ht="15" customHeight="1" spans="1:35" x14ac:dyDescent="0.25">
      <c r="A6" s="19"/>
      <c r="B6" s="20"/>
      <c r="C6" s="51" t="s">
        <v>96</v>
      </c>
      <c r="D6" s="52">
        <v>245679.5</v>
      </c>
      <c r="E6" s="52">
        <v>216530.08</v>
      </c>
      <c r="F6" s="52">
        <v>29149.420000000013</v>
      </c>
      <c r="G6" s="53">
        <v>0.11864815745717495</v>
      </c>
      <c r="H6" s="52">
        <v>208360.5</v>
      </c>
      <c r="I6" s="52">
        <v>168361.6</v>
      </c>
      <c r="J6" s="52">
        <v>180366.49</v>
      </c>
      <c r="K6" s="52">
        <v>138438.46000000002</v>
      </c>
      <c r="L6" s="52">
        <v>41928.02999999997</v>
      </c>
      <c r="M6" s="53">
        <v>0.23246019812216767</v>
      </c>
      <c r="N6" s="53"/>
      <c r="O6" s="52">
        <v>27994.01</v>
      </c>
      <c r="P6" s="52">
        <v>29923.14</v>
      </c>
      <c r="Q6" s="52">
        <v>-1929.130000000001</v>
      </c>
      <c r="R6" s="53">
        <v>-0.06891224229754869</v>
      </c>
      <c r="S6" s="54">
        <v>565.45</v>
      </c>
      <c r="T6" s="54">
        <v>600.25</v>
      </c>
      <c r="U6" s="54">
        <v>-34.799999999999955</v>
      </c>
      <c r="V6" s="53">
        <v>-0.061543903086037584</v>
      </c>
      <c r="W6" s="53"/>
      <c r="X6" s="55">
        <v>80.24736359850063</v>
      </c>
      <c r="Y6" s="55">
        <v>65.99877634098505</v>
      </c>
      <c r="Z6" s="53">
        <v>0.2225</v>
      </c>
      <c r="AA6" s="56">
        <v>0.1519</v>
      </c>
      <c r="AB6" s="57"/>
      <c r="AD6" s="35"/>
      <c r="AE6" s="35"/>
      <c r="AH6" s="19"/>
      <c r="AI6" s="58"/>
    </row>
    <row r="7" ht="15" customHeight="1" spans="1:35" x14ac:dyDescent="0.25">
      <c r="A7" s="19"/>
      <c r="B7" s="20"/>
      <c r="C7" s="51" t="s">
        <v>97</v>
      </c>
      <c r="D7" s="52"/>
      <c r="E7" s="52"/>
      <c r="F7" s="52"/>
      <c r="G7" s="53"/>
      <c r="H7" s="52"/>
      <c r="I7" s="52"/>
      <c r="J7" s="52"/>
      <c r="K7" s="52"/>
      <c r="L7" s="52"/>
      <c r="M7" s="53"/>
      <c r="N7" s="53"/>
      <c r="O7" s="52"/>
      <c r="P7" s="52"/>
      <c r="Q7" s="52"/>
      <c r="R7" s="53"/>
      <c r="S7" s="54"/>
      <c r="T7" s="54"/>
      <c r="U7" s="54"/>
      <c r="V7" s="53"/>
      <c r="W7" s="53"/>
      <c r="X7" s="55"/>
      <c r="Y7" s="55"/>
      <c r="Z7" s="53"/>
      <c r="AA7" s="56"/>
      <c r="AB7" s="57"/>
      <c r="AD7" s="35" t="s">
        <v>98</v>
      </c>
      <c r="AE7" s="36">
        <v>0</v>
      </c>
      <c r="AH7" s="19"/>
      <c r="AI7" s="58"/>
    </row>
    <row r="8" ht="15" customHeight="1" spans="1:35" x14ac:dyDescent="0.25">
      <c r="A8" s="19"/>
      <c r="B8" s="20"/>
      <c r="C8" s="51" t="s">
        <v>99</v>
      </c>
      <c r="D8" s="52"/>
      <c r="E8" s="52"/>
      <c r="F8" s="52"/>
      <c r="G8" s="53"/>
      <c r="H8" s="52"/>
      <c r="I8" s="52"/>
      <c r="J8" s="52"/>
      <c r="K8" s="52"/>
      <c r="L8" s="52"/>
      <c r="M8" s="53"/>
      <c r="N8" s="53"/>
      <c r="O8" s="52"/>
      <c r="P8" s="52"/>
      <c r="Q8" s="52"/>
      <c r="R8" s="53"/>
      <c r="S8" s="54"/>
      <c r="T8" s="54"/>
      <c r="U8" s="54"/>
      <c r="V8" s="53"/>
      <c r="W8" s="53"/>
      <c r="X8" s="55"/>
      <c r="Y8" s="55"/>
      <c r="Z8" s="53"/>
      <c r="AA8" s="56"/>
      <c r="AB8" s="57"/>
      <c r="AD8" s="35"/>
      <c r="AE8" s="35"/>
      <c r="AH8" s="19"/>
      <c r="AI8" s="58"/>
    </row>
    <row r="9" ht="15" customHeight="1" spans="1:35" x14ac:dyDescent="0.25">
      <c r="A9" s="19"/>
      <c r="B9" s="20"/>
      <c r="C9" s="51" t="s">
        <v>100</v>
      </c>
      <c r="D9" s="52"/>
      <c r="E9" s="52"/>
      <c r="F9" s="52"/>
      <c r="G9" s="53"/>
      <c r="H9" s="52"/>
      <c r="I9" s="52"/>
      <c r="J9" s="52"/>
      <c r="K9" s="52"/>
      <c r="L9" s="52"/>
      <c r="M9" s="53"/>
      <c r="N9" s="53"/>
      <c r="O9" s="52"/>
      <c r="P9" s="52"/>
      <c r="Q9" s="52"/>
      <c r="R9" s="53"/>
      <c r="S9" s="54"/>
      <c r="T9" s="54"/>
      <c r="U9" s="54"/>
      <c r="V9" s="53"/>
      <c r="W9" s="53"/>
      <c r="X9" s="55"/>
      <c r="Y9" s="55"/>
      <c r="Z9" s="53"/>
      <c r="AA9" s="56"/>
      <c r="AB9" s="57"/>
      <c r="AD9" s="35"/>
      <c r="AE9" s="35"/>
      <c r="AH9" s="59">
        <v>-418</v>
      </c>
      <c r="AI9" s="60">
        <v>-92952.56</v>
      </c>
    </row>
    <row r="10" ht="9" customHeight="1" spans="1:35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D10" s="35"/>
      <c r="AE10" s="35"/>
      <c r="AH10" s="35"/>
      <c r="AI10" s="35"/>
    </row>
    <row r="11" ht="15" customHeight="1" spans="1:35" x14ac:dyDescent="0.25">
      <c r="A11" s="19">
        <v>8142</v>
      </c>
      <c r="B11" s="20" t="s">
        <v>29</v>
      </c>
      <c r="C11" s="51" t="s">
        <v>92</v>
      </c>
      <c r="D11" s="52">
        <v>129074.86</v>
      </c>
      <c r="E11" s="62">
        <v>85864.08</v>
      </c>
      <c r="F11" s="52">
        <v>43210.78</v>
      </c>
      <c r="G11" s="53">
        <v>0.3347730146676123</v>
      </c>
      <c r="H11" s="52">
        <v>101420.72</v>
      </c>
      <c r="I11" s="52">
        <v>74137.32</v>
      </c>
      <c r="J11" s="52">
        <v>83645.65</v>
      </c>
      <c r="K11" s="52">
        <v>69538.04000000001</v>
      </c>
      <c r="L11" s="52">
        <v>14107.609999999986</v>
      </c>
      <c r="M11" s="53">
        <v>0.16865921897910993</v>
      </c>
      <c r="N11" s="53"/>
      <c r="O11" s="52">
        <v>17775.07</v>
      </c>
      <c r="P11" s="52">
        <v>4599.28</v>
      </c>
      <c r="Q11" s="52">
        <v>13175.79</v>
      </c>
      <c r="R11" s="53">
        <v>0.74125108930654</v>
      </c>
      <c r="S11" s="54">
        <v>356.07</v>
      </c>
      <c r="T11" s="54">
        <v>93.25</v>
      </c>
      <c r="U11" s="54">
        <v>262.82</v>
      </c>
      <c r="V11" s="53">
        <v>0.7381132923301598</v>
      </c>
      <c r="W11" s="53">
        <v>0.3</v>
      </c>
      <c r="X11" s="55">
        <v>125.75613941018767</v>
      </c>
      <c r="Y11" s="55">
        <v>77.66490997775718</v>
      </c>
      <c r="Z11" s="53">
        <v>0.1366</v>
      </c>
      <c r="AA11" s="56">
        <v>0.2142</v>
      </c>
      <c r="AB11" s="57"/>
      <c r="AD11" s="35" t="s">
        <v>93</v>
      </c>
      <c r="AE11" s="35">
        <v>-52.5</v>
      </c>
      <c r="AH11" s="19">
        <v>-52.5</v>
      </c>
      <c r="AI11" s="58">
        <v>-45701.86</v>
      </c>
    </row>
    <row r="12" ht="15" customHeight="1" spans="1:35" x14ac:dyDescent="0.25">
      <c r="A12" s="19"/>
      <c r="B12" s="20"/>
      <c r="C12" s="63" t="s">
        <v>94</v>
      </c>
      <c r="D12" s="52">
        <v>129074.86</v>
      </c>
      <c r="E12" s="62">
        <v>85864.08</v>
      </c>
      <c r="F12" s="52">
        <v>43210.78</v>
      </c>
      <c r="G12" s="53">
        <v>0.3347730146676123</v>
      </c>
      <c r="H12" s="52">
        <v>101420.72</v>
      </c>
      <c r="I12" s="52">
        <v>79791.03</v>
      </c>
      <c r="J12" s="52">
        <v>83645.65</v>
      </c>
      <c r="K12" s="52">
        <v>71604.5</v>
      </c>
      <c r="L12" s="52">
        <v>12041.149999999994</v>
      </c>
      <c r="M12" s="53">
        <v>0.1439542881189876</v>
      </c>
      <c r="N12" s="53"/>
      <c r="O12" s="52">
        <v>17775.07</v>
      </c>
      <c r="P12" s="52">
        <v>8186.53</v>
      </c>
      <c r="Q12" s="52">
        <v>9588.54</v>
      </c>
      <c r="R12" s="53">
        <v>0.5394375380800188</v>
      </c>
      <c r="S12" s="54">
        <v>356.07</v>
      </c>
      <c r="T12" s="54">
        <v>168.25</v>
      </c>
      <c r="U12" s="54">
        <v>187.82</v>
      </c>
      <c r="V12" s="53">
        <v>0.5274805515769371</v>
      </c>
      <c r="W12" s="53"/>
      <c r="X12" s="55">
        <v>36.09539375928678</v>
      </c>
      <c r="Y12" s="55">
        <v>77.66490997775718</v>
      </c>
      <c r="Z12" s="53">
        <v>0.0707</v>
      </c>
      <c r="AA12" s="56">
        <v>0.2142</v>
      </c>
      <c r="AB12" s="57"/>
      <c r="AD12" s="35" t="s">
        <v>95</v>
      </c>
      <c r="AE12" s="36">
        <v>-45701.86</v>
      </c>
      <c r="AH12" s="19"/>
      <c r="AI12" s="58"/>
    </row>
    <row r="13" ht="15" customHeight="1" spans="1:35" x14ac:dyDescent="0.25">
      <c r="A13" s="19"/>
      <c r="B13" s="20"/>
      <c r="C13" s="63" t="s">
        <v>96</v>
      </c>
      <c r="D13" s="52">
        <v>129996.92</v>
      </c>
      <c r="E13" s="62">
        <v>85864.08</v>
      </c>
      <c r="F13" s="52">
        <v>44132.84</v>
      </c>
      <c r="G13" s="53">
        <v>0.3394914279507545</v>
      </c>
      <c r="H13" s="52">
        <v>101885.52</v>
      </c>
      <c r="I13" s="52">
        <v>79864.19</v>
      </c>
      <c r="J13" s="52">
        <v>83735.42000000001</v>
      </c>
      <c r="K13" s="52">
        <v>71677.66</v>
      </c>
      <c r="L13" s="52">
        <v>12057.76000000001</v>
      </c>
      <c r="M13" s="53">
        <v>0.14399832233480178</v>
      </c>
      <c r="N13" s="53"/>
      <c r="O13" s="52">
        <v>18150.1</v>
      </c>
      <c r="P13" s="52">
        <v>8186.53</v>
      </c>
      <c r="Q13" s="52">
        <v>9963.57</v>
      </c>
      <c r="R13" s="53">
        <v>0.5489540002534422</v>
      </c>
      <c r="S13" s="54">
        <v>363.57</v>
      </c>
      <c r="T13" s="54">
        <v>168.25</v>
      </c>
      <c r="U13" s="54">
        <v>195.32</v>
      </c>
      <c r="V13" s="53">
        <v>0.5372280441180516</v>
      </c>
      <c r="W13" s="53"/>
      <c r="X13" s="55">
        <v>35.660564635958394</v>
      </c>
      <c r="Y13" s="55">
        <v>77.32043896850674</v>
      </c>
      <c r="Z13" s="53">
        <v>0.0699</v>
      </c>
      <c r="AA13" s="56">
        <v>0.2162</v>
      </c>
      <c r="AB13" s="57"/>
      <c r="AD13" s="35"/>
      <c r="AE13" s="35"/>
      <c r="AH13" s="19"/>
      <c r="AI13" s="58"/>
    </row>
    <row r="14" ht="15" customHeight="1" spans="1:35" x14ac:dyDescent="0.25">
      <c r="A14" s="19"/>
      <c r="B14" s="20"/>
      <c r="C14" s="63" t="s">
        <v>97</v>
      </c>
      <c r="D14" s="52"/>
      <c r="E14" s="62"/>
      <c r="F14" s="52"/>
      <c r="G14" s="53"/>
      <c r="H14" s="52"/>
      <c r="I14" s="52"/>
      <c r="J14" s="52"/>
      <c r="K14" s="52"/>
      <c r="L14" s="52"/>
      <c r="M14" s="53"/>
      <c r="N14" s="53"/>
      <c r="O14" s="52"/>
      <c r="P14" s="52"/>
      <c r="Q14" s="52"/>
      <c r="R14" s="53"/>
      <c r="S14" s="54"/>
      <c r="T14" s="54"/>
      <c r="U14" s="54"/>
      <c r="V14" s="53"/>
      <c r="W14" s="53"/>
      <c r="X14" s="55"/>
      <c r="Y14" s="55"/>
      <c r="Z14" s="53"/>
      <c r="AA14" s="56"/>
      <c r="AB14" s="57"/>
      <c r="AD14" s="35" t="s">
        <v>98</v>
      </c>
      <c r="AE14" s="36">
        <v>0</v>
      </c>
      <c r="AH14" s="19"/>
      <c r="AI14" s="58"/>
    </row>
    <row r="15" ht="15" customHeight="1" spans="1:35" x14ac:dyDescent="0.25">
      <c r="A15" s="19"/>
      <c r="B15" s="20"/>
      <c r="C15" s="63" t="s">
        <v>99</v>
      </c>
      <c r="D15" s="52"/>
      <c r="E15" s="62"/>
      <c r="F15" s="52"/>
      <c r="G15" s="53"/>
      <c r="H15" s="52"/>
      <c r="I15" s="52"/>
      <c r="J15" s="52"/>
      <c r="K15" s="52"/>
      <c r="L15" s="52"/>
      <c r="M15" s="53"/>
      <c r="N15" s="53"/>
      <c r="O15" s="52"/>
      <c r="P15" s="52"/>
      <c r="Q15" s="52"/>
      <c r="R15" s="53"/>
      <c r="S15" s="54"/>
      <c r="T15" s="54"/>
      <c r="U15" s="54"/>
      <c r="V15" s="53"/>
      <c r="W15" s="53"/>
      <c r="X15" s="55"/>
      <c r="Y15" s="55"/>
      <c r="Z15" s="53"/>
      <c r="AA15" s="56"/>
      <c r="AB15" s="57"/>
      <c r="AD15" s="35"/>
      <c r="AE15" s="35"/>
      <c r="AH15" s="19"/>
      <c r="AI15" s="58"/>
    </row>
    <row r="16" ht="15" customHeight="1" spans="1:35" x14ac:dyDescent="0.25">
      <c r="A16" s="19"/>
      <c r="B16" s="20"/>
      <c r="C16" s="63" t="s">
        <v>100</v>
      </c>
      <c r="D16" s="52"/>
      <c r="E16" s="62"/>
      <c r="F16" s="52"/>
      <c r="G16" s="53"/>
      <c r="H16" s="52"/>
      <c r="I16" s="52"/>
      <c r="J16" s="52"/>
      <c r="K16" s="52"/>
      <c r="L16" s="52"/>
      <c r="M16" s="53"/>
      <c r="N16" s="53"/>
      <c r="O16" s="52"/>
      <c r="P16" s="52"/>
      <c r="Q16" s="52"/>
      <c r="R16" s="53"/>
      <c r="S16" s="54"/>
      <c r="T16" s="54"/>
      <c r="U16" s="54"/>
      <c r="V16" s="53"/>
      <c r="W16" s="53"/>
      <c r="X16" s="55"/>
      <c r="Y16" s="55"/>
      <c r="Z16" s="53"/>
      <c r="AA16" s="56"/>
      <c r="AB16" s="57"/>
      <c r="AD16" s="35"/>
      <c r="AE16" s="35"/>
      <c r="AH16" s="59">
        <v>-52.5</v>
      </c>
      <c r="AI16" s="60">
        <v>-45701.86</v>
      </c>
    </row>
    <row r="17" ht="9" customHeight="1" spans="1:35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D17" s="35"/>
      <c r="AE17" s="35"/>
      <c r="AH17" s="35"/>
      <c r="AI17" s="35"/>
    </row>
    <row r="18" ht="15" customHeight="1" spans="1:35" x14ac:dyDescent="0.25">
      <c r="A18" s="19">
        <v>8824</v>
      </c>
      <c r="B18" s="20" t="s">
        <v>31</v>
      </c>
      <c r="C18" s="51" t="s">
        <v>92</v>
      </c>
      <c r="D18" s="52">
        <v>27500.32</v>
      </c>
      <c r="E18" s="52">
        <v>11999.08</v>
      </c>
      <c r="F18" s="52">
        <v>15501.24</v>
      </c>
      <c r="G18" s="53">
        <v>0.5636748954193987</v>
      </c>
      <c r="H18" s="52">
        <v>19565.83</v>
      </c>
      <c r="I18" s="52">
        <v>7621.92</v>
      </c>
      <c r="J18" s="52">
        <v>13767.340000000002</v>
      </c>
      <c r="K18" s="52">
        <v>5911.24</v>
      </c>
      <c r="L18" s="52">
        <v>7856.100000000002</v>
      </c>
      <c r="M18" s="53">
        <v>0.5706331070490016</v>
      </c>
      <c r="N18" s="53"/>
      <c r="O18" s="52">
        <v>5798.49</v>
      </c>
      <c r="P18" s="52">
        <v>1710.68</v>
      </c>
      <c r="Q18" s="52">
        <v>4087.8099999999995</v>
      </c>
      <c r="R18" s="53">
        <v>0.7049783650571096</v>
      </c>
      <c r="S18" s="54">
        <v>125.39</v>
      </c>
      <c r="T18" s="54">
        <v>34.75</v>
      </c>
      <c r="U18" s="54">
        <v>90.64</v>
      </c>
      <c r="V18" s="53">
        <v>0.7228646622537682</v>
      </c>
      <c r="W18" s="53">
        <v>0.25</v>
      </c>
      <c r="X18" s="55">
        <v>125.96143884892086</v>
      </c>
      <c r="Y18" s="55">
        <v>63.27846478985563</v>
      </c>
      <c r="Z18" s="53">
        <v>0.36479999999999996</v>
      </c>
      <c r="AA18" s="56">
        <v>0.2885</v>
      </c>
      <c r="AB18" s="57"/>
      <c r="AD18" s="35" t="s">
        <v>93</v>
      </c>
      <c r="AE18" s="35">
        <v>-34.75</v>
      </c>
      <c r="AH18" s="19">
        <v>-34.75</v>
      </c>
      <c r="AI18" s="58">
        <v>-5911.24</v>
      </c>
    </row>
    <row r="19" ht="15" customHeight="1" spans="1:35" x14ac:dyDescent="0.25">
      <c r="A19" s="19"/>
      <c r="B19" s="20"/>
      <c r="C19" s="51" t="s">
        <v>94</v>
      </c>
      <c r="D19" s="52">
        <v>27500.32</v>
      </c>
      <c r="E19" s="52">
        <v>11999.08</v>
      </c>
      <c r="F19" s="52">
        <v>15501.24</v>
      </c>
      <c r="G19" s="53">
        <v>0.5636748954193987</v>
      </c>
      <c r="H19" s="52">
        <v>19565.83</v>
      </c>
      <c r="I19" s="52">
        <v>7921.92</v>
      </c>
      <c r="J19" s="52">
        <v>13767.340000000002</v>
      </c>
      <c r="K19" s="52">
        <v>6211.24</v>
      </c>
      <c r="L19" s="52">
        <v>7556.100000000002</v>
      </c>
      <c r="M19" s="53">
        <v>0.5488424052867149</v>
      </c>
      <c r="N19" s="53"/>
      <c r="O19" s="52">
        <v>5798.49</v>
      </c>
      <c r="P19" s="52">
        <v>1710.68</v>
      </c>
      <c r="Q19" s="52">
        <v>4087.8099999999995</v>
      </c>
      <c r="R19" s="53">
        <v>0.7049783650571096</v>
      </c>
      <c r="S19" s="54">
        <v>125.39</v>
      </c>
      <c r="T19" s="54">
        <v>34.75</v>
      </c>
      <c r="U19" s="54">
        <v>90.64</v>
      </c>
      <c r="V19" s="53">
        <v>0.7228646622537682</v>
      </c>
      <c r="W19" s="53"/>
      <c r="X19" s="55">
        <v>117.328345323741</v>
      </c>
      <c r="Y19" s="55">
        <v>63.27846478985563</v>
      </c>
      <c r="Z19" s="53">
        <v>0.3398</v>
      </c>
      <c r="AA19" s="56">
        <v>0.2885</v>
      </c>
      <c r="AB19" s="57"/>
      <c r="AD19" s="35" t="s">
        <v>95</v>
      </c>
      <c r="AE19" s="36">
        <v>-5911.24</v>
      </c>
      <c r="AH19" s="19"/>
      <c r="AI19" s="58"/>
    </row>
    <row r="20" ht="15" customHeight="1" spans="1:35" x14ac:dyDescent="0.25">
      <c r="A20" s="19"/>
      <c r="B20" s="20"/>
      <c r="C20" s="51" t="s">
        <v>96</v>
      </c>
      <c r="D20" s="52">
        <v>27500.32</v>
      </c>
      <c r="E20" s="52">
        <v>11999.08</v>
      </c>
      <c r="F20" s="52">
        <v>15501.24</v>
      </c>
      <c r="G20" s="53">
        <v>0.5636748954193987</v>
      </c>
      <c r="H20" s="52">
        <v>19565.83</v>
      </c>
      <c r="I20" s="52">
        <v>7921.92</v>
      </c>
      <c r="J20" s="52">
        <v>13767.340000000002</v>
      </c>
      <c r="K20" s="52">
        <v>6211.24</v>
      </c>
      <c r="L20" s="52">
        <v>7556.100000000002</v>
      </c>
      <c r="M20" s="53">
        <v>0.5488424052867149</v>
      </c>
      <c r="N20" s="53"/>
      <c r="O20" s="52">
        <v>5798.49</v>
      </c>
      <c r="P20" s="52">
        <v>1710.68</v>
      </c>
      <c r="Q20" s="52">
        <v>4087.8099999999995</v>
      </c>
      <c r="R20" s="53">
        <v>0.7049783650571096</v>
      </c>
      <c r="S20" s="54">
        <v>125.39</v>
      </c>
      <c r="T20" s="54">
        <v>34.75</v>
      </c>
      <c r="U20" s="54">
        <v>90.64</v>
      </c>
      <c r="V20" s="53">
        <v>0.7228646622537682</v>
      </c>
      <c r="W20" s="53"/>
      <c r="X20" s="55">
        <v>117.328345323741</v>
      </c>
      <c r="Y20" s="55">
        <v>63.27846478985563</v>
      </c>
      <c r="Z20" s="53">
        <v>0.3398</v>
      </c>
      <c r="AA20" s="56">
        <v>0.2885</v>
      </c>
      <c r="AB20" s="57"/>
      <c r="AD20" s="35"/>
      <c r="AE20" s="35"/>
      <c r="AH20" s="19"/>
      <c r="AI20" s="58"/>
    </row>
    <row r="21" ht="15" customHeight="1" spans="1:35" x14ac:dyDescent="0.25">
      <c r="A21" s="19"/>
      <c r="B21" s="20"/>
      <c r="C21" s="51" t="s">
        <v>97</v>
      </c>
      <c r="D21" s="52"/>
      <c r="E21" s="52"/>
      <c r="F21" s="52"/>
      <c r="G21" s="53"/>
      <c r="H21" s="52"/>
      <c r="I21" s="52"/>
      <c r="J21" s="52"/>
      <c r="K21" s="52"/>
      <c r="L21" s="52"/>
      <c r="M21" s="53"/>
      <c r="N21" s="53"/>
      <c r="O21" s="52"/>
      <c r="P21" s="52"/>
      <c r="Q21" s="52"/>
      <c r="R21" s="53"/>
      <c r="S21" s="54"/>
      <c r="T21" s="54"/>
      <c r="U21" s="54"/>
      <c r="V21" s="53"/>
      <c r="W21" s="53"/>
      <c r="X21" s="55"/>
      <c r="Y21" s="55"/>
      <c r="Z21" s="53"/>
      <c r="AA21" s="56"/>
      <c r="AB21" s="57"/>
      <c r="AD21" s="35" t="s">
        <v>98</v>
      </c>
      <c r="AE21" s="36">
        <v>0</v>
      </c>
      <c r="AH21" s="19"/>
      <c r="AI21" s="58"/>
    </row>
    <row r="22" ht="15" customHeight="1" spans="1:35" x14ac:dyDescent="0.25">
      <c r="A22" s="19"/>
      <c r="B22" s="20"/>
      <c r="C22" s="51" t="s">
        <v>99</v>
      </c>
      <c r="D22" s="52"/>
      <c r="E22" s="52"/>
      <c r="F22" s="52"/>
      <c r="G22" s="53"/>
      <c r="H22" s="52"/>
      <c r="I22" s="52"/>
      <c r="J22" s="52"/>
      <c r="K22" s="52"/>
      <c r="L22" s="52"/>
      <c r="M22" s="53"/>
      <c r="N22" s="53"/>
      <c r="O22" s="52"/>
      <c r="P22" s="52"/>
      <c r="Q22" s="52"/>
      <c r="R22" s="53"/>
      <c r="S22" s="54"/>
      <c r="T22" s="54"/>
      <c r="U22" s="54"/>
      <c r="V22" s="53"/>
      <c r="W22" s="53"/>
      <c r="X22" s="55"/>
      <c r="Y22" s="55"/>
      <c r="Z22" s="53"/>
      <c r="AA22" s="56"/>
      <c r="AB22" s="57"/>
      <c r="AD22" s="35"/>
      <c r="AE22" s="35"/>
      <c r="AH22" s="19"/>
      <c r="AI22" s="58"/>
    </row>
    <row r="23" ht="15" customHeight="1" spans="1:35" x14ac:dyDescent="0.25">
      <c r="A23" s="19"/>
      <c r="B23" s="20"/>
      <c r="C23" s="51" t="s">
        <v>100</v>
      </c>
      <c r="D23" s="52"/>
      <c r="E23" s="52"/>
      <c r="F23" s="52"/>
      <c r="G23" s="53"/>
      <c r="H23" s="52"/>
      <c r="I23" s="52"/>
      <c r="J23" s="52"/>
      <c r="K23" s="52"/>
      <c r="L23" s="52"/>
      <c r="M23" s="53"/>
      <c r="N23" s="53"/>
      <c r="O23" s="52"/>
      <c r="P23" s="52"/>
      <c r="Q23" s="52"/>
      <c r="R23" s="53"/>
      <c r="S23" s="54"/>
      <c r="T23" s="54"/>
      <c r="U23" s="54"/>
      <c r="V23" s="53"/>
      <c r="W23" s="53"/>
      <c r="X23" s="55"/>
      <c r="Y23" s="55"/>
      <c r="Z23" s="53"/>
      <c r="AA23" s="56"/>
      <c r="AB23" s="57"/>
      <c r="AD23" s="35"/>
      <c r="AE23" s="35"/>
      <c r="AH23" s="59">
        <v>-34.75</v>
      </c>
      <c r="AI23" s="60">
        <v>-5911.24</v>
      </c>
    </row>
    <row r="24" ht="9" customHeight="1" spans="1:35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D24" s="35"/>
      <c r="AE24" s="35"/>
      <c r="AH24" s="35"/>
      <c r="AI24" s="35"/>
    </row>
    <row r="25" ht="15" customHeight="1" spans="1:35" x14ac:dyDescent="0.25">
      <c r="A25" s="19">
        <v>8127</v>
      </c>
      <c r="B25" s="20" t="s">
        <v>32</v>
      </c>
      <c r="C25" s="51" t="s">
        <v>92</v>
      </c>
      <c r="D25" s="55">
        <v>150850.82</v>
      </c>
      <c r="E25" s="55">
        <v>144370.8</v>
      </c>
      <c r="F25" s="52">
        <v>6480.020000000019</v>
      </c>
      <c r="G25" s="53">
        <v>0.042956478459978</v>
      </c>
      <c r="H25" s="52">
        <v>102178.42</v>
      </c>
      <c r="I25" s="52">
        <v>85848.41</v>
      </c>
      <c r="J25" s="52">
        <v>62464.86</v>
      </c>
      <c r="K25" s="52">
        <v>57454</v>
      </c>
      <c r="L25" s="52">
        <v>5010.860000000001</v>
      </c>
      <c r="M25" s="53">
        <v>0.0802188622531132</v>
      </c>
      <c r="N25" s="53">
        <v>0.9</v>
      </c>
      <c r="O25" s="52">
        <v>39713.56</v>
      </c>
      <c r="P25" s="52">
        <v>28394.41</v>
      </c>
      <c r="Q25" s="52">
        <v>11319.149999999998</v>
      </c>
      <c r="R25" s="53">
        <v>0.2850197766203785</v>
      </c>
      <c r="S25" s="54">
        <v>795.22</v>
      </c>
      <c r="T25" s="54">
        <v>577.75</v>
      </c>
      <c r="U25" s="54">
        <v>217.47000000000003</v>
      </c>
      <c r="V25" s="53">
        <v>0.27347149216569</v>
      </c>
      <c r="W25" s="53">
        <v>0.6</v>
      </c>
      <c r="X25" s="55">
        <v>101.29362180874081</v>
      </c>
      <c r="Y25" s="55">
        <v>61.20621468124544</v>
      </c>
      <c r="Z25" s="53">
        <v>0.4054</v>
      </c>
      <c r="AA25" s="56">
        <v>0.3227</v>
      </c>
      <c r="AB25" s="57"/>
      <c r="AD25" s="35" t="s">
        <v>93</v>
      </c>
      <c r="AE25" s="35">
        <v>-388.25</v>
      </c>
      <c r="AH25" s="19">
        <v>-388.25</v>
      </c>
      <c r="AI25" s="58">
        <v>-56964.81</v>
      </c>
    </row>
    <row r="26" ht="15" customHeight="1" spans="1:35" x14ac:dyDescent="0.25">
      <c r="A26" s="19"/>
      <c r="B26" s="20"/>
      <c r="C26" s="51" t="s">
        <v>94</v>
      </c>
      <c r="D26" s="55">
        <v>150850.82</v>
      </c>
      <c r="E26" s="55">
        <v>144370.8</v>
      </c>
      <c r="F26" s="52">
        <v>6480.020000000019</v>
      </c>
      <c r="G26" s="53">
        <v>0.042956478459978</v>
      </c>
      <c r="H26" s="52">
        <v>102178.42</v>
      </c>
      <c r="I26" s="52">
        <v>89222.05</v>
      </c>
      <c r="J26" s="52">
        <v>62464.86</v>
      </c>
      <c r="K26" s="52">
        <v>58984</v>
      </c>
      <c r="L26" s="52">
        <v>3480.8600000000006</v>
      </c>
      <c r="M26" s="53">
        <v>0.05572509087509362</v>
      </c>
      <c r="N26" s="53"/>
      <c r="O26" s="52">
        <v>39713.56</v>
      </c>
      <c r="P26" s="52">
        <v>30238.05</v>
      </c>
      <c r="Q26" s="52">
        <v>9475.509999999998</v>
      </c>
      <c r="R26" s="53">
        <v>0.23859633837913294</v>
      </c>
      <c r="S26" s="54">
        <v>795.22</v>
      </c>
      <c r="T26" s="54">
        <v>615</v>
      </c>
      <c r="U26" s="54">
        <v>180.22000000000003</v>
      </c>
      <c r="V26" s="53">
        <v>0.22662910892583188</v>
      </c>
      <c r="W26" s="53"/>
      <c r="X26" s="55">
        <v>89.67276422764228</v>
      </c>
      <c r="Y26" s="55">
        <v>61.20621468124544</v>
      </c>
      <c r="Z26" s="53">
        <v>0.382</v>
      </c>
      <c r="AA26" s="56">
        <v>0.3227</v>
      </c>
      <c r="AB26" s="57"/>
      <c r="AD26" s="35" t="s">
        <v>95</v>
      </c>
      <c r="AE26" s="36">
        <v>-56964.81</v>
      </c>
      <c r="AH26" s="19"/>
      <c r="AI26" s="58"/>
    </row>
    <row r="27" ht="15" customHeight="1" spans="1:35" x14ac:dyDescent="0.25">
      <c r="A27" s="19"/>
      <c r="B27" s="20"/>
      <c r="C27" s="51" t="s">
        <v>96</v>
      </c>
      <c r="D27" s="55">
        <v>153553.67</v>
      </c>
      <c r="E27" s="55">
        <v>144370.8</v>
      </c>
      <c r="F27" s="52">
        <v>9182.870000000024</v>
      </c>
      <c r="G27" s="53">
        <v>0.05980234793476459</v>
      </c>
      <c r="H27" s="52">
        <v>104026.09</v>
      </c>
      <c r="I27" s="52">
        <v>89600.47</v>
      </c>
      <c r="J27" s="52">
        <v>63812.49</v>
      </c>
      <c r="K27" s="52">
        <v>59331.43</v>
      </c>
      <c r="L27" s="52">
        <v>4481.059999999998</v>
      </c>
      <c r="M27" s="53">
        <v>0.07022230287518945</v>
      </c>
      <c r="N27" s="53"/>
      <c r="O27" s="52">
        <v>40213.6</v>
      </c>
      <c r="P27" s="52">
        <v>30269.04</v>
      </c>
      <c r="Q27" s="52">
        <v>9944.559999999998</v>
      </c>
      <c r="R27" s="53">
        <v>0.2472934529611872</v>
      </c>
      <c r="S27" s="54">
        <v>805.22</v>
      </c>
      <c r="T27" s="54">
        <v>615.5</v>
      </c>
      <c r="U27" s="54">
        <v>189.72000000000003</v>
      </c>
      <c r="V27" s="53">
        <v>0.2356126276048782</v>
      </c>
      <c r="W27" s="53"/>
      <c r="X27" s="55">
        <v>88.9851015434606</v>
      </c>
      <c r="Y27" s="55">
        <v>61.50814037389784</v>
      </c>
      <c r="Z27" s="53">
        <v>0.37939999999999996</v>
      </c>
      <c r="AA27" s="56">
        <v>0.3225</v>
      </c>
      <c r="AB27" s="57"/>
      <c r="AD27" s="35"/>
      <c r="AE27" s="35"/>
      <c r="AH27" s="19"/>
      <c r="AI27" s="58"/>
    </row>
    <row r="28" ht="15" customHeight="1" spans="1:35" x14ac:dyDescent="0.25">
      <c r="A28" s="19"/>
      <c r="B28" s="20"/>
      <c r="C28" s="51" t="s">
        <v>97</v>
      </c>
      <c r="D28" s="55"/>
      <c r="E28" s="55"/>
      <c r="F28" s="52"/>
      <c r="G28" s="53"/>
      <c r="H28" s="52"/>
      <c r="I28" s="52"/>
      <c r="J28" s="52"/>
      <c r="K28" s="52"/>
      <c r="L28" s="52"/>
      <c r="M28" s="53"/>
      <c r="N28" s="53"/>
      <c r="O28" s="52"/>
      <c r="P28" s="52"/>
      <c r="Q28" s="52"/>
      <c r="R28" s="53"/>
      <c r="S28" s="54"/>
      <c r="T28" s="54"/>
      <c r="U28" s="54"/>
      <c r="V28" s="53"/>
      <c r="W28" s="53"/>
      <c r="X28" s="55"/>
      <c r="Y28" s="55"/>
      <c r="Z28" s="53"/>
      <c r="AA28" s="56"/>
      <c r="AB28" s="57"/>
      <c r="AD28" s="35" t="s">
        <v>98</v>
      </c>
      <c r="AE28" s="36">
        <v>0</v>
      </c>
      <c r="AH28" s="19"/>
      <c r="AI28" s="58"/>
    </row>
    <row r="29" ht="15" customHeight="1" spans="1:35" x14ac:dyDescent="0.25">
      <c r="A29" s="19"/>
      <c r="B29" s="20"/>
      <c r="C29" s="51" t="s">
        <v>99</v>
      </c>
      <c r="D29" s="55"/>
      <c r="E29" s="55"/>
      <c r="F29" s="52"/>
      <c r="G29" s="53"/>
      <c r="H29" s="52"/>
      <c r="I29" s="52"/>
      <c r="J29" s="52"/>
      <c r="K29" s="52"/>
      <c r="L29" s="52"/>
      <c r="M29" s="53"/>
      <c r="N29" s="53"/>
      <c r="O29" s="52"/>
      <c r="P29" s="52"/>
      <c r="Q29" s="52"/>
      <c r="R29" s="53"/>
      <c r="S29" s="54"/>
      <c r="T29" s="54"/>
      <c r="U29" s="54"/>
      <c r="V29" s="53"/>
      <c r="W29" s="53"/>
      <c r="X29" s="55"/>
      <c r="Y29" s="55"/>
      <c r="Z29" s="53"/>
      <c r="AA29" s="56"/>
      <c r="AB29" s="57"/>
      <c r="AD29" s="35"/>
      <c r="AE29" s="35"/>
      <c r="AH29" s="19"/>
      <c r="AI29" s="58"/>
    </row>
    <row r="30" ht="15" customHeight="1" spans="1:35" x14ac:dyDescent="0.25">
      <c r="A30" s="19"/>
      <c r="B30" s="20"/>
      <c r="C30" s="51" t="s">
        <v>100</v>
      </c>
      <c r="D30" s="55"/>
      <c r="E30" s="55"/>
      <c r="F30" s="52"/>
      <c r="G30" s="53"/>
      <c r="H30" s="52"/>
      <c r="I30" s="52"/>
      <c r="J30" s="52"/>
      <c r="K30" s="52"/>
      <c r="L30" s="52"/>
      <c r="M30" s="53"/>
      <c r="N30" s="53"/>
      <c r="O30" s="52"/>
      <c r="P30" s="52"/>
      <c r="Q30" s="52"/>
      <c r="R30" s="53"/>
      <c r="S30" s="54"/>
      <c r="T30" s="54"/>
      <c r="U30" s="54"/>
      <c r="V30" s="53"/>
      <c r="W30" s="53"/>
      <c r="X30" s="55"/>
      <c r="Y30" s="55"/>
      <c r="Z30" s="53"/>
      <c r="AA30" s="56"/>
      <c r="AB30" s="57"/>
      <c r="AD30" s="35"/>
      <c r="AE30" s="35"/>
      <c r="AH30" s="59">
        <v>-388.25</v>
      </c>
      <c r="AI30" s="60">
        <v>-56964.81</v>
      </c>
    </row>
    <row r="31" ht="9" customHeight="1" spans="1:35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D31" s="35"/>
      <c r="AE31" s="35"/>
      <c r="AH31" s="35"/>
      <c r="AI31" s="35"/>
    </row>
    <row r="32" ht="15" customHeight="1" spans="1:35" x14ac:dyDescent="0.25">
      <c r="A32" s="19">
        <v>8183</v>
      </c>
      <c r="B32" s="20" t="s">
        <v>34</v>
      </c>
      <c r="C32" s="63" t="s">
        <v>92</v>
      </c>
      <c r="D32" s="52">
        <v>396422.03</v>
      </c>
      <c r="E32" s="52">
        <v>259347.71</v>
      </c>
      <c r="F32" s="52">
        <v>137074.32000000004</v>
      </c>
      <c r="G32" s="53">
        <v>0.3457787651205964</v>
      </c>
      <c r="H32" s="52">
        <v>327431.12</v>
      </c>
      <c r="I32" s="52">
        <v>216344.6</v>
      </c>
      <c r="J32" s="62">
        <v>271519.78</v>
      </c>
      <c r="K32" s="52">
        <v>195955.93</v>
      </c>
      <c r="L32" s="52">
        <v>75563.85000000003</v>
      </c>
      <c r="M32" s="53">
        <v>0.2782996141201942</v>
      </c>
      <c r="N32" s="64"/>
      <c r="O32" s="52">
        <v>55911.34</v>
      </c>
      <c r="P32" s="52">
        <v>20388.67</v>
      </c>
      <c r="Q32" s="52">
        <v>35522.67</v>
      </c>
      <c r="R32" s="53">
        <v>0.635339271067372</v>
      </c>
      <c r="S32" s="54">
        <v>1120.27</v>
      </c>
      <c r="T32" s="54">
        <v>476.25</v>
      </c>
      <c r="U32" s="54">
        <v>644.02</v>
      </c>
      <c r="V32" s="53">
        <v>0.5748792701759398</v>
      </c>
      <c r="W32" s="53">
        <v>0.4</v>
      </c>
      <c r="X32" s="55">
        <v>90.2952440944882</v>
      </c>
      <c r="Y32" s="55">
        <v>61.5841822414239</v>
      </c>
      <c r="Z32" s="53">
        <v>0.16579999999999998</v>
      </c>
      <c r="AA32" s="56">
        <v>0.174</v>
      </c>
      <c r="AB32" s="57"/>
      <c r="AD32" s="35" t="s">
        <v>93</v>
      </c>
      <c r="AE32" s="35">
        <v>-387.5</v>
      </c>
      <c r="AH32" s="19">
        <v>-387.5</v>
      </c>
      <c r="AI32" s="58">
        <v>-132316.71</v>
      </c>
    </row>
    <row r="33" ht="15" customHeight="1" spans="1:35" x14ac:dyDescent="0.25">
      <c r="A33" s="19"/>
      <c r="B33" s="20"/>
      <c r="C33" s="51" t="s">
        <v>94</v>
      </c>
      <c r="D33" s="52">
        <v>396422.03</v>
      </c>
      <c r="E33" s="52">
        <v>259347.71</v>
      </c>
      <c r="F33" s="52">
        <v>137074.32000000004</v>
      </c>
      <c r="G33" s="53">
        <v>0.3457787651205964</v>
      </c>
      <c r="H33" s="52">
        <v>327431.12</v>
      </c>
      <c r="I33" s="65">
        <v>223659.54</v>
      </c>
      <c r="J33" s="52">
        <v>271519.78</v>
      </c>
      <c r="K33" s="52">
        <v>197370.72</v>
      </c>
      <c r="L33" s="52">
        <v>74149.06000000003</v>
      </c>
      <c r="M33" s="53">
        <v>0.27308898084699396</v>
      </c>
      <c r="N33" s="53"/>
      <c r="O33" s="52">
        <v>55911.34</v>
      </c>
      <c r="P33" s="52">
        <v>26288.82</v>
      </c>
      <c r="Q33" s="52">
        <v>29622.519999999997</v>
      </c>
      <c r="R33" s="53">
        <v>0.5298123779540966</v>
      </c>
      <c r="S33" s="54">
        <v>1120.27</v>
      </c>
      <c r="T33" s="54">
        <v>607.75</v>
      </c>
      <c r="U33" s="54">
        <v>512.52</v>
      </c>
      <c r="V33" s="53">
        <v>0.4574968534371178</v>
      </c>
      <c r="W33" s="53"/>
      <c r="X33" s="55">
        <v>58.721793500617025</v>
      </c>
      <c r="Y33" s="55">
        <v>61.5841822414239</v>
      </c>
      <c r="Z33" s="53">
        <v>0.1376</v>
      </c>
      <c r="AA33" s="56">
        <v>0.174</v>
      </c>
      <c r="AB33" s="57"/>
      <c r="AD33" s="35" t="s">
        <v>95</v>
      </c>
      <c r="AE33" s="36">
        <v>-132316.71</v>
      </c>
      <c r="AH33" s="19"/>
      <c r="AI33" s="58"/>
    </row>
    <row r="34" ht="15" customHeight="1" spans="1:35" x14ac:dyDescent="0.25">
      <c r="A34" s="19"/>
      <c r="B34" s="20"/>
      <c r="C34" s="51" t="s">
        <v>96</v>
      </c>
      <c r="D34" s="52">
        <v>397238.61</v>
      </c>
      <c r="E34" s="52">
        <v>259347.71</v>
      </c>
      <c r="F34" s="52">
        <v>137890.9</v>
      </c>
      <c r="G34" s="53">
        <v>0.34712360915773016</v>
      </c>
      <c r="H34" s="52">
        <v>328046.93</v>
      </c>
      <c r="I34" s="65">
        <v>223743.65</v>
      </c>
      <c r="J34" s="52">
        <v>271925.57</v>
      </c>
      <c r="K34" s="52">
        <v>197386.58</v>
      </c>
      <c r="L34" s="52">
        <v>74538.99000000002</v>
      </c>
      <c r="M34" s="53">
        <v>0.27411541327283057</v>
      </c>
      <c r="N34" s="53"/>
      <c r="O34" s="52">
        <v>56121.36</v>
      </c>
      <c r="P34" s="52">
        <v>26357.07</v>
      </c>
      <c r="Q34" s="52">
        <v>29764.29</v>
      </c>
      <c r="R34" s="53">
        <v>0.5303558217405994</v>
      </c>
      <c r="S34" s="54">
        <v>1124.47</v>
      </c>
      <c r="T34" s="54">
        <v>609</v>
      </c>
      <c r="U34" s="54">
        <v>515.47</v>
      </c>
      <c r="V34" s="53">
        <v>0.4584115183152952</v>
      </c>
      <c r="W34" s="53"/>
      <c r="X34" s="55">
        <v>58.463152709359605</v>
      </c>
      <c r="Y34" s="55">
        <v>61.532703026350184</v>
      </c>
      <c r="Z34" s="53">
        <v>0.1373</v>
      </c>
      <c r="AA34" s="56">
        <v>0.1742</v>
      </c>
      <c r="AB34" s="57"/>
      <c r="AD34" s="35"/>
      <c r="AE34" s="35"/>
      <c r="AH34" s="19"/>
      <c r="AI34" s="58"/>
    </row>
    <row r="35" ht="15" customHeight="1" spans="1:35" x14ac:dyDescent="0.25">
      <c r="A35" s="19"/>
      <c r="B35" s="20"/>
      <c r="C35" s="51" t="s">
        <v>97</v>
      </c>
      <c r="D35" s="52"/>
      <c r="E35" s="52"/>
      <c r="F35" s="52"/>
      <c r="G35" s="53"/>
      <c r="H35" s="52"/>
      <c r="I35" s="65"/>
      <c r="J35" s="52"/>
      <c r="K35" s="52"/>
      <c r="L35" s="52"/>
      <c r="M35" s="53"/>
      <c r="N35" s="53"/>
      <c r="O35" s="52"/>
      <c r="P35" s="52"/>
      <c r="Q35" s="52"/>
      <c r="R35" s="53"/>
      <c r="S35" s="54"/>
      <c r="T35" s="54"/>
      <c r="U35" s="54"/>
      <c r="V35" s="53"/>
      <c r="W35" s="53"/>
      <c r="X35" s="55"/>
      <c r="Y35" s="55"/>
      <c r="Z35" s="53"/>
      <c r="AA35" s="56"/>
      <c r="AB35" s="57"/>
      <c r="AD35" s="35" t="s">
        <v>98</v>
      </c>
      <c r="AE35" s="36">
        <v>0</v>
      </c>
      <c r="AH35" s="19"/>
      <c r="AI35" s="58"/>
    </row>
    <row r="36" ht="15" customHeight="1" spans="1:35" x14ac:dyDescent="0.25">
      <c r="A36" s="19"/>
      <c r="B36" s="20"/>
      <c r="C36" s="51" t="s">
        <v>99</v>
      </c>
      <c r="D36" s="52"/>
      <c r="E36" s="52"/>
      <c r="F36" s="52"/>
      <c r="G36" s="53"/>
      <c r="H36" s="52"/>
      <c r="I36" s="52"/>
      <c r="J36" s="52"/>
      <c r="K36" s="52"/>
      <c r="L36" s="52"/>
      <c r="M36" s="53"/>
      <c r="N36" s="53"/>
      <c r="O36" s="52"/>
      <c r="P36" s="52"/>
      <c r="Q36" s="52"/>
      <c r="R36" s="53"/>
      <c r="S36" s="54"/>
      <c r="T36" s="54"/>
      <c r="U36" s="54"/>
      <c r="V36" s="53"/>
      <c r="W36" s="53"/>
      <c r="X36" s="55"/>
      <c r="Y36" s="55"/>
      <c r="Z36" s="53"/>
      <c r="AA36" s="56"/>
      <c r="AB36" s="57"/>
      <c r="AD36" s="35"/>
      <c r="AE36" s="35"/>
      <c r="AH36" s="19"/>
      <c r="AI36" s="58"/>
    </row>
    <row r="37" ht="15" customHeight="1" spans="1:35" x14ac:dyDescent="0.25">
      <c r="A37" s="19"/>
      <c r="B37" s="20"/>
      <c r="C37" s="51" t="s">
        <v>100</v>
      </c>
      <c r="D37" s="52"/>
      <c r="E37" s="52"/>
      <c r="F37" s="52"/>
      <c r="G37" s="53"/>
      <c r="H37" s="52"/>
      <c r="I37" s="52"/>
      <c r="J37" s="52"/>
      <c r="K37" s="52"/>
      <c r="L37" s="52"/>
      <c r="M37" s="53"/>
      <c r="N37" s="53"/>
      <c r="O37" s="52"/>
      <c r="P37" s="52"/>
      <c r="Q37" s="52"/>
      <c r="R37" s="53"/>
      <c r="S37" s="54"/>
      <c r="T37" s="54"/>
      <c r="U37" s="54"/>
      <c r="V37" s="53"/>
      <c r="W37" s="53"/>
      <c r="X37" s="55"/>
      <c r="Y37" s="55"/>
      <c r="Z37" s="53"/>
      <c r="AA37" s="56"/>
      <c r="AB37" s="57"/>
      <c r="AD37" s="35"/>
      <c r="AE37" s="35"/>
      <c r="AH37" s="59">
        <v>-387.5</v>
      </c>
      <c r="AI37" s="60">
        <v>-132316.71</v>
      </c>
    </row>
    <row r="38" ht="9" customHeight="1" spans="1:35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D38" s="35"/>
      <c r="AE38" s="35"/>
      <c r="AH38" s="35"/>
      <c r="AI38" s="35"/>
    </row>
    <row r="39" ht="15" customHeight="1" spans="1:35" x14ac:dyDescent="0.25">
      <c r="A39" s="19">
        <v>8886</v>
      </c>
      <c r="B39" s="20" t="s">
        <v>35</v>
      </c>
      <c r="C39" s="51" t="s">
        <v>92</v>
      </c>
      <c r="D39" s="52">
        <v>128258.5</v>
      </c>
      <c r="E39" s="52">
        <v>53944.83</v>
      </c>
      <c r="F39" s="52">
        <v>74313.67</v>
      </c>
      <c r="G39" s="53">
        <v>0.5794054195238522</v>
      </c>
      <c r="H39" s="52">
        <v>94098.32</v>
      </c>
      <c r="I39" s="52">
        <v>42273.69</v>
      </c>
      <c r="J39" s="52">
        <v>69042.09000000001</v>
      </c>
      <c r="K39" s="52">
        <v>35075.75</v>
      </c>
      <c r="L39" s="52">
        <v>33966.34000000001</v>
      </c>
      <c r="M39" s="53">
        <v>0.4919656980256537</v>
      </c>
      <c r="N39" s="53"/>
      <c r="O39" s="52">
        <v>25056.23</v>
      </c>
      <c r="P39" s="52">
        <v>7197.94</v>
      </c>
      <c r="Q39" s="52">
        <v>17858.29</v>
      </c>
      <c r="R39" s="53">
        <v>0.7127285309881016</v>
      </c>
      <c r="S39" s="54">
        <v>501.83</v>
      </c>
      <c r="T39" s="54">
        <v>143</v>
      </c>
      <c r="U39" s="54">
        <v>358.83</v>
      </c>
      <c r="V39" s="53">
        <v>0.715042942829245</v>
      </c>
      <c r="W39" s="53">
        <v>0.4</v>
      </c>
      <c r="X39" s="55">
        <v>81.61636363636363</v>
      </c>
      <c r="Y39" s="55">
        <v>68.07122423898531</v>
      </c>
      <c r="Z39" s="53">
        <v>0.2164</v>
      </c>
      <c r="AA39" s="56">
        <v>0.2663</v>
      </c>
      <c r="AB39" s="57"/>
      <c r="AD39" s="35" t="s">
        <v>93</v>
      </c>
      <c r="AE39" s="35">
        <v>-112</v>
      </c>
      <c r="AH39" s="19">
        <v>-112</v>
      </c>
      <c r="AI39" s="58">
        <v>-26847.46</v>
      </c>
    </row>
    <row r="40" ht="15" customHeight="1" spans="1:35" x14ac:dyDescent="0.25">
      <c r="A40" s="19"/>
      <c r="B40" s="20"/>
      <c r="C40" s="51" t="s">
        <v>94</v>
      </c>
      <c r="D40" s="52">
        <v>128258.5</v>
      </c>
      <c r="E40" s="52">
        <v>53944.83</v>
      </c>
      <c r="F40" s="52">
        <v>74313.67</v>
      </c>
      <c r="G40" s="53">
        <v>0.5794054195238522</v>
      </c>
      <c r="H40" s="52">
        <v>94098.32</v>
      </c>
      <c r="I40" s="52">
        <v>49261.61</v>
      </c>
      <c r="J40" s="52">
        <v>69042.09000000001</v>
      </c>
      <c r="K40" s="52">
        <v>35683.74</v>
      </c>
      <c r="L40" s="52">
        <v>33358.35000000001</v>
      </c>
      <c r="M40" s="53">
        <v>0.4831596204576079</v>
      </c>
      <c r="N40" s="53"/>
      <c r="O40" s="52">
        <v>25056.23</v>
      </c>
      <c r="P40" s="52">
        <v>13577.87</v>
      </c>
      <c r="Q40" s="52">
        <v>11478.359999999999</v>
      </c>
      <c r="R40" s="53">
        <v>0.45810403241030273</v>
      </c>
      <c r="S40" s="54">
        <v>501.83</v>
      </c>
      <c r="T40" s="54">
        <v>299.5</v>
      </c>
      <c r="U40" s="54">
        <v>202.32999999999998</v>
      </c>
      <c r="V40" s="53">
        <v>0.40318434529621583</v>
      </c>
      <c r="W40" s="53"/>
      <c r="X40" s="55">
        <v>15.63679465776294</v>
      </c>
      <c r="Y40" s="55">
        <v>68.07122423898531</v>
      </c>
      <c r="Z40" s="53">
        <v>0.0868</v>
      </c>
      <c r="AA40" s="56">
        <v>0.2663</v>
      </c>
      <c r="AB40" s="57"/>
      <c r="AD40" s="35" t="s">
        <v>95</v>
      </c>
      <c r="AE40" s="36">
        <v>-26847.46</v>
      </c>
      <c r="AH40" s="19"/>
      <c r="AI40" s="58"/>
    </row>
    <row r="41" ht="15" customHeight="1" spans="1:35" x14ac:dyDescent="0.25">
      <c r="A41" s="19"/>
      <c r="B41" s="20"/>
      <c r="C41" s="51" t="s">
        <v>96</v>
      </c>
      <c r="D41" s="52">
        <v>128258.5</v>
      </c>
      <c r="E41" s="52">
        <v>53944.83</v>
      </c>
      <c r="F41" s="52">
        <v>74313.67</v>
      </c>
      <c r="G41" s="53">
        <v>0.5794054195238522</v>
      </c>
      <c r="H41" s="52">
        <v>94098.32</v>
      </c>
      <c r="I41" s="52">
        <v>49519.82</v>
      </c>
      <c r="J41" s="52">
        <v>69042.09000000001</v>
      </c>
      <c r="K41" s="52">
        <v>35683.74</v>
      </c>
      <c r="L41" s="52">
        <v>33358.35000000001</v>
      </c>
      <c r="M41" s="53">
        <v>0.4831596204576079</v>
      </c>
      <c r="N41" s="53"/>
      <c r="O41" s="52">
        <v>25056.23</v>
      </c>
      <c r="P41" s="52">
        <v>13836.08</v>
      </c>
      <c r="Q41" s="52">
        <v>11220.15</v>
      </c>
      <c r="R41" s="53">
        <v>0.44779881091449114</v>
      </c>
      <c r="S41" s="54">
        <v>501.83</v>
      </c>
      <c r="T41" s="54">
        <v>308.25</v>
      </c>
      <c r="U41" s="54">
        <v>193.57999999999998</v>
      </c>
      <c r="V41" s="53">
        <v>0.38574816172807525</v>
      </c>
      <c r="W41" s="53"/>
      <c r="X41" s="55">
        <v>14.355263584752636</v>
      </c>
      <c r="Y41" s="55">
        <v>68.07122423898531</v>
      </c>
      <c r="Z41" s="53">
        <v>0.08199999999999999</v>
      </c>
      <c r="AA41" s="56">
        <v>0.2663</v>
      </c>
      <c r="AB41" s="57"/>
      <c r="AD41" s="35"/>
      <c r="AE41" s="35"/>
      <c r="AH41" s="19"/>
      <c r="AI41" s="58"/>
    </row>
    <row r="42" ht="15" customHeight="1" spans="1:35" x14ac:dyDescent="0.25">
      <c r="A42" s="19"/>
      <c r="B42" s="20"/>
      <c r="C42" s="51" t="s">
        <v>97</v>
      </c>
      <c r="D42" s="52"/>
      <c r="E42" s="52"/>
      <c r="F42" s="52"/>
      <c r="G42" s="53"/>
      <c r="H42" s="52"/>
      <c r="I42" s="52"/>
      <c r="J42" s="52"/>
      <c r="K42" s="52"/>
      <c r="L42" s="52"/>
      <c r="M42" s="53"/>
      <c r="N42" s="53"/>
      <c r="O42" s="52"/>
      <c r="P42" s="52"/>
      <c r="Q42" s="52"/>
      <c r="R42" s="53"/>
      <c r="S42" s="54"/>
      <c r="T42" s="54"/>
      <c r="U42" s="54"/>
      <c r="V42" s="53"/>
      <c r="W42" s="53"/>
      <c r="X42" s="55"/>
      <c r="Y42" s="55"/>
      <c r="Z42" s="53"/>
      <c r="AA42" s="56"/>
      <c r="AB42" s="57"/>
      <c r="AD42" s="35" t="s">
        <v>98</v>
      </c>
      <c r="AE42" s="36">
        <v>0</v>
      </c>
      <c r="AH42" s="19"/>
      <c r="AI42" s="58"/>
    </row>
    <row r="43" ht="15" customHeight="1" spans="1:35" x14ac:dyDescent="0.25">
      <c r="A43" s="19"/>
      <c r="B43" s="20"/>
      <c r="C43" s="51" t="s">
        <v>99</v>
      </c>
      <c r="D43" s="52"/>
      <c r="E43" s="52"/>
      <c r="F43" s="52"/>
      <c r="G43" s="53"/>
      <c r="H43" s="52"/>
      <c r="I43" s="52"/>
      <c r="J43" s="52"/>
      <c r="K43" s="52"/>
      <c r="L43" s="52"/>
      <c r="M43" s="53"/>
      <c r="N43" s="53"/>
      <c r="O43" s="52"/>
      <c r="P43" s="52"/>
      <c r="Q43" s="52"/>
      <c r="R43" s="53"/>
      <c r="S43" s="54"/>
      <c r="T43" s="54"/>
      <c r="U43" s="54"/>
      <c r="V43" s="53"/>
      <c r="W43" s="53"/>
      <c r="X43" s="55"/>
      <c r="Y43" s="55"/>
      <c r="Z43" s="53"/>
      <c r="AA43" s="56"/>
      <c r="AB43" s="57"/>
      <c r="AD43" s="35"/>
      <c r="AE43" s="35"/>
      <c r="AH43" s="19"/>
      <c r="AI43" s="58"/>
    </row>
    <row r="44" ht="15" customHeight="1" spans="1:35" x14ac:dyDescent="0.25">
      <c r="A44" s="19"/>
      <c r="B44" s="20"/>
      <c r="C44" s="51" t="s">
        <v>100</v>
      </c>
      <c r="D44" s="52"/>
      <c r="E44" s="52"/>
      <c r="F44" s="52"/>
      <c r="G44" s="53"/>
      <c r="H44" s="52"/>
      <c r="I44" s="52"/>
      <c r="J44" s="52"/>
      <c r="K44" s="52"/>
      <c r="L44" s="52"/>
      <c r="M44" s="53"/>
      <c r="N44" s="53"/>
      <c r="O44" s="52"/>
      <c r="P44" s="52"/>
      <c r="Q44" s="52"/>
      <c r="R44" s="53"/>
      <c r="S44" s="54"/>
      <c r="T44" s="54"/>
      <c r="U44" s="54"/>
      <c r="V44" s="53"/>
      <c r="W44" s="53"/>
      <c r="X44" s="55"/>
      <c r="Y44" s="55"/>
      <c r="Z44" s="53"/>
      <c r="AA44" s="56"/>
      <c r="AB44" s="57"/>
      <c r="AD44" s="35"/>
      <c r="AE44" s="35"/>
      <c r="AH44" s="59">
        <v>-112</v>
      </c>
      <c r="AI44" s="60">
        <v>-26847.46</v>
      </c>
    </row>
    <row r="45" ht="9" customHeight="1" spans="1:35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D45" s="35"/>
      <c r="AE45" s="35"/>
      <c r="AH45" s="35"/>
      <c r="AI45" s="35"/>
    </row>
    <row r="46" ht="15" customHeight="1" spans="1:35" x14ac:dyDescent="0.25">
      <c r="A46" s="19">
        <v>8887</v>
      </c>
      <c r="B46" s="20" t="s">
        <v>36</v>
      </c>
      <c r="C46" s="51" t="s">
        <v>92</v>
      </c>
      <c r="D46" s="52">
        <v>65693.36</v>
      </c>
      <c r="E46" s="52">
        <v>33326.49</v>
      </c>
      <c r="F46" s="52">
        <v>32366.870000000003</v>
      </c>
      <c r="G46" s="53">
        <v>0.49269621769993194</v>
      </c>
      <c r="H46" s="52">
        <v>50582.37</v>
      </c>
      <c r="I46" s="52">
        <v>25211.58</v>
      </c>
      <c r="J46" s="52">
        <v>39438.990000000005</v>
      </c>
      <c r="K46" s="52">
        <v>20456.640000000003</v>
      </c>
      <c r="L46" s="52">
        <v>18982.350000000002</v>
      </c>
      <c r="M46" s="53">
        <v>0.4813092323104623</v>
      </c>
      <c r="N46" s="53">
        <v>0</v>
      </c>
      <c r="O46" s="52">
        <v>11143.38</v>
      </c>
      <c r="P46" s="52">
        <v>4754.94</v>
      </c>
      <c r="Q46" s="52">
        <v>6388.44</v>
      </c>
      <c r="R46" s="53">
        <v>0.5732946377131535</v>
      </c>
      <c r="S46" s="54">
        <v>223.22</v>
      </c>
      <c r="T46" s="54">
        <v>104.25</v>
      </c>
      <c r="U46" s="54">
        <v>118.97</v>
      </c>
      <c r="V46" s="53">
        <v>0.5329719559179285</v>
      </c>
      <c r="W46" s="53">
        <v>0.4</v>
      </c>
      <c r="X46" s="55">
        <v>77.84086330935251</v>
      </c>
      <c r="Y46" s="55">
        <v>67.69550512136009</v>
      </c>
      <c r="Z46" s="53">
        <v>0.24350000000000002</v>
      </c>
      <c r="AA46" s="56">
        <v>0.23</v>
      </c>
      <c r="AB46" s="57"/>
      <c r="AD46" s="35" t="s">
        <v>93</v>
      </c>
      <c r="AE46" s="35">
        <v>-86.75</v>
      </c>
      <c r="AH46" s="19">
        <v>-86.75</v>
      </c>
      <c r="AI46" s="58">
        <v>-15639.05</v>
      </c>
    </row>
    <row r="47" ht="15" customHeight="1" spans="1:35" x14ac:dyDescent="0.25">
      <c r="A47" s="19"/>
      <c r="B47" s="20"/>
      <c r="C47" s="51" t="s">
        <v>94</v>
      </c>
      <c r="D47" s="52">
        <v>65693.36</v>
      </c>
      <c r="E47" s="52">
        <v>33326.49</v>
      </c>
      <c r="F47" s="52">
        <v>32366.870000000003</v>
      </c>
      <c r="G47" s="53">
        <v>0.49269621769993194</v>
      </c>
      <c r="H47" s="52">
        <v>50582.37</v>
      </c>
      <c r="I47" s="52">
        <v>25196.36</v>
      </c>
      <c r="J47" s="52">
        <v>39438.990000000005</v>
      </c>
      <c r="K47" s="52">
        <v>20036.420000000002</v>
      </c>
      <c r="L47" s="52">
        <v>19402.570000000003</v>
      </c>
      <c r="M47" s="53">
        <v>0.49196417048205343</v>
      </c>
      <c r="N47" s="53"/>
      <c r="O47" s="52">
        <v>11143.38</v>
      </c>
      <c r="P47" s="52">
        <v>5159.94</v>
      </c>
      <c r="Q47" s="52">
        <v>5983.44</v>
      </c>
      <c r="R47" s="53">
        <v>0.5369501892603501</v>
      </c>
      <c r="S47" s="54">
        <v>223.22</v>
      </c>
      <c r="T47" s="54">
        <v>113.25</v>
      </c>
      <c r="U47" s="54">
        <v>109.97</v>
      </c>
      <c r="V47" s="53">
        <v>0.49265298808350505</v>
      </c>
      <c r="W47" s="53"/>
      <c r="X47" s="55">
        <v>71.78922737306843</v>
      </c>
      <c r="Y47" s="55">
        <v>67.69550512136009</v>
      </c>
      <c r="Z47" s="53">
        <v>0.244</v>
      </c>
      <c r="AA47" s="56">
        <v>0.23</v>
      </c>
      <c r="AB47" s="57"/>
      <c r="AD47" s="35" t="s">
        <v>95</v>
      </c>
      <c r="AE47" s="36">
        <v>-15639.05</v>
      </c>
      <c r="AH47" s="19"/>
      <c r="AI47" s="58"/>
    </row>
    <row r="48" ht="15" customHeight="1" spans="1:35" x14ac:dyDescent="0.25">
      <c r="A48" s="19"/>
      <c r="B48" s="20"/>
      <c r="C48" s="51" t="s">
        <v>96</v>
      </c>
      <c r="D48" s="52">
        <v>65693.36</v>
      </c>
      <c r="E48" s="52">
        <v>33326.49</v>
      </c>
      <c r="F48" s="52">
        <v>32366.870000000003</v>
      </c>
      <c r="G48" s="53">
        <v>0.49269621769993194</v>
      </c>
      <c r="H48" s="52">
        <v>50582.37</v>
      </c>
      <c r="I48" s="52">
        <v>25196.36</v>
      </c>
      <c r="J48" s="52">
        <v>39438.990000000005</v>
      </c>
      <c r="K48" s="52">
        <v>20036.420000000002</v>
      </c>
      <c r="L48" s="52">
        <v>19402.570000000003</v>
      </c>
      <c r="M48" s="53">
        <v>0.49196417048205343</v>
      </c>
      <c r="N48" s="53"/>
      <c r="O48" s="52">
        <v>11143.38</v>
      </c>
      <c r="P48" s="52">
        <v>5159.94</v>
      </c>
      <c r="Q48" s="52">
        <v>5983.44</v>
      </c>
      <c r="R48" s="53">
        <v>0.5369501892603501</v>
      </c>
      <c r="S48" s="54">
        <v>223.22</v>
      </c>
      <c r="T48" s="54">
        <v>113.25</v>
      </c>
      <c r="U48" s="54">
        <v>109.97</v>
      </c>
      <c r="V48" s="53">
        <v>0.49265298808350505</v>
      </c>
      <c r="W48" s="53"/>
      <c r="X48" s="55">
        <v>71.78922737306843</v>
      </c>
      <c r="Y48" s="55">
        <v>67.69550512136009</v>
      </c>
      <c r="Z48" s="53">
        <v>0.244</v>
      </c>
      <c r="AA48" s="56">
        <v>0.23</v>
      </c>
      <c r="AB48" s="57"/>
      <c r="AD48" s="35"/>
      <c r="AE48" s="35"/>
      <c r="AH48" s="19"/>
      <c r="AI48" s="58"/>
    </row>
    <row r="49" ht="15" customHeight="1" spans="1:35" x14ac:dyDescent="0.25">
      <c r="A49" s="19"/>
      <c r="B49" s="20"/>
      <c r="C49" s="51" t="s">
        <v>97</v>
      </c>
      <c r="D49" s="52"/>
      <c r="E49" s="52"/>
      <c r="F49" s="52"/>
      <c r="G49" s="53"/>
      <c r="H49" s="52"/>
      <c r="I49" s="52"/>
      <c r="J49" s="52"/>
      <c r="K49" s="52"/>
      <c r="L49" s="52"/>
      <c r="M49" s="53"/>
      <c r="N49" s="53"/>
      <c r="O49" s="52"/>
      <c r="P49" s="52"/>
      <c r="Q49" s="52"/>
      <c r="R49" s="53"/>
      <c r="S49" s="54"/>
      <c r="T49" s="54"/>
      <c r="U49" s="54"/>
      <c r="V49" s="53"/>
      <c r="W49" s="53"/>
      <c r="X49" s="55"/>
      <c r="Y49" s="55"/>
      <c r="Z49" s="53"/>
      <c r="AA49" s="56"/>
      <c r="AB49" s="57"/>
      <c r="AD49" s="35" t="s">
        <v>98</v>
      </c>
      <c r="AE49" s="36">
        <v>0</v>
      </c>
      <c r="AH49" s="19"/>
      <c r="AI49" s="58"/>
    </row>
    <row r="50" ht="15" customHeight="1" spans="1:35" x14ac:dyDescent="0.25">
      <c r="A50" s="19"/>
      <c r="B50" s="20"/>
      <c r="C50" s="51" t="s">
        <v>99</v>
      </c>
      <c r="D50" s="52"/>
      <c r="E50" s="52"/>
      <c r="F50" s="52"/>
      <c r="G50" s="53"/>
      <c r="H50" s="52"/>
      <c r="I50" s="52"/>
      <c r="J50" s="52"/>
      <c r="K50" s="52"/>
      <c r="L50" s="52"/>
      <c r="M50" s="53"/>
      <c r="N50" s="53"/>
      <c r="O50" s="52"/>
      <c r="P50" s="52"/>
      <c r="Q50" s="52"/>
      <c r="R50" s="53"/>
      <c r="S50" s="54"/>
      <c r="T50" s="54"/>
      <c r="U50" s="54"/>
      <c r="V50" s="53"/>
      <c r="W50" s="53"/>
      <c r="X50" s="55"/>
      <c r="Y50" s="55"/>
      <c r="Z50" s="53"/>
      <c r="AA50" s="56"/>
      <c r="AB50" s="57"/>
      <c r="AD50" s="35"/>
      <c r="AE50" s="35"/>
      <c r="AH50" s="19"/>
      <c r="AI50" s="58"/>
    </row>
    <row r="51" ht="15" customHeight="1" spans="1:35" x14ac:dyDescent="0.25">
      <c r="A51" s="19"/>
      <c r="B51" s="20"/>
      <c r="C51" s="51" t="s">
        <v>100</v>
      </c>
      <c r="D51" s="52"/>
      <c r="E51" s="52"/>
      <c r="F51" s="52"/>
      <c r="G51" s="53"/>
      <c r="H51" s="52"/>
      <c r="I51" s="52"/>
      <c r="J51" s="52"/>
      <c r="K51" s="52"/>
      <c r="L51" s="52"/>
      <c r="M51" s="53"/>
      <c r="N51" s="53"/>
      <c r="O51" s="52"/>
      <c r="P51" s="52"/>
      <c r="Q51" s="52"/>
      <c r="R51" s="53"/>
      <c r="S51" s="54"/>
      <c r="T51" s="54"/>
      <c r="U51" s="54"/>
      <c r="V51" s="53"/>
      <c r="W51" s="53"/>
      <c r="X51" s="55"/>
      <c r="Y51" s="55"/>
      <c r="Z51" s="53"/>
      <c r="AA51" s="56"/>
      <c r="AB51" s="57"/>
      <c r="AD51" s="35"/>
      <c r="AE51" s="35"/>
      <c r="AH51" s="59">
        <v>-86.75</v>
      </c>
      <c r="AI51" s="60">
        <v>-15639.05</v>
      </c>
    </row>
    <row r="52" ht="9" customHeight="1" spans="1:35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D52" s="35"/>
      <c r="AE52" s="35"/>
      <c r="AH52" s="35"/>
      <c r="AI52" s="35"/>
    </row>
    <row r="53" ht="15" customHeight="1" spans="1:35" x14ac:dyDescent="0.25">
      <c r="A53" s="19">
        <v>8670</v>
      </c>
      <c r="B53" s="20" t="s">
        <v>37</v>
      </c>
      <c r="C53" s="51" t="s">
        <v>92</v>
      </c>
      <c r="D53" s="52">
        <v>155296.79</v>
      </c>
      <c r="E53" s="52">
        <v>127814.48</v>
      </c>
      <c r="F53" s="52">
        <v>27482.310000000012</v>
      </c>
      <c r="G53" s="53">
        <v>0.176966375158173</v>
      </c>
      <c r="H53" s="52">
        <v>109364.97</v>
      </c>
      <c r="I53" s="52">
        <v>95320.51</v>
      </c>
      <c r="J53" s="52">
        <v>75135.01000000001</v>
      </c>
      <c r="K53" s="52">
        <v>71614.54999999999</v>
      </c>
      <c r="L53" s="52">
        <v>3520.460000000021</v>
      </c>
      <c r="M53" s="53">
        <v>0.04685512120115537</v>
      </c>
      <c r="N53" s="53"/>
      <c r="O53" s="52">
        <v>34229.96</v>
      </c>
      <c r="P53" s="52">
        <v>23705.96</v>
      </c>
      <c r="Q53" s="52">
        <v>10524</v>
      </c>
      <c r="R53" s="53">
        <v>0.3074499648845631</v>
      </c>
      <c r="S53" s="54">
        <v>685.48</v>
      </c>
      <c r="T53" s="54">
        <v>502.25</v>
      </c>
      <c r="U53" s="54">
        <v>183.23000000000002</v>
      </c>
      <c r="V53" s="53">
        <v>0.26730174476279395</v>
      </c>
      <c r="W53" s="53">
        <v>0.3</v>
      </c>
      <c r="X53" s="55">
        <v>64.6968043802887</v>
      </c>
      <c r="Y53" s="55">
        <v>67.00679527854935</v>
      </c>
      <c r="Z53" s="53">
        <v>0.25420000000000004</v>
      </c>
      <c r="AA53" s="56">
        <v>0.2958</v>
      </c>
      <c r="AB53" s="57"/>
      <c r="AD53" s="35" t="s">
        <v>93</v>
      </c>
      <c r="AE53" s="35">
        <v>-269</v>
      </c>
      <c r="AH53" s="19">
        <v>-269</v>
      </c>
      <c r="AI53" s="58">
        <v>-66399.88</v>
      </c>
    </row>
    <row r="54" ht="15" customHeight="1" spans="1:35" x14ac:dyDescent="0.25">
      <c r="A54" s="19"/>
      <c r="B54" s="20"/>
      <c r="C54" s="51" t="s">
        <v>94</v>
      </c>
      <c r="D54" s="52">
        <v>155296.79</v>
      </c>
      <c r="E54" s="52">
        <v>127814.48</v>
      </c>
      <c r="F54" s="52">
        <v>27482.310000000012</v>
      </c>
      <c r="G54" s="53">
        <v>0.176966375158173</v>
      </c>
      <c r="H54" s="52">
        <v>109364.97</v>
      </c>
      <c r="I54" s="52">
        <v>96483.38</v>
      </c>
      <c r="J54" s="52">
        <v>75135.01000000001</v>
      </c>
      <c r="K54" s="52">
        <v>71221.34</v>
      </c>
      <c r="L54" s="52">
        <v>3913.670000000013</v>
      </c>
      <c r="M54" s="53">
        <v>0.05208850042077604</v>
      </c>
      <c r="N54" s="53"/>
      <c r="O54" s="52">
        <v>34229.96</v>
      </c>
      <c r="P54" s="52">
        <v>25262.04</v>
      </c>
      <c r="Q54" s="52">
        <v>8967.919999999998</v>
      </c>
      <c r="R54" s="53">
        <v>0.2619903733454552</v>
      </c>
      <c r="S54" s="54">
        <v>685.48</v>
      </c>
      <c r="T54" s="54">
        <v>533.75</v>
      </c>
      <c r="U54" s="54">
        <v>151.73000000000002</v>
      </c>
      <c r="V54" s="53">
        <v>0.22134854408589605</v>
      </c>
      <c r="W54" s="53"/>
      <c r="X54" s="55">
        <v>58.699953161592504</v>
      </c>
      <c r="Y54" s="55">
        <v>67.00679527854935</v>
      </c>
      <c r="Z54" s="53">
        <v>0.2451</v>
      </c>
      <c r="AA54" s="56">
        <v>0.2958</v>
      </c>
      <c r="AB54" s="57"/>
      <c r="AD54" s="35" t="s">
        <v>95</v>
      </c>
      <c r="AE54" s="36">
        <v>-66399.88</v>
      </c>
      <c r="AH54" s="19"/>
      <c r="AI54" s="58"/>
    </row>
    <row r="55" ht="15" customHeight="1" spans="1:35" x14ac:dyDescent="0.25">
      <c r="A55" s="19"/>
      <c r="B55" s="20"/>
      <c r="C55" s="51" t="s">
        <v>96</v>
      </c>
      <c r="D55" s="52">
        <v>155296.79</v>
      </c>
      <c r="E55" s="52">
        <v>127814.48</v>
      </c>
      <c r="F55" s="52">
        <v>27482.310000000012</v>
      </c>
      <c r="G55" s="53">
        <v>0.176966375158173</v>
      </c>
      <c r="H55" s="52">
        <v>109364.97</v>
      </c>
      <c r="I55" s="52">
        <v>97978.14</v>
      </c>
      <c r="J55" s="52">
        <v>75135.01000000001</v>
      </c>
      <c r="K55" s="52">
        <v>71357.43</v>
      </c>
      <c r="L55" s="52">
        <v>3777.5800000000163</v>
      </c>
      <c r="M55" s="53">
        <v>0.050277227619987215</v>
      </c>
      <c r="N55" s="53"/>
      <c r="O55" s="52">
        <v>34229.96</v>
      </c>
      <c r="P55" s="52">
        <v>26620.71</v>
      </c>
      <c r="Q55" s="52">
        <v>7609.25</v>
      </c>
      <c r="R55" s="53">
        <v>0.22229795185270448</v>
      </c>
      <c r="S55" s="54">
        <v>685.48</v>
      </c>
      <c r="T55" s="54">
        <v>561.5</v>
      </c>
      <c r="U55" s="54">
        <v>123.98000000000002</v>
      </c>
      <c r="V55" s="53">
        <v>0.18086596253720022</v>
      </c>
      <c r="W55" s="53"/>
      <c r="X55" s="55">
        <v>53.13684772929653</v>
      </c>
      <c r="Y55" s="55">
        <v>67.00679527854935</v>
      </c>
      <c r="Z55" s="53">
        <v>0.2334</v>
      </c>
      <c r="AA55" s="56">
        <v>0.2958</v>
      </c>
      <c r="AB55" s="57"/>
      <c r="AD55" s="35"/>
      <c r="AE55" s="35"/>
      <c r="AH55" s="19"/>
      <c r="AI55" s="58"/>
    </row>
    <row r="56" ht="15" customHeight="1" spans="1:35" x14ac:dyDescent="0.25">
      <c r="A56" s="19"/>
      <c r="B56" s="20"/>
      <c r="C56" s="51" t="s">
        <v>97</v>
      </c>
      <c r="D56" s="52"/>
      <c r="E56" s="52"/>
      <c r="F56" s="52"/>
      <c r="G56" s="53"/>
      <c r="H56" s="52"/>
      <c r="I56" s="52"/>
      <c r="J56" s="52"/>
      <c r="K56" s="52"/>
      <c r="L56" s="52"/>
      <c r="M56" s="53"/>
      <c r="N56" s="53"/>
      <c r="O56" s="52"/>
      <c r="P56" s="52"/>
      <c r="Q56" s="52"/>
      <c r="R56" s="53"/>
      <c r="S56" s="54"/>
      <c r="T56" s="54"/>
      <c r="U56" s="54"/>
      <c r="V56" s="53"/>
      <c r="W56" s="53"/>
      <c r="X56" s="55"/>
      <c r="Y56" s="55"/>
      <c r="Z56" s="53"/>
      <c r="AA56" s="56"/>
      <c r="AB56" s="57"/>
      <c r="AD56" s="35" t="s">
        <v>98</v>
      </c>
      <c r="AE56" s="36">
        <v>0</v>
      </c>
      <c r="AH56" s="19"/>
      <c r="AI56" s="58"/>
    </row>
    <row r="57" ht="15" customHeight="1" spans="1:35" x14ac:dyDescent="0.25">
      <c r="A57" s="19"/>
      <c r="B57" s="20"/>
      <c r="C57" s="51" t="s">
        <v>99</v>
      </c>
      <c r="D57" s="52"/>
      <c r="E57" s="52"/>
      <c r="F57" s="52"/>
      <c r="G57" s="53"/>
      <c r="H57" s="52"/>
      <c r="I57" s="52"/>
      <c r="J57" s="52"/>
      <c r="K57" s="52"/>
      <c r="L57" s="52"/>
      <c r="M57" s="53"/>
      <c r="N57" s="53"/>
      <c r="O57" s="52"/>
      <c r="P57" s="52"/>
      <c r="Q57" s="52"/>
      <c r="R57" s="53"/>
      <c r="S57" s="54"/>
      <c r="T57" s="54"/>
      <c r="U57" s="54"/>
      <c r="V57" s="53"/>
      <c r="W57" s="53"/>
      <c r="X57" s="55"/>
      <c r="Y57" s="55"/>
      <c r="Z57" s="53"/>
      <c r="AA57" s="56"/>
      <c r="AB57" s="57"/>
      <c r="AD57" s="35"/>
      <c r="AE57" s="35"/>
      <c r="AH57" s="19"/>
      <c r="AI57" s="58"/>
    </row>
    <row r="58" ht="15" customHeight="1" spans="1:35" x14ac:dyDescent="0.25">
      <c r="A58" s="19"/>
      <c r="B58" s="20"/>
      <c r="C58" s="51" t="s">
        <v>100</v>
      </c>
      <c r="D58" s="52"/>
      <c r="E58" s="52"/>
      <c r="F58" s="52"/>
      <c r="G58" s="53"/>
      <c r="H58" s="52"/>
      <c r="I58" s="52"/>
      <c r="J58" s="52"/>
      <c r="K58" s="52"/>
      <c r="L58" s="52"/>
      <c r="M58" s="53"/>
      <c r="N58" s="53"/>
      <c r="O58" s="52"/>
      <c r="P58" s="52"/>
      <c r="Q58" s="52"/>
      <c r="R58" s="53"/>
      <c r="S58" s="54"/>
      <c r="T58" s="54"/>
      <c r="U58" s="54"/>
      <c r="V58" s="53"/>
      <c r="W58" s="53"/>
      <c r="X58" s="55"/>
      <c r="Y58" s="55"/>
      <c r="Z58" s="53"/>
      <c r="AA58" s="56"/>
      <c r="AB58" s="57"/>
      <c r="AD58" s="35"/>
      <c r="AE58" s="35"/>
      <c r="AH58" s="59">
        <v>-269</v>
      </c>
      <c r="AI58" s="60">
        <v>-66399.88</v>
      </c>
    </row>
    <row r="59" ht="9" customHeight="1" spans="1:35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D59" s="35"/>
      <c r="AE59" s="35"/>
      <c r="AH59" s="35"/>
      <c r="AI59" s="35"/>
    </row>
    <row r="60" ht="15" customHeight="1" spans="1:35" x14ac:dyDescent="0.25">
      <c r="A60" s="19">
        <v>8907</v>
      </c>
      <c r="B60" s="20" t="s">
        <v>38</v>
      </c>
      <c r="C60" s="51" t="s">
        <v>92</v>
      </c>
      <c r="D60" s="52">
        <v>20420.56</v>
      </c>
      <c r="E60" s="52">
        <v>20420.56</v>
      </c>
      <c r="F60" s="52">
        <v>0</v>
      </c>
      <c r="G60" s="53">
        <v>0</v>
      </c>
      <c r="H60" s="52">
        <v>15859.68</v>
      </c>
      <c r="I60" s="52">
        <v>13435.12</v>
      </c>
      <c r="J60" s="52">
        <v>12689.1</v>
      </c>
      <c r="K60" s="52">
        <v>11478.25</v>
      </c>
      <c r="L60" s="52">
        <v>1210.8500000000004</v>
      </c>
      <c r="M60" s="53">
        <v>0.09542441938356545</v>
      </c>
      <c r="N60" s="53"/>
      <c r="O60" s="52">
        <v>3170.58</v>
      </c>
      <c r="P60" s="52">
        <v>1956.87</v>
      </c>
      <c r="Q60" s="52">
        <v>1213.71</v>
      </c>
      <c r="R60" s="53">
        <v>0.38280377722687964</v>
      </c>
      <c r="S60" s="54">
        <v>63.5</v>
      </c>
      <c r="T60" s="54">
        <v>48.25</v>
      </c>
      <c r="U60" s="54">
        <v>15.25</v>
      </c>
      <c r="V60" s="53">
        <v>0.24015748031496062</v>
      </c>
      <c r="W60" s="53">
        <v>0.4</v>
      </c>
      <c r="X60" s="55">
        <v>144.7759585492228</v>
      </c>
      <c r="Y60" s="55">
        <v>71.82495570677168</v>
      </c>
      <c r="Z60" s="53">
        <v>0.3421</v>
      </c>
      <c r="AA60" s="56">
        <v>0.2233</v>
      </c>
      <c r="AB60" s="57"/>
      <c r="AD60" s="35" t="s">
        <v>93</v>
      </c>
      <c r="AE60" s="35">
        <v>-26.75</v>
      </c>
      <c r="AH60" s="19">
        <v>-26.75</v>
      </c>
      <c r="AI60" s="58">
        <v>-11159.14</v>
      </c>
    </row>
    <row r="61" ht="15" customHeight="1" spans="1:35" x14ac:dyDescent="0.25">
      <c r="A61" s="19"/>
      <c r="B61" s="20"/>
      <c r="C61" s="51" t="s">
        <v>94</v>
      </c>
      <c r="D61" s="52">
        <v>20420.56</v>
      </c>
      <c r="E61" s="52">
        <v>20420.56</v>
      </c>
      <c r="F61" s="52">
        <v>0</v>
      </c>
      <c r="G61" s="53">
        <v>0</v>
      </c>
      <c r="H61" s="52">
        <v>15859.68</v>
      </c>
      <c r="I61" s="52">
        <v>13435.12</v>
      </c>
      <c r="J61" s="52">
        <v>12689.1</v>
      </c>
      <c r="K61" s="52">
        <v>11478.25</v>
      </c>
      <c r="L61" s="52">
        <v>1210.8500000000004</v>
      </c>
      <c r="M61" s="53">
        <v>0.09542441938356545</v>
      </c>
      <c r="N61" s="53"/>
      <c r="O61" s="52">
        <v>3170.58</v>
      </c>
      <c r="P61" s="52">
        <v>1956.87</v>
      </c>
      <c r="Q61" s="52">
        <v>1213.71</v>
      </c>
      <c r="R61" s="53">
        <v>0.38280377722687964</v>
      </c>
      <c r="S61" s="54">
        <v>63.5</v>
      </c>
      <c r="T61" s="54">
        <v>48.25</v>
      </c>
      <c r="U61" s="54">
        <v>15.25</v>
      </c>
      <c r="V61" s="53">
        <v>0.24015748031496062</v>
      </c>
      <c r="W61" s="53"/>
      <c r="X61" s="55">
        <v>144.7759585492228</v>
      </c>
      <c r="Y61" s="55">
        <v>71.82495570677168</v>
      </c>
      <c r="Z61" s="53">
        <v>0.3421</v>
      </c>
      <c r="AA61" s="56">
        <v>0.2233</v>
      </c>
      <c r="AB61" s="57"/>
      <c r="AD61" s="35" t="s">
        <v>95</v>
      </c>
      <c r="AE61" s="36">
        <v>-11159.14</v>
      </c>
      <c r="AH61" s="19"/>
      <c r="AI61" s="58"/>
    </row>
    <row r="62" ht="15" customHeight="1" spans="1:35" x14ac:dyDescent="0.25">
      <c r="A62" s="19"/>
      <c r="B62" s="20"/>
      <c r="C62" s="51" t="s">
        <v>96</v>
      </c>
      <c r="D62" s="52">
        <v>20420.56</v>
      </c>
      <c r="E62" s="52">
        <v>20420.56</v>
      </c>
      <c r="F62" s="52">
        <v>0</v>
      </c>
      <c r="G62" s="53">
        <v>0</v>
      </c>
      <c r="H62" s="52">
        <v>15859.68</v>
      </c>
      <c r="I62" s="52">
        <v>13435.12</v>
      </c>
      <c r="J62" s="52">
        <v>12689.1</v>
      </c>
      <c r="K62" s="52">
        <v>11478.25</v>
      </c>
      <c r="L62" s="52">
        <v>1210.8500000000004</v>
      </c>
      <c r="M62" s="53">
        <v>0.09542441938356545</v>
      </c>
      <c r="N62" s="53"/>
      <c r="O62" s="52">
        <v>3170.58</v>
      </c>
      <c r="P62" s="52">
        <v>1956.87</v>
      </c>
      <c r="Q62" s="52">
        <v>1213.71</v>
      </c>
      <c r="R62" s="53">
        <v>0.38280377722687964</v>
      </c>
      <c r="S62" s="54">
        <v>63.5</v>
      </c>
      <c r="T62" s="54">
        <v>48.25</v>
      </c>
      <c r="U62" s="54">
        <v>15.25</v>
      </c>
      <c r="V62" s="53">
        <v>0.24015748031496062</v>
      </c>
      <c r="W62" s="53"/>
      <c r="X62" s="55">
        <v>144.7759585492228</v>
      </c>
      <c r="Y62" s="55">
        <v>71.82495570677168</v>
      </c>
      <c r="Z62" s="53">
        <v>0.3421</v>
      </c>
      <c r="AA62" s="56">
        <v>0.2233</v>
      </c>
      <c r="AB62" s="57"/>
      <c r="AD62" s="35"/>
      <c r="AE62" s="35"/>
      <c r="AH62" s="19"/>
      <c r="AI62" s="58"/>
    </row>
    <row r="63" ht="15" customHeight="1" spans="1:35" x14ac:dyDescent="0.25">
      <c r="A63" s="19"/>
      <c r="B63" s="20"/>
      <c r="C63" s="51" t="s">
        <v>97</v>
      </c>
      <c r="D63" s="52"/>
      <c r="E63" s="52"/>
      <c r="F63" s="52"/>
      <c r="G63" s="53"/>
      <c r="H63" s="52"/>
      <c r="I63" s="52"/>
      <c r="J63" s="52"/>
      <c r="K63" s="52"/>
      <c r="L63" s="52"/>
      <c r="M63" s="53"/>
      <c r="N63" s="53"/>
      <c r="O63" s="52"/>
      <c r="P63" s="52"/>
      <c r="Q63" s="52"/>
      <c r="R63" s="53"/>
      <c r="S63" s="54"/>
      <c r="T63" s="54"/>
      <c r="U63" s="54"/>
      <c r="V63" s="53"/>
      <c r="W63" s="53"/>
      <c r="X63" s="55"/>
      <c r="Y63" s="55"/>
      <c r="Z63" s="53"/>
      <c r="AA63" s="56"/>
      <c r="AB63" s="57"/>
      <c r="AD63" s="35" t="s">
        <v>98</v>
      </c>
      <c r="AE63" s="36">
        <v>0</v>
      </c>
      <c r="AH63" s="19"/>
      <c r="AI63" s="58"/>
    </row>
    <row r="64" ht="15" customHeight="1" spans="1:35" x14ac:dyDescent="0.25">
      <c r="A64" s="19"/>
      <c r="B64" s="20"/>
      <c r="C64" s="51" t="s">
        <v>99</v>
      </c>
      <c r="D64" s="52"/>
      <c r="E64" s="52"/>
      <c r="F64" s="52"/>
      <c r="G64" s="53"/>
      <c r="H64" s="52"/>
      <c r="I64" s="52"/>
      <c r="J64" s="52"/>
      <c r="K64" s="52"/>
      <c r="L64" s="52"/>
      <c r="M64" s="53"/>
      <c r="N64" s="53"/>
      <c r="O64" s="52"/>
      <c r="P64" s="52"/>
      <c r="Q64" s="52"/>
      <c r="R64" s="53"/>
      <c r="S64" s="54"/>
      <c r="T64" s="54"/>
      <c r="U64" s="54"/>
      <c r="V64" s="53"/>
      <c r="W64" s="53"/>
      <c r="X64" s="55"/>
      <c r="Y64" s="55"/>
      <c r="Z64" s="53"/>
      <c r="AA64" s="56"/>
      <c r="AB64" s="57"/>
      <c r="AD64" s="35"/>
      <c r="AE64" s="35"/>
      <c r="AH64" s="19"/>
      <c r="AI64" s="58"/>
    </row>
    <row r="65" ht="15" customHeight="1" spans="1:35" x14ac:dyDescent="0.25">
      <c r="A65" s="19"/>
      <c r="B65" s="20"/>
      <c r="C65" s="51" t="s">
        <v>100</v>
      </c>
      <c r="D65" s="52"/>
      <c r="E65" s="52"/>
      <c r="F65" s="52"/>
      <c r="G65" s="53"/>
      <c r="H65" s="52"/>
      <c r="I65" s="52"/>
      <c r="J65" s="52"/>
      <c r="K65" s="52"/>
      <c r="L65" s="52"/>
      <c r="M65" s="53"/>
      <c r="N65" s="53"/>
      <c r="O65" s="52"/>
      <c r="P65" s="52"/>
      <c r="Q65" s="52"/>
      <c r="R65" s="53"/>
      <c r="S65" s="54"/>
      <c r="T65" s="54"/>
      <c r="U65" s="54"/>
      <c r="V65" s="53"/>
      <c r="W65" s="53"/>
      <c r="X65" s="55"/>
      <c r="Y65" s="55"/>
      <c r="Z65" s="53"/>
      <c r="AA65" s="56"/>
      <c r="AB65" s="57"/>
      <c r="AD65" s="35"/>
      <c r="AE65" s="35"/>
      <c r="AH65" s="59">
        <v>-26.75</v>
      </c>
      <c r="AI65" s="60">
        <v>-11159.14</v>
      </c>
    </row>
    <row r="66" ht="9" customHeight="1" spans="1:35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D66" s="35"/>
      <c r="AE66" s="35"/>
      <c r="AH66" s="35"/>
      <c r="AI66" s="35"/>
    </row>
    <row r="67" ht="15" customHeight="1" spans="1:35" x14ac:dyDescent="0.25">
      <c r="A67" s="19">
        <v>9065</v>
      </c>
      <c r="B67" s="20" t="s">
        <v>39</v>
      </c>
      <c r="C67" s="51" t="s">
        <v>92</v>
      </c>
      <c r="D67" s="52">
        <v>47801.68</v>
      </c>
      <c r="E67" s="52">
        <v>10650.43</v>
      </c>
      <c r="F67" s="52">
        <v>37151.25</v>
      </c>
      <c r="G67" s="53">
        <v>0.7771954876899724</v>
      </c>
      <c r="H67" s="52">
        <v>35572.59</v>
      </c>
      <c r="I67" s="52">
        <v>9981.43</v>
      </c>
      <c r="J67" s="52">
        <v>27136.549999999996</v>
      </c>
      <c r="K67" s="52">
        <v>9832.65</v>
      </c>
      <c r="L67" s="52">
        <v>17303.899999999994</v>
      </c>
      <c r="M67" s="53">
        <v>0.6376602773749794</v>
      </c>
      <c r="N67" s="53"/>
      <c r="O67" s="52">
        <v>8436.04</v>
      </c>
      <c r="P67" s="52">
        <v>148.78</v>
      </c>
      <c r="Q67" s="52">
        <v>8287.26</v>
      </c>
      <c r="R67" s="53">
        <v>0.9823637630926358</v>
      </c>
      <c r="S67" s="54">
        <v>169.32</v>
      </c>
      <c r="T67" s="54">
        <v>2.75</v>
      </c>
      <c r="U67" s="54">
        <v>166.57</v>
      </c>
      <c r="V67" s="53">
        <v>0.9837585636664304</v>
      </c>
      <c r="W67" s="53"/>
      <c r="X67" s="55">
        <v>243.27272727272728</v>
      </c>
      <c r="Y67" s="55">
        <v>72.22475431425701</v>
      </c>
      <c r="Z67" s="53">
        <v>0.06280000000000001</v>
      </c>
      <c r="AA67" s="56">
        <v>0.2558</v>
      </c>
      <c r="AB67" s="57"/>
      <c r="AD67" s="35" t="s">
        <v>93</v>
      </c>
      <c r="AE67" s="35"/>
      <c r="AH67" s="19"/>
      <c r="AI67" s="58">
        <v>-5397.27</v>
      </c>
    </row>
    <row r="68" ht="15" customHeight="1" spans="1:35" x14ac:dyDescent="0.25">
      <c r="A68" s="19"/>
      <c r="B68" s="20"/>
      <c r="C68" s="51" t="s">
        <v>94</v>
      </c>
      <c r="D68" s="52">
        <v>47801.68</v>
      </c>
      <c r="E68" s="52">
        <v>10650.43</v>
      </c>
      <c r="F68" s="52">
        <v>37151.25</v>
      </c>
      <c r="G68" s="53">
        <v>0.7771954876899724</v>
      </c>
      <c r="H68" s="52">
        <v>35572.59</v>
      </c>
      <c r="I68" s="52">
        <v>10547.08</v>
      </c>
      <c r="J68" s="52">
        <v>27136.549999999996</v>
      </c>
      <c r="K68" s="52">
        <v>10398.3</v>
      </c>
      <c r="L68" s="52">
        <v>16738.249999999996</v>
      </c>
      <c r="M68" s="53">
        <v>0.6168156969106242</v>
      </c>
      <c r="N68" s="53"/>
      <c r="O68" s="52">
        <v>8436.04</v>
      </c>
      <c r="P68" s="52">
        <v>148.78</v>
      </c>
      <c r="Q68" s="52">
        <v>8287.26</v>
      </c>
      <c r="R68" s="53">
        <v>0.9823637630926358</v>
      </c>
      <c r="S68" s="54">
        <v>169.32</v>
      </c>
      <c r="T68" s="54">
        <v>2.75</v>
      </c>
      <c r="U68" s="54">
        <v>166.57</v>
      </c>
      <c r="V68" s="53">
        <v>0.9837585636664304</v>
      </c>
      <c r="W68" s="53"/>
      <c r="X68" s="55">
        <v>37.58181818181818</v>
      </c>
      <c r="Y68" s="55">
        <v>72.22475431425701</v>
      </c>
      <c r="Z68" s="53">
        <v>0.0097</v>
      </c>
      <c r="AA68" s="56">
        <v>0.2558</v>
      </c>
      <c r="AB68" s="57"/>
      <c r="AD68" s="35" t="s">
        <v>95</v>
      </c>
      <c r="AE68" s="36">
        <v>-5397.27</v>
      </c>
      <c r="AH68" s="19"/>
      <c r="AI68" s="58"/>
    </row>
    <row r="69" ht="15" customHeight="1" spans="1:35" x14ac:dyDescent="0.25">
      <c r="A69" s="19"/>
      <c r="B69" s="20"/>
      <c r="C69" s="51" t="s">
        <v>96</v>
      </c>
      <c r="D69" s="52">
        <v>53029.71</v>
      </c>
      <c r="E69" s="52">
        <v>10650.43</v>
      </c>
      <c r="F69" s="52">
        <v>42379.28</v>
      </c>
      <c r="G69" s="53">
        <v>0.7991610740469823</v>
      </c>
      <c r="H69" s="52">
        <v>39055.78</v>
      </c>
      <c r="I69" s="52">
        <v>16807.92</v>
      </c>
      <c r="J69" s="52">
        <v>29537.29</v>
      </c>
      <c r="K69" s="52">
        <v>16659.14</v>
      </c>
      <c r="L69" s="52">
        <v>12878.150000000001</v>
      </c>
      <c r="M69" s="53">
        <v>0.4359963287085579</v>
      </c>
      <c r="N69" s="53"/>
      <c r="O69" s="52">
        <v>9518.49</v>
      </c>
      <c r="P69" s="52">
        <v>148.78</v>
      </c>
      <c r="Q69" s="52">
        <v>9369.71</v>
      </c>
      <c r="R69" s="53">
        <v>0.9843693695113405</v>
      </c>
      <c r="S69" s="54">
        <v>193.32</v>
      </c>
      <c r="T69" s="54">
        <v>2.75</v>
      </c>
      <c r="U69" s="54">
        <v>190.57</v>
      </c>
      <c r="V69" s="53">
        <v>0.9857748810262776</v>
      </c>
      <c r="W69" s="53"/>
      <c r="X69" s="55">
        <v>-2239.0872727272726</v>
      </c>
      <c r="Y69" s="55">
        <v>72.28396616733912</v>
      </c>
      <c r="Z69" s="53">
        <v>-0.5781000000000001</v>
      </c>
      <c r="AA69" s="56">
        <v>0.2635</v>
      </c>
      <c r="AB69" s="57"/>
      <c r="AD69" s="35"/>
      <c r="AE69" s="35"/>
      <c r="AH69" s="19"/>
      <c r="AI69" s="58"/>
    </row>
    <row r="70" ht="15" customHeight="1" spans="1:35" x14ac:dyDescent="0.25">
      <c r="A70" s="19"/>
      <c r="B70" s="20"/>
      <c r="C70" s="51" t="s">
        <v>97</v>
      </c>
      <c r="D70" s="52"/>
      <c r="E70" s="52"/>
      <c r="F70" s="52"/>
      <c r="G70" s="53"/>
      <c r="H70" s="52"/>
      <c r="I70" s="52"/>
      <c r="J70" s="52"/>
      <c r="K70" s="52"/>
      <c r="L70" s="52"/>
      <c r="M70" s="53"/>
      <c r="N70" s="53"/>
      <c r="O70" s="52"/>
      <c r="P70" s="52"/>
      <c r="Q70" s="52"/>
      <c r="R70" s="53"/>
      <c r="S70" s="54"/>
      <c r="T70" s="54"/>
      <c r="U70" s="54"/>
      <c r="V70" s="53"/>
      <c r="W70" s="53"/>
      <c r="X70" s="55"/>
      <c r="Y70" s="55"/>
      <c r="Z70" s="53"/>
      <c r="AA70" s="56"/>
      <c r="AB70" s="57"/>
      <c r="AD70" s="35" t="s">
        <v>98</v>
      </c>
      <c r="AE70" s="36">
        <v>0</v>
      </c>
      <c r="AH70" s="19"/>
      <c r="AI70" s="58"/>
    </row>
    <row r="71" ht="15" customHeight="1" spans="1:35" x14ac:dyDescent="0.25">
      <c r="A71" s="19"/>
      <c r="B71" s="20"/>
      <c r="C71" s="51" t="s">
        <v>99</v>
      </c>
      <c r="D71" s="52"/>
      <c r="E71" s="52"/>
      <c r="F71" s="52"/>
      <c r="G71" s="53"/>
      <c r="H71" s="52"/>
      <c r="I71" s="52"/>
      <c r="J71" s="52"/>
      <c r="K71" s="52"/>
      <c r="L71" s="52"/>
      <c r="M71" s="53"/>
      <c r="N71" s="53"/>
      <c r="O71" s="52"/>
      <c r="P71" s="52"/>
      <c r="Q71" s="52"/>
      <c r="R71" s="53"/>
      <c r="S71" s="54"/>
      <c r="T71" s="54"/>
      <c r="U71" s="54"/>
      <c r="V71" s="53"/>
      <c r="W71" s="53"/>
      <c r="X71" s="55"/>
      <c r="Y71" s="55"/>
      <c r="Z71" s="53"/>
      <c r="AA71" s="56"/>
      <c r="AB71" s="57"/>
      <c r="AD71" s="35"/>
      <c r="AE71" s="35"/>
      <c r="AH71" s="19"/>
      <c r="AI71" s="58"/>
    </row>
    <row r="72" ht="15" customHeight="1" spans="1:35" x14ac:dyDescent="0.25">
      <c r="A72" s="19"/>
      <c r="B72" s="20"/>
      <c r="C72" s="51" t="s">
        <v>100</v>
      </c>
      <c r="D72" s="52"/>
      <c r="E72" s="52"/>
      <c r="F72" s="52"/>
      <c r="G72" s="53"/>
      <c r="H72" s="52"/>
      <c r="I72" s="52"/>
      <c r="J72" s="52"/>
      <c r="K72" s="52"/>
      <c r="L72" s="52"/>
      <c r="M72" s="53"/>
      <c r="N72" s="53"/>
      <c r="O72" s="52"/>
      <c r="P72" s="52"/>
      <c r="Q72" s="52"/>
      <c r="R72" s="53"/>
      <c r="S72" s="54"/>
      <c r="T72" s="54"/>
      <c r="U72" s="54"/>
      <c r="V72" s="53"/>
      <c r="W72" s="53"/>
      <c r="X72" s="55"/>
      <c r="Y72" s="55"/>
      <c r="Z72" s="53"/>
      <c r="AA72" s="56"/>
      <c r="AB72" s="57"/>
      <c r="AD72" s="35"/>
      <c r="AE72" s="35"/>
      <c r="AH72" s="59"/>
      <c r="AI72" s="60">
        <v>-5397.27</v>
      </c>
    </row>
    <row r="73" ht="9" customHeight="1" spans="1:35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D73" s="35"/>
      <c r="AE73" s="35"/>
      <c r="AH73" s="35"/>
      <c r="AI73" s="35"/>
    </row>
    <row r="74" ht="15" customHeight="1" spans="1:35" x14ac:dyDescent="0.25">
      <c r="A74" s="19">
        <v>9259</v>
      </c>
      <c r="B74" s="20" t="s">
        <v>40</v>
      </c>
      <c r="C74" s="51" t="s">
        <v>92</v>
      </c>
      <c r="D74" s="52">
        <v>77166.16</v>
      </c>
      <c r="E74" s="52">
        <v>44764.99</v>
      </c>
      <c r="F74" s="52">
        <v>32401.170000000006</v>
      </c>
      <c r="G74" s="53">
        <v>0.41988832928838243</v>
      </c>
      <c r="H74" s="52">
        <v>54302.66</v>
      </c>
      <c r="I74" s="52">
        <v>31918.93</v>
      </c>
      <c r="J74" s="52">
        <v>31383.390000000003</v>
      </c>
      <c r="K74" s="52">
        <v>27205.52</v>
      </c>
      <c r="L74" s="52">
        <v>4177.870000000003</v>
      </c>
      <c r="M74" s="53">
        <v>0.13312360455642308</v>
      </c>
      <c r="N74" s="53"/>
      <c r="O74" s="52">
        <v>22919.27</v>
      </c>
      <c r="P74" s="52">
        <v>4713.41</v>
      </c>
      <c r="Q74" s="52">
        <v>18205.86</v>
      </c>
      <c r="R74" s="53">
        <v>0.7943472894206491</v>
      </c>
      <c r="S74" s="54">
        <v>470.62</v>
      </c>
      <c r="T74" s="54">
        <v>96.25</v>
      </c>
      <c r="U74" s="54">
        <v>374.37</v>
      </c>
      <c r="V74" s="53">
        <v>0.7954825549275424</v>
      </c>
      <c r="W74" s="53">
        <v>0</v>
      </c>
      <c r="X74" s="55">
        <v>133.46555844155844</v>
      </c>
      <c r="Y74" s="55">
        <v>48.58165977967362</v>
      </c>
      <c r="Z74" s="53">
        <v>0.287</v>
      </c>
      <c r="AA74" s="56">
        <v>0.2963</v>
      </c>
      <c r="AB74" s="57"/>
      <c r="AD74" s="35" t="s">
        <v>93</v>
      </c>
      <c r="AE74" s="35"/>
      <c r="AH74" s="19"/>
      <c r="AI74" s="58"/>
    </row>
    <row r="75" ht="15" customHeight="1" spans="1:35" x14ac:dyDescent="0.25">
      <c r="A75" s="19"/>
      <c r="B75" s="20"/>
      <c r="C75" s="51" t="s">
        <v>94</v>
      </c>
      <c r="D75" s="52">
        <v>77166.16</v>
      </c>
      <c r="E75" s="52">
        <v>44764.99</v>
      </c>
      <c r="F75" s="52">
        <v>32401.170000000006</v>
      </c>
      <c r="G75" s="53">
        <v>0.41988832928838243</v>
      </c>
      <c r="H75" s="52">
        <v>54302.66</v>
      </c>
      <c r="I75" s="52">
        <v>29696.65</v>
      </c>
      <c r="J75" s="52">
        <v>31383.390000000003</v>
      </c>
      <c r="K75" s="52">
        <v>23592.600000000002</v>
      </c>
      <c r="L75" s="52">
        <v>7790.790000000001</v>
      </c>
      <c r="M75" s="53">
        <v>0.24824564841465502</v>
      </c>
      <c r="N75" s="53"/>
      <c r="O75" s="52">
        <v>22919.27</v>
      </c>
      <c r="P75" s="52">
        <v>6104.05</v>
      </c>
      <c r="Q75" s="52">
        <v>16815.22</v>
      </c>
      <c r="R75" s="53">
        <v>0.7336717094392623</v>
      </c>
      <c r="S75" s="54">
        <v>470.62</v>
      </c>
      <c r="T75" s="54">
        <v>120.25</v>
      </c>
      <c r="U75" s="54">
        <v>350.37</v>
      </c>
      <c r="V75" s="53">
        <v>0.7444859971951894</v>
      </c>
      <c r="W75" s="53"/>
      <c r="X75" s="55">
        <v>125.30844074844074</v>
      </c>
      <c r="Y75" s="55">
        <v>48.58165977967362</v>
      </c>
      <c r="Z75" s="53">
        <v>0.33659999999999995</v>
      </c>
      <c r="AA75" s="56">
        <v>0.2963</v>
      </c>
      <c r="AB75" s="57"/>
      <c r="AD75" s="35" t="s">
        <v>95</v>
      </c>
      <c r="AE75" s="36"/>
      <c r="AH75" s="19"/>
      <c r="AI75" s="58"/>
    </row>
    <row r="76" ht="15" customHeight="1" spans="1:35" x14ac:dyDescent="0.25">
      <c r="A76" s="19"/>
      <c r="B76" s="20"/>
      <c r="C76" s="51" t="s">
        <v>96</v>
      </c>
      <c r="D76" s="52">
        <v>77408.3</v>
      </c>
      <c r="E76" s="52">
        <v>44764.99</v>
      </c>
      <c r="F76" s="52">
        <v>32643.310000000005</v>
      </c>
      <c r="G76" s="53">
        <v>0.42170296983656796</v>
      </c>
      <c r="H76" s="52">
        <v>54446.73</v>
      </c>
      <c r="I76" s="52">
        <v>31054.89</v>
      </c>
      <c r="J76" s="52">
        <v>31451.700000000004</v>
      </c>
      <c r="K76" s="52">
        <v>23776.52</v>
      </c>
      <c r="L76" s="52">
        <v>7675.180000000004</v>
      </c>
      <c r="M76" s="53">
        <v>0.24403068832527344</v>
      </c>
      <c r="N76" s="53"/>
      <c r="O76" s="52">
        <v>22995.03</v>
      </c>
      <c r="P76" s="52">
        <v>7278.37</v>
      </c>
      <c r="Q76" s="52">
        <v>15716.66</v>
      </c>
      <c r="R76" s="53">
        <v>0.6834807347500743</v>
      </c>
      <c r="S76" s="54">
        <v>472.14</v>
      </c>
      <c r="T76" s="54">
        <v>144.25</v>
      </c>
      <c r="U76" s="54">
        <v>327.89</v>
      </c>
      <c r="V76" s="53">
        <v>0.6944762146820859</v>
      </c>
      <c r="W76" s="53"/>
      <c r="X76" s="55">
        <v>95.04402079722703</v>
      </c>
      <c r="Y76" s="55">
        <v>48.63296805100184</v>
      </c>
      <c r="Z76" s="53">
        <v>0.3063</v>
      </c>
      <c r="AA76" s="56">
        <v>0.2966</v>
      </c>
      <c r="AB76" s="57"/>
      <c r="AD76" s="35"/>
      <c r="AE76" s="35"/>
      <c r="AH76" s="19"/>
      <c r="AI76" s="58"/>
    </row>
    <row r="77" ht="15" customHeight="1" spans="1:35" x14ac:dyDescent="0.25">
      <c r="A77" s="19"/>
      <c r="B77" s="20"/>
      <c r="C77" s="51" t="s">
        <v>97</v>
      </c>
      <c r="D77" s="52"/>
      <c r="E77" s="52"/>
      <c r="F77" s="52"/>
      <c r="G77" s="53"/>
      <c r="H77" s="52"/>
      <c r="I77" s="52"/>
      <c r="J77" s="52"/>
      <c r="K77" s="52"/>
      <c r="L77" s="52"/>
      <c r="M77" s="53"/>
      <c r="N77" s="53"/>
      <c r="O77" s="52"/>
      <c r="P77" s="52"/>
      <c r="Q77" s="52"/>
      <c r="R77" s="53"/>
      <c r="S77" s="54"/>
      <c r="T77" s="54"/>
      <c r="U77" s="54"/>
      <c r="V77" s="53"/>
      <c r="W77" s="53"/>
      <c r="X77" s="55"/>
      <c r="Y77" s="55"/>
      <c r="Z77" s="53"/>
      <c r="AA77" s="56"/>
      <c r="AB77" s="57"/>
      <c r="AD77" s="35" t="s">
        <v>98</v>
      </c>
      <c r="AE77" s="36">
        <v>0</v>
      </c>
      <c r="AH77" s="19"/>
      <c r="AI77" s="58"/>
    </row>
    <row r="78" ht="15" customHeight="1" spans="1:35" x14ac:dyDescent="0.25">
      <c r="A78" s="19"/>
      <c r="B78" s="20"/>
      <c r="C78" s="51" t="s">
        <v>99</v>
      </c>
      <c r="D78" s="52"/>
      <c r="E78" s="52"/>
      <c r="F78" s="52"/>
      <c r="G78" s="53"/>
      <c r="H78" s="52"/>
      <c r="I78" s="52"/>
      <c r="J78" s="52"/>
      <c r="K78" s="52"/>
      <c r="L78" s="52"/>
      <c r="M78" s="53"/>
      <c r="N78" s="53"/>
      <c r="O78" s="52"/>
      <c r="P78" s="52"/>
      <c r="Q78" s="52"/>
      <c r="R78" s="53"/>
      <c r="S78" s="54"/>
      <c r="T78" s="54"/>
      <c r="U78" s="54"/>
      <c r="V78" s="53"/>
      <c r="W78" s="53"/>
      <c r="X78" s="55"/>
      <c r="Y78" s="55"/>
      <c r="Z78" s="53"/>
      <c r="AA78" s="56"/>
      <c r="AB78" s="57"/>
      <c r="AD78" s="35"/>
      <c r="AE78" s="35"/>
      <c r="AH78" s="19"/>
      <c r="AI78" s="58"/>
    </row>
    <row r="79" ht="15" customHeight="1" spans="1:35" x14ac:dyDescent="0.25">
      <c r="A79" s="19"/>
      <c r="B79" s="20"/>
      <c r="C79" s="51" t="s">
        <v>100</v>
      </c>
      <c r="D79" s="52"/>
      <c r="E79" s="52"/>
      <c r="F79" s="52"/>
      <c r="G79" s="53"/>
      <c r="H79" s="52"/>
      <c r="I79" s="52"/>
      <c r="J79" s="52"/>
      <c r="K79" s="52"/>
      <c r="L79" s="52"/>
      <c r="M79" s="53"/>
      <c r="N79" s="53"/>
      <c r="O79" s="52"/>
      <c r="P79" s="52"/>
      <c r="Q79" s="52"/>
      <c r="R79" s="53"/>
      <c r="S79" s="54"/>
      <c r="T79" s="54"/>
      <c r="U79" s="54"/>
      <c r="V79" s="53"/>
      <c r="W79" s="53"/>
      <c r="X79" s="55"/>
      <c r="Y79" s="55"/>
      <c r="Z79" s="53"/>
      <c r="AA79" s="56"/>
      <c r="AB79" s="57"/>
      <c r="AD79" s="35"/>
      <c r="AE79" s="35"/>
      <c r="AH79" s="59"/>
      <c r="AI79" s="60"/>
    </row>
    <row r="80" ht="9" customHeight="1" spans="1:35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D80" s="35"/>
      <c r="AE80" s="35"/>
      <c r="AH80" s="35"/>
      <c r="AI80" s="35"/>
    </row>
    <row r="81" ht="15" customHeight="1" spans="1:35" x14ac:dyDescent="0.25">
      <c r="A81" s="19">
        <v>8352</v>
      </c>
      <c r="B81" s="20" t="s">
        <v>41</v>
      </c>
      <c r="C81" s="51" t="s">
        <v>92</v>
      </c>
      <c r="D81" s="52">
        <v>25467.84</v>
      </c>
      <c r="E81" s="52">
        <v>19598.41</v>
      </c>
      <c r="F81" s="52">
        <v>5869.43</v>
      </c>
      <c r="G81" s="53">
        <v>0.2304643817457625</v>
      </c>
      <c r="H81" s="52">
        <v>16606.83</v>
      </c>
      <c r="I81" s="52">
        <v>12958.24</v>
      </c>
      <c r="J81" s="52">
        <v>9659.990000000002</v>
      </c>
      <c r="K81" s="52">
        <v>5354.12</v>
      </c>
      <c r="L81" s="52">
        <v>4305.870000000002</v>
      </c>
      <c r="M81" s="53">
        <v>0.44574269745620865</v>
      </c>
      <c r="N81" s="53">
        <v>0</v>
      </c>
      <c r="O81" s="52">
        <v>6946.84</v>
      </c>
      <c r="P81" s="52">
        <v>7604.12</v>
      </c>
      <c r="Q81" s="52">
        <v>-657.2799999999997</v>
      </c>
      <c r="R81" s="53">
        <v>-0.09461568137455299</v>
      </c>
      <c r="S81" s="54">
        <v>139.07</v>
      </c>
      <c r="T81" s="54">
        <v>147.75</v>
      </c>
      <c r="U81" s="54">
        <v>-8.680000000000007</v>
      </c>
      <c r="V81" s="53">
        <v>-0.06241461134680382</v>
      </c>
      <c r="W81" s="53"/>
      <c r="X81" s="55">
        <v>44.94192893401015</v>
      </c>
      <c r="Y81" s="55">
        <v>63.7162162306752</v>
      </c>
      <c r="Z81" s="53">
        <v>0.33880000000000005</v>
      </c>
      <c r="AA81" s="56">
        <v>0.3479</v>
      </c>
      <c r="AB81" s="57"/>
      <c r="AD81" s="35" t="s">
        <v>93</v>
      </c>
      <c r="AE81" s="35">
        <v>-143.25</v>
      </c>
      <c r="AH81" s="19">
        <v>-143.25</v>
      </c>
      <c r="AI81" s="58">
        <v>-5569.48</v>
      </c>
    </row>
    <row r="82" ht="15" customHeight="1" spans="1:35" x14ac:dyDescent="0.25">
      <c r="A82" s="19"/>
      <c r="B82" s="20"/>
      <c r="C82" s="51" t="s">
        <v>94</v>
      </c>
      <c r="D82" s="52">
        <v>25467.84</v>
      </c>
      <c r="E82" s="52">
        <v>19598.41</v>
      </c>
      <c r="F82" s="52">
        <v>5869.43</v>
      </c>
      <c r="G82" s="53">
        <v>0.2304643817457625</v>
      </c>
      <c r="H82" s="52">
        <v>16606.83</v>
      </c>
      <c r="I82" s="52">
        <v>12958.24</v>
      </c>
      <c r="J82" s="52">
        <v>9659.990000000002</v>
      </c>
      <c r="K82" s="52">
        <v>5354.12</v>
      </c>
      <c r="L82" s="52">
        <v>4305.870000000002</v>
      </c>
      <c r="M82" s="53">
        <v>0.44574269745620865</v>
      </c>
      <c r="N82" s="53"/>
      <c r="O82" s="52">
        <v>6946.84</v>
      </c>
      <c r="P82" s="52">
        <v>7604.12</v>
      </c>
      <c r="Q82" s="52">
        <v>-657.2799999999997</v>
      </c>
      <c r="R82" s="53">
        <v>-0.09461568137455299</v>
      </c>
      <c r="S82" s="54">
        <v>139.07</v>
      </c>
      <c r="T82" s="54">
        <v>147.75</v>
      </c>
      <c r="U82" s="54">
        <v>-8.680000000000007</v>
      </c>
      <c r="V82" s="53">
        <v>-0.06241461134680382</v>
      </c>
      <c r="W82" s="53"/>
      <c r="X82" s="55">
        <v>44.94192893401015</v>
      </c>
      <c r="Y82" s="55">
        <v>63.7162162306752</v>
      </c>
      <c r="Z82" s="53">
        <v>0.33880000000000005</v>
      </c>
      <c r="AA82" s="56">
        <v>0.3479</v>
      </c>
      <c r="AB82" s="57"/>
      <c r="AD82" s="35" t="s">
        <v>95</v>
      </c>
      <c r="AE82" s="36">
        <v>-5569.48</v>
      </c>
      <c r="AH82" s="19"/>
      <c r="AI82" s="58"/>
    </row>
    <row r="83" ht="15" customHeight="1" spans="1:35" x14ac:dyDescent="0.25">
      <c r="A83" s="19"/>
      <c r="B83" s="20"/>
      <c r="C83" s="51" t="s">
        <v>96</v>
      </c>
      <c r="D83" s="52">
        <v>25467.84</v>
      </c>
      <c r="E83" s="52">
        <v>19598.41</v>
      </c>
      <c r="F83" s="52">
        <v>5869.43</v>
      </c>
      <c r="G83" s="53">
        <v>0.2304643817457625</v>
      </c>
      <c r="H83" s="52">
        <v>16606.83</v>
      </c>
      <c r="I83" s="52">
        <v>11832.36</v>
      </c>
      <c r="J83" s="52">
        <v>9659.990000000002</v>
      </c>
      <c r="K83" s="52">
        <v>4228.240000000001</v>
      </c>
      <c r="L83" s="52">
        <v>5431.750000000001</v>
      </c>
      <c r="M83" s="53">
        <v>0.5622935427469387</v>
      </c>
      <c r="N83" s="53"/>
      <c r="O83" s="52">
        <v>6946.84</v>
      </c>
      <c r="P83" s="52">
        <v>7604.12</v>
      </c>
      <c r="Q83" s="52">
        <v>-657.2799999999997</v>
      </c>
      <c r="R83" s="53">
        <v>-0.09461568137455299</v>
      </c>
      <c r="S83" s="54">
        <v>139.07</v>
      </c>
      <c r="T83" s="54">
        <v>147.75</v>
      </c>
      <c r="U83" s="54">
        <v>-8.680000000000007</v>
      </c>
      <c r="V83" s="53">
        <v>-0.06241461134680382</v>
      </c>
      <c r="W83" s="53"/>
      <c r="X83" s="55">
        <v>52.562098138747885</v>
      </c>
      <c r="Y83" s="55">
        <v>63.7162162306752</v>
      </c>
      <c r="Z83" s="53">
        <v>0.39630000000000004</v>
      </c>
      <c r="AA83" s="56">
        <v>0.3479</v>
      </c>
      <c r="AB83" s="57"/>
      <c r="AD83" s="35"/>
      <c r="AE83" s="35"/>
      <c r="AH83" s="19"/>
      <c r="AI83" s="58"/>
    </row>
    <row r="84" ht="15" customHeight="1" spans="1:35" x14ac:dyDescent="0.25">
      <c r="A84" s="19"/>
      <c r="B84" s="20"/>
      <c r="C84" s="51" t="s">
        <v>97</v>
      </c>
      <c r="D84" s="52"/>
      <c r="E84" s="52"/>
      <c r="F84" s="52"/>
      <c r="G84" s="53"/>
      <c r="H84" s="52"/>
      <c r="I84" s="52"/>
      <c r="J84" s="52"/>
      <c r="K84" s="52"/>
      <c r="L84" s="52"/>
      <c r="M84" s="53"/>
      <c r="N84" s="53"/>
      <c r="O84" s="52"/>
      <c r="P84" s="52"/>
      <c r="Q84" s="52"/>
      <c r="R84" s="53"/>
      <c r="S84" s="54"/>
      <c r="T84" s="54"/>
      <c r="U84" s="54"/>
      <c r="V84" s="53"/>
      <c r="W84" s="53"/>
      <c r="X84" s="55"/>
      <c r="Y84" s="55"/>
      <c r="Z84" s="53"/>
      <c r="AA84" s="56"/>
      <c r="AB84" s="57"/>
      <c r="AD84" s="35" t="s">
        <v>98</v>
      </c>
      <c r="AE84" s="36">
        <v>0</v>
      </c>
      <c r="AH84" s="19"/>
      <c r="AI84" s="58"/>
    </row>
    <row r="85" ht="15" customHeight="1" spans="1:35" x14ac:dyDescent="0.25">
      <c r="A85" s="19"/>
      <c r="B85" s="20"/>
      <c r="C85" s="51" t="s">
        <v>99</v>
      </c>
      <c r="D85" s="52"/>
      <c r="E85" s="52"/>
      <c r="F85" s="52"/>
      <c r="G85" s="53"/>
      <c r="H85" s="52"/>
      <c r="I85" s="52"/>
      <c r="J85" s="52"/>
      <c r="K85" s="52"/>
      <c r="L85" s="52"/>
      <c r="M85" s="53"/>
      <c r="N85" s="53"/>
      <c r="O85" s="52"/>
      <c r="P85" s="52"/>
      <c r="Q85" s="52"/>
      <c r="R85" s="53"/>
      <c r="S85" s="54"/>
      <c r="T85" s="54"/>
      <c r="U85" s="54"/>
      <c r="V85" s="53"/>
      <c r="W85" s="53"/>
      <c r="X85" s="55"/>
      <c r="Y85" s="55"/>
      <c r="Z85" s="53"/>
      <c r="AA85" s="56"/>
      <c r="AB85" s="57"/>
      <c r="AD85" s="35"/>
      <c r="AE85" s="35"/>
      <c r="AH85" s="19"/>
      <c r="AI85" s="58"/>
    </row>
    <row r="86" ht="15" customHeight="1" spans="1:35" x14ac:dyDescent="0.25">
      <c r="A86" s="19"/>
      <c r="B86" s="20"/>
      <c r="C86" s="51" t="s">
        <v>100</v>
      </c>
      <c r="D86" s="52"/>
      <c r="E86" s="52"/>
      <c r="F86" s="52"/>
      <c r="G86" s="53"/>
      <c r="H86" s="52"/>
      <c r="I86" s="52"/>
      <c r="J86" s="52"/>
      <c r="K86" s="52"/>
      <c r="L86" s="52"/>
      <c r="M86" s="53"/>
      <c r="N86" s="53"/>
      <c r="O86" s="52"/>
      <c r="P86" s="52"/>
      <c r="Q86" s="52"/>
      <c r="R86" s="53"/>
      <c r="S86" s="54"/>
      <c r="T86" s="54"/>
      <c r="U86" s="54"/>
      <c r="V86" s="53"/>
      <c r="W86" s="53"/>
      <c r="X86" s="55"/>
      <c r="Y86" s="55"/>
      <c r="Z86" s="53"/>
      <c r="AA86" s="56"/>
      <c r="AB86" s="57"/>
      <c r="AD86" s="35"/>
      <c r="AE86" s="35"/>
      <c r="AH86" s="59">
        <v>-143.25</v>
      </c>
      <c r="AI86" s="60">
        <v>-5569.48</v>
      </c>
    </row>
    <row r="87" ht="9" customHeight="1" spans="1:35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D87" s="35"/>
      <c r="AE87" s="35"/>
      <c r="AH87" s="35"/>
      <c r="AI87" s="35"/>
    </row>
    <row r="88" ht="15" customHeight="1" spans="1:35" x14ac:dyDescent="0.25">
      <c r="A88" s="19">
        <v>8234</v>
      </c>
      <c r="B88" s="20" t="s">
        <v>43</v>
      </c>
      <c r="C88" s="51" t="s">
        <v>92</v>
      </c>
      <c r="D88" s="67">
        <v>37083.03</v>
      </c>
      <c r="E88" s="67">
        <v>36381.33</v>
      </c>
      <c r="F88" s="52">
        <v>701.6999999999971</v>
      </c>
      <c r="G88" s="53">
        <v>0.018922401972007064</v>
      </c>
      <c r="H88" s="52">
        <v>27002.93</v>
      </c>
      <c r="I88" s="52">
        <v>26005.99</v>
      </c>
      <c r="J88" s="52">
        <v>15440.32</v>
      </c>
      <c r="K88" s="52">
        <v>14988.440000000002</v>
      </c>
      <c r="L88" s="52">
        <v>451.8799999999974</v>
      </c>
      <c r="M88" s="53">
        <v>0.029266232824190004</v>
      </c>
      <c r="N88" s="53">
        <v>0</v>
      </c>
      <c r="O88" s="52">
        <v>11562.61</v>
      </c>
      <c r="P88" s="52">
        <v>11017.55</v>
      </c>
      <c r="Q88" s="52">
        <v>545.0600000000013</v>
      </c>
      <c r="R88" s="53">
        <v>0.04713987585847843</v>
      </c>
      <c r="S88" s="68">
        <v>231.75</v>
      </c>
      <c r="T88" s="68">
        <v>224.25</v>
      </c>
      <c r="U88" s="54">
        <v>7.5</v>
      </c>
      <c r="V88" s="53">
        <v>0.032362459546925564</v>
      </c>
      <c r="W88" s="53"/>
      <c r="X88" s="55">
        <v>46.26684503901895</v>
      </c>
      <c r="Y88" s="55">
        <v>43.49557070636461</v>
      </c>
      <c r="Z88" s="53">
        <v>0.2852</v>
      </c>
      <c r="AA88" s="56">
        <v>0.2718</v>
      </c>
      <c r="AB88" s="57"/>
      <c r="AD88" s="35" t="s">
        <v>93</v>
      </c>
      <c r="AE88" s="35">
        <v>-148.5</v>
      </c>
      <c r="AH88" s="19">
        <v>-148.5</v>
      </c>
      <c r="AI88" s="58">
        <v>-14143.19</v>
      </c>
    </row>
    <row r="89" ht="15" customHeight="1" spans="1:35" x14ac:dyDescent="0.25">
      <c r="A89" s="19"/>
      <c r="B89" s="20"/>
      <c r="C89" s="51" t="s">
        <v>94</v>
      </c>
      <c r="D89" s="67">
        <v>37083.03</v>
      </c>
      <c r="E89" s="67">
        <v>36381.33</v>
      </c>
      <c r="F89" s="52">
        <v>701.6999999999971</v>
      </c>
      <c r="G89" s="53">
        <v>0.018922401972007064</v>
      </c>
      <c r="H89" s="52">
        <v>27002.93</v>
      </c>
      <c r="I89" s="52">
        <v>25060.53</v>
      </c>
      <c r="J89" s="52">
        <v>15440.32</v>
      </c>
      <c r="K89" s="52">
        <v>13974.73</v>
      </c>
      <c r="L89" s="52">
        <v>1465.5900000000001</v>
      </c>
      <c r="M89" s="53">
        <v>0.09491966487741188</v>
      </c>
      <c r="N89" s="53"/>
      <c r="O89" s="52">
        <v>11562.61</v>
      </c>
      <c r="P89" s="52">
        <v>11085.8</v>
      </c>
      <c r="Q89" s="52">
        <v>476.8100000000013</v>
      </c>
      <c r="R89" s="53">
        <v>0.041237229310683424</v>
      </c>
      <c r="S89" s="68">
        <v>231.75</v>
      </c>
      <c r="T89" s="68">
        <v>225.5</v>
      </c>
      <c r="U89" s="54">
        <v>6.25</v>
      </c>
      <c r="V89" s="53">
        <v>0.02696871628910464</v>
      </c>
      <c r="W89" s="53"/>
      <c r="X89" s="55">
        <v>50.20310421286031</v>
      </c>
      <c r="Y89" s="55">
        <v>43.49557070636461</v>
      </c>
      <c r="Z89" s="53">
        <v>0.31120000000000003</v>
      </c>
      <c r="AA89" s="56">
        <v>0.2718</v>
      </c>
      <c r="AB89" s="57"/>
      <c r="AD89" s="35" t="s">
        <v>95</v>
      </c>
      <c r="AE89" s="36">
        <v>-14143.19</v>
      </c>
      <c r="AH89" s="19"/>
      <c r="AI89" s="58"/>
    </row>
    <row r="90" ht="15" customHeight="1" spans="1:35" x14ac:dyDescent="0.25">
      <c r="A90" s="19"/>
      <c r="B90" s="20"/>
      <c r="C90" s="51" t="s">
        <v>96</v>
      </c>
      <c r="D90" s="67">
        <v>37083.03</v>
      </c>
      <c r="E90" s="67">
        <v>36381.33</v>
      </c>
      <c r="F90" s="52">
        <v>701.6999999999971</v>
      </c>
      <c r="G90" s="53">
        <v>0.018922401972007064</v>
      </c>
      <c r="H90" s="52">
        <v>27002.93</v>
      </c>
      <c r="I90" s="52">
        <v>25060.53</v>
      </c>
      <c r="J90" s="52">
        <v>15440.32</v>
      </c>
      <c r="K90" s="52">
        <v>13974.73</v>
      </c>
      <c r="L90" s="52">
        <v>1465.5900000000001</v>
      </c>
      <c r="M90" s="53">
        <v>0.09491966487741188</v>
      </c>
      <c r="N90" s="53"/>
      <c r="O90" s="52">
        <v>11562.61</v>
      </c>
      <c r="P90" s="52">
        <v>11085.8</v>
      </c>
      <c r="Q90" s="52">
        <v>476.8100000000013</v>
      </c>
      <c r="R90" s="53">
        <v>0.041237229310683424</v>
      </c>
      <c r="S90" s="68">
        <v>231.75</v>
      </c>
      <c r="T90" s="68">
        <v>225.5</v>
      </c>
      <c r="U90" s="54">
        <v>6.25</v>
      </c>
      <c r="V90" s="53">
        <v>0.02696871628910464</v>
      </c>
      <c r="W90" s="53"/>
      <c r="X90" s="55">
        <v>50.20310421286031</v>
      </c>
      <c r="Y90" s="55">
        <v>43.49557070636461</v>
      </c>
      <c r="Z90" s="53">
        <v>0.31120000000000003</v>
      </c>
      <c r="AA90" s="56">
        <v>0.2718</v>
      </c>
      <c r="AB90" s="57"/>
      <c r="AD90" s="35"/>
      <c r="AE90" s="35"/>
      <c r="AH90" s="19"/>
      <c r="AI90" s="58"/>
    </row>
    <row r="91" ht="15" customHeight="1" spans="1:35" x14ac:dyDescent="0.25">
      <c r="A91" s="19"/>
      <c r="B91" s="20"/>
      <c r="C91" s="51" t="s">
        <v>97</v>
      </c>
      <c r="D91" s="67"/>
      <c r="E91" s="67"/>
      <c r="F91" s="52"/>
      <c r="G91" s="53"/>
      <c r="H91" s="52"/>
      <c r="I91" s="52"/>
      <c r="J91" s="52"/>
      <c r="K91" s="52"/>
      <c r="L91" s="52"/>
      <c r="M91" s="53"/>
      <c r="N91" s="53"/>
      <c r="O91" s="52"/>
      <c r="P91" s="52"/>
      <c r="Q91" s="52"/>
      <c r="R91" s="53"/>
      <c r="S91" s="68"/>
      <c r="T91" s="68"/>
      <c r="U91" s="54"/>
      <c r="V91" s="53"/>
      <c r="W91" s="53"/>
      <c r="X91" s="55"/>
      <c r="Y91" s="55"/>
      <c r="Z91" s="53"/>
      <c r="AA91" s="56"/>
      <c r="AB91" s="57"/>
      <c r="AD91" s="35" t="s">
        <v>98</v>
      </c>
      <c r="AE91" s="36">
        <v>0</v>
      </c>
      <c r="AH91" s="19"/>
      <c r="AI91" s="58"/>
    </row>
    <row r="92" ht="15" customHeight="1" spans="1:35" x14ac:dyDescent="0.25">
      <c r="A92" s="19"/>
      <c r="B92" s="20"/>
      <c r="C92" s="51" t="s">
        <v>99</v>
      </c>
      <c r="D92" s="67"/>
      <c r="E92" s="67"/>
      <c r="F92" s="52"/>
      <c r="G92" s="53"/>
      <c r="H92" s="52"/>
      <c r="I92" s="52"/>
      <c r="J92" s="52"/>
      <c r="K92" s="52"/>
      <c r="L92" s="52"/>
      <c r="M92" s="53"/>
      <c r="N92" s="53"/>
      <c r="O92" s="52"/>
      <c r="P92" s="52"/>
      <c r="Q92" s="52"/>
      <c r="R92" s="53"/>
      <c r="S92" s="68"/>
      <c r="T92" s="68"/>
      <c r="U92" s="54"/>
      <c r="V92" s="53"/>
      <c r="W92" s="53"/>
      <c r="X92" s="55"/>
      <c r="Y92" s="55"/>
      <c r="Z92" s="53"/>
      <c r="AA92" s="56"/>
      <c r="AB92" s="57"/>
      <c r="AD92" s="35"/>
      <c r="AE92" s="35"/>
      <c r="AH92" s="19"/>
      <c r="AI92" s="58"/>
    </row>
    <row r="93" ht="15" customHeight="1" spans="1:35" x14ac:dyDescent="0.25">
      <c r="A93" s="19"/>
      <c r="B93" s="20"/>
      <c r="C93" s="51" t="s">
        <v>100</v>
      </c>
      <c r="D93" s="67"/>
      <c r="E93" s="67"/>
      <c r="F93" s="52"/>
      <c r="G93" s="53"/>
      <c r="H93" s="52"/>
      <c r="I93" s="52"/>
      <c r="J93" s="52"/>
      <c r="K93" s="52"/>
      <c r="L93" s="52"/>
      <c r="M93" s="53"/>
      <c r="N93" s="53"/>
      <c r="O93" s="52"/>
      <c r="P93" s="52"/>
      <c r="Q93" s="52"/>
      <c r="R93" s="53"/>
      <c r="S93" s="68"/>
      <c r="T93" s="68"/>
      <c r="U93" s="54"/>
      <c r="V93" s="53"/>
      <c r="W93" s="53"/>
      <c r="X93" s="55"/>
      <c r="Y93" s="55"/>
      <c r="Z93" s="53"/>
      <c r="AA93" s="56"/>
      <c r="AB93" s="57"/>
      <c r="AD93" s="35"/>
      <c r="AE93" s="35"/>
      <c r="AH93" s="59">
        <v>-148.5</v>
      </c>
      <c r="AI93" s="60">
        <v>-14143.19</v>
      </c>
    </row>
    <row r="94" ht="9" customHeight="1" spans="1:35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D94" s="35"/>
      <c r="AE94" s="35"/>
      <c r="AH94" s="35"/>
      <c r="AI94" s="35"/>
    </row>
    <row r="95" ht="15" customHeight="1" spans="1:35" x14ac:dyDescent="0.25">
      <c r="A95" s="19">
        <v>8214</v>
      </c>
      <c r="B95" s="20" t="s">
        <v>44</v>
      </c>
      <c r="C95" s="51" t="s">
        <v>92</v>
      </c>
      <c r="D95" s="52">
        <v>26186.14</v>
      </c>
      <c r="E95" s="52">
        <v>5762.27</v>
      </c>
      <c r="F95" s="52">
        <v>20423.87</v>
      </c>
      <c r="G95" s="53">
        <v>0.7799496222047235</v>
      </c>
      <c r="H95" s="52">
        <v>19428.98</v>
      </c>
      <c r="I95" s="52">
        <v>7925.81</v>
      </c>
      <c r="J95" s="52">
        <v>12051.32</v>
      </c>
      <c r="K95" s="52">
        <v>7679.910000000001</v>
      </c>
      <c r="L95" s="52">
        <v>4371.409999999999</v>
      </c>
      <c r="M95" s="53">
        <v>0.36273287905391266</v>
      </c>
      <c r="N95" s="53">
        <v>0</v>
      </c>
      <c r="O95" s="52">
        <v>7377.66</v>
      </c>
      <c r="P95" s="52">
        <v>245.9</v>
      </c>
      <c r="Q95" s="52">
        <v>7131.76</v>
      </c>
      <c r="R95" s="53">
        <v>0.9666696486419813</v>
      </c>
      <c r="S95" s="54">
        <v>147.9</v>
      </c>
      <c r="T95" s="54">
        <v>5</v>
      </c>
      <c r="U95" s="54">
        <v>142.9</v>
      </c>
      <c r="V95" s="53">
        <v>0.9661933739012847</v>
      </c>
      <c r="W95" s="53"/>
      <c r="X95" s="55">
        <v>-432.70799999999997</v>
      </c>
      <c r="Y95" s="55">
        <v>45.687352144692355</v>
      </c>
      <c r="Z95" s="53">
        <v>-0.37549999999999994</v>
      </c>
      <c r="AA95" s="56">
        <v>0.258</v>
      </c>
      <c r="AB95" s="57"/>
      <c r="AD95" s="35" t="s">
        <v>93</v>
      </c>
      <c r="AE95" s="35">
        <v>-5</v>
      </c>
      <c r="AH95" s="19">
        <v>-5</v>
      </c>
      <c r="AI95" s="58">
        <v>-7679.91</v>
      </c>
    </row>
    <row r="96" ht="15" customHeight="1" spans="1:35" x14ac:dyDescent="0.25">
      <c r="A96" s="19"/>
      <c r="B96" s="20"/>
      <c r="C96" s="51" t="s">
        <v>94</v>
      </c>
      <c r="D96" s="52">
        <v>26186.14</v>
      </c>
      <c r="E96" s="52">
        <v>5762.27</v>
      </c>
      <c r="F96" s="52">
        <v>20423.87</v>
      </c>
      <c r="G96" s="53">
        <v>0.7799496222047235</v>
      </c>
      <c r="H96" s="52">
        <v>19428.98</v>
      </c>
      <c r="I96" s="52">
        <v>7925.81</v>
      </c>
      <c r="J96" s="52">
        <v>12051.32</v>
      </c>
      <c r="K96" s="52">
        <v>7679.910000000001</v>
      </c>
      <c r="L96" s="52">
        <v>4371.409999999999</v>
      </c>
      <c r="M96" s="53">
        <v>0.36273287905391266</v>
      </c>
      <c r="N96" s="53"/>
      <c r="O96" s="52">
        <v>7377.66</v>
      </c>
      <c r="P96" s="52">
        <v>245.9</v>
      </c>
      <c r="Q96" s="52">
        <v>7131.76</v>
      </c>
      <c r="R96" s="53">
        <v>0.9666696486419813</v>
      </c>
      <c r="S96" s="54">
        <v>147.9</v>
      </c>
      <c r="T96" s="54">
        <v>5</v>
      </c>
      <c r="U96" s="54">
        <v>142.9</v>
      </c>
      <c r="V96" s="53">
        <v>0.9661933739012847</v>
      </c>
      <c r="W96" s="53"/>
      <c r="X96" s="55">
        <v>-432.70799999999997</v>
      </c>
      <c r="Y96" s="55">
        <v>45.687352144692355</v>
      </c>
      <c r="Z96" s="53">
        <v>-0.37549999999999994</v>
      </c>
      <c r="AA96" s="56">
        <v>0.258</v>
      </c>
      <c r="AB96" s="57"/>
      <c r="AD96" s="35" t="s">
        <v>95</v>
      </c>
      <c r="AE96" s="36">
        <v>-7679.91</v>
      </c>
      <c r="AH96" s="19"/>
      <c r="AI96" s="58"/>
    </row>
    <row r="97" ht="15" customHeight="1" spans="1:35" x14ac:dyDescent="0.25">
      <c r="A97" s="19"/>
      <c r="B97" s="20"/>
      <c r="C97" s="51" t="s">
        <v>96</v>
      </c>
      <c r="D97" s="52">
        <v>26186.14</v>
      </c>
      <c r="E97" s="52">
        <v>5762.27</v>
      </c>
      <c r="F97" s="52">
        <v>20423.87</v>
      </c>
      <c r="G97" s="53">
        <v>0.7799496222047235</v>
      </c>
      <c r="H97" s="52">
        <v>19428.98</v>
      </c>
      <c r="I97" s="52">
        <v>7925.81</v>
      </c>
      <c r="J97" s="52">
        <v>12051.32</v>
      </c>
      <c r="K97" s="52">
        <v>7679.910000000001</v>
      </c>
      <c r="L97" s="52">
        <v>4371.409999999999</v>
      </c>
      <c r="M97" s="53">
        <v>0.36273287905391266</v>
      </c>
      <c r="N97" s="53"/>
      <c r="O97" s="52">
        <v>7377.66</v>
      </c>
      <c r="P97" s="52">
        <v>245.9</v>
      </c>
      <c r="Q97" s="52">
        <v>7131.76</v>
      </c>
      <c r="R97" s="53">
        <v>0.9666696486419813</v>
      </c>
      <c r="S97" s="54">
        <v>147.9</v>
      </c>
      <c r="T97" s="54">
        <v>5</v>
      </c>
      <c r="U97" s="54">
        <v>142.9</v>
      </c>
      <c r="V97" s="53">
        <v>0.9661933739012847</v>
      </c>
      <c r="W97" s="53"/>
      <c r="X97" s="55">
        <v>-432.70799999999997</v>
      </c>
      <c r="Y97" s="55">
        <v>45.687352144692355</v>
      </c>
      <c r="Z97" s="53">
        <v>-0.37549999999999994</v>
      </c>
      <c r="AA97" s="56">
        <v>0.258</v>
      </c>
      <c r="AB97" s="57"/>
      <c r="AD97" s="35"/>
      <c r="AE97" s="35"/>
      <c r="AH97" s="19"/>
      <c r="AI97" s="58"/>
    </row>
    <row r="98" ht="15" customHeight="1" spans="1:35" x14ac:dyDescent="0.25">
      <c r="A98" s="19"/>
      <c r="B98" s="20"/>
      <c r="C98" s="51" t="s">
        <v>97</v>
      </c>
      <c r="D98" s="52"/>
      <c r="E98" s="52"/>
      <c r="F98" s="52"/>
      <c r="G98" s="53"/>
      <c r="H98" s="52"/>
      <c r="I98" s="52"/>
      <c r="J98" s="52"/>
      <c r="K98" s="52"/>
      <c r="L98" s="52"/>
      <c r="M98" s="53"/>
      <c r="N98" s="53"/>
      <c r="O98" s="52"/>
      <c r="P98" s="52"/>
      <c r="Q98" s="52"/>
      <c r="R98" s="53"/>
      <c r="S98" s="54"/>
      <c r="T98" s="54"/>
      <c r="U98" s="54"/>
      <c r="V98" s="53"/>
      <c r="W98" s="53"/>
      <c r="X98" s="55"/>
      <c r="Y98" s="55"/>
      <c r="Z98" s="53"/>
      <c r="AA98" s="56"/>
      <c r="AB98" s="57"/>
      <c r="AD98" s="35" t="s">
        <v>98</v>
      </c>
      <c r="AE98" s="36">
        <v>0</v>
      </c>
      <c r="AH98" s="19"/>
      <c r="AI98" s="58"/>
    </row>
    <row r="99" ht="15" customHeight="1" spans="1:35" x14ac:dyDescent="0.25">
      <c r="A99" s="19"/>
      <c r="B99" s="20"/>
      <c r="C99" s="51" t="s">
        <v>99</v>
      </c>
      <c r="D99" s="52"/>
      <c r="E99" s="52"/>
      <c r="F99" s="52"/>
      <c r="G99" s="53"/>
      <c r="H99" s="52"/>
      <c r="I99" s="52"/>
      <c r="J99" s="52"/>
      <c r="K99" s="52"/>
      <c r="L99" s="52"/>
      <c r="M99" s="53"/>
      <c r="N99" s="53"/>
      <c r="O99" s="52"/>
      <c r="P99" s="52"/>
      <c r="Q99" s="52"/>
      <c r="R99" s="53"/>
      <c r="S99" s="54"/>
      <c r="T99" s="54"/>
      <c r="U99" s="54"/>
      <c r="V99" s="53"/>
      <c r="W99" s="53"/>
      <c r="X99" s="55"/>
      <c r="Y99" s="55"/>
      <c r="Z99" s="53"/>
      <c r="AA99" s="56"/>
      <c r="AB99" s="57"/>
      <c r="AD99" s="35"/>
      <c r="AE99" s="35"/>
      <c r="AH99" s="19"/>
      <c r="AI99" s="58"/>
    </row>
    <row r="100" ht="15" customHeight="1" spans="1:35" x14ac:dyDescent="0.25">
      <c r="A100" s="19"/>
      <c r="B100" s="20"/>
      <c r="C100" s="51" t="s">
        <v>100</v>
      </c>
      <c r="D100" s="52"/>
      <c r="E100" s="52"/>
      <c r="F100" s="52"/>
      <c r="G100" s="53"/>
      <c r="H100" s="52"/>
      <c r="I100" s="52"/>
      <c r="J100" s="52"/>
      <c r="K100" s="52"/>
      <c r="L100" s="52"/>
      <c r="M100" s="53"/>
      <c r="N100" s="53"/>
      <c r="O100" s="52"/>
      <c r="P100" s="52"/>
      <c r="Q100" s="52"/>
      <c r="R100" s="53"/>
      <c r="S100" s="54"/>
      <c r="T100" s="54"/>
      <c r="U100" s="54"/>
      <c r="V100" s="53"/>
      <c r="W100" s="53"/>
      <c r="X100" s="55"/>
      <c r="Y100" s="55"/>
      <c r="Z100" s="53"/>
      <c r="AA100" s="56"/>
      <c r="AB100" s="57"/>
      <c r="AD100" s="35"/>
      <c r="AE100" s="35"/>
      <c r="AH100" s="59">
        <v>-5</v>
      </c>
      <c r="AI100" s="60">
        <v>-7679.91</v>
      </c>
    </row>
    <row r="101" ht="9" customHeight="1" spans="1:35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D101" s="35"/>
      <c r="AE101" s="35"/>
      <c r="AH101" s="35"/>
      <c r="AI101" s="35"/>
    </row>
    <row r="102" ht="15" customHeight="1" spans="1:35" x14ac:dyDescent="0.25">
      <c r="A102" s="19">
        <v>6792</v>
      </c>
      <c r="B102" s="20" t="s">
        <v>45</v>
      </c>
      <c r="C102" s="51" t="s">
        <v>92</v>
      </c>
      <c r="D102" s="52">
        <v>32473.02</v>
      </c>
      <c r="E102" s="52">
        <v>33188.03</v>
      </c>
      <c r="F102" s="52">
        <v>-715.0099999999984</v>
      </c>
      <c r="G102" s="53">
        <v>-0.022018586506582952</v>
      </c>
      <c r="H102" s="52">
        <v>23075.07</v>
      </c>
      <c r="I102" s="52">
        <v>30925.21</v>
      </c>
      <c r="J102" s="52">
        <v>12691.21</v>
      </c>
      <c r="K102" s="52">
        <v>15184.269999999999</v>
      </c>
      <c r="L102" s="52">
        <v>-2493.0599999999995</v>
      </c>
      <c r="M102" s="53">
        <v>-0.1964398981657383</v>
      </c>
      <c r="N102" s="53">
        <v>0</v>
      </c>
      <c r="O102" s="52">
        <v>10383.86</v>
      </c>
      <c r="P102" s="52">
        <v>15740.94</v>
      </c>
      <c r="Q102" s="52">
        <v>-5357.08</v>
      </c>
      <c r="R102" s="53">
        <v>-0.5159044902377343</v>
      </c>
      <c r="S102" s="54">
        <v>208.2</v>
      </c>
      <c r="T102" s="54">
        <v>317.25</v>
      </c>
      <c r="U102" s="54">
        <v>-109.05000000000001</v>
      </c>
      <c r="V102" s="53">
        <v>-0.5237752161383286</v>
      </c>
      <c r="W102" s="53"/>
      <c r="X102" s="55">
        <v>7.132608353033885</v>
      </c>
      <c r="Y102" s="55">
        <v>45.139084580403456</v>
      </c>
      <c r="Z102" s="53">
        <v>0.0682</v>
      </c>
      <c r="AA102" s="56">
        <v>0.2894</v>
      </c>
      <c r="AB102" s="57"/>
      <c r="AD102" s="35" t="s">
        <v>93</v>
      </c>
      <c r="AE102" s="35">
        <v>-317.25</v>
      </c>
      <c r="AH102" s="19">
        <v>-317.25</v>
      </c>
      <c r="AI102" s="58">
        <v>-16562.52</v>
      </c>
    </row>
    <row r="103" ht="15" customHeight="1" spans="1:35" x14ac:dyDescent="0.25">
      <c r="A103" s="19"/>
      <c r="B103" s="20"/>
      <c r="C103" s="51" t="s">
        <v>94</v>
      </c>
      <c r="D103" s="52">
        <v>32473.02</v>
      </c>
      <c r="E103" s="69">
        <v>33188.03</v>
      </c>
      <c r="F103" s="52">
        <v>-715.0099999999984</v>
      </c>
      <c r="G103" s="53">
        <v>-0.022018586506582952</v>
      </c>
      <c r="H103" s="52">
        <v>23075.07</v>
      </c>
      <c r="I103" s="52">
        <v>30925.21</v>
      </c>
      <c r="J103" s="52">
        <v>12691.21</v>
      </c>
      <c r="K103" s="52">
        <v>15184.269999999999</v>
      </c>
      <c r="L103" s="52">
        <v>-2493.0599999999995</v>
      </c>
      <c r="M103" s="53">
        <v>-0.1964398981657383</v>
      </c>
      <c r="N103" s="53"/>
      <c r="O103" s="52">
        <v>10383.86</v>
      </c>
      <c r="P103" s="52">
        <v>15740.94</v>
      </c>
      <c r="Q103" s="52">
        <v>-5357.08</v>
      </c>
      <c r="R103" s="53">
        <v>-0.5159044902377343</v>
      </c>
      <c r="S103" s="54">
        <v>208.2</v>
      </c>
      <c r="T103" s="54">
        <v>317.25</v>
      </c>
      <c r="U103" s="54">
        <v>-109.05000000000001</v>
      </c>
      <c r="V103" s="53">
        <v>-0.5237752161383286</v>
      </c>
      <c r="W103" s="53"/>
      <c r="X103" s="55">
        <v>7.132608353033885</v>
      </c>
      <c r="Y103" s="55">
        <v>45.139084580403456</v>
      </c>
      <c r="Z103" s="53">
        <v>0.0682</v>
      </c>
      <c r="AA103" s="56">
        <v>0.2894</v>
      </c>
      <c r="AB103" s="57"/>
      <c r="AD103" s="35" t="s">
        <v>95</v>
      </c>
      <c r="AE103" s="36">
        <v>-16562.52</v>
      </c>
      <c r="AH103" s="19"/>
      <c r="AI103" s="58"/>
    </row>
    <row r="104" ht="15" customHeight="1" spans="1:35" x14ac:dyDescent="0.25">
      <c r="A104" s="19"/>
      <c r="B104" s="20"/>
      <c r="C104" s="51" t="s">
        <v>96</v>
      </c>
      <c r="D104" s="52">
        <v>32473.02</v>
      </c>
      <c r="E104" s="69">
        <v>32473.03</v>
      </c>
      <c r="F104" s="52">
        <v>-0.00999999999839929</v>
      </c>
      <c r="G104" s="53">
        <v>-3.0794795181967334e-7</v>
      </c>
      <c r="H104" s="52">
        <v>23075.07</v>
      </c>
      <c r="I104" s="52">
        <v>31170.94</v>
      </c>
      <c r="J104" s="52">
        <v>12691.21</v>
      </c>
      <c r="K104" s="52">
        <v>15089.13</v>
      </c>
      <c r="L104" s="52">
        <v>-2397.92</v>
      </c>
      <c r="M104" s="53">
        <v>-0.18894337104184708</v>
      </c>
      <c r="N104" s="53"/>
      <c r="O104" s="52">
        <v>10383.86</v>
      </c>
      <c r="P104" s="52">
        <v>16081.81</v>
      </c>
      <c r="Q104" s="52">
        <v>-5697.949999999999</v>
      </c>
      <c r="R104" s="53">
        <v>-0.5487313966097385</v>
      </c>
      <c r="S104" s="54">
        <v>208.2</v>
      </c>
      <c r="T104" s="54">
        <v>324.25</v>
      </c>
      <c r="U104" s="54">
        <v>-116.05000000000001</v>
      </c>
      <c r="V104" s="53">
        <v>-0.5573967339097023</v>
      </c>
      <c r="W104" s="53"/>
      <c r="X104" s="55">
        <v>4.015697764070933</v>
      </c>
      <c r="Y104" s="55">
        <v>45.139084580403456</v>
      </c>
      <c r="Z104" s="53">
        <v>0.0401</v>
      </c>
      <c r="AA104" s="56">
        <v>0.2894</v>
      </c>
      <c r="AB104" s="57"/>
      <c r="AD104" s="35"/>
      <c r="AE104" s="35"/>
      <c r="AH104" s="19"/>
      <c r="AI104" s="58"/>
    </row>
    <row r="105" ht="15" customHeight="1" spans="1:35" x14ac:dyDescent="0.25">
      <c r="A105" s="19"/>
      <c r="B105" s="20"/>
      <c r="C105" s="51" t="s">
        <v>97</v>
      </c>
      <c r="D105" s="52"/>
      <c r="E105" s="69"/>
      <c r="F105" s="52"/>
      <c r="G105" s="53"/>
      <c r="H105" s="52"/>
      <c r="I105" s="52"/>
      <c r="J105" s="52"/>
      <c r="K105" s="52"/>
      <c r="L105" s="52"/>
      <c r="M105" s="53"/>
      <c r="N105" s="53"/>
      <c r="O105" s="52"/>
      <c r="P105" s="52"/>
      <c r="Q105" s="52"/>
      <c r="R105" s="53"/>
      <c r="S105" s="54"/>
      <c r="T105" s="54"/>
      <c r="U105" s="54"/>
      <c r="V105" s="53"/>
      <c r="W105" s="53"/>
      <c r="X105" s="55"/>
      <c r="Y105" s="55"/>
      <c r="Z105" s="53"/>
      <c r="AA105" s="56"/>
      <c r="AB105" s="57"/>
      <c r="AD105" s="35" t="s">
        <v>98</v>
      </c>
      <c r="AE105" s="36">
        <v>0</v>
      </c>
      <c r="AH105" s="19"/>
      <c r="AI105" s="58"/>
    </row>
    <row r="106" ht="15" customHeight="1" spans="1:35" x14ac:dyDescent="0.25">
      <c r="A106" s="19"/>
      <c r="B106" s="20"/>
      <c r="C106" s="51" t="s">
        <v>99</v>
      </c>
      <c r="D106" s="52"/>
      <c r="E106" s="69"/>
      <c r="F106" s="52"/>
      <c r="G106" s="53"/>
      <c r="H106" s="52"/>
      <c r="I106" s="52"/>
      <c r="J106" s="52"/>
      <c r="K106" s="52"/>
      <c r="L106" s="52"/>
      <c r="M106" s="53"/>
      <c r="N106" s="53"/>
      <c r="O106" s="52"/>
      <c r="P106" s="52"/>
      <c r="Q106" s="52"/>
      <c r="R106" s="53"/>
      <c r="S106" s="54"/>
      <c r="T106" s="54"/>
      <c r="U106" s="54"/>
      <c r="V106" s="53"/>
      <c r="W106" s="53"/>
      <c r="X106" s="55"/>
      <c r="Y106" s="55"/>
      <c r="Z106" s="53"/>
      <c r="AA106" s="56"/>
      <c r="AB106" s="57"/>
      <c r="AD106" s="35"/>
      <c r="AE106" s="35"/>
      <c r="AH106" s="19"/>
      <c r="AI106" s="58"/>
    </row>
    <row r="107" ht="15" customHeight="1" spans="1:35" x14ac:dyDescent="0.25">
      <c r="A107" s="19"/>
      <c r="B107" s="20"/>
      <c r="C107" s="51" t="s">
        <v>100</v>
      </c>
      <c r="D107" s="52"/>
      <c r="E107" s="67"/>
      <c r="F107" s="52"/>
      <c r="G107" s="53"/>
      <c r="H107" s="52"/>
      <c r="I107" s="52"/>
      <c r="J107" s="52"/>
      <c r="K107" s="52"/>
      <c r="L107" s="52"/>
      <c r="M107" s="53"/>
      <c r="N107" s="53"/>
      <c r="O107" s="52"/>
      <c r="P107" s="52"/>
      <c r="Q107" s="52"/>
      <c r="R107" s="53"/>
      <c r="S107" s="54"/>
      <c r="T107" s="54"/>
      <c r="U107" s="54"/>
      <c r="V107" s="53"/>
      <c r="W107" s="53"/>
      <c r="X107" s="55"/>
      <c r="Y107" s="55"/>
      <c r="Z107" s="53"/>
      <c r="AA107" s="56"/>
      <c r="AB107" s="57"/>
      <c r="AD107" s="35"/>
      <c r="AE107" s="35"/>
      <c r="AH107" s="59">
        <v>-317.25</v>
      </c>
      <c r="AI107" s="60">
        <v>-16562.52</v>
      </c>
    </row>
    <row r="108" ht="9" customHeight="1" spans="1:3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D108" s="35"/>
      <c r="AE108" s="35"/>
      <c r="AH108" s="35"/>
      <c r="AI108" s="35"/>
    </row>
    <row r="109" ht="15" customHeight="1" spans="1:35" x14ac:dyDescent="0.25">
      <c r="A109" s="19">
        <v>8840</v>
      </c>
      <c r="B109" s="20" t="s">
        <v>48</v>
      </c>
      <c r="C109" s="51" t="s">
        <v>92</v>
      </c>
      <c r="D109" s="52">
        <v>58902.56</v>
      </c>
      <c r="E109" s="52">
        <v>0</v>
      </c>
      <c r="F109" s="52">
        <v>58902.56</v>
      </c>
      <c r="G109" s="53">
        <v>1</v>
      </c>
      <c r="H109" s="52">
        <v>37601.88</v>
      </c>
      <c r="I109" s="52">
        <v>44893.89</v>
      </c>
      <c r="J109" s="52">
        <v>21415.85</v>
      </c>
      <c r="K109" s="52">
        <v>23634.19</v>
      </c>
      <c r="L109" s="52">
        <v>-2218.34</v>
      </c>
      <c r="M109" s="53">
        <v>-0.10358402771778848</v>
      </c>
      <c r="N109" s="53">
        <v>0</v>
      </c>
      <c r="O109" s="52">
        <v>16186.03</v>
      </c>
      <c r="P109" s="52">
        <v>21259.7</v>
      </c>
      <c r="Q109" s="52">
        <v>-5073.67</v>
      </c>
      <c r="R109" s="53">
        <v>-0.3134598168914799</v>
      </c>
      <c r="S109" s="54">
        <v>324.19</v>
      </c>
      <c r="T109" s="54">
        <v>461.5</v>
      </c>
      <c r="U109" s="54">
        <v>-137.31</v>
      </c>
      <c r="V109" s="53">
        <v>-0.4235479194299639</v>
      </c>
      <c r="W109" s="53">
        <v>0</v>
      </c>
      <c r="X109" s="55">
        <v>-20.453867822318525</v>
      </c>
      <c r="Y109" s="55">
        <v>65.70431400737223</v>
      </c>
      <c r="Z109" s="53">
        <v>-0.2662</v>
      </c>
      <c r="AA109" s="56">
        <v>0.3616</v>
      </c>
      <c r="AB109" s="57"/>
      <c r="AD109" s="35" t="s">
        <v>93</v>
      </c>
      <c r="AE109" s="35">
        <v>-204.75</v>
      </c>
      <c r="AH109" s="19">
        <v>-204.75</v>
      </c>
      <c r="AI109" s="58">
        <v>-12155.27</v>
      </c>
    </row>
    <row r="110" ht="15" customHeight="1" spans="1:35" x14ac:dyDescent="0.25">
      <c r="A110" s="19"/>
      <c r="B110" s="20"/>
      <c r="C110" s="51" t="s">
        <v>94</v>
      </c>
      <c r="D110" s="52">
        <v>58902.56</v>
      </c>
      <c r="E110" s="52">
        <v>0</v>
      </c>
      <c r="F110" s="52">
        <v>58902.56</v>
      </c>
      <c r="G110" s="53">
        <v>1</v>
      </c>
      <c r="H110" s="52">
        <v>37601.88</v>
      </c>
      <c r="I110" s="52">
        <v>45817.77</v>
      </c>
      <c r="J110" s="52">
        <v>21415.85</v>
      </c>
      <c r="K110" s="52">
        <v>23939.389999999996</v>
      </c>
      <c r="L110" s="52">
        <v>-2523.5399999999972</v>
      </c>
      <c r="M110" s="53">
        <v>-0.11783515480356826</v>
      </c>
      <c r="N110" s="53"/>
      <c r="O110" s="52">
        <v>16186.03</v>
      </c>
      <c r="P110" s="52">
        <v>21878.38</v>
      </c>
      <c r="Q110" s="52">
        <v>-5692.35</v>
      </c>
      <c r="R110" s="53">
        <v>-0.3516829018604315</v>
      </c>
      <c r="S110" s="54">
        <v>324.19</v>
      </c>
      <c r="T110" s="54">
        <v>472.75</v>
      </c>
      <c r="U110" s="54">
        <v>-148.56</v>
      </c>
      <c r="V110" s="53">
        <v>-0.45824979178876585</v>
      </c>
      <c r="W110" s="53"/>
      <c r="X110" s="55">
        <v>48.973178212585935</v>
      </c>
      <c r="Y110" s="55">
        <v>65.70431400737223</v>
      </c>
      <c r="Z110" s="53">
        <v>0.3357</v>
      </c>
      <c r="AA110" s="56">
        <v>0.3616</v>
      </c>
      <c r="AB110" s="57"/>
      <c r="AD110" s="35" t="s">
        <v>95</v>
      </c>
      <c r="AE110" s="36">
        <v>-12155.27</v>
      </c>
      <c r="AH110" s="19"/>
      <c r="AI110" s="58"/>
    </row>
    <row r="111" ht="15" customHeight="1" spans="1:35" x14ac:dyDescent="0.25">
      <c r="A111" s="19"/>
      <c r="B111" s="20"/>
      <c r="C111" s="51" t="s">
        <v>96</v>
      </c>
      <c r="D111" s="52">
        <v>58902.56</v>
      </c>
      <c r="E111" s="52">
        <v>0</v>
      </c>
      <c r="F111" s="52">
        <v>58902.56</v>
      </c>
      <c r="G111" s="53">
        <v>1</v>
      </c>
      <c r="H111" s="52">
        <v>37601.88</v>
      </c>
      <c r="I111" s="52">
        <v>45817.77</v>
      </c>
      <c r="J111" s="52">
        <v>21415.85</v>
      </c>
      <c r="K111" s="52">
        <v>23939.389999999996</v>
      </c>
      <c r="L111" s="52">
        <v>-2523.5399999999972</v>
      </c>
      <c r="M111" s="53">
        <v>-0.11783515480356826</v>
      </c>
      <c r="N111" s="53"/>
      <c r="O111" s="52">
        <v>16186.03</v>
      </c>
      <c r="P111" s="52">
        <v>21878.38</v>
      </c>
      <c r="Q111" s="52">
        <v>-5692.35</v>
      </c>
      <c r="R111" s="53">
        <v>-0.3516829018604315</v>
      </c>
      <c r="S111" s="54">
        <v>324.19</v>
      </c>
      <c r="T111" s="54">
        <v>472.75</v>
      </c>
      <c r="U111" s="54">
        <v>-148.56</v>
      </c>
      <c r="V111" s="53">
        <v>-0.45824979178876585</v>
      </c>
      <c r="W111" s="53"/>
      <c r="X111" s="55">
        <v>48.973178212585935</v>
      </c>
      <c r="Y111" s="55">
        <v>65.70431400737223</v>
      </c>
      <c r="Z111" s="53">
        <v>0.3357</v>
      </c>
      <c r="AA111" s="56">
        <v>0.3616</v>
      </c>
      <c r="AB111" s="57"/>
      <c r="AD111" s="35"/>
      <c r="AE111" s="35"/>
      <c r="AH111" s="19"/>
      <c r="AI111" s="58"/>
    </row>
    <row r="112" ht="15" customHeight="1" spans="1:35" x14ac:dyDescent="0.25">
      <c r="A112" s="19"/>
      <c r="B112" s="20"/>
      <c r="C112" s="51" t="s">
        <v>97</v>
      </c>
      <c r="D112" s="52"/>
      <c r="E112" s="52"/>
      <c r="F112" s="52"/>
      <c r="G112" s="53"/>
      <c r="H112" s="52"/>
      <c r="I112" s="52"/>
      <c r="J112" s="52"/>
      <c r="K112" s="52"/>
      <c r="L112" s="52"/>
      <c r="M112" s="53"/>
      <c r="N112" s="53"/>
      <c r="O112" s="52"/>
      <c r="P112" s="52"/>
      <c r="Q112" s="52"/>
      <c r="R112" s="53"/>
      <c r="S112" s="54"/>
      <c r="T112" s="54"/>
      <c r="U112" s="54"/>
      <c r="V112" s="53"/>
      <c r="W112" s="53"/>
      <c r="X112" s="55"/>
      <c r="Y112" s="55"/>
      <c r="Z112" s="53"/>
      <c r="AA112" s="56"/>
      <c r="AB112" s="57"/>
      <c r="AD112" s="35" t="s">
        <v>98</v>
      </c>
      <c r="AE112" s="36">
        <v>0</v>
      </c>
      <c r="AH112" s="19"/>
      <c r="AI112" s="58"/>
    </row>
    <row r="113" ht="15" customHeight="1" spans="1:35" x14ac:dyDescent="0.25">
      <c r="A113" s="19"/>
      <c r="B113" s="20"/>
      <c r="C113" s="51" t="s">
        <v>99</v>
      </c>
      <c r="D113" s="52"/>
      <c r="E113" s="52"/>
      <c r="F113" s="52"/>
      <c r="G113" s="53"/>
      <c r="H113" s="52"/>
      <c r="I113" s="52"/>
      <c r="J113" s="52"/>
      <c r="K113" s="52"/>
      <c r="L113" s="52"/>
      <c r="M113" s="53"/>
      <c r="N113" s="53"/>
      <c r="O113" s="52"/>
      <c r="P113" s="52"/>
      <c r="Q113" s="52"/>
      <c r="R113" s="53"/>
      <c r="S113" s="54"/>
      <c r="T113" s="54"/>
      <c r="U113" s="54"/>
      <c r="V113" s="53"/>
      <c r="W113" s="53"/>
      <c r="X113" s="55"/>
      <c r="Y113" s="55"/>
      <c r="Z113" s="53"/>
      <c r="AA113" s="56"/>
      <c r="AB113" s="57"/>
      <c r="AD113" s="35"/>
      <c r="AE113" s="35"/>
      <c r="AH113" s="19"/>
      <c r="AI113" s="58"/>
    </row>
    <row r="114" ht="15" customHeight="1" spans="1:35" x14ac:dyDescent="0.25">
      <c r="A114" s="19"/>
      <c r="B114" s="20"/>
      <c r="C114" s="51" t="s">
        <v>100</v>
      </c>
      <c r="D114" s="52"/>
      <c r="E114" s="52"/>
      <c r="F114" s="52"/>
      <c r="G114" s="53"/>
      <c r="H114" s="52"/>
      <c r="I114" s="52"/>
      <c r="J114" s="52"/>
      <c r="K114" s="52"/>
      <c r="L114" s="52"/>
      <c r="M114" s="53"/>
      <c r="N114" s="53"/>
      <c r="O114" s="52"/>
      <c r="P114" s="52"/>
      <c r="Q114" s="52"/>
      <c r="R114" s="53"/>
      <c r="S114" s="54"/>
      <c r="T114" s="54"/>
      <c r="U114" s="54"/>
      <c r="V114" s="53"/>
      <c r="W114" s="53"/>
      <c r="X114" s="55"/>
      <c r="Y114" s="55"/>
      <c r="Z114" s="53"/>
      <c r="AA114" s="56"/>
      <c r="AB114" s="57"/>
      <c r="AD114" s="35"/>
      <c r="AE114" s="35"/>
      <c r="AH114" s="59">
        <v>-204.75</v>
      </c>
      <c r="AI114" s="60">
        <v>-12155.27</v>
      </c>
    </row>
    <row r="115" ht="9" customHeight="1" spans="1:35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2"/>
      <c r="AD115" s="35"/>
      <c r="AE115" s="35"/>
      <c r="AH115" s="35"/>
      <c r="AI115" s="35"/>
    </row>
    <row r="116" ht="15" customHeight="1" spans="1:35" x14ac:dyDescent="0.25">
      <c r="A116" s="19">
        <v>8769</v>
      </c>
      <c r="B116" s="20" t="s">
        <v>49</v>
      </c>
      <c r="C116" s="51" t="s">
        <v>92</v>
      </c>
      <c r="D116" s="52">
        <v>21404.82</v>
      </c>
      <c r="E116" s="52">
        <v>0</v>
      </c>
      <c r="F116" s="52">
        <v>21404.82</v>
      </c>
      <c r="G116" s="53">
        <v>1</v>
      </c>
      <c r="H116" s="52">
        <v>17514.09</v>
      </c>
      <c r="I116" s="52">
        <v>0</v>
      </c>
      <c r="J116" s="52">
        <v>13318.880000000001</v>
      </c>
      <c r="K116" s="52">
        <v>0</v>
      </c>
      <c r="L116" s="52">
        <v>13318.880000000001</v>
      </c>
      <c r="M116" s="53">
        <v>1</v>
      </c>
      <c r="N116" s="53">
        <v>0</v>
      </c>
      <c r="O116" s="52">
        <v>4195.21</v>
      </c>
      <c r="P116" s="52">
        <v>0</v>
      </c>
      <c r="Q116" s="52">
        <v>4195.21</v>
      </c>
      <c r="R116" s="53">
        <v>1</v>
      </c>
      <c r="S116" s="54">
        <v>84.05</v>
      </c>
      <c r="T116" s="54">
        <v>0</v>
      </c>
      <c r="U116" s="54">
        <v>84.05</v>
      </c>
      <c r="V116" s="53">
        <v>1</v>
      </c>
      <c r="W116" s="53">
        <v>0</v>
      </c>
      <c r="X116" s="55">
        <v>0</v>
      </c>
      <c r="Y116" s="55">
        <v>46.29062162403328</v>
      </c>
      <c r="Z116" s="53">
        <v>0</v>
      </c>
      <c r="AA116" s="56">
        <v>0.1818</v>
      </c>
      <c r="AB116" s="57"/>
      <c r="AD116" s="35" t="s">
        <v>93</v>
      </c>
      <c r="AE116" s="35"/>
      <c r="AH116" s="19"/>
      <c r="AI116" s="58"/>
    </row>
    <row r="117" ht="15" customHeight="1" spans="1:35" x14ac:dyDescent="0.25">
      <c r="A117" s="19"/>
      <c r="B117" s="20"/>
      <c r="C117" s="51" t="s">
        <v>94</v>
      </c>
      <c r="D117" s="52">
        <v>21404.82</v>
      </c>
      <c r="E117" s="52">
        <v>0</v>
      </c>
      <c r="F117" s="52">
        <v>21404.82</v>
      </c>
      <c r="G117" s="53">
        <v>1</v>
      </c>
      <c r="H117" s="52">
        <v>17514.09</v>
      </c>
      <c r="I117" s="52">
        <v>0</v>
      </c>
      <c r="J117" s="52">
        <v>13318.880000000001</v>
      </c>
      <c r="K117" s="52">
        <v>0</v>
      </c>
      <c r="L117" s="52">
        <v>13318.880000000001</v>
      </c>
      <c r="M117" s="53">
        <v>1</v>
      </c>
      <c r="N117" s="53"/>
      <c r="O117" s="52">
        <v>4195.21</v>
      </c>
      <c r="P117" s="52">
        <v>0</v>
      </c>
      <c r="Q117" s="52">
        <v>4195.21</v>
      </c>
      <c r="R117" s="53">
        <v>1</v>
      </c>
      <c r="S117" s="54">
        <v>84.05</v>
      </c>
      <c r="T117" s="54">
        <v>0</v>
      </c>
      <c r="U117" s="54">
        <v>84.05</v>
      </c>
      <c r="V117" s="53">
        <v>1</v>
      </c>
      <c r="W117" s="53"/>
      <c r="X117" s="55">
        <v>0</v>
      </c>
      <c r="Y117" s="55">
        <v>46.29062162403328</v>
      </c>
      <c r="Z117" s="53">
        <v>0</v>
      </c>
      <c r="AA117" s="56">
        <v>0.1818</v>
      </c>
      <c r="AB117" s="57"/>
      <c r="AD117" s="35" t="s">
        <v>95</v>
      </c>
      <c r="AE117" s="36"/>
      <c r="AH117" s="19"/>
      <c r="AI117" s="58"/>
    </row>
    <row r="118" ht="15" customHeight="1" spans="1:35" x14ac:dyDescent="0.25">
      <c r="A118" s="19"/>
      <c r="B118" s="20"/>
      <c r="C118" s="51" t="s">
        <v>96</v>
      </c>
      <c r="D118" s="52">
        <v>21404.82</v>
      </c>
      <c r="E118" s="52">
        <v>0</v>
      </c>
      <c r="F118" s="52">
        <v>21404.82</v>
      </c>
      <c r="G118" s="53">
        <v>1</v>
      </c>
      <c r="H118" s="52">
        <v>17514.09</v>
      </c>
      <c r="I118" s="52">
        <v>0</v>
      </c>
      <c r="J118" s="52">
        <v>13318.880000000001</v>
      </c>
      <c r="K118" s="52">
        <v>0</v>
      </c>
      <c r="L118" s="52">
        <v>13318.880000000001</v>
      </c>
      <c r="M118" s="53">
        <v>1</v>
      </c>
      <c r="N118" s="53"/>
      <c r="O118" s="52">
        <v>4195.21</v>
      </c>
      <c r="P118" s="52">
        <v>0</v>
      </c>
      <c r="Q118" s="52">
        <v>4195.21</v>
      </c>
      <c r="R118" s="53">
        <v>1</v>
      </c>
      <c r="S118" s="54">
        <v>84.05</v>
      </c>
      <c r="T118" s="54">
        <v>0</v>
      </c>
      <c r="U118" s="54">
        <v>84.05</v>
      </c>
      <c r="V118" s="53">
        <v>1</v>
      </c>
      <c r="W118" s="53"/>
      <c r="X118" s="55">
        <v>0</v>
      </c>
      <c r="Y118" s="55">
        <v>46.29062162403328</v>
      </c>
      <c r="Z118" s="53">
        <v>0</v>
      </c>
      <c r="AA118" s="56">
        <v>0.1818</v>
      </c>
      <c r="AB118" s="57"/>
      <c r="AD118" s="35"/>
      <c r="AE118" s="35"/>
      <c r="AH118" s="19"/>
      <c r="AI118" s="58"/>
    </row>
    <row r="119" ht="15" customHeight="1" spans="1:35" x14ac:dyDescent="0.25">
      <c r="A119" s="19"/>
      <c r="B119" s="20"/>
      <c r="C119" s="51" t="s">
        <v>97</v>
      </c>
      <c r="D119" s="52"/>
      <c r="E119" s="52"/>
      <c r="F119" s="52"/>
      <c r="G119" s="53"/>
      <c r="H119" s="52"/>
      <c r="I119" s="52"/>
      <c r="J119" s="52"/>
      <c r="K119" s="52"/>
      <c r="L119" s="52"/>
      <c r="M119" s="53"/>
      <c r="N119" s="53"/>
      <c r="O119" s="52"/>
      <c r="P119" s="52"/>
      <c r="Q119" s="52"/>
      <c r="R119" s="53"/>
      <c r="S119" s="54"/>
      <c r="T119" s="54"/>
      <c r="U119" s="54"/>
      <c r="V119" s="53"/>
      <c r="W119" s="53"/>
      <c r="X119" s="55"/>
      <c r="Y119" s="55"/>
      <c r="Z119" s="53"/>
      <c r="AA119" s="56"/>
      <c r="AB119" s="57"/>
      <c r="AD119" s="35" t="s">
        <v>98</v>
      </c>
      <c r="AE119" s="36">
        <v>0</v>
      </c>
      <c r="AH119" s="19"/>
      <c r="AI119" s="58"/>
    </row>
    <row r="120" ht="15" customHeight="1" spans="1:35" x14ac:dyDescent="0.25">
      <c r="A120" s="19"/>
      <c r="B120" s="20"/>
      <c r="C120" s="51" t="s">
        <v>99</v>
      </c>
      <c r="D120" s="52"/>
      <c r="E120" s="52"/>
      <c r="F120" s="52"/>
      <c r="G120" s="53"/>
      <c r="H120" s="52"/>
      <c r="I120" s="52"/>
      <c r="J120" s="52"/>
      <c r="K120" s="52"/>
      <c r="L120" s="52"/>
      <c r="M120" s="53"/>
      <c r="N120" s="53"/>
      <c r="O120" s="52"/>
      <c r="P120" s="52"/>
      <c r="Q120" s="52"/>
      <c r="R120" s="53"/>
      <c r="S120" s="54"/>
      <c r="T120" s="54"/>
      <c r="U120" s="54"/>
      <c r="V120" s="53"/>
      <c r="W120" s="53"/>
      <c r="X120" s="55"/>
      <c r="Y120" s="55"/>
      <c r="Z120" s="53"/>
      <c r="AA120" s="56"/>
      <c r="AB120" s="57"/>
      <c r="AD120" s="35"/>
      <c r="AE120" s="35"/>
      <c r="AH120" s="19"/>
      <c r="AI120" s="58"/>
    </row>
    <row r="121" ht="15" customHeight="1" spans="1:35" x14ac:dyDescent="0.25">
      <c r="A121" s="19"/>
      <c r="B121" s="20"/>
      <c r="C121" s="51" t="s">
        <v>100</v>
      </c>
      <c r="D121" s="52"/>
      <c r="E121" s="52"/>
      <c r="F121" s="52"/>
      <c r="G121" s="53"/>
      <c r="H121" s="52"/>
      <c r="I121" s="52"/>
      <c r="J121" s="52"/>
      <c r="K121" s="52"/>
      <c r="L121" s="52"/>
      <c r="M121" s="53"/>
      <c r="N121" s="53"/>
      <c r="O121" s="52"/>
      <c r="P121" s="52"/>
      <c r="Q121" s="52"/>
      <c r="R121" s="53"/>
      <c r="S121" s="54"/>
      <c r="T121" s="54"/>
      <c r="U121" s="54"/>
      <c r="V121" s="53"/>
      <c r="W121" s="53"/>
      <c r="X121" s="55"/>
      <c r="Y121" s="55"/>
      <c r="Z121" s="53"/>
      <c r="AA121" s="56"/>
      <c r="AB121" s="57"/>
      <c r="AD121" s="35"/>
      <c r="AE121" s="35"/>
      <c r="AH121" s="59"/>
      <c r="AI121" s="60"/>
    </row>
    <row r="122" ht="9" customHeight="1" spans="1:35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D122" s="35"/>
      <c r="AE122" s="35"/>
      <c r="AH122" s="35"/>
      <c r="AI122" s="35"/>
    </row>
    <row r="123" ht="15" customHeight="1" spans="1:35" x14ac:dyDescent="0.25">
      <c r="A123" s="19">
        <v>7901</v>
      </c>
      <c r="B123" s="20" t="s">
        <v>50</v>
      </c>
      <c r="C123" s="51" t="s">
        <v>92</v>
      </c>
      <c r="D123" s="52">
        <v>100987.51</v>
      </c>
      <c r="E123" s="52">
        <v>15366.74</v>
      </c>
      <c r="F123" s="52">
        <v>85620.76999999999</v>
      </c>
      <c r="G123" s="53">
        <v>0.8478352421997531</v>
      </c>
      <c r="H123" s="52">
        <v>82694.87</v>
      </c>
      <c r="I123" s="52">
        <v>56237.25</v>
      </c>
      <c r="J123" s="52">
        <v>68214.25</v>
      </c>
      <c r="K123" s="52">
        <v>51549.24</v>
      </c>
      <c r="L123" s="52">
        <v>16665.010000000002</v>
      </c>
      <c r="M123" s="53">
        <v>0.24430393942614634</v>
      </c>
      <c r="N123" s="53"/>
      <c r="O123" s="52">
        <v>14480.62</v>
      </c>
      <c r="P123" s="52">
        <v>4688.01</v>
      </c>
      <c r="Q123" s="52">
        <v>9792.61</v>
      </c>
      <c r="R123" s="53">
        <v>0.6762562652704097</v>
      </c>
      <c r="S123" s="54">
        <v>290.15</v>
      </c>
      <c r="T123" s="54">
        <v>102.5</v>
      </c>
      <c r="U123" s="54">
        <v>187.64999999999998</v>
      </c>
      <c r="V123" s="53">
        <v>0.6467344476994658</v>
      </c>
      <c r="W123" s="53"/>
      <c r="X123" s="55">
        <v>-398.7366829268293</v>
      </c>
      <c r="Y123" s="55">
        <v>63.04545035767707</v>
      </c>
      <c r="Z123" s="53">
        <v>-2.6597000000000004</v>
      </c>
      <c r="AA123" s="56">
        <v>0.1811</v>
      </c>
      <c r="AB123" s="57"/>
      <c r="AD123" s="35" t="s">
        <v>93</v>
      </c>
      <c r="AE123" s="35"/>
      <c r="AH123" s="19"/>
      <c r="AI123" s="58">
        <v>-12186.08</v>
      </c>
    </row>
    <row r="124" ht="15" customHeight="1" spans="1:35" x14ac:dyDescent="0.25">
      <c r="A124" s="19"/>
      <c r="B124" s="20"/>
      <c r="C124" s="51" t="s">
        <v>94</v>
      </c>
      <c r="D124" s="52">
        <v>100987.51</v>
      </c>
      <c r="E124" s="52">
        <v>67407.3</v>
      </c>
      <c r="F124" s="52">
        <v>33580.20999999999</v>
      </c>
      <c r="G124" s="53">
        <v>0.33251844708320855</v>
      </c>
      <c r="H124" s="52">
        <v>82694.87</v>
      </c>
      <c r="I124" s="52">
        <v>56763.31</v>
      </c>
      <c r="J124" s="52">
        <v>68214.25</v>
      </c>
      <c r="K124" s="52">
        <v>51957.799999999996</v>
      </c>
      <c r="L124" s="52">
        <v>16256.450000000004</v>
      </c>
      <c r="M124" s="53">
        <v>0.23831457503380898</v>
      </c>
      <c r="N124" s="53"/>
      <c r="O124" s="52">
        <v>14480.62</v>
      </c>
      <c r="P124" s="52">
        <v>4805.51</v>
      </c>
      <c r="Q124" s="52">
        <v>9675.11</v>
      </c>
      <c r="R124" s="53">
        <v>0.6681419718216485</v>
      </c>
      <c r="S124" s="54">
        <v>290.15</v>
      </c>
      <c r="T124" s="54">
        <v>105</v>
      </c>
      <c r="U124" s="54">
        <v>185.14999999999998</v>
      </c>
      <c r="V124" s="53">
        <v>0.6381182147165259</v>
      </c>
      <c r="W124" s="53"/>
      <c r="X124" s="55">
        <v>101.37133333333333</v>
      </c>
      <c r="Y124" s="55">
        <v>63.04545035767707</v>
      </c>
      <c r="Z124" s="53">
        <v>0.15789999999999998</v>
      </c>
      <c r="AA124" s="56">
        <v>0.1811</v>
      </c>
      <c r="AB124" s="57"/>
      <c r="AD124" s="35" t="s">
        <v>95</v>
      </c>
      <c r="AE124" s="36">
        <v>-12186.08</v>
      </c>
      <c r="AH124" s="19"/>
      <c r="AI124" s="58"/>
    </row>
    <row r="125" ht="15" customHeight="1" spans="1:35" x14ac:dyDescent="0.25">
      <c r="A125" s="19"/>
      <c r="B125" s="20"/>
      <c r="C125" s="51" t="s">
        <v>96</v>
      </c>
      <c r="D125" s="52">
        <v>105896.96</v>
      </c>
      <c r="E125" s="52">
        <v>67407.3</v>
      </c>
      <c r="F125" s="52">
        <v>38489.66</v>
      </c>
      <c r="G125" s="53">
        <v>0.36346331377218005</v>
      </c>
      <c r="H125" s="52">
        <v>85934.2</v>
      </c>
      <c r="I125" s="52">
        <v>56814.23</v>
      </c>
      <c r="J125" s="52">
        <v>70065.72</v>
      </c>
      <c r="K125" s="52">
        <v>51957.8</v>
      </c>
      <c r="L125" s="52">
        <v>18107.92</v>
      </c>
      <c r="M125" s="53">
        <v>0.2584419313752859</v>
      </c>
      <c r="N125" s="53"/>
      <c r="O125" s="52">
        <v>15868.48</v>
      </c>
      <c r="P125" s="52">
        <v>4856.43</v>
      </c>
      <c r="Q125" s="52">
        <v>11012.05</v>
      </c>
      <c r="R125" s="53">
        <v>0.6939574552824215</v>
      </c>
      <c r="S125" s="54">
        <v>317.92</v>
      </c>
      <c r="T125" s="54">
        <v>106</v>
      </c>
      <c r="U125" s="54">
        <v>211.92000000000002</v>
      </c>
      <c r="V125" s="53">
        <v>0.6665827881227983</v>
      </c>
      <c r="W125" s="53"/>
      <c r="X125" s="55">
        <v>99.93462264150943</v>
      </c>
      <c r="Y125" s="55">
        <v>62.79176131227983</v>
      </c>
      <c r="Z125" s="53">
        <v>0.1572</v>
      </c>
      <c r="AA125" s="56">
        <v>0.1885</v>
      </c>
      <c r="AB125" s="57"/>
      <c r="AD125" s="35"/>
      <c r="AE125" s="35"/>
      <c r="AH125" s="19"/>
      <c r="AI125" s="58"/>
    </row>
    <row r="126" ht="15" customHeight="1" spans="1:35" x14ac:dyDescent="0.25">
      <c r="A126" s="19"/>
      <c r="B126" s="20"/>
      <c r="C126" s="51" t="s">
        <v>97</v>
      </c>
      <c r="D126" s="52"/>
      <c r="E126" s="52"/>
      <c r="F126" s="52"/>
      <c r="G126" s="53"/>
      <c r="H126" s="52"/>
      <c r="I126" s="52"/>
      <c r="J126" s="52"/>
      <c r="K126" s="52"/>
      <c r="L126" s="52"/>
      <c r="M126" s="53"/>
      <c r="N126" s="53"/>
      <c r="O126" s="52"/>
      <c r="P126" s="52"/>
      <c r="Q126" s="52"/>
      <c r="R126" s="53"/>
      <c r="S126" s="54"/>
      <c r="T126" s="54"/>
      <c r="U126" s="54"/>
      <c r="V126" s="53"/>
      <c r="W126" s="53"/>
      <c r="X126" s="55"/>
      <c r="Y126" s="55"/>
      <c r="Z126" s="53"/>
      <c r="AA126" s="56"/>
      <c r="AB126" s="57"/>
      <c r="AD126" s="35" t="s">
        <v>98</v>
      </c>
      <c r="AE126" s="36">
        <v>0</v>
      </c>
      <c r="AH126" s="19"/>
      <c r="AI126" s="58"/>
    </row>
    <row r="127" ht="15" customHeight="1" spans="1:35" x14ac:dyDescent="0.25">
      <c r="A127" s="19"/>
      <c r="B127" s="20"/>
      <c r="C127" s="51" t="s">
        <v>99</v>
      </c>
      <c r="D127" s="52"/>
      <c r="E127" s="52"/>
      <c r="F127" s="52"/>
      <c r="G127" s="53"/>
      <c r="H127" s="52"/>
      <c r="I127" s="52"/>
      <c r="J127" s="52"/>
      <c r="K127" s="52"/>
      <c r="L127" s="52"/>
      <c r="M127" s="53"/>
      <c r="N127" s="53"/>
      <c r="O127" s="52"/>
      <c r="P127" s="52"/>
      <c r="Q127" s="52"/>
      <c r="R127" s="53"/>
      <c r="S127" s="54"/>
      <c r="T127" s="54"/>
      <c r="U127" s="54"/>
      <c r="V127" s="53"/>
      <c r="W127" s="53"/>
      <c r="X127" s="55"/>
      <c r="Y127" s="55"/>
      <c r="Z127" s="53"/>
      <c r="AA127" s="56"/>
      <c r="AB127" s="57"/>
      <c r="AD127" s="35"/>
      <c r="AE127" s="35"/>
      <c r="AH127" s="19"/>
      <c r="AI127" s="58"/>
    </row>
    <row r="128" ht="15" customHeight="1" spans="1:35" x14ac:dyDescent="0.25">
      <c r="A128" s="19"/>
      <c r="B128" s="20"/>
      <c r="C128" s="51" t="s">
        <v>100</v>
      </c>
      <c r="D128" s="52"/>
      <c r="E128" s="52"/>
      <c r="F128" s="52"/>
      <c r="G128" s="53"/>
      <c r="H128" s="52"/>
      <c r="I128" s="52"/>
      <c r="J128" s="52"/>
      <c r="K128" s="52"/>
      <c r="L128" s="52"/>
      <c r="M128" s="53"/>
      <c r="N128" s="53"/>
      <c r="O128" s="52"/>
      <c r="P128" s="52"/>
      <c r="Q128" s="52"/>
      <c r="R128" s="53"/>
      <c r="S128" s="54"/>
      <c r="T128" s="54"/>
      <c r="U128" s="54"/>
      <c r="V128" s="53"/>
      <c r="W128" s="53"/>
      <c r="X128" s="55"/>
      <c r="Y128" s="55"/>
      <c r="Z128" s="53"/>
      <c r="AA128" s="56"/>
      <c r="AB128" s="57"/>
      <c r="AD128" s="35"/>
      <c r="AE128" s="35"/>
      <c r="AH128" s="59"/>
      <c r="AI128" s="60">
        <v>-12186.08</v>
      </c>
    </row>
    <row r="129" ht="9" customHeight="1" spans="1:35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D129" s="35"/>
      <c r="AE129" s="35"/>
      <c r="AH129" s="35"/>
      <c r="AI129" s="35"/>
    </row>
    <row r="130" ht="15" customHeight="1" spans="1:35" x14ac:dyDescent="0.25">
      <c r="A130" s="19">
        <v>8923</v>
      </c>
      <c r="B130" s="20" t="s">
        <v>51</v>
      </c>
      <c r="C130" s="51" t="s">
        <v>92</v>
      </c>
      <c r="D130" s="52">
        <v>31802.41</v>
      </c>
      <c r="E130" s="52">
        <v>14370.83</v>
      </c>
      <c r="F130" s="52">
        <v>17431.58</v>
      </c>
      <c r="G130" s="53">
        <v>0.5481213530672676</v>
      </c>
      <c r="H130" s="52">
        <v>23448.14</v>
      </c>
      <c r="I130" s="52">
        <v>12360.83</v>
      </c>
      <c r="J130" s="52">
        <v>15632.029999999999</v>
      </c>
      <c r="K130" s="52">
        <v>11772.08</v>
      </c>
      <c r="L130" s="52">
        <v>3859.949999999999</v>
      </c>
      <c r="M130" s="53">
        <v>0.24692570318762178</v>
      </c>
      <c r="N130" s="53"/>
      <c r="O130" s="52">
        <v>7816.11</v>
      </c>
      <c r="P130" s="52">
        <v>588.75</v>
      </c>
      <c r="Q130" s="52">
        <v>7227.36</v>
      </c>
      <c r="R130" s="53">
        <v>0.9246748062655208</v>
      </c>
      <c r="S130" s="54">
        <v>156.69</v>
      </c>
      <c r="T130" s="54">
        <v>11.5</v>
      </c>
      <c r="U130" s="54">
        <v>145.19</v>
      </c>
      <c r="V130" s="53">
        <v>0.9266066756015061</v>
      </c>
      <c r="W130" s="53">
        <v>0</v>
      </c>
      <c r="X130" s="55">
        <v>174.7826086956522</v>
      </c>
      <c r="Y130" s="55">
        <v>53.31719360265494</v>
      </c>
      <c r="Z130" s="53">
        <v>0.1399</v>
      </c>
      <c r="AA130" s="56">
        <v>0.2627</v>
      </c>
      <c r="AB130" s="57"/>
      <c r="AD130" s="35" t="s">
        <v>93</v>
      </c>
      <c r="AE130" s="35">
        <v>-2</v>
      </c>
      <c r="AH130" s="19">
        <v>-2</v>
      </c>
      <c r="AI130" s="58">
        <v>-11154.51</v>
      </c>
    </row>
    <row r="131" ht="15" customHeight="1" spans="1:35" x14ac:dyDescent="0.25">
      <c r="A131" s="19"/>
      <c r="B131" s="20"/>
      <c r="C131" s="51" t="s">
        <v>94</v>
      </c>
      <c r="D131" s="52">
        <v>31802.41</v>
      </c>
      <c r="E131" s="52">
        <v>16498.64</v>
      </c>
      <c r="F131" s="52">
        <v>15303.77</v>
      </c>
      <c r="G131" s="53">
        <v>0.4812141595558324</v>
      </c>
      <c r="H131" s="52">
        <v>23448.14</v>
      </c>
      <c r="I131" s="52">
        <v>12360.83</v>
      </c>
      <c r="J131" s="52">
        <v>15632.029999999999</v>
      </c>
      <c r="K131" s="52">
        <v>11772.08</v>
      </c>
      <c r="L131" s="52">
        <v>3859.949999999999</v>
      </c>
      <c r="M131" s="53">
        <v>0.24692570318762178</v>
      </c>
      <c r="N131" s="53"/>
      <c r="O131" s="52">
        <v>7816.11</v>
      </c>
      <c r="P131" s="52">
        <v>588.75</v>
      </c>
      <c r="Q131" s="52">
        <v>7227.36</v>
      </c>
      <c r="R131" s="53">
        <v>0.9246748062655208</v>
      </c>
      <c r="S131" s="54">
        <v>156.69</v>
      </c>
      <c r="T131" s="54">
        <v>11.5</v>
      </c>
      <c r="U131" s="54">
        <v>145.19</v>
      </c>
      <c r="V131" s="53">
        <v>0.9266066756015061</v>
      </c>
      <c r="W131" s="53"/>
      <c r="X131" s="55">
        <v>359.80956521739137</v>
      </c>
      <c r="Y131" s="55">
        <v>53.31719360265494</v>
      </c>
      <c r="Z131" s="53">
        <v>0.25079999999999997</v>
      </c>
      <c r="AA131" s="56">
        <v>0.2627</v>
      </c>
      <c r="AB131" s="57"/>
      <c r="AD131" s="35" t="s">
        <v>95</v>
      </c>
      <c r="AE131" s="36">
        <v>-11154.51</v>
      </c>
      <c r="AH131" s="19"/>
      <c r="AI131" s="58"/>
    </row>
    <row r="132" ht="15" customHeight="1" spans="1:35" x14ac:dyDescent="0.25">
      <c r="A132" s="19"/>
      <c r="B132" s="20"/>
      <c r="C132" s="51" t="s">
        <v>96</v>
      </c>
      <c r="D132" s="52">
        <v>31802.41</v>
      </c>
      <c r="E132" s="52">
        <v>16498.64</v>
      </c>
      <c r="F132" s="52">
        <v>15303.77</v>
      </c>
      <c r="G132" s="53">
        <v>0.4812141595558324</v>
      </c>
      <c r="H132" s="52">
        <v>23448.14</v>
      </c>
      <c r="I132" s="52">
        <v>12360.83</v>
      </c>
      <c r="J132" s="52">
        <v>15632.029999999999</v>
      </c>
      <c r="K132" s="52">
        <v>11772.08</v>
      </c>
      <c r="L132" s="52">
        <v>3859.949999999999</v>
      </c>
      <c r="M132" s="53">
        <v>0.24692570318762178</v>
      </c>
      <c r="N132" s="53"/>
      <c r="O132" s="52">
        <v>7816.11</v>
      </c>
      <c r="P132" s="52">
        <v>588.75</v>
      </c>
      <c r="Q132" s="52">
        <v>7227.36</v>
      </c>
      <c r="R132" s="53">
        <v>0.9246748062655208</v>
      </c>
      <c r="S132" s="54">
        <v>156.69</v>
      </c>
      <c r="T132" s="54">
        <v>11.5</v>
      </c>
      <c r="U132" s="54">
        <v>145.19</v>
      </c>
      <c r="V132" s="53">
        <v>0.9266066756015061</v>
      </c>
      <c r="W132" s="53"/>
      <c r="X132" s="55">
        <v>359.80956521739137</v>
      </c>
      <c r="Y132" s="55">
        <v>53.31719360265494</v>
      </c>
      <c r="Z132" s="53">
        <v>0.25079999999999997</v>
      </c>
      <c r="AA132" s="56">
        <v>0.2627</v>
      </c>
      <c r="AB132" s="57"/>
      <c r="AD132" s="35"/>
      <c r="AE132" s="35"/>
      <c r="AH132" s="19"/>
      <c r="AI132" s="58"/>
    </row>
    <row r="133" ht="15" customHeight="1" spans="2:35" x14ac:dyDescent="0.25">
      <c r="B133" s="20"/>
      <c r="C133" s="51" t="s">
        <v>97</v>
      </c>
      <c r="D133" s="52"/>
      <c r="E133" s="52"/>
      <c r="F133" s="52"/>
      <c r="G133" s="53"/>
      <c r="H133" s="52"/>
      <c r="I133" s="52"/>
      <c r="J133" s="52"/>
      <c r="K133" s="52"/>
      <c r="L133" s="52"/>
      <c r="M133" s="53"/>
      <c r="N133" s="53"/>
      <c r="O133" s="52"/>
      <c r="P133" s="52"/>
      <c r="Q133" s="52"/>
      <c r="R133" s="53"/>
      <c r="S133" s="54"/>
      <c r="T133" s="54"/>
      <c r="U133" s="54"/>
      <c r="V133" s="53"/>
      <c r="W133" s="53"/>
      <c r="X133" s="55"/>
      <c r="Y133" s="55"/>
      <c r="Z133" s="53"/>
      <c r="AA133" s="56"/>
      <c r="AB133" s="57"/>
      <c r="AD133" s="35" t="s">
        <v>98</v>
      </c>
      <c r="AE133" s="36">
        <v>0</v>
      </c>
      <c r="AH133" s="19"/>
      <c r="AI133" s="58"/>
    </row>
    <row r="134" ht="15" customHeight="1" spans="1:35" x14ac:dyDescent="0.25">
      <c r="A134" s="19"/>
      <c r="B134" s="20"/>
      <c r="C134" s="51" t="s">
        <v>99</v>
      </c>
      <c r="D134" s="52"/>
      <c r="E134" s="52"/>
      <c r="F134" s="52"/>
      <c r="G134" s="53"/>
      <c r="H134" s="52"/>
      <c r="I134" s="52"/>
      <c r="J134" s="52"/>
      <c r="K134" s="52"/>
      <c r="L134" s="52"/>
      <c r="M134" s="53"/>
      <c r="N134" s="53"/>
      <c r="O134" s="52"/>
      <c r="P134" s="52"/>
      <c r="Q134" s="52"/>
      <c r="R134" s="53"/>
      <c r="S134" s="54"/>
      <c r="T134" s="54"/>
      <c r="U134" s="54"/>
      <c r="V134" s="53"/>
      <c r="W134" s="53"/>
      <c r="X134" s="55"/>
      <c r="Y134" s="55"/>
      <c r="Z134" s="53"/>
      <c r="AA134" s="56"/>
      <c r="AB134" s="57"/>
      <c r="AD134" s="35"/>
      <c r="AE134" s="35"/>
      <c r="AH134" s="19"/>
      <c r="AI134" s="58"/>
    </row>
    <row r="135" ht="15" customHeight="1" spans="1:35" x14ac:dyDescent="0.25">
      <c r="A135" s="19"/>
      <c r="B135" s="20"/>
      <c r="C135" s="51" t="s">
        <v>100</v>
      </c>
      <c r="D135" s="52"/>
      <c r="E135" s="52"/>
      <c r="F135" s="52"/>
      <c r="G135" s="53"/>
      <c r="H135" s="52"/>
      <c r="I135" s="52"/>
      <c r="J135" s="52"/>
      <c r="K135" s="52"/>
      <c r="L135" s="52"/>
      <c r="M135" s="53"/>
      <c r="N135" s="53"/>
      <c r="O135" s="52"/>
      <c r="P135" s="52"/>
      <c r="Q135" s="52"/>
      <c r="R135" s="53"/>
      <c r="S135" s="54"/>
      <c r="T135" s="54"/>
      <c r="U135" s="54"/>
      <c r="V135" s="53"/>
      <c r="W135" s="53"/>
      <c r="X135" s="55"/>
      <c r="Y135" s="55"/>
      <c r="Z135" s="53"/>
      <c r="AA135" s="56"/>
      <c r="AB135" s="57"/>
      <c r="AD135" s="35"/>
      <c r="AE135" s="35"/>
      <c r="AH135" s="59">
        <v>-2</v>
      </c>
      <c r="AI135" s="60">
        <v>-11154.51</v>
      </c>
    </row>
    <row r="136" ht="9" customHeight="1" spans="1:35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D136" s="35"/>
      <c r="AE136" s="35"/>
      <c r="AH136" s="35"/>
      <c r="AI136" s="35"/>
    </row>
    <row r="137" ht="15" customHeight="1" spans="1:35" x14ac:dyDescent="0.25">
      <c r="A137" s="19">
        <v>7864</v>
      </c>
      <c r="B137" s="20" t="s">
        <v>52</v>
      </c>
      <c r="C137" s="51" t="s">
        <v>92</v>
      </c>
      <c r="D137" s="52">
        <v>30749.24</v>
      </c>
      <c r="E137" s="52">
        <v>30749.24</v>
      </c>
      <c r="F137" s="52">
        <v>0</v>
      </c>
      <c r="G137" s="53">
        <v>0</v>
      </c>
      <c r="H137" s="52">
        <v>22587.89</v>
      </c>
      <c r="I137" s="52">
        <v>25905.23</v>
      </c>
      <c r="J137" s="52">
        <v>12565.06</v>
      </c>
      <c r="K137" s="52">
        <v>11805.46</v>
      </c>
      <c r="L137" s="52">
        <v>759.6000000000004</v>
      </c>
      <c r="M137" s="53">
        <v>0.06045335239147289</v>
      </c>
      <c r="N137" s="53">
        <v>0</v>
      </c>
      <c r="O137" s="52">
        <v>10022.83</v>
      </c>
      <c r="P137" s="52">
        <v>14099.77</v>
      </c>
      <c r="Q137" s="52">
        <v>-4076.9400000000005</v>
      </c>
      <c r="R137" s="53">
        <v>-0.40676535469523084</v>
      </c>
      <c r="S137" s="54">
        <v>200.82</v>
      </c>
      <c r="T137" s="54">
        <v>283.75</v>
      </c>
      <c r="U137" s="54">
        <v>-82.93</v>
      </c>
      <c r="V137" s="53">
        <v>-0.4129568768050991</v>
      </c>
      <c r="W137" s="53"/>
      <c r="X137" s="55">
        <v>17.07140088105727</v>
      </c>
      <c r="Y137" s="55">
        <v>40.64013272149188</v>
      </c>
      <c r="Z137" s="53">
        <v>0.1575</v>
      </c>
      <c r="AA137" s="56">
        <v>0.2654</v>
      </c>
      <c r="AB137" s="57"/>
      <c r="AD137" s="35" t="s">
        <v>93</v>
      </c>
      <c r="AE137" s="35">
        <v>-266.75</v>
      </c>
      <c r="AH137" s="19">
        <v>-266.75</v>
      </c>
      <c r="AI137" s="58">
        <v>-11702.32</v>
      </c>
    </row>
    <row r="138" ht="15" customHeight="1" spans="1:35" x14ac:dyDescent="0.25">
      <c r="A138" s="19"/>
      <c r="B138" s="20"/>
      <c r="C138" s="51" t="s">
        <v>94</v>
      </c>
      <c r="D138" s="52">
        <v>30749.24</v>
      </c>
      <c r="E138" s="52">
        <v>30749.24</v>
      </c>
      <c r="F138" s="52">
        <v>0</v>
      </c>
      <c r="G138" s="53">
        <v>0</v>
      </c>
      <c r="H138" s="52">
        <v>22587.89</v>
      </c>
      <c r="I138" s="52">
        <v>25905.23</v>
      </c>
      <c r="J138" s="52">
        <v>12565.06</v>
      </c>
      <c r="K138" s="52">
        <v>11805.46</v>
      </c>
      <c r="L138" s="52">
        <v>759.6000000000004</v>
      </c>
      <c r="M138" s="53">
        <v>0.06045335239147289</v>
      </c>
      <c r="N138" s="53"/>
      <c r="O138" s="52">
        <v>10022.83</v>
      </c>
      <c r="P138" s="52">
        <v>14099.77</v>
      </c>
      <c r="Q138" s="52">
        <v>-4076.9400000000005</v>
      </c>
      <c r="R138" s="53">
        <v>-0.40676535469523084</v>
      </c>
      <c r="S138" s="54">
        <v>200.82</v>
      </c>
      <c r="T138" s="54">
        <v>283.75</v>
      </c>
      <c r="U138" s="54">
        <v>-82.93</v>
      </c>
      <c r="V138" s="53">
        <v>-0.4129568768050991</v>
      </c>
      <c r="W138" s="53"/>
      <c r="X138" s="55">
        <v>17.07140088105727</v>
      </c>
      <c r="Y138" s="55">
        <v>40.64013272149188</v>
      </c>
      <c r="Z138" s="53">
        <v>0.1575</v>
      </c>
      <c r="AA138" s="56">
        <v>0.2654</v>
      </c>
      <c r="AB138" s="57"/>
      <c r="AD138" s="35" t="s">
        <v>95</v>
      </c>
      <c r="AE138" s="36">
        <v>-11702.32</v>
      </c>
      <c r="AH138" s="19"/>
      <c r="AI138" s="58"/>
    </row>
    <row r="139" ht="15" customHeight="1" spans="1:35" x14ac:dyDescent="0.25">
      <c r="A139" s="19"/>
      <c r="B139" s="20"/>
      <c r="C139" s="51" t="s">
        <v>96</v>
      </c>
      <c r="D139" s="52">
        <v>30749.24</v>
      </c>
      <c r="E139" s="52">
        <v>30749.24</v>
      </c>
      <c r="F139" s="52">
        <v>0</v>
      </c>
      <c r="G139" s="53">
        <v>0</v>
      </c>
      <c r="H139" s="52">
        <v>22587.89</v>
      </c>
      <c r="I139" s="52">
        <v>25891.86</v>
      </c>
      <c r="J139" s="52">
        <v>12565.06</v>
      </c>
      <c r="K139" s="52">
        <v>11792.09</v>
      </c>
      <c r="L139" s="52">
        <v>772.9699999999993</v>
      </c>
      <c r="M139" s="53">
        <v>0.061517414162765585</v>
      </c>
      <c r="N139" s="53"/>
      <c r="O139" s="52">
        <v>10022.83</v>
      </c>
      <c r="P139" s="52">
        <v>14099.77</v>
      </c>
      <c r="Q139" s="52">
        <v>-4076.9400000000005</v>
      </c>
      <c r="R139" s="53">
        <v>-0.40676535469523084</v>
      </c>
      <c r="S139" s="54">
        <v>200.82</v>
      </c>
      <c r="T139" s="54">
        <v>283.75</v>
      </c>
      <c r="U139" s="54">
        <v>-82.93</v>
      </c>
      <c r="V139" s="53">
        <v>-0.4129568768050991</v>
      </c>
      <c r="W139" s="53"/>
      <c r="X139" s="55">
        <v>17.118519823788546</v>
      </c>
      <c r="Y139" s="55">
        <v>40.64013272149188</v>
      </c>
      <c r="Z139" s="53">
        <v>0.158</v>
      </c>
      <c r="AA139" s="56">
        <v>0.2654</v>
      </c>
      <c r="AB139" s="57"/>
      <c r="AD139" s="35"/>
      <c r="AE139" s="35"/>
      <c r="AH139" s="19"/>
      <c r="AI139" s="58"/>
    </row>
    <row r="140" ht="15" customHeight="1" spans="1:35" x14ac:dyDescent="0.25">
      <c r="A140" s="19"/>
      <c r="B140" s="20"/>
      <c r="C140" s="51" t="s">
        <v>97</v>
      </c>
      <c r="D140" s="52"/>
      <c r="E140" s="52"/>
      <c r="F140" s="52"/>
      <c r="G140" s="53"/>
      <c r="H140" s="52"/>
      <c r="I140" s="52"/>
      <c r="J140" s="52"/>
      <c r="K140" s="52"/>
      <c r="L140" s="52"/>
      <c r="M140" s="53"/>
      <c r="N140" s="53"/>
      <c r="O140" s="52"/>
      <c r="P140" s="52"/>
      <c r="Q140" s="52"/>
      <c r="R140" s="53"/>
      <c r="S140" s="54"/>
      <c r="T140" s="54"/>
      <c r="U140" s="54"/>
      <c r="V140" s="53"/>
      <c r="W140" s="53"/>
      <c r="X140" s="55"/>
      <c r="Y140" s="55"/>
      <c r="Z140" s="53"/>
      <c r="AA140" s="56"/>
      <c r="AB140" s="57"/>
      <c r="AD140" s="35" t="s">
        <v>98</v>
      </c>
      <c r="AE140" s="36">
        <v>0</v>
      </c>
      <c r="AH140" s="19"/>
      <c r="AI140" s="58"/>
    </row>
    <row r="141" ht="15" customHeight="1" spans="1:35" x14ac:dyDescent="0.25">
      <c r="A141" s="19"/>
      <c r="B141" s="20"/>
      <c r="C141" s="51" t="s">
        <v>99</v>
      </c>
      <c r="D141" s="52"/>
      <c r="E141" s="52"/>
      <c r="F141" s="52"/>
      <c r="G141" s="53"/>
      <c r="H141" s="52"/>
      <c r="I141" s="52"/>
      <c r="J141" s="52"/>
      <c r="K141" s="52"/>
      <c r="L141" s="52"/>
      <c r="M141" s="53"/>
      <c r="N141" s="53"/>
      <c r="O141" s="52"/>
      <c r="P141" s="52"/>
      <c r="Q141" s="52"/>
      <c r="R141" s="53"/>
      <c r="S141" s="54"/>
      <c r="T141" s="54"/>
      <c r="U141" s="54"/>
      <c r="V141" s="53"/>
      <c r="W141" s="53"/>
      <c r="X141" s="55"/>
      <c r="Y141" s="55"/>
      <c r="Z141" s="53"/>
      <c r="AA141" s="56"/>
      <c r="AB141" s="57"/>
      <c r="AD141" s="35"/>
      <c r="AE141" s="35"/>
      <c r="AH141" s="19"/>
      <c r="AI141" s="58"/>
    </row>
    <row r="142" ht="15" customHeight="1" spans="1:35" x14ac:dyDescent="0.25">
      <c r="A142" s="19"/>
      <c r="B142" s="20"/>
      <c r="C142" s="51" t="s">
        <v>100</v>
      </c>
      <c r="D142" s="52"/>
      <c r="E142" s="52"/>
      <c r="F142" s="52"/>
      <c r="G142" s="53"/>
      <c r="H142" s="52"/>
      <c r="I142" s="52"/>
      <c r="J142" s="52"/>
      <c r="K142" s="52"/>
      <c r="L142" s="52"/>
      <c r="M142" s="53"/>
      <c r="N142" s="53"/>
      <c r="O142" s="52"/>
      <c r="P142" s="52"/>
      <c r="Q142" s="52"/>
      <c r="R142" s="53"/>
      <c r="S142" s="54"/>
      <c r="T142" s="54"/>
      <c r="U142" s="54"/>
      <c r="V142" s="53"/>
      <c r="W142" s="53"/>
      <c r="X142" s="55"/>
      <c r="Y142" s="55"/>
      <c r="Z142" s="53"/>
      <c r="AA142" s="56"/>
      <c r="AB142" s="57"/>
      <c r="AD142" s="35"/>
      <c r="AE142" s="35"/>
      <c r="AH142" s="59">
        <v>-266.75</v>
      </c>
      <c r="AI142" s="60">
        <v>-11702.32</v>
      </c>
    </row>
    <row r="143" ht="9" customHeight="1" spans="1:35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D143" s="35"/>
      <c r="AE143" s="35"/>
      <c r="AH143" s="35"/>
      <c r="AI143" s="35"/>
    </row>
    <row r="144" ht="15" customHeight="1" spans="1:35" x14ac:dyDescent="0.25">
      <c r="A144" s="19">
        <v>7912</v>
      </c>
      <c r="B144" s="20" t="s">
        <v>53</v>
      </c>
      <c r="C144" s="51" t="s">
        <v>92</v>
      </c>
      <c r="D144" s="52">
        <v>268228.26</v>
      </c>
      <c r="E144" s="52">
        <v>9034.53</v>
      </c>
      <c r="F144" s="52">
        <v>259193.73</v>
      </c>
      <c r="G144" s="53">
        <v>0.9663177548853353</v>
      </c>
      <c r="H144" s="52">
        <v>238611.58</v>
      </c>
      <c r="I144" s="52">
        <v>6362.08</v>
      </c>
      <c r="J144" s="52">
        <v>214154.25</v>
      </c>
      <c r="K144" s="52">
        <v>3465.35</v>
      </c>
      <c r="L144" s="52">
        <v>210688.9</v>
      </c>
      <c r="M144" s="53">
        <v>0.9838184392791645</v>
      </c>
      <c r="N144" s="53"/>
      <c r="O144" s="52">
        <v>24457.33</v>
      </c>
      <c r="P144" s="52">
        <v>2896.73</v>
      </c>
      <c r="Q144" s="52">
        <v>21560.600000000002</v>
      </c>
      <c r="R144" s="53">
        <v>0.8815598432044708</v>
      </c>
      <c r="S144" s="54">
        <v>497.55</v>
      </c>
      <c r="T144" s="54">
        <v>58.25</v>
      </c>
      <c r="U144" s="54">
        <v>439.3</v>
      </c>
      <c r="V144" s="53">
        <v>0.8829263390614008</v>
      </c>
      <c r="W144" s="53"/>
      <c r="X144" s="55">
        <v>45.878969957081544</v>
      </c>
      <c r="Y144" s="55">
        <v>59.525035875791396</v>
      </c>
      <c r="Z144" s="53">
        <v>0.2958</v>
      </c>
      <c r="AA144" s="56">
        <v>0.1104</v>
      </c>
      <c r="AB144" s="57"/>
      <c r="AD144" s="35" t="s">
        <v>93</v>
      </c>
      <c r="AE144" s="35"/>
      <c r="AH144" s="19"/>
      <c r="AI144" s="58"/>
    </row>
    <row r="145" ht="15" customHeight="1" spans="1:35" x14ac:dyDescent="0.25">
      <c r="A145" s="19"/>
      <c r="B145" s="20"/>
      <c r="C145" s="51" t="s">
        <v>94</v>
      </c>
      <c r="D145" s="52">
        <v>268228.26</v>
      </c>
      <c r="E145" s="52">
        <v>9034.53</v>
      </c>
      <c r="F145" s="52">
        <v>259193.73</v>
      </c>
      <c r="G145" s="53">
        <v>0.9663177548853353</v>
      </c>
      <c r="H145" s="52">
        <v>238611.58</v>
      </c>
      <c r="I145" s="52">
        <v>6362.08</v>
      </c>
      <c r="J145" s="52">
        <v>214154.25</v>
      </c>
      <c r="K145" s="52">
        <v>3465.35</v>
      </c>
      <c r="L145" s="52">
        <v>210688.9</v>
      </c>
      <c r="M145" s="53">
        <v>0.9838184392791645</v>
      </c>
      <c r="N145" s="53"/>
      <c r="O145" s="52">
        <v>24457.33</v>
      </c>
      <c r="P145" s="52">
        <v>2896.73</v>
      </c>
      <c r="Q145" s="52">
        <v>21560.600000000002</v>
      </c>
      <c r="R145" s="53">
        <v>0.8815598432044708</v>
      </c>
      <c r="S145" s="54">
        <v>497.55</v>
      </c>
      <c r="T145" s="54">
        <v>58.25</v>
      </c>
      <c r="U145" s="54">
        <v>439.3</v>
      </c>
      <c r="V145" s="53">
        <v>0.8829263390614008</v>
      </c>
      <c r="W145" s="53"/>
      <c r="X145" s="55">
        <v>45.878969957081544</v>
      </c>
      <c r="Y145" s="55">
        <v>59.525035875791396</v>
      </c>
      <c r="Z145" s="53">
        <v>0.2958</v>
      </c>
      <c r="AA145" s="56">
        <v>0.1104</v>
      </c>
      <c r="AB145" s="57"/>
      <c r="AD145" s="35" t="s">
        <v>95</v>
      </c>
      <c r="AE145" s="36"/>
      <c r="AH145" s="19"/>
      <c r="AI145" s="58"/>
    </row>
    <row r="146" ht="15" customHeight="1" spans="1:35" x14ac:dyDescent="0.25">
      <c r="A146" s="19"/>
      <c r="B146" s="20"/>
      <c r="C146" s="51" t="s">
        <v>96</v>
      </c>
      <c r="D146" s="52">
        <v>268228.26</v>
      </c>
      <c r="E146" s="52">
        <v>9034.53</v>
      </c>
      <c r="F146" s="52">
        <v>259193.73</v>
      </c>
      <c r="G146" s="53">
        <v>0.9663177548853353</v>
      </c>
      <c r="H146" s="52">
        <v>238611.58</v>
      </c>
      <c r="I146" s="52">
        <v>6362.08</v>
      </c>
      <c r="J146" s="52">
        <v>214154.25</v>
      </c>
      <c r="K146" s="52">
        <v>3465.35</v>
      </c>
      <c r="L146" s="52">
        <v>210688.9</v>
      </c>
      <c r="M146" s="53">
        <v>0.9838184392791645</v>
      </c>
      <c r="N146" s="53"/>
      <c r="O146" s="52">
        <v>24457.33</v>
      </c>
      <c r="P146" s="52">
        <v>2896.73</v>
      </c>
      <c r="Q146" s="52">
        <v>21560.600000000002</v>
      </c>
      <c r="R146" s="53">
        <v>0.8815598432044708</v>
      </c>
      <c r="S146" s="54">
        <v>497.55</v>
      </c>
      <c r="T146" s="54">
        <v>58.25</v>
      </c>
      <c r="U146" s="54">
        <v>439.3</v>
      </c>
      <c r="V146" s="53">
        <v>0.8829263390614008</v>
      </c>
      <c r="W146" s="53"/>
      <c r="X146" s="55">
        <v>45.878969957081544</v>
      </c>
      <c r="Y146" s="55">
        <v>59.525035875791396</v>
      </c>
      <c r="Z146" s="53">
        <v>0.2958</v>
      </c>
      <c r="AA146" s="56">
        <v>0.1104</v>
      </c>
      <c r="AB146" s="57"/>
      <c r="AD146" s="35"/>
      <c r="AE146" s="35"/>
      <c r="AH146" s="19"/>
      <c r="AI146" s="58"/>
    </row>
    <row r="147" ht="15" customHeight="1" spans="1:35" x14ac:dyDescent="0.25">
      <c r="A147" s="19"/>
      <c r="B147" s="20"/>
      <c r="C147" s="51" t="s">
        <v>97</v>
      </c>
      <c r="D147" s="52"/>
      <c r="E147" s="52"/>
      <c r="F147" s="52"/>
      <c r="G147" s="53"/>
      <c r="H147" s="52"/>
      <c r="I147" s="52"/>
      <c r="J147" s="52"/>
      <c r="K147" s="52"/>
      <c r="L147" s="52"/>
      <c r="M147" s="53"/>
      <c r="N147" s="53"/>
      <c r="O147" s="52"/>
      <c r="P147" s="52"/>
      <c r="Q147" s="52"/>
      <c r="R147" s="53"/>
      <c r="S147" s="54"/>
      <c r="T147" s="54"/>
      <c r="U147" s="54"/>
      <c r="V147" s="53"/>
      <c r="W147" s="53"/>
      <c r="X147" s="55"/>
      <c r="Y147" s="55"/>
      <c r="Z147" s="53"/>
      <c r="AA147" s="56"/>
      <c r="AB147" s="57"/>
      <c r="AD147" s="35" t="s">
        <v>98</v>
      </c>
      <c r="AE147" s="36">
        <v>0</v>
      </c>
      <c r="AH147" s="19"/>
      <c r="AI147" s="58"/>
    </row>
    <row r="148" ht="15" customHeight="1" spans="1:35" x14ac:dyDescent="0.25">
      <c r="A148" s="19"/>
      <c r="B148" s="20"/>
      <c r="C148" s="51" t="s">
        <v>99</v>
      </c>
      <c r="D148" s="52"/>
      <c r="E148" s="52"/>
      <c r="F148" s="52"/>
      <c r="G148" s="53"/>
      <c r="H148" s="52"/>
      <c r="I148" s="52"/>
      <c r="J148" s="52"/>
      <c r="K148" s="52"/>
      <c r="L148" s="52"/>
      <c r="M148" s="53"/>
      <c r="N148" s="53"/>
      <c r="O148" s="52"/>
      <c r="P148" s="52"/>
      <c r="Q148" s="52"/>
      <c r="R148" s="53"/>
      <c r="S148" s="54"/>
      <c r="T148" s="54"/>
      <c r="U148" s="54"/>
      <c r="V148" s="53"/>
      <c r="W148" s="53"/>
      <c r="X148" s="55"/>
      <c r="Y148" s="55"/>
      <c r="Z148" s="53"/>
      <c r="AA148" s="56"/>
      <c r="AB148" s="57"/>
      <c r="AD148" s="35"/>
      <c r="AE148" s="35"/>
      <c r="AH148" s="19"/>
      <c r="AI148" s="58"/>
    </row>
    <row r="149" ht="15" customHeight="1" spans="1:35" x14ac:dyDescent="0.25">
      <c r="A149" s="19"/>
      <c r="B149" s="20"/>
      <c r="C149" s="51" t="s">
        <v>100</v>
      </c>
      <c r="D149" s="52"/>
      <c r="E149" s="52"/>
      <c r="F149" s="52"/>
      <c r="G149" s="53"/>
      <c r="H149" s="52"/>
      <c r="I149" s="52"/>
      <c r="J149" s="52"/>
      <c r="K149" s="52"/>
      <c r="L149" s="52"/>
      <c r="M149" s="53"/>
      <c r="N149" s="53"/>
      <c r="O149" s="52"/>
      <c r="P149" s="52"/>
      <c r="Q149" s="52"/>
      <c r="R149" s="53"/>
      <c r="S149" s="54"/>
      <c r="T149" s="54"/>
      <c r="U149" s="54"/>
      <c r="V149" s="53"/>
      <c r="W149" s="53"/>
      <c r="X149" s="55"/>
      <c r="Y149" s="55"/>
      <c r="Z149" s="53"/>
      <c r="AA149" s="56"/>
      <c r="AB149" s="57"/>
      <c r="AD149" s="35"/>
      <c r="AE149" s="35"/>
      <c r="AH149" s="59"/>
      <c r="AI149" s="60"/>
    </row>
    <row r="150" ht="9" customHeight="1" spans="1:35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D150" s="35"/>
      <c r="AE150" s="35"/>
      <c r="AH150" s="35"/>
      <c r="AI150" s="35"/>
    </row>
    <row r="151" ht="15" customHeight="1" spans="1:35" x14ac:dyDescent="0.25">
      <c r="A151" s="73">
        <v>8360</v>
      </c>
      <c r="B151" s="74" t="s">
        <v>54</v>
      </c>
      <c r="C151" s="51" t="s">
        <v>92</v>
      </c>
      <c r="D151" s="52">
        <v>32773.41</v>
      </c>
      <c r="E151" s="52">
        <v>32773.41</v>
      </c>
      <c r="F151" s="52">
        <v>0</v>
      </c>
      <c r="G151" s="53">
        <v>0</v>
      </c>
      <c r="H151" s="52">
        <v>22750.99</v>
      </c>
      <c r="I151" s="52">
        <v>22254.11</v>
      </c>
      <c r="J151" s="52">
        <v>12243.410000000002</v>
      </c>
      <c r="K151" s="52">
        <v>9324.41</v>
      </c>
      <c r="L151" s="52">
        <v>2919.000000000002</v>
      </c>
      <c r="M151" s="53">
        <v>0.23841397127107575</v>
      </c>
      <c r="N151" s="53"/>
      <c r="O151" s="52">
        <v>10507.58</v>
      </c>
      <c r="P151" s="52">
        <v>12929.7</v>
      </c>
      <c r="Q151" s="52">
        <v>-2422.120000000001</v>
      </c>
      <c r="R151" s="53">
        <v>-0.23051168775303169</v>
      </c>
      <c r="S151" s="54">
        <v>210.6</v>
      </c>
      <c r="T151" s="54">
        <v>260.75</v>
      </c>
      <c r="U151" s="54">
        <v>-50.150000000000006</v>
      </c>
      <c r="V151" s="53">
        <v>-0.2381291547958215</v>
      </c>
      <c r="W151" s="53"/>
      <c r="X151" s="55">
        <v>40.342473633748796</v>
      </c>
      <c r="Y151" s="55">
        <v>47.58984852136751</v>
      </c>
      <c r="Z151" s="53">
        <v>0.321</v>
      </c>
      <c r="AA151" s="56">
        <v>0.3058</v>
      </c>
      <c r="AB151" s="57"/>
      <c r="AD151" s="35" t="s">
        <v>93</v>
      </c>
      <c r="AE151" s="35">
        <v>-260.75</v>
      </c>
      <c r="AH151" s="19">
        <v>-260.75</v>
      </c>
      <c r="AI151" s="58">
        <v>-9324.41</v>
      </c>
    </row>
    <row r="152" ht="15" customHeight="1" spans="1:35" x14ac:dyDescent="0.25">
      <c r="A152" s="19"/>
      <c r="B152" s="20"/>
      <c r="C152" s="51" t="s">
        <v>94</v>
      </c>
      <c r="D152" s="52">
        <v>32773.41</v>
      </c>
      <c r="E152" s="52">
        <v>32773.41</v>
      </c>
      <c r="F152" s="52">
        <v>0</v>
      </c>
      <c r="G152" s="53">
        <v>0</v>
      </c>
      <c r="H152" s="52">
        <v>22750.99</v>
      </c>
      <c r="I152" s="52">
        <v>22254.11</v>
      </c>
      <c r="J152" s="52">
        <v>12243.410000000002</v>
      </c>
      <c r="K152" s="52">
        <v>9324.41</v>
      </c>
      <c r="L152" s="52">
        <v>2919.000000000002</v>
      </c>
      <c r="M152" s="53">
        <v>0.23841397127107575</v>
      </c>
      <c r="N152" s="53"/>
      <c r="O152" s="52">
        <v>10507.58</v>
      </c>
      <c r="P152" s="52">
        <v>12929.7</v>
      </c>
      <c r="Q152" s="52">
        <v>-2422.120000000001</v>
      </c>
      <c r="R152" s="53">
        <v>-0.23051168775303169</v>
      </c>
      <c r="S152" s="54">
        <v>210.6</v>
      </c>
      <c r="T152" s="54">
        <v>260.75</v>
      </c>
      <c r="U152" s="54">
        <v>-50.150000000000006</v>
      </c>
      <c r="V152" s="53">
        <v>-0.2381291547958215</v>
      </c>
      <c r="W152" s="53"/>
      <c r="X152" s="55">
        <v>40.342473633748796</v>
      </c>
      <c r="Y152" s="55">
        <v>47.58984852136751</v>
      </c>
      <c r="Z152" s="53">
        <v>0.321</v>
      </c>
      <c r="AA152" s="56">
        <v>0.3058</v>
      </c>
      <c r="AB152" s="57"/>
      <c r="AD152" s="35" t="s">
        <v>95</v>
      </c>
      <c r="AE152" s="36">
        <v>-9324.41</v>
      </c>
      <c r="AH152" s="19"/>
      <c r="AI152" s="58"/>
    </row>
    <row r="153" ht="15" customHeight="1" spans="1:35" x14ac:dyDescent="0.25">
      <c r="A153" s="19"/>
      <c r="B153" s="20"/>
      <c r="C153" s="51" t="s">
        <v>96</v>
      </c>
      <c r="D153" s="52">
        <v>32773.41</v>
      </c>
      <c r="E153" s="52">
        <v>32773.41</v>
      </c>
      <c r="F153" s="52">
        <v>0</v>
      </c>
      <c r="G153" s="53">
        <v>0</v>
      </c>
      <c r="H153" s="52">
        <v>22750.99</v>
      </c>
      <c r="I153" s="52">
        <v>22254.11</v>
      </c>
      <c r="J153" s="52">
        <v>12243.410000000002</v>
      </c>
      <c r="K153" s="52">
        <v>9324.41</v>
      </c>
      <c r="L153" s="52">
        <v>2919.000000000002</v>
      </c>
      <c r="M153" s="53">
        <v>0.23841397127107575</v>
      </c>
      <c r="N153" s="53"/>
      <c r="O153" s="52">
        <v>10507.58</v>
      </c>
      <c r="P153" s="52">
        <v>12929.7</v>
      </c>
      <c r="Q153" s="52">
        <v>-2422.120000000001</v>
      </c>
      <c r="R153" s="53">
        <v>-0.23051168775303169</v>
      </c>
      <c r="S153" s="54">
        <v>210.6</v>
      </c>
      <c r="T153" s="54">
        <v>260.75</v>
      </c>
      <c r="U153" s="54">
        <v>-50.150000000000006</v>
      </c>
      <c r="V153" s="53">
        <v>-0.2381291547958215</v>
      </c>
      <c r="W153" s="53"/>
      <c r="X153" s="55">
        <v>40.342473633748796</v>
      </c>
      <c r="Y153" s="55">
        <v>47.58984852136751</v>
      </c>
      <c r="Z153" s="53">
        <v>0.321</v>
      </c>
      <c r="AA153" s="56">
        <v>0.3058</v>
      </c>
      <c r="AB153" s="57"/>
      <c r="AD153" s="35"/>
      <c r="AE153" s="35"/>
      <c r="AH153" s="19"/>
      <c r="AI153" s="58"/>
    </row>
    <row r="154" ht="15" customHeight="1" spans="1:35" x14ac:dyDescent="0.25">
      <c r="A154" s="19"/>
      <c r="B154" s="20"/>
      <c r="C154" s="51" t="s">
        <v>97</v>
      </c>
      <c r="D154" s="52"/>
      <c r="E154" s="52"/>
      <c r="F154" s="52"/>
      <c r="G154" s="53"/>
      <c r="H154" s="52"/>
      <c r="I154" s="52"/>
      <c r="J154" s="52"/>
      <c r="K154" s="52"/>
      <c r="L154" s="52"/>
      <c r="M154" s="53"/>
      <c r="N154" s="53"/>
      <c r="O154" s="52"/>
      <c r="P154" s="52"/>
      <c r="Q154" s="52"/>
      <c r="R154" s="53"/>
      <c r="S154" s="54"/>
      <c r="T154" s="54"/>
      <c r="U154" s="54"/>
      <c r="V154" s="53"/>
      <c r="W154" s="53"/>
      <c r="X154" s="55"/>
      <c r="Y154" s="55"/>
      <c r="Z154" s="53"/>
      <c r="AA154" s="56"/>
      <c r="AB154" s="57"/>
      <c r="AD154" s="35" t="s">
        <v>98</v>
      </c>
      <c r="AE154" s="36">
        <v>0</v>
      </c>
      <c r="AH154" s="19"/>
      <c r="AI154" s="58"/>
    </row>
    <row r="155" ht="15" customHeight="1" spans="1:35" x14ac:dyDescent="0.25">
      <c r="A155" s="19"/>
      <c r="B155" s="20"/>
      <c r="C155" s="51" t="s">
        <v>99</v>
      </c>
      <c r="D155" s="52"/>
      <c r="E155" s="52"/>
      <c r="F155" s="52"/>
      <c r="G155" s="53"/>
      <c r="H155" s="52"/>
      <c r="I155" s="52"/>
      <c r="J155" s="52"/>
      <c r="K155" s="52"/>
      <c r="L155" s="52"/>
      <c r="M155" s="53"/>
      <c r="N155" s="53"/>
      <c r="O155" s="52"/>
      <c r="P155" s="52"/>
      <c r="Q155" s="52"/>
      <c r="R155" s="53"/>
      <c r="S155" s="54"/>
      <c r="T155" s="54"/>
      <c r="U155" s="54"/>
      <c r="V155" s="53"/>
      <c r="W155" s="53"/>
      <c r="X155" s="55"/>
      <c r="Y155" s="55"/>
      <c r="Z155" s="53"/>
      <c r="AA155" s="56"/>
      <c r="AB155" s="57"/>
      <c r="AD155" s="35"/>
      <c r="AE155" s="35"/>
      <c r="AH155" s="19"/>
      <c r="AI155" s="58"/>
    </row>
    <row r="156" ht="15.75" customHeight="1" spans="1:35" x14ac:dyDescent="0.25">
      <c r="A156" s="59"/>
      <c r="B156" s="75"/>
      <c r="C156" s="76" t="s">
        <v>100</v>
      </c>
      <c r="D156" s="52"/>
      <c r="E156" s="52"/>
      <c r="F156" s="52"/>
      <c r="G156" s="53"/>
      <c r="H156" s="52"/>
      <c r="I156" s="52"/>
      <c r="J156" s="52"/>
      <c r="K156" s="52"/>
      <c r="L156" s="52"/>
      <c r="M156" s="53"/>
      <c r="N156" s="53"/>
      <c r="O156" s="52"/>
      <c r="P156" s="52"/>
      <c r="Q156" s="52"/>
      <c r="R156" s="53"/>
      <c r="S156" s="54"/>
      <c r="T156" s="54"/>
      <c r="U156" s="54"/>
      <c r="V156" s="53"/>
      <c r="W156" s="53"/>
      <c r="X156" s="55"/>
      <c r="Y156" s="55"/>
      <c r="Z156" s="53"/>
      <c r="AA156" s="56"/>
      <c r="AB156" s="57"/>
      <c r="AD156" s="35"/>
      <c r="AE156" s="35"/>
      <c r="AH156" s="59">
        <v>-260.75</v>
      </c>
      <c r="AI156" s="60">
        <v>-9324.41</v>
      </c>
    </row>
    <row r="157" ht="26.25" customHeight="1" spans="1:35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D157" s="35"/>
      <c r="AE157" s="35"/>
      <c r="AH157" s="35"/>
      <c r="AI157" s="35"/>
    </row>
    <row r="158" ht="15" customHeight="1" spans="1:35" x14ac:dyDescent="0.25">
      <c r="A158" s="19">
        <v>8337</v>
      </c>
      <c r="B158" s="20" t="s">
        <v>55</v>
      </c>
      <c r="C158" s="51" t="s">
        <v>92</v>
      </c>
      <c r="D158" s="52">
        <v>17899.33</v>
      </c>
      <c r="E158" s="52">
        <v>13424.5</v>
      </c>
      <c r="F158" s="52">
        <v>4474.830000000002</v>
      </c>
      <c r="G158" s="53">
        <v>0.24999986032996774</v>
      </c>
      <c r="H158" s="52">
        <v>13919.4</v>
      </c>
      <c r="I158" s="52">
        <v>10402.37</v>
      </c>
      <c r="J158" s="52">
        <v>8410.93</v>
      </c>
      <c r="K158" s="52">
        <v>7278.380000000001</v>
      </c>
      <c r="L158" s="52">
        <v>1132.5499999999993</v>
      </c>
      <c r="M158" s="53">
        <v>0.13465217282749936</v>
      </c>
      <c r="N158" s="53"/>
      <c r="O158" s="52">
        <v>5508.47</v>
      </c>
      <c r="P158" s="52">
        <v>3123.99</v>
      </c>
      <c r="Q158" s="52">
        <v>2384.4800000000005</v>
      </c>
      <c r="R158" s="53">
        <v>0.43287519038861977</v>
      </c>
      <c r="S158" s="54">
        <v>110.44</v>
      </c>
      <c r="T158" s="54">
        <v>60.75</v>
      </c>
      <c r="U158" s="54">
        <v>49.69</v>
      </c>
      <c r="V158" s="53">
        <v>0.44992756247736326</v>
      </c>
      <c r="W158" s="53"/>
      <c r="X158" s="55">
        <v>49.74699588477367</v>
      </c>
      <c r="Y158" s="55">
        <v>36.03704967040926</v>
      </c>
      <c r="Z158" s="53">
        <v>0.22510000000000002</v>
      </c>
      <c r="AA158" s="56">
        <v>0.2224</v>
      </c>
      <c r="AB158" s="57"/>
      <c r="AD158" s="35" t="s">
        <v>93</v>
      </c>
      <c r="AE158" s="35">
        <v>-44.75</v>
      </c>
      <c r="AH158" s="19">
        <v>-44.75</v>
      </c>
      <c r="AI158" s="58"/>
    </row>
    <row r="159" ht="15" customHeight="1" spans="1:35" x14ac:dyDescent="0.25">
      <c r="A159" s="19"/>
      <c r="B159" s="20"/>
      <c r="C159" s="51" t="s">
        <v>94</v>
      </c>
      <c r="D159" s="52">
        <v>17899.33</v>
      </c>
      <c r="E159" s="52">
        <v>13424.5</v>
      </c>
      <c r="F159" s="52">
        <v>4474.830000000002</v>
      </c>
      <c r="G159" s="53">
        <v>0.24999986032996774</v>
      </c>
      <c r="H159" s="52">
        <v>13919.4</v>
      </c>
      <c r="I159" s="52">
        <v>10402.37</v>
      </c>
      <c r="J159" s="52">
        <v>8410.93</v>
      </c>
      <c r="K159" s="52">
        <v>7278.380000000001</v>
      </c>
      <c r="L159" s="52">
        <v>1132.5499999999993</v>
      </c>
      <c r="M159" s="53">
        <v>0.13465217282749936</v>
      </c>
      <c r="N159" s="53"/>
      <c r="O159" s="52">
        <v>5508.47</v>
      </c>
      <c r="P159" s="52">
        <v>3123.99</v>
      </c>
      <c r="Q159" s="52">
        <v>2384.4800000000005</v>
      </c>
      <c r="R159" s="53">
        <v>0.43287519038861977</v>
      </c>
      <c r="S159" s="54">
        <v>110.44</v>
      </c>
      <c r="T159" s="54">
        <v>60.75</v>
      </c>
      <c r="U159" s="54">
        <v>49.69</v>
      </c>
      <c r="V159" s="53">
        <v>0.44992756247736326</v>
      </c>
      <c r="W159" s="53"/>
      <c r="X159" s="55">
        <v>49.74699588477367</v>
      </c>
      <c r="Y159" s="55">
        <v>36.03704967040926</v>
      </c>
      <c r="Z159" s="53">
        <v>0.22510000000000002</v>
      </c>
      <c r="AA159" s="56">
        <v>0.2224</v>
      </c>
      <c r="AB159" s="57"/>
      <c r="AD159" s="35" t="s">
        <v>95</v>
      </c>
      <c r="AE159" s="36"/>
      <c r="AH159" s="19"/>
      <c r="AI159" s="58"/>
    </row>
    <row r="160" ht="15" customHeight="1" spans="1:35" x14ac:dyDescent="0.25">
      <c r="A160" s="19"/>
      <c r="B160" s="20"/>
      <c r="C160" s="51" t="s">
        <v>96</v>
      </c>
      <c r="D160" s="52">
        <v>17899.33</v>
      </c>
      <c r="E160" s="52">
        <v>13424.5</v>
      </c>
      <c r="F160" s="52">
        <v>4474.830000000002</v>
      </c>
      <c r="G160" s="53">
        <v>0.24999986032996774</v>
      </c>
      <c r="H160" s="52">
        <v>13919.4</v>
      </c>
      <c r="I160" s="52">
        <v>10402.37</v>
      </c>
      <c r="J160" s="52">
        <v>8410.93</v>
      </c>
      <c r="K160" s="52">
        <v>7278.380000000001</v>
      </c>
      <c r="L160" s="52">
        <v>1132.5499999999993</v>
      </c>
      <c r="M160" s="53">
        <v>0.13465217282749936</v>
      </c>
      <c r="N160" s="53"/>
      <c r="O160" s="52">
        <v>5508.47</v>
      </c>
      <c r="P160" s="52">
        <v>3123.99</v>
      </c>
      <c r="Q160" s="52">
        <v>2384.4800000000005</v>
      </c>
      <c r="R160" s="53">
        <v>0.43287519038861977</v>
      </c>
      <c r="S160" s="54">
        <v>110.44</v>
      </c>
      <c r="T160" s="54">
        <v>60.75</v>
      </c>
      <c r="U160" s="54">
        <v>49.69</v>
      </c>
      <c r="V160" s="53">
        <v>0.44992756247736326</v>
      </c>
      <c r="W160" s="53"/>
      <c r="X160" s="55">
        <v>49.74699588477367</v>
      </c>
      <c r="Y160" s="55">
        <v>36.03704967040926</v>
      </c>
      <c r="Z160" s="53">
        <v>0.22510000000000002</v>
      </c>
      <c r="AA160" s="56">
        <v>0.2224</v>
      </c>
      <c r="AB160" s="57"/>
      <c r="AD160" s="35"/>
      <c r="AE160" s="35"/>
      <c r="AH160" s="19"/>
      <c r="AI160" s="58"/>
    </row>
    <row r="161" ht="15" customHeight="1" spans="1:35" x14ac:dyDescent="0.25">
      <c r="A161" s="19"/>
      <c r="B161" s="20"/>
      <c r="C161" s="51" t="s">
        <v>97</v>
      </c>
      <c r="D161" s="52"/>
      <c r="E161" s="52"/>
      <c r="F161" s="52"/>
      <c r="G161" s="53"/>
      <c r="H161" s="52"/>
      <c r="I161" s="52"/>
      <c r="J161" s="52"/>
      <c r="K161" s="52"/>
      <c r="L161" s="52"/>
      <c r="M161" s="53"/>
      <c r="N161" s="53"/>
      <c r="O161" s="52"/>
      <c r="P161" s="52"/>
      <c r="Q161" s="52"/>
      <c r="R161" s="53"/>
      <c r="S161" s="54"/>
      <c r="T161" s="54"/>
      <c r="U161" s="54"/>
      <c r="V161" s="53"/>
      <c r="W161" s="53"/>
      <c r="X161" s="55"/>
      <c r="Y161" s="55"/>
      <c r="Z161" s="53"/>
      <c r="AA161" s="56"/>
      <c r="AB161" s="57"/>
      <c r="AD161" s="35" t="s">
        <v>98</v>
      </c>
      <c r="AE161" s="36">
        <v>0</v>
      </c>
      <c r="AH161" s="19"/>
      <c r="AI161" s="58"/>
    </row>
    <row r="162" ht="15" customHeight="1" spans="1:35" x14ac:dyDescent="0.25">
      <c r="A162" s="19"/>
      <c r="B162" s="20"/>
      <c r="C162" s="51" t="s">
        <v>99</v>
      </c>
      <c r="D162" s="52"/>
      <c r="E162" s="52"/>
      <c r="F162" s="52"/>
      <c r="G162" s="53"/>
      <c r="H162" s="52"/>
      <c r="I162" s="52"/>
      <c r="J162" s="52"/>
      <c r="K162" s="52"/>
      <c r="L162" s="52"/>
      <c r="M162" s="53"/>
      <c r="N162" s="53"/>
      <c r="O162" s="52"/>
      <c r="P162" s="52"/>
      <c r="Q162" s="52"/>
      <c r="R162" s="53"/>
      <c r="S162" s="54"/>
      <c r="T162" s="54"/>
      <c r="U162" s="54"/>
      <c r="V162" s="53"/>
      <c r="W162" s="53"/>
      <c r="X162" s="55"/>
      <c r="Y162" s="55"/>
      <c r="Z162" s="53"/>
      <c r="AA162" s="56"/>
      <c r="AB162" s="57"/>
      <c r="AD162" s="35"/>
      <c r="AE162" s="35"/>
      <c r="AH162" s="19"/>
      <c r="AI162" s="58"/>
    </row>
    <row r="163" ht="15.75" customHeight="1" spans="1:35" x14ac:dyDescent="0.25">
      <c r="A163" s="59"/>
      <c r="B163" s="75"/>
      <c r="C163" s="76" t="s">
        <v>100</v>
      </c>
      <c r="D163" s="52"/>
      <c r="E163" s="52"/>
      <c r="F163" s="52"/>
      <c r="G163" s="53"/>
      <c r="H163" s="52"/>
      <c r="I163" s="52"/>
      <c r="J163" s="52"/>
      <c r="K163" s="52"/>
      <c r="L163" s="52"/>
      <c r="M163" s="53"/>
      <c r="N163" s="53"/>
      <c r="O163" s="52"/>
      <c r="P163" s="52"/>
      <c r="Q163" s="52"/>
      <c r="R163" s="53"/>
      <c r="S163" s="54"/>
      <c r="T163" s="54"/>
      <c r="U163" s="54"/>
      <c r="V163" s="53"/>
      <c r="W163" s="53"/>
      <c r="X163" s="55"/>
      <c r="Y163" s="55"/>
      <c r="Z163" s="53"/>
      <c r="AA163" s="56"/>
      <c r="AB163" s="57"/>
      <c r="AD163" s="35"/>
      <c r="AE163" s="35"/>
      <c r="AH163" s="59">
        <v>-44.75</v>
      </c>
      <c r="AI163" s="60"/>
    </row>
    <row r="164" ht="9" customHeight="1" spans="1:35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D164" s="35"/>
      <c r="AE164" s="35"/>
      <c r="AH164" s="35"/>
      <c r="AI164" s="35"/>
    </row>
    <row r="165" ht="15" customHeight="1" spans="1:35" x14ac:dyDescent="0.25">
      <c r="A165" s="19">
        <v>9240</v>
      </c>
      <c r="B165" s="20" t="s">
        <v>56</v>
      </c>
      <c r="C165" s="51" t="s">
        <v>92</v>
      </c>
      <c r="D165" s="52">
        <v>10827.2</v>
      </c>
      <c r="E165" s="52"/>
      <c r="F165" s="52">
        <v>10827.2</v>
      </c>
      <c r="G165" s="53">
        <v>1</v>
      </c>
      <c r="H165" s="52">
        <v>7619.53</v>
      </c>
      <c r="I165" s="52"/>
      <c r="J165" s="52">
        <v>4388.87</v>
      </c>
      <c r="K165" s="52" t="s">
        <v>101</v>
      </c>
      <c r="L165" s="52">
        <v>4388.87</v>
      </c>
      <c r="M165" s="53">
        <v>1</v>
      </c>
      <c r="N165" s="53"/>
      <c r="O165" s="52">
        <v>3230.66</v>
      </c>
      <c r="P165" s="52"/>
      <c r="Q165" s="52">
        <v>3230.66</v>
      </c>
      <c r="R165" s="53">
        <v>1</v>
      </c>
      <c r="S165" s="54">
        <v>64.71</v>
      </c>
      <c r="T165" s="54"/>
      <c r="U165" s="54">
        <v>64.71</v>
      </c>
      <c r="V165" s="53">
        <v>1</v>
      </c>
      <c r="W165" s="53"/>
      <c r="X165" s="55"/>
      <c r="Y165" s="55">
        <v>49.569927368258405</v>
      </c>
      <c r="Z165" s="53"/>
      <c r="AA165" s="56">
        <v>0.29626034431801396</v>
      </c>
      <c r="AB165" s="57"/>
      <c r="AD165" s="35" t="s">
        <v>93</v>
      </c>
      <c r="AE165" s="35"/>
      <c r="AH165" s="19"/>
      <c r="AI165" s="58"/>
    </row>
    <row r="166" ht="15" customHeight="1" spans="1:35" x14ac:dyDescent="0.25">
      <c r="A166" s="19"/>
      <c r="B166" s="20"/>
      <c r="C166" s="51" t="s">
        <v>94</v>
      </c>
      <c r="D166" s="52">
        <v>10827.2</v>
      </c>
      <c r="E166" s="52">
        <v>0</v>
      </c>
      <c r="F166" s="52">
        <v>10827.2</v>
      </c>
      <c r="G166" s="53">
        <v>1</v>
      </c>
      <c r="H166" s="52">
        <v>7687.77</v>
      </c>
      <c r="I166" s="52">
        <v>853.55</v>
      </c>
      <c r="J166" s="52">
        <v>4437.14</v>
      </c>
      <c r="K166" s="52">
        <v>853.55</v>
      </c>
      <c r="L166" s="52">
        <v>3583.59</v>
      </c>
      <c r="M166" s="53">
        <v>0.8076350982840298</v>
      </c>
      <c r="N166" s="53"/>
      <c r="O166" s="52">
        <v>3250.63</v>
      </c>
      <c r="P166" s="52">
        <v>0</v>
      </c>
      <c r="Q166" s="52">
        <v>3250.63</v>
      </c>
      <c r="R166" s="53">
        <v>1</v>
      </c>
      <c r="S166" s="54">
        <v>65.13</v>
      </c>
      <c r="T166" s="54">
        <v>0</v>
      </c>
      <c r="U166" s="54">
        <v>65.13</v>
      </c>
      <c r="V166" s="53">
        <v>1</v>
      </c>
      <c r="W166" s="53"/>
      <c r="X166" s="55">
        <v>0</v>
      </c>
      <c r="Y166" s="55">
        <v>48.202633430830645</v>
      </c>
      <c r="Z166" s="53">
        <v>0</v>
      </c>
      <c r="AA166" s="56">
        <v>0.29</v>
      </c>
      <c r="AB166" s="57"/>
      <c r="AD166" s="35" t="s">
        <v>95</v>
      </c>
      <c r="AE166" s="36"/>
      <c r="AH166" s="19"/>
      <c r="AI166" s="58"/>
    </row>
    <row r="167" ht="15" customHeight="1" spans="1:35" x14ac:dyDescent="0.25">
      <c r="A167" s="19"/>
      <c r="B167" s="20"/>
      <c r="C167" s="51" t="s">
        <v>96</v>
      </c>
      <c r="D167" s="52">
        <v>10827.2</v>
      </c>
      <c r="E167" s="52">
        <v>0</v>
      </c>
      <c r="F167" s="52">
        <v>10827.2</v>
      </c>
      <c r="G167" s="53">
        <v>1</v>
      </c>
      <c r="H167" s="52">
        <v>7687.77</v>
      </c>
      <c r="I167" s="52">
        <v>2116.21</v>
      </c>
      <c r="J167" s="52">
        <v>4437.14</v>
      </c>
      <c r="K167" s="52">
        <v>1029.51</v>
      </c>
      <c r="L167" s="52">
        <v>3407.63</v>
      </c>
      <c r="M167" s="53">
        <v>0.7679789233605431</v>
      </c>
      <c r="N167" s="53"/>
      <c r="O167" s="52">
        <v>3250.63</v>
      </c>
      <c r="P167" s="52">
        <v>1086.7</v>
      </c>
      <c r="Q167" s="52">
        <v>2163.9300000000003</v>
      </c>
      <c r="R167" s="53">
        <v>0.6656955728581845</v>
      </c>
      <c r="S167" s="54">
        <v>65.13</v>
      </c>
      <c r="T167" s="54">
        <v>24.33</v>
      </c>
      <c r="U167" s="54">
        <v>40.8</v>
      </c>
      <c r="V167" s="53">
        <v>0.6264394288346384</v>
      </c>
      <c r="W167" s="53"/>
      <c r="X167" s="55">
        <v>-86.97944923962187</v>
      </c>
      <c r="Y167" s="55">
        <v>48.202633430830645</v>
      </c>
      <c r="Z167" s="53">
        <v>0</v>
      </c>
      <c r="AA167" s="56">
        <v>0.29</v>
      </c>
      <c r="AB167" s="57"/>
      <c r="AD167" s="35"/>
      <c r="AE167" s="35"/>
      <c r="AH167" s="19"/>
      <c r="AI167" s="58"/>
    </row>
    <row r="168" ht="15" customHeight="1" spans="1:35" x14ac:dyDescent="0.25">
      <c r="A168" s="19"/>
      <c r="B168" s="20"/>
      <c r="C168" s="51" t="s">
        <v>97</v>
      </c>
      <c r="D168" s="52"/>
      <c r="E168" s="52"/>
      <c r="F168" s="52"/>
      <c r="G168" s="53"/>
      <c r="H168" s="52"/>
      <c r="I168" s="52"/>
      <c r="J168" s="52"/>
      <c r="K168" s="52"/>
      <c r="L168" s="52"/>
      <c r="M168" s="53"/>
      <c r="N168" s="53"/>
      <c r="O168" s="52"/>
      <c r="P168" s="52"/>
      <c r="Q168" s="52"/>
      <c r="R168" s="53"/>
      <c r="S168" s="54"/>
      <c r="T168" s="54"/>
      <c r="U168" s="54"/>
      <c r="V168" s="53"/>
      <c r="W168" s="53"/>
      <c r="X168" s="55"/>
      <c r="Y168" s="55"/>
      <c r="Z168" s="53"/>
      <c r="AA168" s="56"/>
      <c r="AB168" s="57"/>
      <c r="AD168" s="35" t="s">
        <v>98</v>
      </c>
      <c r="AE168" s="36">
        <v>0</v>
      </c>
      <c r="AH168" s="19"/>
      <c r="AI168" s="58"/>
    </row>
    <row r="169" ht="15" customHeight="1" spans="1:35" x14ac:dyDescent="0.25">
      <c r="A169" s="19"/>
      <c r="B169" s="20"/>
      <c r="C169" s="51" t="s">
        <v>99</v>
      </c>
      <c r="D169" s="52"/>
      <c r="E169" s="52"/>
      <c r="F169" s="52"/>
      <c r="G169" s="53"/>
      <c r="H169" s="52"/>
      <c r="I169" s="52"/>
      <c r="J169" s="52"/>
      <c r="K169" s="52"/>
      <c r="L169" s="52"/>
      <c r="M169" s="53"/>
      <c r="N169" s="53"/>
      <c r="O169" s="52"/>
      <c r="P169" s="52"/>
      <c r="Q169" s="52"/>
      <c r="R169" s="53"/>
      <c r="S169" s="54"/>
      <c r="T169" s="54"/>
      <c r="U169" s="54"/>
      <c r="V169" s="53"/>
      <c r="W169" s="53"/>
      <c r="X169" s="55"/>
      <c r="Y169" s="55"/>
      <c r="Z169" s="53"/>
      <c r="AA169" s="56"/>
      <c r="AB169" s="57"/>
      <c r="AD169" s="35"/>
      <c r="AE169" s="35"/>
      <c r="AH169" s="19"/>
      <c r="AI169" s="58"/>
    </row>
    <row r="170" ht="15.75" customHeight="1" spans="1:35" x14ac:dyDescent="0.25">
      <c r="A170" s="59"/>
      <c r="B170" s="75"/>
      <c r="C170" s="76" t="s">
        <v>100</v>
      </c>
      <c r="D170" s="52"/>
      <c r="E170" s="52"/>
      <c r="F170" s="52"/>
      <c r="G170" s="53"/>
      <c r="H170" s="52"/>
      <c r="I170" s="52"/>
      <c r="J170" s="52"/>
      <c r="K170" s="52"/>
      <c r="L170" s="52"/>
      <c r="M170" s="53"/>
      <c r="N170" s="53"/>
      <c r="O170" s="52"/>
      <c r="P170" s="52"/>
      <c r="Q170" s="52"/>
      <c r="R170" s="53"/>
      <c r="S170" s="54"/>
      <c r="T170" s="54"/>
      <c r="U170" s="54"/>
      <c r="V170" s="53"/>
      <c r="W170" s="53"/>
      <c r="X170" s="55"/>
      <c r="Y170" s="55"/>
      <c r="Z170" s="53"/>
      <c r="AA170" s="56"/>
      <c r="AB170" s="57"/>
      <c r="AD170" s="35"/>
      <c r="AE170" s="35"/>
      <c r="AH170" s="59"/>
      <c r="AI170" s="60"/>
    </row>
    <row r="171" ht="9" customHeight="1" spans="1:35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D171" s="35"/>
      <c r="AE171" s="35"/>
      <c r="AH171" s="35"/>
      <c r="AI171" s="35"/>
    </row>
    <row r="172" ht="15" customHeight="1" spans="1:35" x14ac:dyDescent="0.25">
      <c r="A172" s="19">
        <v>7428</v>
      </c>
      <c r="B172" s="19" t="s">
        <v>57</v>
      </c>
      <c r="C172" s="51" t="s">
        <v>92</v>
      </c>
      <c r="D172" s="52">
        <v>146237.11</v>
      </c>
      <c r="E172" s="52">
        <v>125386.21</v>
      </c>
      <c r="F172" s="52">
        <v>20850.89999999998</v>
      </c>
      <c r="G172" s="53">
        <v>0.14258282319720336</v>
      </c>
      <c r="H172" s="52">
        <v>114651.87</v>
      </c>
      <c r="I172" s="52">
        <v>102882.12</v>
      </c>
      <c r="J172" s="52">
        <v>82888.07999999999</v>
      </c>
      <c r="K172" s="52">
        <v>77739.84</v>
      </c>
      <c r="L172" s="52">
        <v>5148.239999999991</v>
      </c>
      <c r="M172" s="53">
        <v>0.06211074016915329</v>
      </c>
      <c r="N172" s="53"/>
      <c r="O172" s="52">
        <v>31763.79</v>
      </c>
      <c r="P172" s="52">
        <v>25142.28</v>
      </c>
      <c r="Q172" s="52">
        <v>6621.510000000002</v>
      </c>
      <c r="R172" s="53">
        <v>0.20846095506864898</v>
      </c>
      <c r="S172" s="54">
        <v>659.73</v>
      </c>
      <c r="T172" s="54">
        <v>505.25</v>
      </c>
      <c r="U172" s="54">
        <v>154.48000000000002</v>
      </c>
      <c r="V172" s="53">
        <v>0.23415639731405274</v>
      </c>
      <c r="W172" s="53"/>
      <c r="X172" s="55">
        <v>44.54050470064325</v>
      </c>
      <c r="Y172" s="55">
        <v>47.87601261940491</v>
      </c>
      <c r="Z172" s="53">
        <v>0.1795</v>
      </c>
      <c r="AA172" s="56">
        <v>0.216</v>
      </c>
      <c r="AB172" s="57"/>
      <c r="AD172" s="35" t="s">
        <v>93</v>
      </c>
      <c r="AE172" s="35">
        <v>-304.75</v>
      </c>
      <c r="AH172" s="19">
        <v>-304.75</v>
      </c>
      <c r="AI172" s="58"/>
    </row>
    <row r="173" ht="15" customHeight="1" spans="1:35" x14ac:dyDescent="0.25">
      <c r="A173" s="19"/>
      <c r="B173" s="20"/>
      <c r="C173" s="51" t="s">
        <v>94</v>
      </c>
      <c r="D173" s="52">
        <v>146237.11</v>
      </c>
      <c r="E173" s="52">
        <v>125386.21</v>
      </c>
      <c r="F173" s="52">
        <v>20850.89999999998</v>
      </c>
      <c r="G173" s="53">
        <v>0.14258282319720336</v>
      </c>
      <c r="H173" s="52">
        <v>114651.87</v>
      </c>
      <c r="I173" s="52">
        <v>105511.63</v>
      </c>
      <c r="J173" s="52">
        <v>82888.07999999999</v>
      </c>
      <c r="K173" s="52">
        <v>78161.06</v>
      </c>
      <c r="L173" s="52">
        <v>4727.0199999999895</v>
      </c>
      <c r="M173" s="53">
        <v>0.05702894795005495</v>
      </c>
      <c r="N173" s="53"/>
      <c r="O173" s="52">
        <v>31763.79</v>
      </c>
      <c r="P173" s="52">
        <v>27350.57</v>
      </c>
      <c r="Q173" s="52">
        <v>4413.220000000001</v>
      </c>
      <c r="R173" s="53">
        <v>0.13893870976983544</v>
      </c>
      <c r="S173" s="54">
        <v>659.73</v>
      </c>
      <c r="T173" s="54">
        <v>548.75</v>
      </c>
      <c r="U173" s="54">
        <v>110.98000000000002</v>
      </c>
      <c r="V173" s="53">
        <v>0.16822033256028984</v>
      </c>
      <c r="W173" s="53"/>
      <c r="X173" s="55">
        <v>36.21791343963554</v>
      </c>
      <c r="Y173" s="55">
        <v>47.87601261940491</v>
      </c>
      <c r="Z173" s="53">
        <v>0.1585</v>
      </c>
      <c r="AA173" s="56">
        <v>0.216</v>
      </c>
      <c r="AB173" s="57"/>
      <c r="AD173" s="35" t="s">
        <v>95</v>
      </c>
      <c r="AE173" s="36"/>
      <c r="AH173" s="19"/>
      <c r="AI173" s="58"/>
    </row>
    <row r="174" ht="15" customHeight="1" spans="1:35" x14ac:dyDescent="0.25">
      <c r="A174" s="19"/>
      <c r="B174" s="20"/>
      <c r="C174" s="51" t="s">
        <v>96</v>
      </c>
      <c r="D174" s="52">
        <v>146237.11</v>
      </c>
      <c r="E174" s="52">
        <v>125386.21</v>
      </c>
      <c r="F174" s="52">
        <v>20850.89999999998</v>
      </c>
      <c r="G174" s="53">
        <v>0.14258282319720336</v>
      </c>
      <c r="H174" s="52">
        <v>114651.87</v>
      </c>
      <c r="I174" s="52">
        <v>105118.87</v>
      </c>
      <c r="J174" s="52">
        <v>82888.07999999999</v>
      </c>
      <c r="K174" s="52">
        <v>77768.29999999999</v>
      </c>
      <c r="L174" s="52">
        <v>5119.779999999999</v>
      </c>
      <c r="M174" s="53">
        <v>0.06176738561202044</v>
      </c>
      <c r="N174" s="53"/>
      <c r="O174" s="52">
        <v>31763.79</v>
      </c>
      <c r="P174" s="52">
        <v>27350.57</v>
      </c>
      <c r="Q174" s="52">
        <v>4413.220000000001</v>
      </c>
      <c r="R174" s="53">
        <v>0.13893870976983544</v>
      </c>
      <c r="S174" s="54">
        <v>659.73</v>
      </c>
      <c r="T174" s="54">
        <v>548.75</v>
      </c>
      <c r="U174" s="54">
        <v>110.98000000000002</v>
      </c>
      <c r="V174" s="53">
        <v>0.16822033256028984</v>
      </c>
      <c r="W174" s="53"/>
      <c r="X174" s="55">
        <v>36.933649202733484</v>
      </c>
      <c r="Y174" s="55">
        <v>47.87601261940491</v>
      </c>
      <c r="Z174" s="53">
        <v>0.1616</v>
      </c>
      <c r="AA174" s="56">
        <v>0.216</v>
      </c>
      <c r="AB174" s="57"/>
      <c r="AD174" s="35"/>
      <c r="AE174" s="35"/>
      <c r="AH174" s="19"/>
      <c r="AI174" s="58"/>
    </row>
    <row r="175" ht="15" customHeight="1" spans="1:35" x14ac:dyDescent="0.25">
      <c r="A175" s="19"/>
      <c r="B175" s="20"/>
      <c r="C175" s="51" t="s">
        <v>97</v>
      </c>
      <c r="D175" s="52"/>
      <c r="E175" s="52"/>
      <c r="F175" s="52"/>
      <c r="G175" s="53"/>
      <c r="H175" s="52"/>
      <c r="I175" s="52"/>
      <c r="J175" s="52"/>
      <c r="K175" s="52"/>
      <c r="L175" s="52"/>
      <c r="M175" s="53"/>
      <c r="N175" s="53"/>
      <c r="O175" s="52"/>
      <c r="P175" s="52"/>
      <c r="Q175" s="52"/>
      <c r="R175" s="53"/>
      <c r="S175" s="54"/>
      <c r="T175" s="54"/>
      <c r="U175" s="54"/>
      <c r="V175" s="53"/>
      <c r="W175" s="53"/>
      <c r="X175" s="55"/>
      <c r="Y175" s="55"/>
      <c r="Z175" s="53"/>
      <c r="AA175" s="56"/>
      <c r="AB175" s="57"/>
      <c r="AD175" s="35" t="s">
        <v>98</v>
      </c>
      <c r="AE175" s="36">
        <v>0</v>
      </c>
      <c r="AH175" s="19"/>
      <c r="AI175" s="58"/>
    </row>
    <row r="176" ht="15" customHeight="1" spans="1:35" x14ac:dyDescent="0.25">
      <c r="A176" s="19"/>
      <c r="B176" s="20"/>
      <c r="C176" s="51" t="s">
        <v>99</v>
      </c>
      <c r="D176" s="52"/>
      <c r="E176" s="52"/>
      <c r="F176" s="52"/>
      <c r="G176" s="53"/>
      <c r="H176" s="52"/>
      <c r="I176" s="52"/>
      <c r="J176" s="52"/>
      <c r="K176" s="52"/>
      <c r="L176" s="52"/>
      <c r="M176" s="53"/>
      <c r="N176" s="53"/>
      <c r="O176" s="52"/>
      <c r="P176" s="52"/>
      <c r="Q176" s="52"/>
      <c r="R176" s="53"/>
      <c r="S176" s="54"/>
      <c r="T176" s="54"/>
      <c r="U176" s="54"/>
      <c r="V176" s="53"/>
      <c r="W176" s="53"/>
      <c r="X176" s="55"/>
      <c r="Y176" s="55"/>
      <c r="Z176" s="53"/>
      <c r="AA176" s="56"/>
      <c r="AB176" s="57"/>
      <c r="AD176" s="35"/>
      <c r="AE176" s="35"/>
      <c r="AH176" s="19"/>
      <c r="AI176" s="58"/>
    </row>
    <row r="177" ht="15.75" customHeight="1" spans="1:35" x14ac:dyDescent="0.25">
      <c r="A177" s="59"/>
      <c r="B177" s="75"/>
      <c r="C177" s="76" t="s">
        <v>100</v>
      </c>
      <c r="D177" s="52"/>
      <c r="E177" s="52"/>
      <c r="F177" s="52"/>
      <c r="G177" s="53"/>
      <c r="H177" s="52"/>
      <c r="I177" s="52"/>
      <c r="J177" s="52"/>
      <c r="K177" s="52"/>
      <c r="L177" s="52"/>
      <c r="M177" s="53"/>
      <c r="N177" s="53"/>
      <c r="O177" s="52"/>
      <c r="P177" s="52"/>
      <c r="Q177" s="52"/>
      <c r="R177" s="53"/>
      <c r="S177" s="54"/>
      <c r="T177" s="54"/>
      <c r="U177" s="54"/>
      <c r="V177" s="53"/>
      <c r="W177" s="53"/>
      <c r="X177" s="55"/>
      <c r="Y177" s="55"/>
      <c r="Z177" s="53"/>
      <c r="AA177" s="56"/>
      <c r="AB177" s="57"/>
      <c r="AD177" s="35"/>
      <c r="AE177" s="35"/>
      <c r="AH177" s="59">
        <v>-304.75</v>
      </c>
      <c r="AI177" s="60"/>
    </row>
    <row r="178" ht="9" customHeight="1" spans="1:35" x14ac:dyDescent="0.25">
      <c r="A178" s="61">
        <v>0</v>
      </c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D178" s="35"/>
      <c r="AE178" s="35"/>
      <c r="AH178" s="35"/>
      <c r="AI178" s="35"/>
    </row>
    <row r="179" ht="15" customHeight="1" spans="1:35" x14ac:dyDescent="0.25">
      <c r="A179" s="19">
        <v>9351</v>
      </c>
      <c r="B179" s="19" t="s">
        <v>58</v>
      </c>
      <c r="C179" s="51" t="s">
        <v>92</v>
      </c>
      <c r="D179" s="52">
        <v>16897.53</v>
      </c>
      <c r="E179" s="52">
        <v>5491.7</v>
      </c>
      <c r="F179" s="52">
        <v>11405.829999999998</v>
      </c>
      <c r="G179" s="53">
        <v>0.6749998372543206</v>
      </c>
      <c r="H179" s="52">
        <v>9226.27</v>
      </c>
      <c r="I179" s="52">
        <v>3702.78</v>
      </c>
      <c r="J179" s="52">
        <v>2977.1100000000006</v>
      </c>
      <c r="K179" s="52">
        <v>2335.9700000000003</v>
      </c>
      <c r="L179" s="52">
        <v>641.1400000000003</v>
      </c>
      <c r="M179" s="53">
        <v>0.2153565034546927</v>
      </c>
      <c r="N179" s="53"/>
      <c r="O179" s="52">
        <v>6249.16</v>
      </c>
      <c r="P179" s="52">
        <v>1366.81</v>
      </c>
      <c r="Q179" s="52">
        <v>4882.35</v>
      </c>
      <c r="R179" s="53">
        <v>0.7812810041669601</v>
      </c>
      <c r="S179" s="54">
        <v>125.17</v>
      </c>
      <c r="T179" s="54">
        <v>23.75</v>
      </c>
      <c r="U179" s="54">
        <v>101.42</v>
      </c>
      <c r="V179" s="53">
        <v>0.8102580490532876</v>
      </c>
      <c r="W179" s="53"/>
      <c r="X179" s="55">
        <v>75.32294736842105</v>
      </c>
      <c r="Y179" s="55">
        <v>61.286703843093385</v>
      </c>
      <c r="Z179" s="53">
        <v>0.3257</v>
      </c>
      <c r="AA179" s="56">
        <v>0.454</v>
      </c>
      <c r="AB179" s="57"/>
      <c r="AD179" s="35" t="s">
        <v>93</v>
      </c>
      <c r="AE179" s="35">
        <v>-11.25</v>
      </c>
      <c r="AH179" s="19">
        <v>-11.25</v>
      </c>
      <c r="AI179" s="58">
        <v>-2298.71</v>
      </c>
    </row>
    <row r="180" ht="15" customHeight="1" spans="1:35" x14ac:dyDescent="0.25">
      <c r="A180" s="19"/>
      <c r="B180" s="20"/>
      <c r="C180" s="51" t="s">
        <v>94</v>
      </c>
      <c r="D180" s="52">
        <v>16897.53</v>
      </c>
      <c r="E180" s="52">
        <v>5491.7</v>
      </c>
      <c r="F180" s="52">
        <v>11405.829999999998</v>
      </c>
      <c r="G180" s="53">
        <v>0.6749998372543206</v>
      </c>
      <c r="H180" s="52">
        <v>9226.27</v>
      </c>
      <c r="I180" s="52">
        <v>3702.78</v>
      </c>
      <c r="J180" s="52">
        <v>2977.1100000000006</v>
      </c>
      <c r="K180" s="52">
        <v>2335.9700000000003</v>
      </c>
      <c r="L180" s="52">
        <v>641.1400000000003</v>
      </c>
      <c r="M180" s="53">
        <v>0.2153565034546927</v>
      </c>
      <c r="N180" s="53"/>
      <c r="O180" s="52">
        <v>6249.16</v>
      </c>
      <c r="P180" s="52">
        <v>1366.81</v>
      </c>
      <c r="Q180" s="52">
        <v>4882.35</v>
      </c>
      <c r="R180" s="53">
        <v>0.7812810041669601</v>
      </c>
      <c r="S180" s="54">
        <v>125.17</v>
      </c>
      <c r="T180" s="54">
        <v>23.75</v>
      </c>
      <c r="U180" s="54">
        <v>101.42</v>
      </c>
      <c r="V180" s="53">
        <v>0.8102580490532876</v>
      </c>
      <c r="W180" s="53"/>
      <c r="X180" s="55">
        <v>75.32294736842105</v>
      </c>
      <c r="Y180" s="55">
        <v>61.286703843093385</v>
      </c>
      <c r="Z180" s="53">
        <v>0.3257</v>
      </c>
      <c r="AA180" s="56">
        <v>0.454</v>
      </c>
      <c r="AB180" s="57"/>
      <c r="AD180" s="35" t="s">
        <v>95</v>
      </c>
      <c r="AE180" s="36">
        <v>-2298.71</v>
      </c>
      <c r="AH180" s="19"/>
      <c r="AI180" s="58"/>
    </row>
    <row r="181" ht="15" customHeight="1" spans="1:35" x14ac:dyDescent="0.25">
      <c r="A181" s="19"/>
      <c r="B181" s="20"/>
      <c r="C181" s="51" t="s">
        <v>96</v>
      </c>
      <c r="D181" s="52">
        <v>16897.53</v>
      </c>
      <c r="E181" s="52">
        <v>5491.7</v>
      </c>
      <c r="F181" s="52">
        <v>11405.829999999998</v>
      </c>
      <c r="G181" s="53">
        <v>0.6749998372543206</v>
      </c>
      <c r="H181" s="52">
        <v>9226.27</v>
      </c>
      <c r="I181" s="52">
        <v>3702.78</v>
      </c>
      <c r="J181" s="52">
        <v>2977.1100000000006</v>
      </c>
      <c r="K181" s="52">
        <v>2335.9700000000003</v>
      </c>
      <c r="L181" s="52">
        <v>641.1400000000003</v>
      </c>
      <c r="M181" s="53">
        <v>0.2153565034546927</v>
      </c>
      <c r="N181" s="53"/>
      <c r="O181" s="52">
        <v>6249.16</v>
      </c>
      <c r="P181" s="52">
        <v>1366.81</v>
      </c>
      <c r="Q181" s="52">
        <v>4882.35</v>
      </c>
      <c r="R181" s="53">
        <v>0.7812810041669601</v>
      </c>
      <c r="S181" s="54">
        <v>125.17</v>
      </c>
      <c r="T181" s="54">
        <v>23.75</v>
      </c>
      <c r="U181" s="54">
        <v>101.42</v>
      </c>
      <c r="V181" s="53">
        <v>0.8102580490532876</v>
      </c>
      <c r="W181" s="53"/>
      <c r="X181" s="55">
        <v>75.32294736842105</v>
      </c>
      <c r="Y181" s="55">
        <v>61.286703843093385</v>
      </c>
      <c r="Z181" s="53">
        <v>0.3257</v>
      </c>
      <c r="AA181" s="56">
        <v>0.454</v>
      </c>
      <c r="AB181" s="57"/>
      <c r="AD181" s="35"/>
      <c r="AE181" s="35"/>
      <c r="AH181" s="19"/>
      <c r="AI181" s="58"/>
    </row>
    <row r="182" ht="15" customHeight="1" spans="1:35" x14ac:dyDescent="0.25">
      <c r="A182" s="19"/>
      <c r="B182" s="20"/>
      <c r="C182" s="51" t="s">
        <v>97</v>
      </c>
      <c r="D182" s="52"/>
      <c r="E182" s="52"/>
      <c r="F182" s="52"/>
      <c r="G182" s="53"/>
      <c r="H182" s="52"/>
      <c r="I182" s="52"/>
      <c r="J182" s="52"/>
      <c r="K182" s="52"/>
      <c r="L182" s="52"/>
      <c r="M182" s="53"/>
      <c r="N182" s="53"/>
      <c r="O182" s="52"/>
      <c r="P182" s="52"/>
      <c r="Q182" s="52"/>
      <c r="R182" s="53"/>
      <c r="S182" s="54"/>
      <c r="T182" s="54"/>
      <c r="U182" s="54"/>
      <c r="V182" s="53"/>
      <c r="W182" s="53"/>
      <c r="X182" s="55"/>
      <c r="Y182" s="55"/>
      <c r="Z182" s="53"/>
      <c r="AA182" s="56"/>
      <c r="AB182" s="57"/>
      <c r="AD182" s="35" t="s">
        <v>98</v>
      </c>
      <c r="AE182" s="36">
        <v>0</v>
      </c>
      <c r="AH182" s="19"/>
      <c r="AI182" s="58"/>
    </row>
    <row r="183" ht="15" customHeight="1" spans="1:35" x14ac:dyDescent="0.25">
      <c r="A183" s="19"/>
      <c r="B183" s="20"/>
      <c r="C183" s="51" t="s">
        <v>99</v>
      </c>
      <c r="D183" s="52"/>
      <c r="E183" s="52"/>
      <c r="F183" s="52"/>
      <c r="G183" s="53"/>
      <c r="H183" s="52"/>
      <c r="I183" s="52"/>
      <c r="J183" s="52"/>
      <c r="K183" s="52"/>
      <c r="L183" s="52"/>
      <c r="M183" s="53"/>
      <c r="N183" s="53"/>
      <c r="O183" s="52"/>
      <c r="P183" s="52"/>
      <c r="Q183" s="52"/>
      <c r="R183" s="53"/>
      <c r="S183" s="54"/>
      <c r="T183" s="54"/>
      <c r="U183" s="54"/>
      <c r="V183" s="53"/>
      <c r="W183" s="53"/>
      <c r="X183" s="55"/>
      <c r="Y183" s="55"/>
      <c r="Z183" s="53"/>
      <c r="AA183" s="56"/>
      <c r="AB183" s="57"/>
      <c r="AD183" s="35"/>
      <c r="AE183" s="35"/>
      <c r="AH183" s="19"/>
      <c r="AI183" s="58"/>
    </row>
    <row r="184" ht="15.75" customHeight="1" spans="1:35" x14ac:dyDescent="0.25">
      <c r="A184" s="59"/>
      <c r="B184" s="75"/>
      <c r="C184" s="76" t="s">
        <v>100</v>
      </c>
      <c r="D184" s="52"/>
      <c r="E184" s="52"/>
      <c r="F184" s="52"/>
      <c r="G184" s="53"/>
      <c r="H184" s="52"/>
      <c r="I184" s="52"/>
      <c r="J184" s="52"/>
      <c r="K184" s="52"/>
      <c r="L184" s="52"/>
      <c r="M184" s="53"/>
      <c r="N184" s="53"/>
      <c r="O184" s="52"/>
      <c r="P184" s="52"/>
      <c r="Q184" s="52"/>
      <c r="R184" s="53"/>
      <c r="S184" s="54"/>
      <c r="T184" s="54"/>
      <c r="U184" s="54"/>
      <c r="V184" s="53"/>
      <c r="W184" s="53"/>
      <c r="X184" s="55"/>
      <c r="Y184" s="55"/>
      <c r="Z184" s="53"/>
      <c r="AA184" s="56"/>
      <c r="AB184" s="57"/>
      <c r="AD184" s="35"/>
      <c r="AE184" s="35"/>
      <c r="AH184" s="59">
        <v>-11.25</v>
      </c>
      <c r="AI184" s="60">
        <v>-2298.71</v>
      </c>
    </row>
    <row r="185" ht="9" customHeight="1" spans="1:35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D185" s="35"/>
      <c r="AE185" s="35"/>
      <c r="AH185" s="35"/>
      <c r="AI185" s="35"/>
    </row>
    <row r="186" ht="15" customHeight="1" spans="1:35" x14ac:dyDescent="0.25">
      <c r="A186" s="19">
        <v>7429</v>
      </c>
      <c r="B186" s="19" t="s">
        <v>59</v>
      </c>
      <c r="C186" s="51" t="s">
        <v>92</v>
      </c>
      <c r="D186" s="52">
        <v>20992.12</v>
      </c>
      <c r="E186" s="52">
        <v>14169.68</v>
      </c>
      <c r="F186" s="52">
        <v>6822.439999999999</v>
      </c>
      <c r="G186" s="53">
        <v>0.32500004763692275</v>
      </c>
      <c r="H186" s="52">
        <v>16299.09</v>
      </c>
      <c r="I186" s="52">
        <v>9699.51</v>
      </c>
      <c r="J186" s="52">
        <v>9784.33</v>
      </c>
      <c r="K186" s="52">
        <v>8137.88</v>
      </c>
      <c r="L186" s="52">
        <v>1646.4499999999998</v>
      </c>
      <c r="M186" s="53">
        <v>0.16827416900288522</v>
      </c>
      <c r="N186" s="53"/>
      <c r="O186" s="52">
        <v>6514.76</v>
      </c>
      <c r="P186" s="52">
        <v>1561.63</v>
      </c>
      <c r="Q186" s="52">
        <v>4953.13</v>
      </c>
      <c r="R186" s="53">
        <v>0.7602935488030257</v>
      </c>
      <c r="S186" s="54">
        <v>130.62</v>
      </c>
      <c r="T186" s="54">
        <v>34.75</v>
      </c>
      <c r="U186" s="54">
        <v>95.87</v>
      </c>
      <c r="V186" s="53">
        <v>0.7339611085591793</v>
      </c>
      <c r="W186" s="53"/>
      <c r="X186" s="55">
        <v>128.6379856115108</v>
      </c>
      <c r="Y186" s="55">
        <v>35.92887828502527</v>
      </c>
      <c r="Z186" s="53">
        <v>0.3155</v>
      </c>
      <c r="AA186" s="56">
        <v>0.2236</v>
      </c>
      <c r="AB186" s="57"/>
      <c r="AD186" s="35" t="s">
        <v>93</v>
      </c>
      <c r="AE186" s="35">
        <v>-32.25</v>
      </c>
      <c r="AH186" s="19">
        <v>-32.25</v>
      </c>
      <c r="AI186" s="58"/>
    </row>
    <row r="187" ht="15" customHeight="1" spans="1:35" x14ac:dyDescent="0.25">
      <c r="A187" s="19"/>
      <c r="B187" s="20"/>
      <c r="C187" s="51" t="s">
        <v>94</v>
      </c>
      <c r="D187" s="52">
        <v>20992.12</v>
      </c>
      <c r="E187" s="52">
        <v>14169.68</v>
      </c>
      <c r="F187" s="52">
        <v>6822.439999999999</v>
      </c>
      <c r="G187" s="53">
        <v>0.32500004763692275</v>
      </c>
      <c r="H187" s="52">
        <v>16299.09</v>
      </c>
      <c r="I187" s="52">
        <v>9699.51</v>
      </c>
      <c r="J187" s="52">
        <v>9784.33</v>
      </c>
      <c r="K187" s="52">
        <v>8137.88</v>
      </c>
      <c r="L187" s="52">
        <v>1646.4499999999998</v>
      </c>
      <c r="M187" s="53">
        <v>0.16827416900288522</v>
      </c>
      <c r="N187" s="53"/>
      <c r="O187" s="52">
        <v>6514.76</v>
      </c>
      <c r="P187" s="52">
        <v>1561.63</v>
      </c>
      <c r="Q187" s="52">
        <v>4953.13</v>
      </c>
      <c r="R187" s="53">
        <v>0.7602935488030257</v>
      </c>
      <c r="S187" s="54">
        <v>130.62</v>
      </c>
      <c r="T187" s="54">
        <v>34.75</v>
      </c>
      <c r="U187" s="54">
        <v>95.87</v>
      </c>
      <c r="V187" s="53">
        <v>0.7339611085591793</v>
      </c>
      <c r="W187" s="53"/>
      <c r="X187" s="55">
        <v>128.6379856115108</v>
      </c>
      <c r="Y187" s="55">
        <v>35.92887828502527</v>
      </c>
      <c r="Z187" s="53">
        <v>0.3155</v>
      </c>
      <c r="AA187" s="56">
        <v>0.2236</v>
      </c>
      <c r="AB187" s="57"/>
      <c r="AD187" s="35" t="s">
        <v>95</v>
      </c>
      <c r="AE187" s="36"/>
      <c r="AH187" s="19"/>
      <c r="AI187" s="58"/>
    </row>
    <row r="188" ht="15" customHeight="1" spans="1:35" x14ac:dyDescent="0.25">
      <c r="A188" s="19"/>
      <c r="B188" s="20"/>
      <c r="C188" s="51" t="s">
        <v>96</v>
      </c>
      <c r="D188" s="52">
        <v>20992.12</v>
      </c>
      <c r="E188" s="52">
        <v>14169.68</v>
      </c>
      <c r="F188" s="52">
        <v>6822.439999999999</v>
      </c>
      <c r="G188" s="53">
        <v>0.32500004763692275</v>
      </c>
      <c r="H188" s="52">
        <v>16299.09</v>
      </c>
      <c r="I188" s="52">
        <v>9699.51</v>
      </c>
      <c r="J188" s="52">
        <v>9784.33</v>
      </c>
      <c r="K188" s="52">
        <v>8137.88</v>
      </c>
      <c r="L188" s="52">
        <v>1646.4499999999998</v>
      </c>
      <c r="M188" s="53">
        <v>0.16827416900288522</v>
      </c>
      <c r="N188" s="53"/>
      <c r="O188" s="52">
        <v>6514.76</v>
      </c>
      <c r="P188" s="52">
        <v>1561.63</v>
      </c>
      <c r="Q188" s="52">
        <v>4953.13</v>
      </c>
      <c r="R188" s="53">
        <v>0.7602935488030257</v>
      </c>
      <c r="S188" s="54">
        <v>130.62</v>
      </c>
      <c r="T188" s="54">
        <v>34.75</v>
      </c>
      <c r="U188" s="54">
        <v>95.87</v>
      </c>
      <c r="V188" s="53">
        <v>0.7339611085591793</v>
      </c>
      <c r="W188" s="53"/>
      <c r="X188" s="55">
        <v>128.6379856115108</v>
      </c>
      <c r="Y188" s="55">
        <v>35.92887828502527</v>
      </c>
      <c r="Z188" s="53">
        <v>0.3155</v>
      </c>
      <c r="AA188" s="56">
        <v>0.2236</v>
      </c>
      <c r="AB188" s="57"/>
      <c r="AD188" s="35"/>
      <c r="AE188" s="35"/>
      <c r="AH188" s="19"/>
      <c r="AI188" s="58"/>
    </row>
    <row r="189" ht="15" customHeight="1" spans="1:35" x14ac:dyDescent="0.25">
      <c r="A189" s="19"/>
      <c r="B189" s="20"/>
      <c r="C189" s="51" t="s">
        <v>97</v>
      </c>
      <c r="D189" s="52"/>
      <c r="E189" s="52"/>
      <c r="F189" s="52"/>
      <c r="G189" s="53"/>
      <c r="H189" s="52"/>
      <c r="I189" s="52"/>
      <c r="J189" s="52"/>
      <c r="K189" s="52"/>
      <c r="L189" s="52"/>
      <c r="M189" s="53"/>
      <c r="N189" s="53"/>
      <c r="O189" s="52"/>
      <c r="P189" s="52"/>
      <c r="Q189" s="52"/>
      <c r="R189" s="53"/>
      <c r="S189" s="54"/>
      <c r="T189" s="54"/>
      <c r="U189" s="54"/>
      <c r="V189" s="53"/>
      <c r="W189" s="53"/>
      <c r="X189" s="55"/>
      <c r="Y189" s="55"/>
      <c r="Z189" s="53"/>
      <c r="AA189" s="56"/>
      <c r="AB189" s="57"/>
      <c r="AD189" s="35" t="s">
        <v>98</v>
      </c>
      <c r="AE189" s="36">
        <v>0</v>
      </c>
      <c r="AH189" s="19"/>
      <c r="AI189" s="58"/>
    </row>
    <row r="190" ht="15" customHeight="1" spans="1:35" x14ac:dyDescent="0.25">
      <c r="A190" s="19"/>
      <c r="B190" s="20"/>
      <c r="C190" s="51" t="s">
        <v>99</v>
      </c>
      <c r="D190" s="52"/>
      <c r="E190" s="52"/>
      <c r="F190" s="52"/>
      <c r="G190" s="53"/>
      <c r="H190" s="52"/>
      <c r="I190" s="52"/>
      <c r="J190" s="52"/>
      <c r="K190" s="52"/>
      <c r="L190" s="52"/>
      <c r="M190" s="53"/>
      <c r="N190" s="53"/>
      <c r="O190" s="52"/>
      <c r="P190" s="52"/>
      <c r="Q190" s="52"/>
      <c r="R190" s="53"/>
      <c r="S190" s="54"/>
      <c r="T190" s="54"/>
      <c r="U190" s="54"/>
      <c r="V190" s="53"/>
      <c r="W190" s="53"/>
      <c r="X190" s="55"/>
      <c r="Y190" s="55"/>
      <c r="Z190" s="53"/>
      <c r="AA190" s="56"/>
      <c r="AB190" s="57"/>
      <c r="AD190" s="35"/>
      <c r="AE190" s="35"/>
      <c r="AH190" s="19"/>
      <c r="AI190" s="58"/>
    </row>
    <row r="191" ht="15.75" customHeight="1" spans="1:35" x14ac:dyDescent="0.25">
      <c r="A191" s="59"/>
      <c r="B191" s="75"/>
      <c r="C191" s="76" t="s">
        <v>100</v>
      </c>
      <c r="D191" s="52"/>
      <c r="E191" s="52"/>
      <c r="F191" s="52"/>
      <c r="G191" s="53"/>
      <c r="H191" s="52"/>
      <c r="I191" s="52"/>
      <c r="J191" s="52"/>
      <c r="K191" s="52"/>
      <c r="L191" s="52"/>
      <c r="M191" s="53"/>
      <c r="N191" s="53"/>
      <c r="O191" s="52"/>
      <c r="P191" s="52"/>
      <c r="Q191" s="52"/>
      <c r="R191" s="53"/>
      <c r="S191" s="54"/>
      <c r="T191" s="54"/>
      <c r="U191" s="54"/>
      <c r="V191" s="53"/>
      <c r="W191" s="53"/>
      <c r="X191" s="55"/>
      <c r="Y191" s="55"/>
      <c r="Z191" s="53"/>
      <c r="AA191" s="56"/>
      <c r="AB191" s="57"/>
      <c r="AD191" s="35"/>
      <c r="AE191" s="35"/>
      <c r="AH191" s="59">
        <v>-32.25</v>
      </c>
      <c r="AI191" s="60"/>
    </row>
    <row r="192" ht="9" customHeight="1" spans="1:35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D192" s="35"/>
      <c r="AE192" s="35"/>
      <c r="AH192" s="35"/>
      <c r="AI192" s="35"/>
    </row>
    <row r="193" ht="15" customHeight="1" spans="1:35" x14ac:dyDescent="0.25">
      <c r="A193" s="19">
        <v>9508</v>
      </c>
      <c r="B193" s="20" t="s">
        <v>60</v>
      </c>
      <c r="C193" s="51" t="s">
        <v>92</v>
      </c>
      <c r="D193" s="52">
        <v>23770.95</v>
      </c>
      <c r="E193" s="52">
        <v>10204.54</v>
      </c>
      <c r="F193" s="52">
        <v>13566.41</v>
      </c>
      <c r="G193" s="53">
        <v>0.5707138334816235</v>
      </c>
      <c r="H193" s="52">
        <v>14310.96</v>
      </c>
      <c r="I193" s="52">
        <v>6935.96</v>
      </c>
      <c r="J193" s="52">
        <v>7389.339999999999</v>
      </c>
      <c r="K193" s="52">
        <v>6605.05</v>
      </c>
      <c r="L193" s="52">
        <v>784.289999999999</v>
      </c>
      <c r="M193" s="53">
        <v>0.1061380312720756</v>
      </c>
      <c r="N193" s="53"/>
      <c r="O193" s="52">
        <v>6921.62</v>
      </c>
      <c r="P193" s="52">
        <v>330.91</v>
      </c>
      <c r="Q193" s="52">
        <v>6590.71</v>
      </c>
      <c r="R193" s="53">
        <v>0.9521918279246766</v>
      </c>
      <c r="S193" s="54">
        <v>140.15</v>
      </c>
      <c r="T193" s="54">
        <v>5.75</v>
      </c>
      <c r="U193" s="54">
        <v>134.4</v>
      </c>
      <c r="V193" s="53">
        <v>0.9589725294327506</v>
      </c>
      <c r="W193" s="53"/>
      <c r="X193" s="55">
        <v>568.4486956521739</v>
      </c>
      <c r="Y193" s="55">
        <v>67.49902570438813</v>
      </c>
      <c r="Z193" s="53">
        <v>0.32030000000000003</v>
      </c>
      <c r="AA193" s="56">
        <v>0.398</v>
      </c>
      <c r="AB193" s="57"/>
      <c r="AD193" s="35" t="s">
        <v>93</v>
      </c>
      <c r="AE193" s="35"/>
      <c r="AH193" s="19"/>
      <c r="AI193" s="58"/>
    </row>
    <row r="194" ht="15" customHeight="1" spans="1:35" x14ac:dyDescent="0.25">
      <c r="A194" s="19"/>
      <c r="B194" s="20"/>
      <c r="C194" s="51" t="s">
        <v>94</v>
      </c>
      <c r="D194" s="52">
        <v>23770.95</v>
      </c>
      <c r="E194" s="52">
        <v>10204.54</v>
      </c>
      <c r="F194" s="52">
        <v>13566.41</v>
      </c>
      <c r="G194" s="53">
        <v>0.5707138334816235</v>
      </c>
      <c r="H194" s="52">
        <v>14310.96</v>
      </c>
      <c r="I194" s="52">
        <v>6935.96</v>
      </c>
      <c r="J194" s="52">
        <v>7389.339999999999</v>
      </c>
      <c r="K194" s="52">
        <v>6605.05</v>
      </c>
      <c r="L194" s="52">
        <v>784.289999999999</v>
      </c>
      <c r="M194" s="53">
        <v>0.1061380312720756</v>
      </c>
      <c r="N194" s="53"/>
      <c r="O194" s="52">
        <v>6921.62</v>
      </c>
      <c r="P194" s="52">
        <v>330.91</v>
      </c>
      <c r="Q194" s="52">
        <v>6590.71</v>
      </c>
      <c r="R194" s="53">
        <v>0.9521918279246766</v>
      </c>
      <c r="S194" s="54">
        <v>140.15</v>
      </c>
      <c r="T194" s="54">
        <v>5.75</v>
      </c>
      <c r="U194" s="54">
        <v>134.4</v>
      </c>
      <c r="V194" s="53">
        <v>0.9589725294327506</v>
      </c>
      <c r="W194" s="53"/>
      <c r="X194" s="55">
        <v>568.4486956521739</v>
      </c>
      <c r="Y194" s="55">
        <v>67.49902570438813</v>
      </c>
      <c r="Z194" s="53">
        <v>0.32030000000000003</v>
      </c>
      <c r="AA194" s="56">
        <v>0.398</v>
      </c>
      <c r="AB194" s="57"/>
      <c r="AD194" s="35" t="s">
        <v>95</v>
      </c>
      <c r="AE194" s="36"/>
      <c r="AH194" s="19"/>
      <c r="AI194" s="58"/>
    </row>
    <row r="195" ht="15" customHeight="1" spans="1:35" x14ac:dyDescent="0.25">
      <c r="A195" s="19"/>
      <c r="B195" s="20"/>
      <c r="C195" s="51" t="s">
        <v>96</v>
      </c>
      <c r="D195" s="52">
        <v>23770.95</v>
      </c>
      <c r="E195" s="52">
        <v>10204.54</v>
      </c>
      <c r="F195" s="52">
        <v>13566.41</v>
      </c>
      <c r="G195" s="53">
        <v>0.5707138334816235</v>
      </c>
      <c r="H195" s="52">
        <v>14310.96</v>
      </c>
      <c r="I195" s="52">
        <v>6935.96</v>
      </c>
      <c r="J195" s="52">
        <v>7389.339999999999</v>
      </c>
      <c r="K195" s="52">
        <v>6605.05</v>
      </c>
      <c r="L195" s="52">
        <v>784.289999999999</v>
      </c>
      <c r="M195" s="53">
        <v>0.1061380312720756</v>
      </c>
      <c r="N195" s="53"/>
      <c r="O195" s="52">
        <v>6921.62</v>
      </c>
      <c r="P195" s="52">
        <v>330.91</v>
      </c>
      <c r="Q195" s="52">
        <v>6590.71</v>
      </c>
      <c r="R195" s="53">
        <v>0.9521918279246766</v>
      </c>
      <c r="S195" s="54">
        <v>140.15</v>
      </c>
      <c r="T195" s="54">
        <v>5.75</v>
      </c>
      <c r="U195" s="54">
        <v>134.4</v>
      </c>
      <c r="V195" s="53">
        <v>0.9589725294327506</v>
      </c>
      <c r="W195" s="53"/>
      <c r="X195" s="55">
        <v>568.4486956521739</v>
      </c>
      <c r="Y195" s="55">
        <v>67.49902570438813</v>
      </c>
      <c r="Z195" s="53">
        <v>0.32030000000000003</v>
      </c>
      <c r="AA195" s="56">
        <v>0.398</v>
      </c>
      <c r="AB195" s="57"/>
      <c r="AD195" s="35"/>
      <c r="AE195" s="35"/>
      <c r="AH195" s="19"/>
      <c r="AI195" s="58"/>
    </row>
    <row r="196" ht="15" customHeight="1" spans="1:35" x14ac:dyDescent="0.25">
      <c r="A196" s="19"/>
      <c r="B196" s="20"/>
      <c r="C196" s="51" t="s">
        <v>97</v>
      </c>
      <c r="D196" s="52"/>
      <c r="E196" s="52"/>
      <c r="F196" s="52"/>
      <c r="G196" s="53"/>
      <c r="H196" s="52"/>
      <c r="I196" s="52"/>
      <c r="J196" s="52"/>
      <c r="K196" s="52"/>
      <c r="L196" s="52"/>
      <c r="M196" s="53"/>
      <c r="N196" s="53"/>
      <c r="O196" s="52"/>
      <c r="P196" s="52"/>
      <c r="Q196" s="52"/>
      <c r="R196" s="53"/>
      <c r="S196" s="54"/>
      <c r="T196" s="54"/>
      <c r="U196" s="54"/>
      <c r="V196" s="53"/>
      <c r="W196" s="53"/>
      <c r="X196" s="55"/>
      <c r="Y196" s="55"/>
      <c r="Z196" s="53"/>
      <c r="AA196" s="56"/>
      <c r="AB196" s="57"/>
      <c r="AD196" s="35" t="s">
        <v>98</v>
      </c>
      <c r="AE196" s="36">
        <v>0</v>
      </c>
      <c r="AH196" s="19"/>
      <c r="AI196" s="58"/>
    </row>
    <row r="197" ht="15" customHeight="1" spans="1:35" x14ac:dyDescent="0.25">
      <c r="A197" s="19"/>
      <c r="B197" s="20"/>
      <c r="C197" s="51" t="s">
        <v>99</v>
      </c>
      <c r="D197" s="52"/>
      <c r="E197" s="52"/>
      <c r="F197" s="52"/>
      <c r="G197" s="53"/>
      <c r="H197" s="52"/>
      <c r="I197" s="52"/>
      <c r="J197" s="52"/>
      <c r="K197" s="52"/>
      <c r="L197" s="52"/>
      <c r="M197" s="53"/>
      <c r="N197" s="53"/>
      <c r="O197" s="52"/>
      <c r="P197" s="52"/>
      <c r="Q197" s="52"/>
      <c r="R197" s="53"/>
      <c r="S197" s="54"/>
      <c r="T197" s="54"/>
      <c r="U197" s="54"/>
      <c r="V197" s="53"/>
      <c r="W197" s="53"/>
      <c r="X197" s="55"/>
      <c r="Y197" s="55"/>
      <c r="Z197" s="53"/>
      <c r="AA197" s="56"/>
      <c r="AB197" s="57"/>
      <c r="AD197" s="35"/>
      <c r="AE197" s="35"/>
      <c r="AH197" s="19"/>
      <c r="AI197" s="58"/>
    </row>
    <row r="198" ht="15.75" customHeight="1" spans="1:35" x14ac:dyDescent="0.25">
      <c r="A198" s="59"/>
      <c r="B198" s="75"/>
      <c r="C198" s="76" t="s">
        <v>100</v>
      </c>
      <c r="D198" s="52"/>
      <c r="E198" s="52"/>
      <c r="F198" s="52"/>
      <c r="G198" s="53"/>
      <c r="H198" s="52"/>
      <c r="I198" s="52"/>
      <c r="J198" s="52"/>
      <c r="K198" s="52"/>
      <c r="L198" s="52"/>
      <c r="M198" s="53"/>
      <c r="N198" s="53"/>
      <c r="O198" s="52"/>
      <c r="P198" s="52"/>
      <c r="Q198" s="52"/>
      <c r="R198" s="53"/>
      <c r="S198" s="54"/>
      <c r="T198" s="54"/>
      <c r="U198" s="54"/>
      <c r="V198" s="53"/>
      <c r="W198" s="53"/>
      <c r="X198" s="55"/>
      <c r="Y198" s="55"/>
      <c r="Z198" s="53"/>
      <c r="AA198" s="56"/>
      <c r="AB198" s="57"/>
      <c r="AD198" s="35"/>
      <c r="AE198" s="35"/>
      <c r="AH198" s="59"/>
      <c r="AI198" s="60"/>
    </row>
    <row r="199" ht="9" customHeight="1" spans="1:35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D199" s="35"/>
      <c r="AE199" s="35"/>
      <c r="AH199" s="35"/>
      <c r="AI199" s="35"/>
    </row>
    <row r="200" ht="15" customHeight="1" spans="1:35" x14ac:dyDescent="0.25">
      <c r="A200" s="19"/>
      <c r="B200" s="19"/>
      <c r="C200" s="51" t="s">
        <v>92</v>
      </c>
      <c r="D200" s="52">
        <v>0</v>
      </c>
      <c r="E200" s="52">
        <v>0</v>
      </c>
      <c r="F200" s="52"/>
      <c r="G200" s="53"/>
      <c r="H200" s="52">
        <v>0</v>
      </c>
      <c r="I200" s="52">
        <v>0</v>
      </c>
      <c r="J200" s="52">
        <v>0</v>
      </c>
      <c r="K200" s="52">
        <v>0</v>
      </c>
      <c r="L200" s="52"/>
      <c r="M200" s="53"/>
      <c r="N200" s="53"/>
      <c r="O200" s="52">
        <v>0</v>
      </c>
      <c r="P200" s="52">
        <v>0</v>
      </c>
      <c r="Q200" s="52"/>
      <c r="R200" s="53"/>
      <c r="S200" s="54">
        <v>0</v>
      </c>
      <c r="T200" s="54">
        <v>0</v>
      </c>
      <c r="U200" s="54"/>
      <c r="V200" s="53"/>
      <c r="W200" s="53"/>
      <c r="X200" s="55"/>
      <c r="Y200" s="55"/>
      <c r="Z200" s="53"/>
      <c r="AA200" s="56"/>
      <c r="AB200" s="57"/>
      <c r="AD200" s="35" t="s">
        <v>93</v>
      </c>
      <c r="AE200" s="35"/>
      <c r="AH200" s="19"/>
      <c r="AI200" s="58"/>
    </row>
    <row r="201" ht="15" customHeight="1" spans="1:35" x14ac:dyDescent="0.25">
      <c r="A201" s="19"/>
      <c r="B201" s="20"/>
      <c r="C201" s="51" t="s">
        <v>94</v>
      </c>
      <c r="D201" s="52"/>
      <c r="E201" s="52"/>
      <c r="F201" s="52"/>
      <c r="G201" s="53"/>
      <c r="H201" s="52"/>
      <c r="I201" s="52"/>
      <c r="J201" s="52">
        <v>0</v>
      </c>
      <c r="K201" s="52">
        <v>0</v>
      </c>
      <c r="L201" s="52"/>
      <c r="M201" s="53"/>
      <c r="N201" s="53"/>
      <c r="O201" s="52"/>
      <c r="P201" s="52"/>
      <c r="Q201" s="52"/>
      <c r="R201" s="53"/>
      <c r="S201" s="54"/>
      <c r="T201" s="54"/>
      <c r="U201" s="54"/>
      <c r="V201" s="53"/>
      <c r="W201" s="53"/>
      <c r="X201" s="55"/>
      <c r="Y201" s="55"/>
      <c r="Z201" s="53"/>
      <c r="AA201" s="56"/>
      <c r="AB201" s="57"/>
      <c r="AD201" s="35" t="s">
        <v>95</v>
      </c>
      <c r="AE201" s="36"/>
      <c r="AH201" s="19"/>
      <c r="AI201" s="58"/>
    </row>
    <row r="202" ht="15" customHeight="1" spans="1:35" x14ac:dyDescent="0.25">
      <c r="A202" s="19"/>
      <c r="B202" s="20"/>
      <c r="C202" s="51" t="s">
        <v>96</v>
      </c>
      <c r="D202" s="52"/>
      <c r="E202" s="52"/>
      <c r="F202" s="52"/>
      <c r="G202" s="53"/>
      <c r="H202" s="52"/>
      <c r="I202" s="52"/>
      <c r="J202" s="52">
        <v>0</v>
      </c>
      <c r="K202" s="52">
        <v>0</v>
      </c>
      <c r="L202" s="52"/>
      <c r="M202" s="53"/>
      <c r="N202" s="53"/>
      <c r="O202" s="52"/>
      <c r="P202" s="52"/>
      <c r="Q202" s="52"/>
      <c r="R202" s="53"/>
      <c r="S202" s="54"/>
      <c r="T202" s="54"/>
      <c r="U202" s="54"/>
      <c r="V202" s="53"/>
      <c r="W202" s="53"/>
      <c r="X202" s="55"/>
      <c r="Y202" s="55"/>
      <c r="Z202" s="53"/>
      <c r="AA202" s="56"/>
      <c r="AB202" s="57"/>
      <c r="AD202" s="35"/>
      <c r="AE202" s="35"/>
      <c r="AH202" s="19"/>
      <c r="AI202" s="58"/>
    </row>
    <row r="203" ht="15" customHeight="1" spans="1:35" x14ac:dyDescent="0.25">
      <c r="A203" s="19"/>
      <c r="B203" s="20"/>
      <c r="C203" s="51" t="s">
        <v>97</v>
      </c>
      <c r="D203" s="52"/>
      <c r="E203" s="52"/>
      <c r="F203" s="52"/>
      <c r="G203" s="53"/>
      <c r="H203" s="52"/>
      <c r="I203" s="52"/>
      <c r="J203" s="52">
        <v>0</v>
      </c>
      <c r="K203" s="52">
        <v>0</v>
      </c>
      <c r="L203" s="52"/>
      <c r="M203" s="53"/>
      <c r="N203" s="53"/>
      <c r="O203" s="52"/>
      <c r="P203" s="52"/>
      <c r="Q203" s="52"/>
      <c r="R203" s="53"/>
      <c r="S203" s="54"/>
      <c r="T203" s="54"/>
      <c r="U203" s="54"/>
      <c r="V203" s="53"/>
      <c r="W203" s="53"/>
      <c r="X203" s="55"/>
      <c r="Y203" s="55"/>
      <c r="Z203" s="53"/>
      <c r="AA203" s="56"/>
      <c r="AB203" s="57"/>
      <c r="AD203" s="35" t="s">
        <v>98</v>
      </c>
      <c r="AE203" s="36">
        <v>0</v>
      </c>
      <c r="AH203" s="19"/>
      <c r="AI203" s="58"/>
    </row>
    <row r="204" ht="15" customHeight="1" spans="1:35" x14ac:dyDescent="0.25">
      <c r="A204" s="19"/>
      <c r="B204" s="20"/>
      <c r="C204" s="51" t="s">
        <v>99</v>
      </c>
      <c r="D204" s="52"/>
      <c r="E204" s="52"/>
      <c r="F204" s="52"/>
      <c r="G204" s="53"/>
      <c r="H204" s="52"/>
      <c r="I204" s="52"/>
      <c r="J204" s="52">
        <v>0</v>
      </c>
      <c r="K204" s="52">
        <v>0</v>
      </c>
      <c r="L204" s="52"/>
      <c r="M204" s="53"/>
      <c r="N204" s="53"/>
      <c r="O204" s="52"/>
      <c r="P204" s="52"/>
      <c r="Q204" s="52"/>
      <c r="R204" s="53"/>
      <c r="S204" s="54"/>
      <c r="T204" s="54"/>
      <c r="U204" s="54"/>
      <c r="V204" s="53"/>
      <c r="W204" s="53"/>
      <c r="X204" s="55"/>
      <c r="Y204" s="55"/>
      <c r="Z204" s="53"/>
      <c r="AA204" s="56"/>
      <c r="AB204" s="57"/>
      <c r="AD204" s="35"/>
      <c r="AE204" s="35"/>
      <c r="AH204" s="19"/>
      <c r="AI204" s="58"/>
    </row>
    <row r="205" ht="15.75" customHeight="1" spans="1:35" x14ac:dyDescent="0.25">
      <c r="A205" s="59"/>
      <c r="B205" s="75"/>
      <c r="C205" s="76" t="s">
        <v>100</v>
      </c>
      <c r="D205" s="52"/>
      <c r="E205" s="52"/>
      <c r="F205" s="52"/>
      <c r="G205" s="53"/>
      <c r="H205" s="52"/>
      <c r="I205" s="52"/>
      <c r="J205" s="52">
        <v>0</v>
      </c>
      <c r="K205" s="52">
        <v>0</v>
      </c>
      <c r="L205" s="52"/>
      <c r="M205" s="53"/>
      <c r="N205" s="53"/>
      <c r="O205" s="52"/>
      <c r="P205" s="52"/>
      <c r="Q205" s="52"/>
      <c r="R205" s="53"/>
      <c r="S205" s="54"/>
      <c r="T205" s="54"/>
      <c r="U205" s="54"/>
      <c r="V205" s="53"/>
      <c r="W205" s="53"/>
      <c r="X205" s="55"/>
      <c r="Y205" s="55"/>
      <c r="Z205" s="53"/>
      <c r="AA205" s="56"/>
      <c r="AB205" s="57"/>
      <c r="AD205" s="35"/>
      <c r="AE205" s="35"/>
      <c r="AH205" s="59"/>
      <c r="AI205" s="60"/>
    </row>
    <row r="206" ht="9" customHeight="1" spans="1:35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D206" s="35"/>
      <c r="AE206" s="35"/>
      <c r="AH206" s="35"/>
      <c r="AI206" s="35"/>
    </row>
    <row r="207" ht="15" customHeight="1" spans="1:35" x14ac:dyDescent="0.25">
      <c r="A207" s="19"/>
      <c r="B207" s="19" t="s">
        <v>61</v>
      </c>
      <c r="C207" s="51" t="s">
        <v>92</v>
      </c>
      <c r="D207" s="52"/>
      <c r="E207" s="52"/>
      <c r="F207" s="52"/>
      <c r="G207" s="53"/>
      <c r="H207" s="52"/>
      <c r="I207" s="52"/>
      <c r="J207" s="52">
        <v>0</v>
      </c>
      <c r="K207" s="52">
        <v>0</v>
      </c>
      <c r="L207" s="52"/>
      <c r="M207" s="53"/>
      <c r="N207" s="53"/>
      <c r="O207" s="52"/>
      <c r="P207" s="52"/>
      <c r="Q207" s="52"/>
      <c r="R207" s="53"/>
      <c r="S207" s="54"/>
      <c r="T207" s="54"/>
      <c r="U207" s="54"/>
      <c r="V207" s="53"/>
      <c r="W207" s="53"/>
      <c r="X207" s="55"/>
      <c r="Y207" s="55"/>
      <c r="Z207" s="53"/>
      <c r="AA207" s="56"/>
      <c r="AB207" s="57"/>
      <c r="AD207" s="35" t="s">
        <v>93</v>
      </c>
      <c r="AE207" s="35"/>
      <c r="AH207" s="19"/>
      <c r="AI207" s="58"/>
    </row>
    <row r="208" ht="15" customHeight="1" spans="1:35" x14ac:dyDescent="0.25">
      <c r="A208" s="19"/>
      <c r="B208" s="20"/>
      <c r="C208" s="51" t="s">
        <v>94</v>
      </c>
      <c r="D208" s="52"/>
      <c r="E208" s="52"/>
      <c r="F208" s="52"/>
      <c r="G208" s="53"/>
      <c r="H208" s="52"/>
      <c r="I208" s="52"/>
      <c r="J208" s="52">
        <v>0</v>
      </c>
      <c r="K208" s="52">
        <v>0</v>
      </c>
      <c r="L208" s="52"/>
      <c r="M208" s="53"/>
      <c r="N208" s="53"/>
      <c r="O208" s="52"/>
      <c r="P208" s="52"/>
      <c r="Q208" s="52"/>
      <c r="R208" s="53"/>
      <c r="S208" s="54"/>
      <c r="T208" s="54"/>
      <c r="U208" s="54"/>
      <c r="V208" s="53"/>
      <c r="W208" s="53"/>
      <c r="X208" s="55"/>
      <c r="Y208" s="55"/>
      <c r="Z208" s="53"/>
      <c r="AA208" s="56"/>
      <c r="AB208" s="57"/>
      <c r="AD208" s="35" t="s">
        <v>95</v>
      </c>
      <c r="AE208" s="36"/>
      <c r="AH208" s="19"/>
      <c r="AI208" s="58"/>
    </row>
    <row r="209" ht="15" customHeight="1" spans="1:35" x14ac:dyDescent="0.25">
      <c r="A209" s="19"/>
      <c r="B209" s="20"/>
      <c r="C209" s="51" t="s">
        <v>96</v>
      </c>
      <c r="D209" s="52"/>
      <c r="E209" s="52"/>
      <c r="F209" s="52"/>
      <c r="G209" s="53"/>
      <c r="H209" s="52"/>
      <c r="I209" s="52"/>
      <c r="J209" s="52">
        <v>0</v>
      </c>
      <c r="K209" s="52">
        <v>0</v>
      </c>
      <c r="L209" s="52"/>
      <c r="M209" s="53"/>
      <c r="N209" s="53"/>
      <c r="O209" s="52"/>
      <c r="P209" s="52"/>
      <c r="Q209" s="52"/>
      <c r="R209" s="53"/>
      <c r="S209" s="54"/>
      <c r="T209" s="54"/>
      <c r="U209" s="54"/>
      <c r="V209" s="53"/>
      <c r="W209" s="53"/>
      <c r="X209" s="55"/>
      <c r="Y209" s="55"/>
      <c r="Z209" s="53"/>
      <c r="AA209" s="56"/>
      <c r="AB209" s="57"/>
      <c r="AD209" s="35"/>
      <c r="AE209" s="35"/>
      <c r="AH209" s="19"/>
      <c r="AI209" s="58"/>
    </row>
    <row r="210" ht="15" customHeight="1" spans="1:35" x14ac:dyDescent="0.25">
      <c r="A210" s="19"/>
      <c r="B210" s="20"/>
      <c r="C210" s="51" t="s">
        <v>97</v>
      </c>
      <c r="D210" s="52"/>
      <c r="E210" s="52"/>
      <c r="F210" s="52"/>
      <c r="G210" s="53"/>
      <c r="H210" s="52"/>
      <c r="I210" s="52"/>
      <c r="J210" s="52">
        <v>0</v>
      </c>
      <c r="K210" s="52">
        <v>0</v>
      </c>
      <c r="L210" s="52"/>
      <c r="M210" s="53"/>
      <c r="N210" s="53"/>
      <c r="O210" s="52"/>
      <c r="P210" s="52"/>
      <c r="Q210" s="52"/>
      <c r="R210" s="53"/>
      <c r="S210" s="54"/>
      <c r="T210" s="54"/>
      <c r="U210" s="54"/>
      <c r="V210" s="53"/>
      <c r="W210" s="53"/>
      <c r="X210" s="55"/>
      <c r="Y210" s="55"/>
      <c r="Z210" s="53"/>
      <c r="AA210" s="56"/>
      <c r="AB210" s="57"/>
      <c r="AD210" s="35" t="s">
        <v>98</v>
      </c>
      <c r="AE210" s="36">
        <v>0</v>
      </c>
      <c r="AH210" s="19"/>
      <c r="AI210" s="58"/>
    </row>
    <row r="211" ht="15" customHeight="1" spans="1:35" x14ac:dyDescent="0.25">
      <c r="A211" s="19"/>
      <c r="B211" s="20"/>
      <c r="C211" s="51" t="s">
        <v>99</v>
      </c>
      <c r="D211" s="52"/>
      <c r="E211" s="52"/>
      <c r="F211" s="52"/>
      <c r="G211" s="53"/>
      <c r="H211" s="52"/>
      <c r="I211" s="52"/>
      <c r="J211" s="52">
        <v>0</v>
      </c>
      <c r="K211" s="52">
        <v>0</v>
      </c>
      <c r="L211" s="52"/>
      <c r="M211" s="53"/>
      <c r="N211" s="53"/>
      <c r="O211" s="52"/>
      <c r="P211" s="52"/>
      <c r="Q211" s="52"/>
      <c r="R211" s="53"/>
      <c r="S211" s="54"/>
      <c r="T211" s="54"/>
      <c r="U211" s="54"/>
      <c r="V211" s="53"/>
      <c r="W211" s="53"/>
      <c r="X211" s="55"/>
      <c r="Y211" s="55"/>
      <c r="Z211" s="53"/>
      <c r="AA211" s="56"/>
      <c r="AB211" s="57"/>
      <c r="AD211" s="35"/>
      <c r="AE211" s="35"/>
      <c r="AH211" s="19"/>
      <c r="AI211" s="58"/>
    </row>
    <row r="212" ht="15.75" customHeight="1" spans="1:35" x14ac:dyDescent="0.25">
      <c r="A212" s="59"/>
      <c r="B212" s="75"/>
      <c r="C212" s="76" t="s">
        <v>100</v>
      </c>
      <c r="D212" s="52"/>
      <c r="E212" s="52"/>
      <c r="F212" s="52"/>
      <c r="G212" s="53"/>
      <c r="H212" s="52"/>
      <c r="I212" s="52"/>
      <c r="J212" s="52">
        <v>0</v>
      </c>
      <c r="K212" s="52">
        <v>0</v>
      </c>
      <c r="L212" s="52"/>
      <c r="M212" s="53"/>
      <c r="N212" s="53"/>
      <c r="O212" s="52"/>
      <c r="P212" s="52"/>
      <c r="Q212" s="52"/>
      <c r="R212" s="53"/>
      <c r="S212" s="54"/>
      <c r="T212" s="54"/>
      <c r="U212" s="54"/>
      <c r="V212" s="53"/>
      <c r="W212" s="53"/>
      <c r="X212" s="55"/>
      <c r="Y212" s="55"/>
      <c r="Z212" s="53"/>
      <c r="AA212" s="56"/>
      <c r="AB212" s="57"/>
      <c r="AD212" s="35"/>
      <c r="AE212" s="35"/>
      <c r="AH212" s="59"/>
      <c r="AI212" s="60"/>
    </row>
    <row r="213" ht="9" customHeight="1" spans="1:35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D213" s="35"/>
      <c r="AE213" s="35"/>
      <c r="AH213" s="35"/>
      <c r="AI213" s="35"/>
    </row>
    <row r="214" ht="15" customHeight="1" spans="1:35" x14ac:dyDescent="0.25">
      <c r="A214" s="19">
        <v>8946</v>
      </c>
      <c r="B214" s="77" t="s">
        <v>62</v>
      </c>
      <c r="C214" s="51" t="s">
        <v>92</v>
      </c>
      <c r="D214" s="52">
        <v>137109.56</v>
      </c>
      <c r="E214" s="52">
        <v>30174.75</v>
      </c>
      <c r="F214" s="52">
        <v>106934.81</v>
      </c>
      <c r="G214" s="53">
        <v>0.7799223482301307</v>
      </c>
      <c r="H214" s="52">
        <v>117394.57</v>
      </c>
      <c r="I214" s="52">
        <v>26124</v>
      </c>
      <c r="J214" s="52">
        <v>99479.62000000001</v>
      </c>
      <c r="K214" s="52">
        <v>26124</v>
      </c>
      <c r="L214" s="52">
        <v>73355.62000000001</v>
      </c>
      <c r="M214" s="53">
        <v>0.7373934480248316</v>
      </c>
      <c r="N214" s="53"/>
      <c r="O214" s="52">
        <v>17914.95</v>
      </c>
      <c r="P214" s="52">
        <v>0</v>
      </c>
      <c r="Q214" s="52">
        <v>17914.95</v>
      </c>
      <c r="R214" s="53">
        <v>1</v>
      </c>
      <c r="S214" s="54">
        <v>358.86</v>
      </c>
      <c r="T214" s="54">
        <v>0</v>
      </c>
      <c r="U214" s="54">
        <v>358.86</v>
      </c>
      <c r="V214" s="53">
        <v>1</v>
      </c>
      <c r="W214" s="53"/>
      <c r="X214" s="55">
        <v>0</v>
      </c>
      <c r="Y214" s="55">
        <v>54.93783457863793</v>
      </c>
      <c r="Z214" s="53">
        <v>0.13419999999999999</v>
      </c>
      <c r="AA214" s="56">
        <v>0.1438</v>
      </c>
      <c r="AB214" s="57"/>
      <c r="AD214" s="35" t="s">
        <v>93</v>
      </c>
      <c r="AE214" s="35"/>
      <c r="AH214" s="19"/>
      <c r="AI214" s="58"/>
    </row>
    <row r="215" ht="15" customHeight="1" spans="1:35" x14ac:dyDescent="0.25">
      <c r="A215" s="19"/>
      <c r="B215" s="20"/>
      <c r="C215" s="51" t="s">
        <v>94</v>
      </c>
      <c r="D215" s="52">
        <v>137109.56</v>
      </c>
      <c r="E215" s="52">
        <v>30174.75</v>
      </c>
      <c r="F215" s="52">
        <v>106934.81</v>
      </c>
      <c r="G215" s="53">
        <v>0.7799223482301307</v>
      </c>
      <c r="H215" s="52">
        <v>117394.57</v>
      </c>
      <c r="I215" s="52">
        <v>30594.96</v>
      </c>
      <c r="J215" s="52">
        <v>99479.62000000001</v>
      </c>
      <c r="K215" s="52">
        <v>30594.96</v>
      </c>
      <c r="L215" s="52">
        <v>68884.66</v>
      </c>
      <c r="M215" s="53">
        <v>0.692449971159922</v>
      </c>
      <c r="N215" s="53"/>
      <c r="O215" s="52">
        <v>17914.95</v>
      </c>
      <c r="P215" s="52">
        <v>0</v>
      </c>
      <c r="Q215" s="52">
        <v>17914.95</v>
      </c>
      <c r="R215" s="53">
        <v>1</v>
      </c>
      <c r="S215" s="54">
        <v>358.86</v>
      </c>
      <c r="T215" s="54">
        <v>0</v>
      </c>
      <c r="U215" s="54">
        <v>358.86</v>
      </c>
      <c r="V215" s="53">
        <v>1</v>
      </c>
      <c r="W215" s="53"/>
      <c r="X215" s="55">
        <v>0</v>
      </c>
      <c r="Y215" s="55">
        <v>54.93783457863793</v>
      </c>
      <c r="Z215" s="53">
        <v>-0.0139</v>
      </c>
      <c r="AA215" s="56">
        <v>0.1438</v>
      </c>
      <c r="AB215" s="57"/>
      <c r="AD215" s="35" t="s">
        <v>95</v>
      </c>
      <c r="AE215" s="36"/>
      <c r="AH215" s="19"/>
      <c r="AI215" s="58"/>
    </row>
    <row r="216" ht="15" customHeight="1" spans="1:35" x14ac:dyDescent="0.25">
      <c r="A216" s="19"/>
      <c r="B216" s="20"/>
      <c r="C216" s="51" t="s">
        <v>96</v>
      </c>
      <c r="D216" s="52">
        <v>137109.56</v>
      </c>
      <c r="E216" s="52">
        <v>30174.75</v>
      </c>
      <c r="F216" s="52">
        <v>106934.81</v>
      </c>
      <c r="G216" s="53">
        <v>0.7799223482301307</v>
      </c>
      <c r="H216" s="52">
        <v>117394.57</v>
      </c>
      <c r="I216" s="52">
        <v>30594.96</v>
      </c>
      <c r="J216" s="52">
        <v>99479.62000000001</v>
      </c>
      <c r="K216" s="52">
        <v>30594.96</v>
      </c>
      <c r="L216" s="52">
        <v>68884.66</v>
      </c>
      <c r="M216" s="53">
        <v>0.692449971159922</v>
      </c>
      <c r="N216" s="53"/>
      <c r="O216" s="52">
        <v>17914.95</v>
      </c>
      <c r="P216" s="52">
        <v>0</v>
      </c>
      <c r="Q216" s="52">
        <v>17914.95</v>
      </c>
      <c r="R216" s="53">
        <v>1</v>
      </c>
      <c r="S216" s="54">
        <v>358.86</v>
      </c>
      <c r="T216" s="54">
        <v>0</v>
      </c>
      <c r="U216" s="54">
        <v>358.86</v>
      </c>
      <c r="V216" s="53">
        <v>1</v>
      </c>
      <c r="W216" s="53"/>
      <c r="X216" s="55">
        <v>0</v>
      </c>
      <c r="Y216" s="55">
        <v>54.93783457863793</v>
      </c>
      <c r="Z216" s="53">
        <v>-0.0139</v>
      </c>
      <c r="AA216" s="56">
        <v>0.1438</v>
      </c>
      <c r="AB216" s="57"/>
      <c r="AD216" s="35"/>
      <c r="AE216" s="35"/>
      <c r="AH216" s="19"/>
      <c r="AI216" s="58"/>
    </row>
    <row r="217" ht="15" customHeight="1" spans="1:35" x14ac:dyDescent="0.25">
      <c r="A217" s="19"/>
      <c r="B217" s="20"/>
      <c r="C217" s="51" t="s">
        <v>97</v>
      </c>
      <c r="D217" s="52"/>
      <c r="E217" s="52"/>
      <c r="F217" s="52"/>
      <c r="G217" s="53"/>
      <c r="H217" s="52"/>
      <c r="I217" s="52"/>
      <c r="J217" s="52"/>
      <c r="K217" s="52"/>
      <c r="L217" s="52"/>
      <c r="M217" s="53"/>
      <c r="N217" s="53"/>
      <c r="O217" s="52"/>
      <c r="P217" s="52"/>
      <c r="Q217" s="52"/>
      <c r="R217" s="53"/>
      <c r="S217" s="54"/>
      <c r="T217" s="54"/>
      <c r="U217" s="54"/>
      <c r="V217" s="53"/>
      <c r="W217" s="53"/>
      <c r="X217" s="55"/>
      <c r="Y217" s="55"/>
      <c r="Z217" s="53"/>
      <c r="AA217" s="56"/>
      <c r="AB217" s="57"/>
      <c r="AD217" s="35" t="s">
        <v>98</v>
      </c>
      <c r="AE217" s="36">
        <v>0</v>
      </c>
      <c r="AH217" s="19"/>
      <c r="AI217" s="58"/>
    </row>
    <row r="218" ht="15" customHeight="1" spans="1:35" x14ac:dyDescent="0.25">
      <c r="A218" s="19"/>
      <c r="B218" s="20"/>
      <c r="C218" s="51" t="s">
        <v>99</v>
      </c>
      <c r="D218" s="52"/>
      <c r="E218" s="52"/>
      <c r="F218" s="52"/>
      <c r="G218" s="53"/>
      <c r="H218" s="52"/>
      <c r="I218" s="52"/>
      <c r="J218" s="52"/>
      <c r="K218" s="52"/>
      <c r="L218" s="52"/>
      <c r="M218" s="53"/>
      <c r="N218" s="53"/>
      <c r="O218" s="52"/>
      <c r="P218" s="52"/>
      <c r="Q218" s="52"/>
      <c r="R218" s="53"/>
      <c r="S218" s="54"/>
      <c r="T218" s="54"/>
      <c r="U218" s="54"/>
      <c r="V218" s="53"/>
      <c r="W218" s="53"/>
      <c r="X218" s="55"/>
      <c r="Y218" s="55"/>
      <c r="Z218" s="53"/>
      <c r="AA218" s="56"/>
      <c r="AB218" s="57"/>
      <c r="AD218" s="35"/>
      <c r="AE218" s="35"/>
      <c r="AH218" s="19"/>
      <c r="AI218" s="58"/>
    </row>
    <row r="219" ht="15.75" customHeight="1" spans="1:35" x14ac:dyDescent="0.25">
      <c r="A219" s="59"/>
      <c r="B219" s="75"/>
      <c r="C219" s="76" t="s">
        <v>100</v>
      </c>
      <c r="D219" s="52"/>
      <c r="E219" s="52"/>
      <c r="F219" s="52"/>
      <c r="G219" s="53"/>
      <c r="H219" s="52"/>
      <c r="I219" s="52"/>
      <c r="J219" s="52"/>
      <c r="K219" s="52"/>
      <c r="L219" s="52"/>
      <c r="M219" s="53"/>
      <c r="N219" s="53"/>
      <c r="O219" s="52"/>
      <c r="P219" s="52"/>
      <c r="Q219" s="52"/>
      <c r="R219" s="53"/>
      <c r="S219" s="54"/>
      <c r="T219" s="54"/>
      <c r="U219" s="54"/>
      <c r="V219" s="53"/>
      <c r="W219" s="53"/>
      <c r="X219" s="55"/>
      <c r="Y219" s="55"/>
      <c r="Z219" s="53"/>
      <c r="AA219" s="56"/>
      <c r="AB219" s="57"/>
      <c r="AD219" s="35"/>
      <c r="AE219" s="35"/>
      <c r="AH219" s="59"/>
      <c r="AI219" s="60"/>
    </row>
    <row r="220" ht="9" customHeight="1" spans="1:35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D220" s="35"/>
      <c r="AE220" s="35"/>
      <c r="AH220" s="35"/>
      <c r="AI220" s="35"/>
    </row>
    <row r="221" ht="15" customHeight="1" spans="1:35" x14ac:dyDescent="0.25">
      <c r="A221" s="19">
        <v>8308</v>
      </c>
      <c r="B221" s="19" t="s">
        <v>63</v>
      </c>
      <c r="C221" s="51" t="s">
        <v>92</v>
      </c>
      <c r="D221" s="52">
        <v>396453.46</v>
      </c>
      <c r="E221" s="52">
        <v>271388.15</v>
      </c>
      <c r="F221" s="52">
        <v>125065.31</v>
      </c>
      <c r="G221" s="53">
        <v>0.3154602560411504</v>
      </c>
      <c r="H221" s="52">
        <v>295569.99</v>
      </c>
      <c r="I221" s="52">
        <v>234322.81</v>
      </c>
      <c r="J221" s="52">
        <v>178700.37</v>
      </c>
      <c r="K221" s="52">
        <v>177071.47999999998</v>
      </c>
      <c r="L221" s="52">
        <v>1628.890000000014</v>
      </c>
      <c r="M221" s="53">
        <v>0.009115202167740415</v>
      </c>
      <c r="N221" s="53"/>
      <c r="O221" s="52">
        <v>116869.62</v>
      </c>
      <c r="P221" s="52">
        <v>57251.33</v>
      </c>
      <c r="Q221" s="52">
        <v>59618.28999999999</v>
      </c>
      <c r="R221" s="53">
        <v>0.5101264982293944</v>
      </c>
      <c r="S221" s="54">
        <v>2344.68</v>
      </c>
      <c r="T221" s="54">
        <v>1212</v>
      </c>
      <c r="U221" s="54">
        <v>1132.6799999999998</v>
      </c>
      <c r="V221" s="53">
        <v>0.48308511182762676</v>
      </c>
      <c r="W221" s="53"/>
      <c r="X221" s="55">
        <v>30.581963696369634</v>
      </c>
      <c r="Y221" s="55">
        <v>43.0265399367206</v>
      </c>
      <c r="Z221" s="53">
        <v>0.1366</v>
      </c>
      <c r="AA221" s="56">
        <v>0.2545</v>
      </c>
      <c r="AB221" s="57"/>
      <c r="AD221" s="35" t="s">
        <v>93</v>
      </c>
      <c r="AE221" s="35">
        <v>-1014.25</v>
      </c>
      <c r="AH221" s="19">
        <v>-1014.25</v>
      </c>
      <c r="AI221" s="58"/>
    </row>
    <row r="222" ht="15" customHeight="1" spans="1:35" x14ac:dyDescent="0.25">
      <c r="A222" s="19"/>
      <c r="B222" s="20"/>
      <c r="C222" s="51" t="s">
        <v>94</v>
      </c>
      <c r="D222" s="52">
        <v>396453.46</v>
      </c>
      <c r="E222" s="52">
        <v>306038.55</v>
      </c>
      <c r="F222" s="52">
        <v>90414.91000000003</v>
      </c>
      <c r="G222" s="53">
        <v>0.2280593288301735</v>
      </c>
      <c r="H222" s="52">
        <v>295569.99</v>
      </c>
      <c r="I222" s="52">
        <v>241753.24</v>
      </c>
      <c r="J222" s="52">
        <v>178700.37</v>
      </c>
      <c r="K222" s="52">
        <v>178956.15</v>
      </c>
      <c r="L222" s="52">
        <v>-255.77999999999884</v>
      </c>
      <c r="M222" s="53">
        <v>-0.0014313344734540776</v>
      </c>
      <c r="N222" s="53"/>
      <c r="O222" s="52">
        <v>116869.62</v>
      </c>
      <c r="P222" s="52">
        <v>62797.09</v>
      </c>
      <c r="Q222" s="52">
        <v>54072.53</v>
      </c>
      <c r="R222" s="53">
        <v>0.4626739609489618</v>
      </c>
      <c r="S222" s="54">
        <v>2344.68</v>
      </c>
      <c r="T222" s="54">
        <v>1335</v>
      </c>
      <c r="U222" s="54">
        <v>1009.6799999999998</v>
      </c>
      <c r="V222" s="53">
        <v>0.4306259276319156</v>
      </c>
      <c r="W222" s="53"/>
      <c r="X222" s="55">
        <v>48.153790262172286</v>
      </c>
      <c r="Y222" s="55">
        <v>43.0265399367206</v>
      </c>
      <c r="Z222" s="53">
        <v>0.2101</v>
      </c>
      <c r="AA222" s="56">
        <v>0.2545</v>
      </c>
      <c r="AB222" s="57"/>
      <c r="AD222" s="35" t="s">
        <v>95</v>
      </c>
      <c r="AE222" s="36"/>
      <c r="AH222" s="19"/>
      <c r="AI222" s="58"/>
    </row>
    <row r="223" ht="15" customHeight="1" spans="1:35" x14ac:dyDescent="0.25">
      <c r="A223" s="19"/>
      <c r="B223" s="20"/>
      <c r="C223" s="51" t="s">
        <v>96</v>
      </c>
      <c r="D223" s="52">
        <v>396453.46</v>
      </c>
      <c r="E223" s="52">
        <v>306038.55</v>
      </c>
      <c r="F223" s="52">
        <v>90414.91000000003</v>
      </c>
      <c r="G223" s="53">
        <v>0.2280593288301735</v>
      </c>
      <c r="H223" s="52">
        <v>295569.99</v>
      </c>
      <c r="I223" s="52">
        <v>246358.99</v>
      </c>
      <c r="J223" s="52">
        <v>178700.37</v>
      </c>
      <c r="K223" s="52">
        <v>180550.95</v>
      </c>
      <c r="L223" s="52">
        <v>-1850.5800000000163</v>
      </c>
      <c r="M223" s="53">
        <v>-0.010355770388164369</v>
      </c>
      <c r="N223" s="53"/>
      <c r="O223" s="52">
        <v>116869.62</v>
      </c>
      <c r="P223" s="52">
        <v>65808.04</v>
      </c>
      <c r="Q223" s="52">
        <v>51061.58</v>
      </c>
      <c r="R223" s="53">
        <v>0.43691063597194896</v>
      </c>
      <c r="S223" s="54">
        <v>2344.68</v>
      </c>
      <c r="T223" s="54">
        <v>1401.92</v>
      </c>
      <c r="U223" s="54">
        <v>942.7599999999998</v>
      </c>
      <c r="V223" s="53">
        <v>0.40208471944998886</v>
      </c>
      <c r="W223" s="53"/>
      <c r="X223" s="55">
        <v>42.56987559917827</v>
      </c>
      <c r="Y223" s="55">
        <v>43.0265399367206</v>
      </c>
      <c r="Z223" s="53">
        <v>0.195</v>
      </c>
      <c r="AA223" s="56">
        <v>0.2545</v>
      </c>
      <c r="AB223" s="57"/>
      <c r="AD223" s="35"/>
      <c r="AE223" s="35"/>
      <c r="AH223" s="19"/>
      <c r="AI223" s="58"/>
    </row>
    <row r="224" ht="15" customHeight="1" spans="1:35" x14ac:dyDescent="0.25">
      <c r="A224" s="19"/>
      <c r="B224" s="20"/>
      <c r="C224" s="51" t="s">
        <v>97</v>
      </c>
      <c r="D224" s="52"/>
      <c r="E224" s="52"/>
      <c r="F224" s="52"/>
      <c r="G224" s="53"/>
      <c r="H224" s="52"/>
      <c r="I224" s="52"/>
      <c r="J224" s="52"/>
      <c r="K224" s="52"/>
      <c r="L224" s="52"/>
      <c r="M224" s="53"/>
      <c r="N224" s="53"/>
      <c r="O224" s="52"/>
      <c r="P224" s="52"/>
      <c r="Q224" s="52"/>
      <c r="R224" s="53"/>
      <c r="S224" s="54"/>
      <c r="T224" s="54"/>
      <c r="U224" s="54"/>
      <c r="V224" s="53"/>
      <c r="W224" s="53"/>
      <c r="X224" s="55"/>
      <c r="Y224" s="55"/>
      <c r="Z224" s="53"/>
      <c r="AA224" s="56"/>
      <c r="AB224" s="57"/>
      <c r="AD224" s="35" t="s">
        <v>98</v>
      </c>
      <c r="AE224" s="36">
        <v>0</v>
      </c>
      <c r="AH224" s="19"/>
      <c r="AI224" s="58"/>
    </row>
    <row r="225" ht="15" customHeight="1" spans="1:35" x14ac:dyDescent="0.25">
      <c r="A225" s="19"/>
      <c r="B225" s="20"/>
      <c r="C225" s="51" t="s">
        <v>99</v>
      </c>
      <c r="D225" s="52"/>
      <c r="E225" s="52"/>
      <c r="F225" s="52"/>
      <c r="G225" s="53"/>
      <c r="H225" s="52"/>
      <c r="I225" s="52"/>
      <c r="J225" s="52"/>
      <c r="K225" s="52"/>
      <c r="L225" s="52"/>
      <c r="M225" s="53"/>
      <c r="N225" s="53"/>
      <c r="O225" s="52"/>
      <c r="P225" s="52"/>
      <c r="Q225" s="52"/>
      <c r="R225" s="53"/>
      <c r="S225" s="54"/>
      <c r="T225" s="54"/>
      <c r="U225" s="54"/>
      <c r="V225" s="53"/>
      <c r="W225" s="53"/>
      <c r="X225" s="55"/>
      <c r="Y225" s="55"/>
      <c r="Z225" s="53"/>
      <c r="AA225" s="56"/>
      <c r="AB225" s="57"/>
      <c r="AD225" s="35"/>
      <c r="AE225" s="35"/>
      <c r="AH225" s="19"/>
      <c r="AI225" s="58"/>
    </row>
    <row r="226" ht="15.75" customHeight="1" spans="1:35" x14ac:dyDescent="0.25">
      <c r="A226" s="59"/>
      <c r="B226" s="75"/>
      <c r="C226" s="76" t="s">
        <v>100</v>
      </c>
      <c r="D226" s="52"/>
      <c r="E226" s="52"/>
      <c r="F226" s="52"/>
      <c r="G226" s="53"/>
      <c r="H226" s="52"/>
      <c r="I226" s="52"/>
      <c r="J226" s="52"/>
      <c r="K226" s="52"/>
      <c r="L226" s="52"/>
      <c r="M226" s="53"/>
      <c r="N226" s="53"/>
      <c r="O226" s="52"/>
      <c r="P226" s="52"/>
      <c r="Q226" s="52"/>
      <c r="R226" s="53"/>
      <c r="S226" s="54"/>
      <c r="T226" s="54"/>
      <c r="U226" s="54"/>
      <c r="V226" s="53"/>
      <c r="W226" s="53"/>
      <c r="X226" s="55"/>
      <c r="Y226" s="55"/>
      <c r="Z226" s="53"/>
      <c r="AA226" s="56"/>
      <c r="AB226" s="57"/>
      <c r="AD226" s="35"/>
      <c r="AE226" s="35"/>
      <c r="AH226" s="59">
        <v>-1014.25</v>
      </c>
      <c r="AI226" s="60"/>
    </row>
    <row r="227" ht="9" customHeight="1" spans="1:35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D227" s="35"/>
      <c r="AE227" s="35"/>
      <c r="AH227" s="35"/>
      <c r="AI227" s="35"/>
    </row>
    <row r="228" ht="15" customHeight="1" spans="1:35" x14ac:dyDescent="0.25">
      <c r="A228" s="19">
        <v>8530</v>
      </c>
      <c r="B228" s="19" t="s">
        <v>64</v>
      </c>
      <c r="C228" s="51" t="s">
        <v>92</v>
      </c>
      <c r="D228" s="52">
        <v>0</v>
      </c>
      <c r="E228" s="52">
        <v>0</v>
      </c>
      <c r="F228" s="52">
        <v>0</v>
      </c>
      <c r="G228" s="53">
        <v>0</v>
      </c>
      <c r="H228" s="52">
        <v>0</v>
      </c>
      <c r="I228" s="52">
        <v>0</v>
      </c>
      <c r="J228" s="52">
        <v>0</v>
      </c>
      <c r="K228" s="52">
        <v>0</v>
      </c>
      <c r="L228" s="52">
        <v>0</v>
      </c>
      <c r="M228" s="53">
        <v>0</v>
      </c>
      <c r="N228" s="53"/>
      <c r="O228" s="52">
        <v>0</v>
      </c>
      <c r="P228" s="52">
        <v>0</v>
      </c>
      <c r="Q228" s="52">
        <v>0</v>
      </c>
      <c r="R228" s="53">
        <v>0</v>
      </c>
      <c r="S228" s="54">
        <v>0</v>
      </c>
      <c r="T228" s="54">
        <v>0</v>
      </c>
      <c r="U228" s="54">
        <v>0</v>
      </c>
      <c r="V228" s="53">
        <v>0</v>
      </c>
      <c r="W228" s="53"/>
      <c r="X228" s="55">
        <v>0</v>
      </c>
      <c r="Y228" s="55">
        <v>0</v>
      </c>
      <c r="Z228" s="53">
        <v>0</v>
      </c>
      <c r="AA228" s="56">
        <v>0</v>
      </c>
      <c r="AB228" s="57"/>
      <c r="AD228" s="35"/>
      <c r="AE228" s="35"/>
      <c r="AH228" s="19"/>
      <c r="AI228" s="58"/>
    </row>
    <row r="229" ht="15" customHeight="1" spans="1:35" x14ac:dyDescent="0.25">
      <c r="A229" s="19"/>
      <c r="B229" s="20"/>
      <c r="C229" s="51" t="s">
        <v>94</v>
      </c>
      <c r="D229" s="52">
        <v>8795.03</v>
      </c>
      <c r="E229" s="52">
        <v>0</v>
      </c>
      <c r="F229" s="52">
        <v>8795.03</v>
      </c>
      <c r="G229" s="53">
        <v>1</v>
      </c>
      <c r="H229" s="52">
        <v>6369.12</v>
      </c>
      <c r="I229" s="52">
        <v>0</v>
      </c>
      <c r="J229" s="52">
        <v>4527.889999999999</v>
      </c>
      <c r="K229" s="52">
        <v>0</v>
      </c>
      <c r="L229" s="52">
        <v>4527.889999999999</v>
      </c>
      <c r="M229" s="53">
        <v>1</v>
      </c>
      <c r="N229" s="53"/>
      <c r="O229" s="52">
        <v>1841.23</v>
      </c>
      <c r="P229" s="52">
        <v>0</v>
      </c>
      <c r="Q229" s="52">
        <v>1841.23</v>
      </c>
      <c r="R229" s="53">
        <v>1</v>
      </c>
      <c r="S229" s="54">
        <v>36.92</v>
      </c>
      <c r="T229" s="54">
        <v>0</v>
      </c>
      <c r="U229" s="54">
        <v>36.92</v>
      </c>
      <c r="V229" s="53">
        <v>1</v>
      </c>
      <c r="W229" s="53"/>
      <c r="X229" s="55">
        <v>0</v>
      </c>
      <c r="Y229" s="55">
        <v>65.70711175027087</v>
      </c>
      <c r="Z229" s="53">
        <v>0</v>
      </c>
      <c r="AA229" s="56">
        <v>0.2758</v>
      </c>
      <c r="AB229" s="57"/>
      <c r="AD229" s="35"/>
      <c r="AE229" s="36"/>
      <c r="AH229" s="19"/>
      <c r="AI229" s="58"/>
    </row>
    <row r="230" ht="15" customHeight="1" spans="1:35" x14ac:dyDescent="0.25">
      <c r="A230" s="19"/>
      <c r="B230" s="20"/>
      <c r="C230" s="51" t="s">
        <v>96</v>
      </c>
      <c r="D230" s="52">
        <v>8795.03</v>
      </c>
      <c r="E230" s="52">
        <v>0</v>
      </c>
      <c r="F230" s="52">
        <v>8795.03</v>
      </c>
      <c r="G230" s="53">
        <v>1</v>
      </c>
      <c r="H230" s="52">
        <v>6369.12</v>
      </c>
      <c r="I230" s="52">
        <v>0</v>
      </c>
      <c r="J230" s="52">
        <v>4527.889999999999</v>
      </c>
      <c r="K230" s="52">
        <v>0</v>
      </c>
      <c r="L230" s="52">
        <v>4527.889999999999</v>
      </c>
      <c r="M230" s="53">
        <v>1</v>
      </c>
      <c r="N230" s="53"/>
      <c r="O230" s="52">
        <v>1841.23</v>
      </c>
      <c r="P230" s="52">
        <v>0</v>
      </c>
      <c r="Q230" s="52">
        <v>1841.23</v>
      </c>
      <c r="R230" s="53">
        <v>1</v>
      </c>
      <c r="S230" s="54">
        <v>36.92</v>
      </c>
      <c r="T230" s="54">
        <v>0</v>
      </c>
      <c r="U230" s="54">
        <v>36.92</v>
      </c>
      <c r="V230" s="53">
        <v>1</v>
      </c>
      <c r="W230" s="53"/>
      <c r="X230" s="55">
        <v>0</v>
      </c>
      <c r="Y230" s="55">
        <v>65.70711175027087</v>
      </c>
      <c r="Z230" s="53">
        <v>0</v>
      </c>
      <c r="AA230" s="56">
        <v>0.2758</v>
      </c>
      <c r="AB230" s="57"/>
      <c r="AD230" s="35"/>
      <c r="AE230" s="35"/>
      <c r="AH230" s="19"/>
      <c r="AI230" s="58"/>
    </row>
    <row r="231" ht="15" customHeight="1" spans="1:35" x14ac:dyDescent="0.25">
      <c r="A231" s="19"/>
      <c r="B231" s="20"/>
      <c r="C231" s="51" t="s">
        <v>97</v>
      </c>
      <c r="D231" s="52"/>
      <c r="E231" s="52"/>
      <c r="F231" s="52"/>
      <c r="G231" s="53"/>
      <c r="H231" s="52"/>
      <c r="I231" s="52"/>
      <c r="J231" s="52"/>
      <c r="K231" s="52"/>
      <c r="L231" s="52"/>
      <c r="M231" s="53"/>
      <c r="N231" s="53"/>
      <c r="O231" s="52"/>
      <c r="P231" s="52"/>
      <c r="Q231" s="52"/>
      <c r="R231" s="53"/>
      <c r="S231" s="54"/>
      <c r="T231" s="54"/>
      <c r="U231" s="54"/>
      <c r="V231" s="53"/>
      <c r="W231" s="53"/>
      <c r="X231" s="55"/>
      <c r="Y231" s="55"/>
      <c r="Z231" s="53"/>
      <c r="AA231" s="56"/>
      <c r="AB231" s="57"/>
      <c r="AD231" s="35"/>
      <c r="AE231" s="36"/>
      <c r="AH231" s="19"/>
      <c r="AI231" s="58"/>
    </row>
    <row r="232" ht="15" customHeight="1" spans="1:35" x14ac:dyDescent="0.25">
      <c r="A232" s="19"/>
      <c r="B232" s="20"/>
      <c r="C232" s="51" t="s">
        <v>99</v>
      </c>
      <c r="D232" s="52"/>
      <c r="E232" s="52"/>
      <c r="F232" s="52"/>
      <c r="G232" s="53"/>
      <c r="H232" s="52"/>
      <c r="I232" s="52"/>
      <c r="J232" s="52"/>
      <c r="K232" s="52"/>
      <c r="L232" s="52"/>
      <c r="M232" s="53"/>
      <c r="N232" s="53"/>
      <c r="O232" s="52"/>
      <c r="P232" s="52"/>
      <c r="Q232" s="52"/>
      <c r="R232" s="53"/>
      <c r="S232" s="54"/>
      <c r="T232" s="54"/>
      <c r="U232" s="54"/>
      <c r="V232" s="53"/>
      <c r="W232" s="53"/>
      <c r="X232" s="55"/>
      <c r="Y232" s="55"/>
      <c r="Z232" s="53"/>
      <c r="AA232" s="56"/>
      <c r="AB232" s="57"/>
      <c r="AD232" s="35"/>
      <c r="AE232" s="35"/>
      <c r="AH232" s="19"/>
      <c r="AI232" s="58"/>
    </row>
    <row r="233" ht="15.75" customHeight="1" spans="1:35" x14ac:dyDescent="0.25">
      <c r="A233" s="59"/>
      <c r="B233" s="75"/>
      <c r="C233" s="76" t="s">
        <v>100</v>
      </c>
      <c r="D233" s="52"/>
      <c r="E233" s="52"/>
      <c r="F233" s="52"/>
      <c r="G233" s="53"/>
      <c r="H233" s="52"/>
      <c r="I233" s="52"/>
      <c r="J233" s="52"/>
      <c r="K233" s="52"/>
      <c r="L233" s="52"/>
      <c r="M233" s="53"/>
      <c r="N233" s="53"/>
      <c r="O233" s="52"/>
      <c r="P233" s="52"/>
      <c r="Q233" s="52"/>
      <c r="R233" s="53"/>
      <c r="S233" s="54"/>
      <c r="T233" s="54"/>
      <c r="U233" s="54"/>
      <c r="V233" s="53"/>
      <c r="W233" s="53"/>
      <c r="X233" s="55"/>
      <c r="Y233" s="55"/>
      <c r="Z233" s="53"/>
      <c r="AA233" s="56"/>
      <c r="AB233" s="57"/>
      <c r="AD233" s="35"/>
      <c r="AE233" s="35"/>
      <c r="AH233" s="59"/>
      <c r="AI233" s="60"/>
    </row>
  </sheetData>
  <mergeCells count="58">
    <mergeCell ref="A1:AA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10:AA10"/>
    <mergeCell ref="A17:AA17"/>
    <mergeCell ref="A24:AA24"/>
    <mergeCell ref="A31:AA31"/>
    <mergeCell ref="A38:AA38"/>
    <mergeCell ref="A45:AA45"/>
    <mergeCell ref="A52:AA52"/>
    <mergeCell ref="A59:AA59"/>
    <mergeCell ref="A66:AA66"/>
    <mergeCell ref="A73:AA73"/>
    <mergeCell ref="A80:AA80"/>
    <mergeCell ref="A87:AA87"/>
    <mergeCell ref="A94:AA94"/>
    <mergeCell ref="A101:AA101"/>
    <mergeCell ref="A108:AA108"/>
    <mergeCell ref="A122:AA122"/>
    <mergeCell ref="A129:AA129"/>
    <mergeCell ref="A136:AA136"/>
    <mergeCell ref="A143:AA143"/>
    <mergeCell ref="A150:AA150"/>
    <mergeCell ref="A157:AA157"/>
    <mergeCell ref="A164:AA164"/>
    <mergeCell ref="A171:AA171"/>
    <mergeCell ref="A178:AA178"/>
    <mergeCell ref="A185:AA185"/>
    <mergeCell ref="A192:AA192"/>
    <mergeCell ref="A199:AA199"/>
    <mergeCell ref="A206:AA206"/>
    <mergeCell ref="A213:AA213"/>
    <mergeCell ref="A220:AA220"/>
  </mergeCells>
  <conditionalFormatting sqref="X76">
    <cfRule type="expression" dxfId="64" priority="2">
      <formula>$X$4&lt;$Y$4</formula>
    </cfRule>
  </conditionalFormatting>
  <conditionalFormatting sqref="Z76">
    <cfRule type="expression" dxfId="65" priority="3">
      <formula>$Z$4&lt;AA76</formula>
    </cfRule>
  </conditionalFormatting>
  <conditionalFormatting sqref="X69">
    <cfRule type="expression" dxfId="66" priority="4">
      <formula>$X$4&lt;$Y$4</formula>
    </cfRule>
  </conditionalFormatting>
  <conditionalFormatting sqref="Z69">
    <cfRule type="expression" dxfId="67" priority="5">
      <formula>$Z$4&lt;AA69</formula>
    </cfRule>
  </conditionalFormatting>
  <conditionalFormatting sqref="X62">
    <cfRule type="expression" dxfId="68" priority="6">
      <formula>$X$4&lt;$Y$4</formula>
    </cfRule>
  </conditionalFormatting>
  <conditionalFormatting sqref="Z62">
    <cfRule type="expression" dxfId="69" priority="7">
      <formula>$Z$4&lt;AA62</formula>
    </cfRule>
  </conditionalFormatting>
  <conditionalFormatting sqref="X55">
    <cfRule type="expression" dxfId="70" priority="8">
      <formula>$X$4&lt;$Y$4</formula>
    </cfRule>
  </conditionalFormatting>
  <conditionalFormatting sqref="Z55">
    <cfRule type="expression" dxfId="71" priority="9">
      <formula>$Z$4&lt;AA55</formula>
    </cfRule>
  </conditionalFormatting>
  <conditionalFormatting sqref="X48">
    <cfRule type="expression" dxfId="72" priority="10">
      <formula>$X$4&lt;$Y$4</formula>
    </cfRule>
  </conditionalFormatting>
  <conditionalFormatting sqref="Z48">
    <cfRule type="expression" dxfId="73" priority="11">
      <formula>$Z$4&lt;AA48</formula>
    </cfRule>
  </conditionalFormatting>
  <conditionalFormatting sqref="X27">
    <cfRule type="expression" dxfId="74" priority="12">
      <formula>$X$4&lt;$Y$4</formula>
    </cfRule>
  </conditionalFormatting>
  <conditionalFormatting sqref="Z27">
    <cfRule type="expression" dxfId="75" priority="13">
      <formula>$Z$4&lt;AA27</formula>
    </cfRule>
  </conditionalFormatting>
  <conditionalFormatting sqref="X20">
    <cfRule type="expression" dxfId="76" priority="14">
      <formula>$X$4&lt;$Y$4</formula>
    </cfRule>
  </conditionalFormatting>
  <conditionalFormatting sqref="Z20">
    <cfRule type="expression" dxfId="77" priority="15">
      <formula>$Z$4&lt;AA20</formula>
    </cfRule>
  </conditionalFormatting>
  <conditionalFormatting sqref="X13">
    <cfRule type="expression" dxfId="78" priority="16">
      <formula>$X$4&lt;$Y$4</formula>
    </cfRule>
  </conditionalFormatting>
  <conditionalFormatting sqref="Z13">
    <cfRule type="expression" dxfId="79" priority="17">
      <formula>$Z$4&lt;AA13</formula>
    </cfRule>
  </conditionalFormatting>
  <conditionalFormatting sqref="X6">
    <cfRule type="expression" dxfId="80" priority="18">
      <formula>$X$4&lt;$Y$4</formula>
    </cfRule>
  </conditionalFormatting>
  <conditionalFormatting sqref="Z6">
    <cfRule type="expression" dxfId="81" priority="19">
      <formula>$Z$4&lt;AA6</formula>
    </cfRule>
  </conditionalFormatting>
  <conditionalFormatting sqref="X153">
    <cfRule type="expression" dxfId="82" priority="20">
      <formula>$X$4&lt;$Y$4</formula>
    </cfRule>
  </conditionalFormatting>
  <conditionalFormatting sqref="Z153">
    <cfRule type="expression" dxfId="83" priority="21">
      <formula>$Z$4&lt;AA153</formula>
    </cfRule>
  </conditionalFormatting>
  <conditionalFormatting sqref="X146">
    <cfRule type="expression" dxfId="84" priority="22">
      <formula>$X$4&lt;$Y$4</formula>
    </cfRule>
  </conditionalFormatting>
  <conditionalFormatting sqref="Z146">
    <cfRule type="expression" dxfId="85" priority="23">
      <formula>$Z$4&lt;AA146</formula>
    </cfRule>
  </conditionalFormatting>
  <conditionalFormatting sqref="X132">
    <cfRule type="expression" dxfId="86" priority="24">
      <formula>$X$4&lt;$Y$4</formula>
    </cfRule>
  </conditionalFormatting>
  <conditionalFormatting sqref="Z132">
    <cfRule type="expression" dxfId="87" priority="25">
      <formula>$Z$4&lt;AA132</formula>
    </cfRule>
  </conditionalFormatting>
  <conditionalFormatting sqref="X125">
    <cfRule type="expression" dxfId="88" priority="26">
      <formula>$X$4&lt;$Y$4</formula>
    </cfRule>
  </conditionalFormatting>
  <conditionalFormatting sqref="Z125">
    <cfRule type="expression" dxfId="89" priority="27">
      <formula>$Z$4&lt;AA125</formula>
    </cfRule>
  </conditionalFormatting>
  <conditionalFormatting sqref="X111">
    <cfRule type="expression" dxfId="90" priority="28">
      <formula>$X$4&lt;$Y$4</formula>
    </cfRule>
  </conditionalFormatting>
  <conditionalFormatting sqref="Z111">
    <cfRule type="expression" dxfId="91" priority="29">
      <formula>$Z$4&lt;AA111</formula>
    </cfRule>
  </conditionalFormatting>
  <conditionalFormatting sqref="X104">
    <cfRule type="expression" dxfId="92" priority="30">
      <formula>$X$4&lt;$Y$4</formula>
    </cfRule>
  </conditionalFormatting>
  <conditionalFormatting sqref="Z104">
    <cfRule type="expression" dxfId="93" priority="31">
      <formula>$Z$4&lt;AA104</formula>
    </cfRule>
  </conditionalFormatting>
  <conditionalFormatting sqref="X97">
    <cfRule type="expression" dxfId="94" priority="32">
      <formula>$X$4&lt;$Y$4</formula>
    </cfRule>
  </conditionalFormatting>
  <conditionalFormatting sqref="Z97">
    <cfRule type="expression" dxfId="95" priority="33">
      <formula>$Z$4&lt;AA97</formula>
    </cfRule>
  </conditionalFormatting>
  <conditionalFormatting sqref="X83">
    <cfRule type="expression" dxfId="96" priority="34">
      <formula>$X$4&lt;$Y$4</formula>
    </cfRule>
  </conditionalFormatting>
  <conditionalFormatting sqref="Z83">
    <cfRule type="expression" dxfId="97" priority="35">
      <formula>$Z$4&lt;AA83</formula>
    </cfRule>
  </conditionalFormatting>
  <conditionalFormatting sqref="X90">
    <cfRule type="expression" dxfId="98" priority="36">
      <formula>$X$4&lt;$Y$4</formula>
    </cfRule>
  </conditionalFormatting>
  <conditionalFormatting sqref="Z90">
    <cfRule type="expression" dxfId="99" priority="37">
      <formula>$Z$4&lt;AA90</formula>
    </cfRule>
  </conditionalFormatting>
  <conditionalFormatting sqref="X221:X226">
    <cfRule type="expression" dxfId="100" priority="38">
      <formula>$X$4&lt;$Y$4</formula>
    </cfRule>
  </conditionalFormatting>
  <conditionalFormatting sqref="Z221:Z226">
    <cfRule type="expression" dxfId="101" priority="39">
      <formula>$Z$4&lt;AA221</formula>
    </cfRule>
  </conditionalFormatting>
  <conditionalFormatting sqref="X214:X219">
    <cfRule type="expression" dxfId="102" priority="40">
      <formula>$X$4&lt;$Y$4</formula>
    </cfRule>
  </conditionalFormatting>
  <conditionalFormatting sqref="Z214:Z219">
    <cfRule type="expression" dxfId="103" priority="41">
      <formula>$Z$4&lt;AA214</formula>
    </cfRule>
  </conditionalFormatting>
  <conditionalFormatting sqref="X207:X212">
    <cfRule type="expression" dxfId="104" priority="42">
      <formula>$X$4&lt;$Y$4</formula>
    </cfRule>
  </conditionalFormatting>
  <conditionalFormatting sqref="Z207:Z212">
    <cfRule type="expression" dxfId="105" priority="43">
      <formula>$Z$4&lt;AA207</formula>
    </cfRule>
  </conditionalFormatting>
  <conditionalFormatting sqref="X200:X205">
    <cfRule type="expression" dxfId="106" priority="44">
      <formula>$X$4&lt;$Y$4</formula>
    </cfRule>
  </conditionalFormatting>
  <conditionalFormatting sqref="Z200:Z205">
    <cfRule type="expression" dxfId="107" priority="45">
      <formula>$Z$4&lt;AA200</formula>
    </cfRule>
  </conditionalFormatting>
  <conditionalFormatting sqref="X193:X198">
    <cfRule type="expression" dxfId="108" priority="46">
      <formula>$X$4&lt;$Y$4</formula>
    </cfRule>
  </conditionalFormatting>
  <conditionalFormatting sqref="Z193:Z198">
    <cfRule type="expression" dxfId="109" priority="47">
      <formula>$Z$4&lt;AA193</formula>
    </cfRule>
  </conditionalFormatting>
  <conditionalFormatting sqref="X186:X191">
    <cfRule type="expression" dxfId="110" priority="48">
      <formula>$X$4&lt;$Y$4</formula>
    </cfRule>
  </conditionalFormatting>
  <conditionalFormatting sqref="Z186:Z191">
    <cfRule type="expression" dxfId="111" priority="49">
      <formula>$Z$4&lt;AA186</formula>
    </cfRule>
  </conditionalFormatting>
  <conditionalFormatting sqref="X179:X184">
    <cfRule type="expression" dxfId="112" priority="50">
      <formula>$X$4&lt;$Y$4</formula>
    </cfRule>
  </conditionalFormatting>
  <conditionalFormatting sqref="Z179:Z184">
    <cfRule type="expression" dxfId="113" priority="51">
      <formula>$Z$4&lt;AA179</formula>
    </cfRule>
  </conditionalFormatting>
  <conditionalFormatting sqref="X172:X177">
    <cfRule type="expression" dxfId="114" priority="52">
      <formula>$X$4&lt;$Y$4</formula>
    </cfRule>
  </conditionalFormatting>
  <conditionalFormatting sqref="Z172:Z177">
    <cfRule type="expression" dxfId="115" priority="53">
      <formula>$Z$4&lt;AA172</formula>
    </cfRule>
  </conditionalFormatting>
  <conditionalFormatting sqref="X165:X170">
    <cfRule type="expression" dxfId="116" priority="54">
      <formula>$X$4&lt;$Y$4</formula>
    </cfRule>
  </conditionalFormatting>
  <conditionalFormatting sqref="Z165:Z170">
    <cfRule type="expression" dxfId="117" priority="55">
      <formula>$Z$4&lt;AA165</formula>
    </cfRule>
  </conditionalFormatting>
  <conditionalFormatting sqref="X158:X163">
    <cfRule type="expression" dxfId="118" priority="56">
      <formula>$X$4&lt;$Y$4</formula>
    </cfRule>
  </conditionalFormatting>
  <conditionalFormatting sqref="Z158:Z163">
    <cfRule type="expression" dxfId="119" priority="57">
      <formula>$Z$4&lt;AA158</formula>
    </cfRule>
  </conditionalFormatting>
  <conditionalFormatting sqref="X151:X152 X154:X156">
    <cfRule type="expression" dxfId="120" priority="58">
      <formula>$X$4&lt;$Y$4</formula>
    </cfRule>
  </conditionalFormatting>
  <conditionalFormatting sqref="Z151:Z152 Z154:Z156">
    <cfRule type="expression" dxfId="121" priority="59">
      <formula>$Z$4&lt;AA151</formula>
    </cfRule>
  </conditionalFormatting>
  <conditionalFormatting sqref="X144:X145 X147:X149">
    <cfRule type="expression" dxfId="122" priority="60">
      <formula>$X$4&lt;$Y$4</formula>
    </cfRule>
  </conditionalFormatting>
  <conditionalFormatting sqref="Z144:Z145 Z147:Z149">
    <cfRule type="expression" dxfId="123" priority="61">
      <formula>$Z$4&lt;AA144</formula>
    </cfRule>
  </conditionalFormatting>
  <conditionalFormatting sqref="X137:X142">
    <cfRule type="expression" dxfId="124" priority="62">
      <formula>$X$4&lt;$Y$4</formula>
    </cfRule>
  </conditionalFormatting>
  <conditionalFormatting sqref="Z137:Z142">
    <cfRule type="expression" dxfId="125" priority="63">
      <formula>$Z$4&lt;AA137</formula>
    </cfRule>
  </conditionalFormatting>
  <conditionalFormatting sqref="X130:X131 X133:X135">
    <cfRule type="expression" dxfId="126" priority="64">
      <formula>$X$4&lt;$Y$4</formula>
    </cfRule>
  </conditionalFormatting>
  <conditionalFormatting sqref="Z130:Z131 Z133:Z135">
    <cfRule type="expression" dxfId="127" priority="65">
      <formula>$Z$4&lt;AA130</formula>
    </cfRule>
  </conditionalFormatting>
  <conditionalFormatting sqref="X123:X124 X126:X128">
    <cfRule type="expression" dxfId="128" priority="66">
      <formula>$X$4&lt;$Y$4</formula>
    </cfRule>
  </conditionalFormatting>
  <conditionalFormatting sqref="Z123:Z124 Z126:Z128">
    <cfRule type="expression" dxfId="129" priority="67">
      <formula>$Z$4&lt;AA123</formula>
    </cfRule>
  </conditionalFormatting>
  <conditionalFormatting sqref="X116:X121">
    <cfRule type="expression" dxfId="130" priority="68">
      <formula>$X$4&lt;$Y$4</formula>
    </cfRule>
  </conditionalFormatting>
  <conditionalFormatting sqref="Z116:Z121">
    <cfRule type="expression" dxfId="131" priority="69">
      <formula>$Z$4&lt;AA116</formula>
    </cfRule>
  </conditionalFormatting>
  <conditionalFormatting sqref="X109:X110 X112:X114">
    <cfRule type="expression" dxfId="132" priority="70">
      <formula>$X$4&lt;$Y$4</formula>
    </cfRule>
  </conditionalFormatting>
  <conditionalFormatting sqref="Z109:Z110 Z112:Z114">
    <cfRule type="expression" dxfId="133" priority="71">
      <formula>$Z$4&lt;AA109</formula>
    </cfRule>
  </conditionalFormatting>
  <conditionalFormatting sqref="X102:X103 X105:X107">
    <cfRule type="expression" dxfId="134" priority="72">
      <formula>$X$4&lt;$Y$4</formula>
    </cfRule>
  </conditionalFormatting>
  <conditionalFormatting sqref="Z102:Z103 Z105:Z107">
    <cfRule type="expression" dxfId="135" priority="73">
      <formula>$Z$4&lt;AA102</formula>
    </cfRule>
  </conditionalFormatting>
  <conditionalFormatting sqref="X95:X96 X98:X100">
    <cfRule type="expression" dxfId="136" priority="74">
      <formula>$X$4&lt;$Y$4</formula>
    </cfRule>
  </conditionalFormatting>
  <conditionalFormatting sqref="Z95:Z96 Z98:Z100">
    <cfRule type="expression" dxfId="137" priority="75">
      <formula>$Z$4&lt;AA95</formula>
    </cfRule>
  </conditionalFormatting>
  <conditionalFormatting sqref="X88:X89 X91:X93">
    <cfRule type="expression" dxfId="138" priority="76">
      <formula>$X$4&lt;$Y$4</formula>
    </cfRule>
  </conditionalFormatting>
  <conditionalFormatting sqref="Z88:Z89 Z91:Z93">
    <cfRule type="expression" dxfId="139" priority="77">
      <formula>$Z$4&lt;AA88</formula>
    </cfRule>
  </conditionalFormatting>
  <conditionalFormatting sqref="X81:X82 X84:X86">
    <cfRule type="expression" dxfId="140" priority="78">
      <formula>$X$4&lt;$Y$4</formula>
    </cfRule>
  </conditionalFormatting>
  <conditionalFormatting sqref="Z81:Z82 Z84:Z86">
    <cfRule type="expression" dxfId="141" priority="79">
      <formula>$Z$4&lt;AA81</formula>
    </cfRule>
  </conditionalFormatting>
  <conditionalFormatting sqref="X74:X75 X77:X79">
    <cfRule type="expression" dxfId="142" priority="80">
      <formula>$X$4&lt;$Y$4</formula>
    </cfRule>
  </conditionalFormatting>
  <conditionalFormatting sqref="Z74:Z75 Z77:Z79">
    <cfRule type="expression" dxfId="143" priority="81">
      <formula>$Z$4&lt;AA74</formula>
    </cfRule>
  </conditionalFormatting>
  <conditionalFormatting sqref="X53:X54 X56:X58">
    <cfRule type="expression" dxfId="144" priority="82">
      <formula>$X$4&lt;$Y$4</formula>
    </cfRule>
  </conditionalFormatting>
  <conditionalFormatting sqref="Z53:Z54 Z56:Z58">
    <cfRule type="expression" dxfId="145" priority="83">
      <formula>$Z$4&lt;AA53</formula>
    </cfRule>
  </conditionalFormatting>
  <conditionalFormatting sqref="X46:X47 X49:X51">
    <cfRule type="expression" dxfId="146" priority="84">
      <formula>$X$4&lt;$Y$4</formula>
    </cfRule>
  </conditionalFormatting>
  <conditionalFormatting sqref="Z46:Z47 Z49:Z51">
    <cfRule type="expression" dxfId="147" priority="85">
      <formula>$Z$4&lt;AA46</formula>
    </cfRule>
  </conditionalFormatting>
  <conditionalFormatting sqref="X32:X37">
    <cfRule type="expression" dxfId="148" priority="86">
      <formula>$X$4&lt;$Y$4</formula>
    </cfRule>
  </conditionalFormatting>
  <conditionalFormatting sqref="Z32:Z37">
    <cfRule type="expression" dxfId="149" priority="87">
      <formula>$Z$4&lt;AA32</formula>
    </cfRule>
  </conditionalFormatting>
  <conditionalFormatting sqref="X25:X26 X28:X30">
    <cfRule type="expression" dxfId="150" priority="88">
      <formula>$X$4&lt;$Y$4</formula>
    </cfRule>
  </conditionalFormatting>
  <conditionalFormatting sqref="Z25:Z26 Z28:Z30">
    <cfRule type="expression" dxfId="151" priority="89">
      <formula>$Z$4&lt;AA25</formula>
    </cfRule>
  </conditionalFormatting>
  <conditionalFormatting sqref="X67:X68 X70:X72">
    <cfRule type="expression" dxfId="152" priority="90">
      <formula>$X$4&lt;$Y$4</formula>
    </cfRule>
  </conditionalFormatting>
  <conditionalFormatting sqref="Z67:Z68 Z70:Z72">
    <cfRule type="expression" dxfId="153" priority="91">
      <formula>$Z$4&lt;AA67</formula>
    </cfRule>
  </conditionalFormatting>
  <conditionalFormatting sqref="X60:X61 X63:X65">
    <cfRule type="expression" dxfId="154" priority="92">
      <formula>$X$4&lt;$Y$4</formula>
    </cfRule>
  </conditionalFormatting>
  <conditionalFormatting sqref="Z60:Z61 Z63:Z65">
    <cfRule type="expression" dxfId="155" priority="93">
      <formula>$Z$4&lt;AA60</formula>
    </cfRule>
  </conditionalFormatting>
  <conditionalFormatting sqref="X39:X44">
    <cfRule type="expression" dxfId="156" priority="94">
      <formula>$X$4&lt;$Y$4</formula>
    </cfRule>
  </conditionalFormatting>
  <conditionalFormatting sqref="Z39:Z44">
    <cfRule type="expression" dxfId="157" priority="95">
      <formula>$Z$4&lt;AA39</formula>
    </cfRule>
  </conditionalFormatting>
  <conditionalFormatting sqref="X18:X19 X21:X23">
    <cfRule type="expression" dxfId="158" priority="96">
      <formula>$X$4&lt;$Y$4</formula>
    </cfRule>
  </conditionalFormatting>
  <conditionalFormatting sqref="Z18:Z19 Z21:Z23">
    <cfRule type="expression" dxfId="159" priority="97">
      <formula>$Z$4&lt;AA18</formula>
    </cfRule>
  </conditionalFormatting>
  <conditionalFormatting sqref="X11:X12 X14:X16">
    <cfRule type="expression" dxfId="160" priority="98">
      <formula>$X$4&lt;$Y$4</formula>
    </cfRule>
  </conditionalFormatting>
  <conditionalFormatting sqref="Z11:Z12 Z14:Z16">
    <cfRule type="expression" dxfId="161" priority="99">
      <formula>$Z$4&lt;AA11</formula>
    </cfRule>
  </conditionalFormatting>
  <conditionalFormatting sqref="X4:X5 X7:X9">
    <cfRule type="expression" dxfId="162" priority="100">
      <formula>$X$4&lt;$Y$4</formula>
    </cfRule>
  </conditionalFormatting>
  <conditionalFormatting sqref="Z4:Z5 Z7:Z9">
    <cfRule type="expression" dxfId="163" priority="101">
      <formula>$Z$4&lt;AA4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 zoomScale="100" zoomScaleNormal="100" view="normal">
      <pane ySplit="3" topLeftCell="A4" activePane="bottomLeft" state="frozen"/>
      <selection pane="bottomLeft" activeCell="C52" sqref="C52"/>
    </sheetView>
  </sheetViews>
  <sheetFormatPr defaultRowHeight="15" outlineLevelRow="0" outlineLevelCol="0" x14ac:dyDescent="0" defaultColWidth="8.5390625"/>
  <cols>
    <col min="1" max="1" width="11.43" style="35" customWidth="1"/>
    <col min="2" max="2" width="35.86" style="35" customWidth="1"/>
    <col min="3" max="6" width="12.57" style="36" customWidth="1"/>
    <col min="7" max="8" width="12.57" style="37" customWidth="1"/>
    <col min="9" max="9" width="17.86" style="35" customWidth="1"/>
    <col min="10" max="11" width="17.86" style="36" customWidth="1"/>
    <col min="12" max="13" width="17.86" style="37" customWidth="1"/>
    <col min="14" max="14" width="15.29" style="35" customWidth="1"/>
    <col min="15" max="15" width="16.86" style="35" customWidth="1"/>
  </cols>
  <sheetData>
    <row r="1" ht="31.5" customHeight="1" spans="1:18" x14ac:dyDescent="0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9"/>
      <c r="Q1" s="79"/>
      <c r="R1" s="79"/>
    </row>
    <row r="2" ht="15" customHeight="1" spans="1:16" x14ac:dyDescent="0.25">
      <c r="A2" s="80" t="s">
        <v>102</v>
      </c>
      <c r="B2" s="81" t="s">
        <v>103</v>
      </c>
      <c r="C2" s="82" t="s">
        <v>104</v>
      </c>
      <c r="D2" s="82" t="s">
        <v>105</v>
      </c>
      <c r="E2" s="82" t="s">
        <v>106</v>
      </c>
      <c r="F2" s="82" t="s">
        <v>107</v>
      </c>
      <c r="G2" s="83" t="s">
        <v>108</v>
      </c>
      <c r="H2" s="83" t="s">
        <v>109</v>
      </c>
      <c r="I2" s="81" t="s">
        <v>110</v>
      </c>
      <c r="J2" s="82" t="s">
        <v>111</v>
      </c>
      <c r="K2" s="82" t="s">
        <v>112</v>
      </c>
      <c r="L2" s="83" t="s">
        <v>113</v>
      </c>
      <c r="M2" s="83" t="s">
        <v>114</v>
      </c>
      <c r="N2" s="81" t="s">
        <v>115</v>
      </c>
      <c r="O2" s="84" t="s">
        <v>116</v>
      </c>
      <c r="P2" s="35"/>
    </row>
    <row r="3" ht="15" customHeight="1" spans="1:16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4"/>
      <c r="P3" s="35"/>
    </row>
    <row r="4" ht="15" customHeight="1" spans="1:15" x14ac:dyDescent="0.25">
      <c r="A4" s="85">
        <v>7658</v>
      </c>
      <c r="B4" s="54" t="s">
        <v>25</v>
      </c>
      <c r="C4" s="52">
        <v>0</v>
      </c>
      <c r="D4" s="52">
        <v>403.9200000000128</v>
      </c>
      <c r="E4" s="52">
        <v>-403.9200000000128</v>
      </c>
      <c r="F4" s="52">
        <v>0</v>
      </c>
      <c r="G4" s="53">
        <v>0</v>
      </c>
      <c r="H4" s="53">
        <v>0.2149</v>
      </c>
      <c r="I4" s="86">
        <v>50</v>
      </c>
      <c r="J4" s="87">
        <v>5000</v>
      </c>
      <c r="K4" s="52">
        <v>7000</v>
      </c>
      <c r="L4" s="53">
        <v>0</v>
      </c>
      <c r="M4" s="52">
        <v>-7403.920000000013</v>
      </c>
      <c r="N4" s="54">
        <v>20</v>
      </c>
      <c r="O4" s="58">
        <v>-105.77028571428589</v>
      </c>
    </row>
    <row r="5" ht="7.5" customHeight="1" spans="1:15" x14ac:dyDescent="0.25">
      <c r="A5" s="88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58"/>
    </row>
    <row r="6" ht="15" customHeight="1" spans="1:17" x14ac:dyDescent="0.25">
      <c r="A6" s="85">
        <v>8142</v>
      </c>
      <c r="B6" s="54" t="s">
        <v>29</v>
      </c>
      <c r="C6" s="52">
        <v>0</v>
      </c>
      <c r="D6" s="52">
        <v>5726.869999999995</v>
      </c>
      <c r="E6" s="52">
        <v>-5726.869999999995</v>
      </c>
      <c r="F6" s="52">
        <v>0</v>
      </c>
      <c r="G6" s="53">
        <v>0</v>
      </c>
      <c r="H6" s="53">
        <v>0.239214585617637</v>
      </c>
      <c r="I6" s="54">
        <v>40</v>
      </c>
      <c r="J6" s="52">
        <v>272.6</v>
      </c>
      <c r="K6" s="52">
        <v>1872.6</v>
      </c>
      <c r="L6" s="53">
        <v>0</v>
      </c>
      <c r="M6" s="52">
        <v>-7599.469999999996</v>
      </c>
      <c r="N6" s="54">
        <v>-52.5</v>
      </c>
      <c r="O6" s="58">
        <v>607.9575999999996</v>
      </c>
      <c r="Q6" s="35" t="s">
        <v>117</v>
      </c>
    </row>
    <row r="7" ht="7.5" customHeight="1" spans="1:15" x14ac:dyDescent="0.25">
      <c r="A7" s="90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58"/>
    </row>
    <row r="8" ht="15" customHeight="1" spans="1:15" x14ac:dyDescent="0.25">
      <c r="A8" s="85">
        <v>8824</v>
      </c>
      <c r="B8" s="54" t="s">
        <v>31</v>
      </c>
      <c r="C8" s="52">
        <v>0</v>
      </c>
      <c r="D8" s="52">
        <v>300</v>
      </c>
      <c r="E8" s="52">
        <v>-300</v>
      </c>
      <c r="F8" s="52"/>
      <c r="G8" s="53">
        <v>0</v>
      </c>
      <c r="H8" s="53">
        <v>0.288523551725943</v>
      </c>
      <c r="I8" s="54">
        <v>16</v>
      </c>
      <c r="J8" s="52"/>
      <c r="K8" s="52">
        <v>640</v>
      </c>
      <c r="L8" s="53">
        <v>0</v>
      </c>
      <c r="M8" s="52">
        <v>-940</v>
      </c>
      <c r="N8" s="54">
        <v>-34.75</v>
      </c>
      <c r="O8" s="58">
        <v>50.13333333333333</v>
      </c>
    </row>
    <row r="9" ht="7.5" customHeight="1" spans="1:15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58"/>
    </row>
    <row r="10" ht="15" customHeight="1" spans="1:15" x14ac:dyDescent="0.25">
      <c r="A10" s="85">
        <v>8127</v>
      </c>
      <c r="B10" s="54" t="s">
        <v>32</v>
      </c>
      <c r="C10" s="52">
        <v>0</v>
      </c>
      <c r="D10" s="52">
        <v>3752.0599999999977</v>
      </c>
      <c r="E10" s="52">
        <v>-3752.0599999999977</v>
      </c>
      <c r="F10" s="52">
        <v>0</v>
      </c>
      <c r="G10" s="53">
        <v>0</v>
      </c>
      <c r="H10" s="53">
        <v>0.32265253844825</v>
      </c>
      <c r="I10" s="54">
        <v>48</v>
      </c>
      <c r="J10" s="52">
        <v>3000</v>
      </c>
      <c r="K10" s="52">
        <v>4920</v>
      </c>
      <c r="L10" s="53">
        <v>0</v>
      </c>
      <c r="M10" s="52">
        <v>-8672.059999999998</v>
      </c>
      <c r="N10" s="54">
        <v>-388.25</v>
      </c>
      <c r="O10" s="58">
        <v>25.48731814842027</v>
      </c>
    </row>
    <row r="11" ht="7.5" customHeight="1" spans="1:15" x14ac:dyDescent="0.25">
      <c r="A11" s="90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58"/>
    </row>
    <row r="12" ht="15" customHeight="1" spans="1:17" x14ac:dyDescent="0.25">
      <c r="A12" s="85">
        <v>8183</v>
      </c>
      <c r="B12" s="54" t="s">
        <v>118</v>
      </c>
      <c r="C12" s="52">
        <v>0</v>
      </c>
      <c r="D12" s="52">
        <v>7399.049999999988</v>
      </c>
      <c r="E12" s="52">
        <v>-7399.049999999988</v>
      </c>
      <c r="F12" s="52">
        <v>3</v>
      </c>
      <c r="G12" s="53">
        <v>0</v>
      </c>
      <c r="H12" s="53">
        <v>0.176316261575212</v>
      </c>
      <c r="I12" s="54">
        <v>16</v>
      </c>
      <c r="J12" s="52">
        <v>2000</v>
      </c>
      <c r="K12" s="52">
        <v>2640</v>
      </c>
      <c r="L12" s="53">
        <v>0</v>
      </c>
      <c r="M12" s="52">
        <v>-10036.049999999988</v>
      </c>
      <c r="N12" s="54">
        <v>53</v>
      </c>
      <c r="O12" s="58">
        <v>-145.44999999999982</v>
      </c>
      <c r="Q12" s="35" t="s">
        <v>119</v>
      </c>
    </row>
    <row r="13" ht="7.5" customHeight="1" spans="1:15" x14ac:dyDescent="0.25">
      <c r="A13" s="90"/>
      <c r="B13" s="91"/>
      <c r="C13" s="91"/>
      <c r="D13" s="91"/>
      <c r="E13" s="92"/>
      <c r="F13" s="91"/>
      <c r="G13" s="91"/>
      <c r="H13" s="91"/>
      <c r="I13" s="91"/>
      <c r="J13" s="91"/>
      <c r="K13" s="91"/>
      <c r="L13" s="91"/>
      <c r="M13" s="91"/>
      <c r="N13" s="91"/>
      <c r="O13" s="58"/>
    </row>
    <row r="14" ht="15" customHeight="1" spans="1:15" x14ac:dyDescent="0.25">
      <c r="A14" s="85">
        <v>8886</v>
      </c>
      <c r="B14" s="54" t="s">
        <v>35</v>
      </c>
      <c r="C14" s="52">
        <v>0</v>
      </c>
      <c r="D14" s="52">
        <v>7246.129999999997</v>
      </c>
      <c r="E14" s="52">
        <v>-7246.129999999997</v>
      </c>
      <c r="F14" s="52">
        <v>0</v>
      </c>
      <c r="G14" s="53">
        <v>0</v>
      </c>
      <c r="H14" s="53">
        <v>0.266338527271097</v>
      </c>
      <c r="I14" s="54">
        <v>0</v>
      </c>
      <c r="J14" s="52">
        <v>3000</v>
      </c>
      <c r="K14" s="52">
        <v>3000</v>
      </c>
      <c r="L14" s="53">
        <v>0</v>
      </c>
      <c r="M14" s="52">
        <v>-10246.129999999997</v>
      </c>
      <c r="N14" s="54">
        <v>-112</v>
      </c>
      <c r="O14" s="58">
        <v>91.48330357142855</v>
      </c>
    </row>
    <row r="15" ht="7.5" customHeight="1" spans="1:15" x14ac:dyDescent="0.25">
      <c r="A15" s="90"/>
      <c r="B15" s="91"/>
      <c r="C15" s="91"/>
      <c r="D15" s="91"/>
      <c r="E15" s="92"/>
      <c r="F15" s="91"/>
      <c r="G15" s="91"/>
      <c r="H15" s="91"/>
      <c r="I15" s="91"/>
      <c r="J15" s="91"/>
      <c r="K15" s="91"/>
      <c r="L15" s="91"/>
      <c r="M15" s="91"/>
      <c r="N15" s="91"/>
      <c r="O15" s="58"/>
    </row>
    <row r="16" ht="15" customHeight="1" spans="1:15" x14ac:dyDescent="0.25">
      <c r="A16" s="85">
        <v>8887</v>
      </c>
      <c r="B16" s="54" t="s">
        <v>36</v>
      </c>
      <c r="C16" s="52">
        <v>0</v>
      </c>
      <c r="D16" s="52">
        <v>-15.220000000001164</v>
      </c>
      <c r="E16" s="52">
        <v>15.220000000001164</v>
      </c>
      <c r="F16" s="52"/>
      <c r="G16" s="53">
        <v>0</v>
      </c>
      <c r="H16" s="53">
        <v>0.226353821097855</v>
      </c>
      <c r="I16" s="54">
        <v>0</v>
      </c>
      <c r="J16" s="52">
        <v>3000</v>
      </c>
      <c r="K16" s="52">
        <v>3000</v>
      </c>
      <c r="L16" s="53">
        <v>0</v>
      </c>
      <c r="M16" s="52">
        <v>-2984.779999999999</v>
      </c>
      <c r="N16" s="54">
        <v>-86.75</v>
      </c>
      <c r="O16" s="58">
        <v>34.40668587896252</v>
      </c>
    </row>
    <row r="17" ht="7.5" customHeight="1" spans="1:15" x14ac:dyDescent="0.25">
      <c r="A17" s="90"/>
      <c r="B17" s="91"/>
      <c r="C17" s="91"/>
      <c r="D17" s="91"/>
      <c r="E17" s="92"/>
      <c r="F17" s="91"/>
      <c r="G17" s="91"/>
      <c r="H17" s="91"/>
      <c r="I17" s="91"/>
      <c r="J17" s="91"/>
      <c r="K17" s="91"/>
      <c r="L17" s="91"/>
      <c r="M17" s="91"/>
      <c r="N17" s="91"/>
      <c r="O17" s="58"/>
    </row>
    <row r="18" ht="15" customHeight="1" spans="1:17" x14ac:dyDescent="0.25">
      <c r="A18" s="85">
        <v>8670</v>
      </c>
      <c r="B18" s="54" t="s">
        <v>37</v>
      </c>
      <c r="C18" s="52">
        <v>0</v>
      </c>
      <c r="D18" s="52">
        <v>2657.6300000000047</v>
      </c>
      <c r="E18" s="52">
        <v>-2657.6300000000047</v>
      </c>
      <c r="F18" s="52">
        <v>0</v>
      </c>
      <c r="G18" s="53">
        <v>0</v>
      </c>
      <c r="H18" s="53">
        <v>0.296537658865514</v>
      </c>
      <c r="I18" s="54">
        <v>80</v>
      </c>
      <c r="J18" s="52">
        <v>5000</v>
      </c>
      <c r="K18" s="52">
        <v>8200</v>
      </c>
      <c r="L18" s="53">
        <v>0</v>
      </c>
      <c r="M18" s="52">
        <v>-10857.630000000005</v>
      </c>
      <c r="N18" s="54">
        <v>-269</v>
      </c>
      <c r="O18" s="58">
        <v>57.4477777777778</v>
      </c>
      <c r="Q18" s="35" t="s">
        <v>120</v>
      </c>
    </row>
    <row r="19" ht="7.5" customHeight="1" spans="1:15" x14ac:dyDescent="0.25">
      <c r="A19" s="90"/>
      <c r="B19" s="91"/>
      <c r="C19" s="91"/>
      <c r="D19" s="91"/>
      <c r="E19" s="92"/>
      <c r="F19" s="91"/>
      <c r="G19" s="91"/>
      <c r="H19" s="93"/>
      <c r="I19" s="91"/>
      <c r="J19" s="91"/>
      <c r="K19" s="91"/>
      <c r="L19" s="91"/>
      <c r="M19" s="91"/>
      <c r="N19" s="91"/>
      <c r="O19" s="58"/>
    </row>
    <row r="20" ht="15" customHeight="1" spans="1:15" x14ac:dyDescent="0.25">
      <c r="A20" s="85">
        <v>8907</v>
      </c>
      <c r="B20" s="54" t="s">
        <v>38</v>
      </c>
      <c r="C20" s="52">
        <v>0</v>
      </c>
      <c r="D20" s="52">
        <v>0</v>
      </c>
      <c r="E20" s="52">
        <v>0</v>
      </c>
      <c r="F20" s="52"/>
      <c r="G20" s="53">
        <v>0</v>
      </c>
      <c r="H20" s="53">
        <v>0.223347449825078</v>
      </c>
      <c r="I20" s="54"/>
      <c r="J20" s="52"/>
      <c r="K20" s="52">
        <v>0</v>
      </c>
      <c r="L20" s="53">
        <v>0</v>
      </c>
      <c r="M20" s="52">
        <v>0</v>
      </c>
      <c r="N20" s="54"/>
      <c r="O20" s="58">
        <v>0</v>
      </c>
    </row>
    <row r="21" ht="7.5" customHeight="1" spans="1:15" x14ac:dyDescent="0.25">
      <c r="A21" s="90"/>
      <c r="B21" s="91"/>
      <c r="C21" s="91"/>
      <c r="D21" s="91"/>
      <c r="E21" s="92"/>
      <c r="F21" s="91"/>
      <c r="G21" s="91"/>
      <c r="H21" s="91"/>
      <c r="I21" s="91"/>
      <c r="J21" s="91"/>
      <c r="K21" s="91"/>
      <c r="L21" s="91"/>
      <c r="M21" s="91"/>
      <c r="N21" s="91"/>
      <c r="O21" s="58"/>
    </row>
    <row r="22" ht="15" customHeight="1" spans="1:15" x14ac:dyDescent="0.25">
      <c r="A22" s="85">
        <v>9065</v>
      </c>
      <c r="B22" s="54" t="s">
        <v>39</v>
      </c>
      <c r="C22" s="52">
        <v>0</v>
      </c>
      <c r="D22" s="52">
        <v>6826.489999999998</v>
      </c>
      <c r="E22" s="52">
        <v>-6826.489999999998</v>
      </c>
      <c r="F22" s="52">
        <v>3</v>
      </c>
      <c r="G22" s="53">
        <v>0</v>
      </c>
      <c r="H22" s="53">
        <v>0.252488256827238</v>
      </c>
      <c r="I22" s="54"/>
      <c r="J22" s="52"/>
      <c r="K22" s="52">
        <v>0</v>
      </c>
      <c r="L22" s="53">
        <v>0</v>
      </c>
      <c r="M22" s="52">
        <v>-6823.489999999998</v>
      </c>
      <c r="N22" s="54"/>
      <c r="O22" s="58">
        <v>0</v>
      </c>
    </row>
    <row r="23" ht="7.5" customHeight="1" spans="1:15" x14ac:dyDescent="0.25">
      <c r="A23" s="90"/>
      <c r="B23" s="91"/>
      <c r="C23" s="91"/>
      <c r="D23" s="91"/>
      <c r="E23" s="92"/>
      <c r="F23" s="91"/>
      <c r="G23" s="91"/>
      <c r="H23" s="91"/>
      <c r="I23" s="91"/>
      <c r="J23" s="91"/>
      <c r="K23" s="91"/>
      <c r="L23" s="91"/>
      <c r="M23" s="91"/>
      <c r="N23" s="91"/>
      <c r="O23" s="58"/>
    </row>
    <row r="24" ht="15" customHeight="1" spans="1:15" x14ac:dyDescent="0.25">
      <c r="A24" s="19">
        <v>9259</v>
      </c>
      <c r="B24" s="54" t="s">
        <v>40</v>
      </c>
      <c r="C24" s="52">
        <v>0</v>
      </c>
      <c r="D24" s="52">
        <v>-864.0400000000009</v>
      </c>
      <c r="E24" s="52">
        <v>864.0400000000009</v>
      </c>
      <c r="F24" s="52">
        <v>3</v>
      </c>
      <c r="G24" s="53">
        <v>0</v>
      </c>
      <c r="H24" s="53"/>
      <c r="I24" s="54"/>
      <c r="J24" s="52"/>
      <c r="K24" s="52">
        <v>0</v>
      </c>
      <c r="L24" s="53">
        <v>0</v>
      </c>
      <c r="M24" s="52">
        <v>867.0400000000009</v>
      </c>
      <c r="N24" s="54"/>
      <c r="O24" s="58">
        <v>0</v>
      </c>
    </row>
    <row r="25" ht="7.5" customHeight="1" spans="1:15" x14ac:dyDescent="0.25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58"/>
    </row>
    <row r="26" ht="15" customHeight="1" spans="1:15" x14ac:dyDescent="0.25">
      <c r="A26" s="19">
        <v>8352</v>
      </c>
      <c r="B26" s="54" t="s">
        <v>41</v>
      </c>
      <c r="C26" s="52">
        <v>0</v>
      </c>
      <c r="D26" s="52">
        <v>-1125.8799999999992</v>
      </c>
      <c r="E26" s="52">
        <v>1125.8799999999992</v>
      </c>
      <c r="F26" s="52">
        <v>0</v>
      </c>
      <c r="G26" s="53">
        <v>0</v>
      </c>
      <c r="H26" s="53">
        <v>0.347929388593615</v>
      </c>
      <c r="I26" s="54"/>
      <c r="J26" s="52">
        <v>0</v>
      </c>
      <c r="K26" s="52">
        <v>0</v>
      </c>
      <c r="L26" s="53">
        <v>0</v>
      </c>
      <c r="M26" s="52">
        <v>1125.8799999999992</v>
      </c>
      <c r="N26" s="54">
        <v>-143.25</v>
      </c>
      <c r="O26" s="58">
        <v>-7.859546247818494</v>
      </c>
    </row>
    <row r="27" ht="7.5" customHeight="1" spans="1:15" x14ac:dyDescent="0.25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58"/>
    </row>
    <row r="28" ht="15" customHeight="1" spans="1:15" x14ac:dyDescent="0.25">
      <c r="A28" s="19">
        <v>8234</v>
      </c>
      <c r="B28" s="54" t="s">
        <v>43</v>
      </c>
      <c r="C28" s="52">
        <v>0</v>
      </c>
      <c r="D28" s="52">
        <v>-945.4600000000028</v>
      </c>
      <c r="E28" s="52">
        <v>945.4600000000028</v>
      </c>
      <c r="F28" s="52">
        <v>0</v>
      </c>
      <c r="G28" s="53">
        <v>0</v>
      </c>
      <c r="H28" s="53">
        <v>0.271825144816915</v>
      </c>
      <c r="I28" s="54"/>
      <c r="J28" s="52"/>
      <c r="K28" s="52">
        <v>0</v>
      </c>
      <c r="L28" s="53">
        <v>0</v>
      </c>
      <c r="M28" s="52">
        <v>945.4600000000028</v>
      </c>
      <c r="N28" s="54">
        <v>-148.5</v>
      </c>
      <c r="O28" s="58">
        <v>-6.366734006734025</v>
      </c>
    </row>
    <row r="29" ht="7.5" customHeight="1" spans="1:15" x14ac:dyDescent="0.25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58"/>
    </row>
    <row r="30" ht="15" customHeight="1" spans="1:15" x14ac:dyDescent="0.25">
      <c r="A30" s="19">
        <v>8214</v>
      </c>
      <c r="B30" s="54" t="s">
        <v>44</v>
      </c>
      <c r="C30" s="52">
        <v>0</v>
      </c>
      <c r="D30" s="52">
        <v>0</v>
      </c>
      <c r="E30" s="52">
        <v>0</v>
      </c>
      <c r="F30" s="52">
        <v>0</v>
      </c>
      <c r="G30" s="53">
        <v>0</v>
      </c>
      <c r="H30" s="53">
        <v>0.258043377145314</v>
      </c>
      <c r="I30" s="54"/>
      <c r="J30" s="52"/>
      <c r="K30" s="52">
        <v>0</v>
      </c>
      <c r="L30" s="53">
        <v>0</v>
      </c>
      <c r="M30" s="52">
        <v>0</v>
      </c>
      <c r="N30" s="54">
        <v>-5</v>
      </c>
      <c r="O30" s="58">
        <v>0</v>
      </c>
    </row>
    <row r="31" ht="7.5" customHeight="1" spans="1:15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58"/>
    </row>
    <row r="32" ht="15" customHeight="1" spans="1:15" x14ac:dyDescent="0.25">
      <c r="A32" s="19">
        <v>6792</v>
      </c>
      <c r="B32" s="54" t="s">
        <v>45</v>
      </c>
      <c r="C32" s="52">
        <v>-715</v>
      </c>
      <c r="D32" s="52">
        <v>245.72999999999956</v>
      </c>
      <c r="E32" s="52">
        <v>-960.7299999999996</v>
      </c>
      <c r="F32" s="52">
        <v>0</v>
      </c>
      <c r="G32" s="53">
        <v>1.343678321678321</v>
      </c>
      <c r="H32" s="53">
        <v>0.283172964220222</v>
      </c>
      <c r="I32" s="54">
        <v>64</v>
      </c>
      <c r="J32" s="52">
        <v>0</v>
      </c>
      <c r="K32" s="52">
        <v>2560</v>
      </c>
      <c r="L32" s="53">
        <v>4.924097902097902</v>
      </c>
      <c r="M32" s="52">
        <v>-3520.7299999999996</v>
      </c>
      <c r="N32" s="54">
        <v>-317.25</v>
      </c>
      <c r="O32" s="58">
        <v>13.90219151036525</v>
      </c>
    </row>
    <row r="33" ht="7.5" customHeight="1" spans="1:15" x14ac:dyDescent="0.25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58"/>
    </row>
    <row r="34" ht="15" customHeight="1" spans="1:15" x14ac:dyDescent="0.25">
      <c r="A34" s="19">
        <v>8840</v>
      </c>
      <c r="B34" s="54" t="s">
        <v>48</v>
      </c>
      <c r="C34" s="52">
        <v>0</v>
      </c>
      <c r="D34" s="52">
        <v>923.8799999999974</v>
      </c>
      <c r="E34" s="52">
        <v>-923.8799999999974</v>
      </c>
      <c r="F34" s="52">
        <v>0</v>
      </c>
      <c r="G34" s="53">
        <v>0</v>
      </c>
      <c r="H34" s="53">
        <v>0.364182044343228</v>
      </c>
      <c r="I34" s="54"/>
      <c r="J34" s="52">
        <v>0</v>
      </c>
      <c r="K34" s="52">
        <v>0</v>
      </c>
      <c r="L34" s="53">
        <v>0</v>
      </c>
      <c r="M34" s="52">
        <v>-923.8799999999974</v>
      </c>
      <c r="N34" s="54">
        <v>-204.75</v>
      </c>
      <c r="O34" s="58">
        <v>4.512234432234419</v>
      </c>
    </row>
    <row r="35" ht="7.5" customHeight="1" spans="1:15" x14ac:dyDescent="0.25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58"/>
    </row>
    <row r="36" ht="15" customHeight="1" spans="1:15" x14ac:dyDescent="0.25">
      <c r="A36" s="19">
        <v>8769</v>
      </c>
      <c r="B36" s="54" t="s">
        <v>49</v>
      </c>
      <c r="C36" s="52">
        <v>0</v>
      </c>
      <c r="D36" s="52">
        <v>0</v>
      </c>
      <c r="E36" s="52">
        <v>0</v>
      </c>
      <c r="F36" s="52">
        <v>0</v>
      </c>
      <c r="G36" s="53">
        <v>0</v>
      </c>
      <c r="H36" s="53"/>
      <c r="I36" s="54">
        <v>80</v>
      </c>
      <c r="J36" s="52">
        <v>0</v>
      </c>
      <c r="K36" s="52">
        <v>3200</v>
      </c>
      <c r="L36" s="53">
        <v>0</v>
      </c>
      <c r="M36" s="52">
        <v>-3200</v>
      </c>
      <c r="N36" s="54"/>
      <c r="O36" s="58">
        <v>-40</v>
      </c>
    </row>
    <row r="37" ht="7.5" customHeight="1" spans="1:15" x14ac:dyDescent="0.25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58"/>
    </row>
    <row r="38" ht="15" customHeight="1" spans="1:15" x14ac:dyDescent="0.25">
      <c r="A38" s="19">
        <v>7901</v>
      </c>
      <c r="B38" s="54" t="s">
        <v>50</v>
      </c>
      <c r="C38" s="52">
        <v>52040.560000000005</v>
      </c>
      <c r="D38" s="52">
        <v>576.9800000000032</v>
      </c>
      <c r="E38" s="52">
        <v>51463.58</v>
      </c>
      <c r="F38" s="52">
        <v>0</v>
      </c>
      <c r="G38" s="53">
        <v>0.9889128787238262</v>
      </c>
      <c r="H38" s="53">
        <v>0.1750921737769</v>
      </c>
      <c r="I38" s="54"/>
      <c r="J38" s="52"/>
      <c r="K38" s="52">
        <v>0</v>
      </c>
      <c r="L38" s="53">
        <v>0.9889128787238262</v>
      </c>
      <c r="M38" s="52">
        <v>51463.58</v>
      </c>
      <c r="N38" s="54"/>
      <c r="O38" s="58">
        <v>0</v>
      </c>
    </row>
    <row r="39" ht="7.5" customHeight="1" spans="1:15" x14ac:dyDescent="0.25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58"/>
    </row>
    <row r="40" ht="15" customHeight="1" spans="1:15" x14ac:dyDescent="0.25">
      <c r="A40" s="19">
        <v>8923</v>
      </c>
      <c r="B40" s="54" t="s">
        <v>51</v>
      </c>
      <c r="C40" s="52">
        <v>2127.8099999999995</v>
      </c>
      <c r="D40" s="52">
        <v>0</v>
      </c>
      <c r="E40" s="52">
        <v>2127.8099999999995</v>
      </c>
      <c r="F40" s="52">
        <v>0</v>
      </c>
      <c r="G40" s="53">
        <v>1</v>
      </c>
      <c r="H40" s="53">
        <v>0.262692984588275</v>
      </c>
      <c r="I40" s="54"/>
      <c r="J40" s="52">
        <v>0</v>
      </c>
      <c r="K40" s="52">
        <v>0</v>
      </c>
      <c r="L40" s="53">
        <v>1</v>
      </c>
      <c r="M40" s="52">
        <v>2127.8099999999995</v>
      </c>
      <c r="N40" s="54">
        <v>-2</v>
      </c>
      <c r="O40" s="58">
        <v>-1063.9049999999997</v>
      </c>
    </row>
    <row r="41" ht="7.5" customHeight="1" spans="1:15" x14ac:dyDescent="0.25">
      <c r="A41" s="90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58"/>
    </row>
    <row r="42" ht="15" customHeight="1" spans="1:15" x14ac:dyDescent="0.25">
      <c r="A42" s="19">
        <v>7864</v>
      </c>
      <c r="B42" s="54" t="s">
        <v>52</v>
      </c>
      <c r="C42" s="52">
        <v>0</v>
      </c>
      <c r="D42" s="52">
        <v>-13.369999999998981</v>
      </c>
      <c r="E42" s="52">
        <v>13.369999999998981</v>
      </c>
      <c r="F42" s="52"/>
      <c r="G42" s="53">
        <v>0</v>
      </c>
      <c r="H42" s="53">
        <v>0.257245709794332</v>
      </c>
      <c r="I42" s="54">
        <v>0</v>
      </c>
      <c r="J42" s="52"/>
      <c r="K42" s="52">
        <v>0</v>
      </c>
      <c r="L42" s="53">
        <v>0</v>
      </c>
      <c r="M42" s="52">
        <v>13.369999999998981</v>
      </c>
      <c r="N42" s="54">
        <v>-266.75</v>
      </c>
      <c r="O42" s="58">
        <v>-0.05012183692595682</v>
      </c>
    </row>
    <row r="43" ht="7.5" customHeight="1" spans="1:15" x14ac:dyDescent="0.25">
      <c r="A43" s="90"/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58"/>
    </row>
    <row r="44" ht="15" customHeight="1" spans="1:15" x14ac:dyDescent="0.25">
      <c r="A44" s="19">
        <v>7912</v>
      </c>
      <c r="B44" s="54" t="s">
        <v>53</v>
      </c>
      <c r="C44" s="52">
        <v>0</v>
      </c>
      <c r="D44" s="52">
        <v>0</v>
      </c>
      <c r="E44" s="52">
        <v>0</v>
      </c>
      <c r="F44" s="52"/>
      <c r="G44" s="53">
        <v>0</v>
      </c>
      <c r="H44" s="53"/>
      <c r="I44" s="54"/>
      <c r="J44" s="52"/>
      <c r="K44" s="52">
        <v>0</v>
      </c>
      <c r="L44" s="53">
        <v>0</v>
      </c>
      <c r="M44" s="52">
        <v>0</v>
      </c>
      <c r="N44" s="54"/>
      <c r="O44" s="58">
        <v>0</v>
      </c>
    </row>
    <row r="45" ht="7.5" customHeight="1" spans="1:15" x14ac:dyDescent="0.25">
      <c r="A45" s="90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6"/>
      <c r="O45" s="97"/>
    </row>
    <row r="46" ht="15.75" customHeight="1" spans="1:15" x14ac:dyDescent="0.25">
      <c r="A46" s="59">
        <v>8360</v>
      </c>
      <c r="B46" s="98" t="s">
        <v>54</v>
      </c>
      <c r="C46" s="99">
        <v>0</v>
      </c>
      <c r="D46" s="99">
        <v>0</v>
      </c>
      <c r="E46" s="99">
        <v>0</v>
      </c>
      <c r="F46" s="99"/>
      <c r="G46" s="100">
        <v>0</v>
      </c>
      <c r="H46" s="100">
        <v>0.30580949617388</v>
      </c>
      <c r="I46" s="98"/>
      <c r="J46" s="99"/>
      <c r="K46" s="99">
        <v>0</v>
      </c>
      <c r="L46" s="100">
        <v>0</v>
      </c>
      <c r="M46" s="99">
        <v>0</v>
      </c>
      <c r="N46" s="98">
        <v>-260.75</v>
      </c>
      <c r="O46" s="60">
        <v>0</v>
      </c>
    </row>
    <row r="47" ht="7.5" customHeight="1" spans="1:15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6"/>
      <c r="O47" s="97"/>
    </row>
    <row r="48" ht="15.75" customHeight="1" spans="1:15" x14ac:dyDescent="0.25">
      <c r="A48" s="59">
        <v>8337</v>
      </c>
      <c r="B48" s="98" t="s">
        <v>55</v>
      </c>
      <c r="C48" s="99">
        <v>0</v>
      </c>
      <c r="D48" s="99">
        <v>0</v>
      </c>
      <c r="E48" s="99">
        <v>0</v>
      </c>
      <c r="F48" s="99"/>
      <c r="G48" s="100">
        <v>0</v>
      </c>
      <c r="H48" s="100">
        <v>0.222350780727547</v>
      </c>
      <c r="I48" s="98"/>
      <c r="J48" s="99">
        <v>2530</v>
      </c>
      <c r="K48" s="99">
        <v>2530</v>
      </c>
      <c r="L48" s="100">
        <v>0</v>
      </c>
      <c r="M48" s="99">
        <v>-2530</v>
      </c>
      <c r="N48" s="98">
        <v>-44.75</v>
      </c>
      <c r="O48" s="60">
        <v>56.53631284916201</v>
      </c>
    </row>
    <row r="49" ht="7.5" customHeight="1" spans="1:15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6"/>
      <c r="O49" s="97"/>
    </row>
    <row r="50" ht="15.75" customHeight="1" spans="1:17" x14ac:dyDescent="0.25">
      <c r="A50" s="59">
        <v>9240</v>
      </c>
      <c r="B50" s="98" t="s">
        <v>56</v>
      </c>
      <c r="C50" s="99">
        <v>0</v>
      </c>
      <c r="D50" s="99">
        <v>2116.21</v>
      </c>
      <c r="E50" s="99">
        <v>-2116.21</v>
      </c>
      <c r="F50" s="99"/>
      <c r="G50" s="100">
        <v>0</v>
      </c>
      <c r="H50" s="100"/>
      <c r="I50" s="98">
        <v>0</v>
      </c>
      <c r="J50" s="99"/>
      <c r="K50" s="99">
        <v>0</v>
      </c>
      <c r="L50" s="100">
        <v>0</v>
      </c>
      <c r="M50" s="99">
        <v>-2116.21</v>
      </c>
      <c r="N50" s="98"/>
      <c r="O50" s="60">
        <v>0</v>
      </c>
      <c r="Q50" s="35" t="s">
        <v>121</v>
      </c>
    </row>
    <row r="51" ht="7.5" customHeight="1" spans="1:15" x14ac:dyDescent="0.25">
      <c r="A51" s="90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6"/>
      <c r="O51" s="97"/>
    </row>
    <row r="52" ht="15.75" customHeight="1" spans="1:15" x14ac:dyDescent="0.25">
      <c r="A52" s="101">
        <v>7428</v>
      </c>
      <c r="B52" s="98" t="s">
        <v>57</v>
      </c>
      <c r="C52" s="99">
        <v>0</v>
      </c>
      <c r="D52" s="99">
        <v>2236.75</v>
      </c>
      <c r="E52" s="99">
        <v>-2236.75</v>
      </c>
      <c r="F52" s="99"/>
      <c r="G52" s="100">
        <v>0</v>
      </c>
      <c r="H52" s="100">
        <v>0.215986489339129</v>
      </c>
      <c r="I52" s="98">
        <v>32</v>
      </c>
      <c r="J52" s="99">
        <v>0</v>
      </c>
      <c r="K52" s="99">
        <v>1280</v>
      </c>
      <c r="L52" s="100">
        <v>0</v>
      </c>
      <c r="M52" s="99">
        <v>-3516.75</v>
      </c>
      <c r="N52" s="98">
        <v>-304.75</v>
      </c>
      <c r="O52" s="60">
        <v>12.893675527039413</v>
      </c>
    </row>
    <row r="53" ht="7.5" customHeight="1" spans="1:15" x14ac:dyDescent="0.25">
      <c r="A53" s="90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6"/>
      <c r="O53" s="97"/>
    </row>
    <row r="54" ht="15.75" customHeight="1" spans="1:15" x14ac:dyDescent="0.25">
      <c r="A54" s="59">
        <v>9351</v>
      </c>
      <c r="B54" s="98" t="s">
        <v>58</v>
      </c>
      <c r="C54" s="99">
        <v>0</v>
      </c>
      <c r="D54" s="99">
        <v>0</v>
      </c>
      <c r="E54" s="99">
        <v>0</v>
      </c>
      <c r="F54" s="99"/>
      <c r="G54" s="100">
        <v>0</v>
      </c>
      <c r="H54" s="100">
        <v>0.453987062014389</v>
      </c>
      <c r="I54" s="98">
        <v>16</v>
      </c>
      <c r="J54" s="99">
        <v>0</v>
      </c>
      <c r="K54" s="99">
        <v>640</v>
      </c>
      <c r="L54" s="100">
        <v>0</v>
      </c>
      <c r="M54" s="99">
        <v>-640</v>
      </c>
      <c r="N54" s="98">
        <v>-11.25</v>
      </c>
      <c r="O54" s="60">
        <v>-134.73684210526315</v>
      </c>
    </row>
    <row r="55" ht="7.5" customHeight="1" spans="1:15" x14ac:dyDescent="0.25">
      <c r="A55" s="90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6"/>
      <c r="O55" s="97"/>
    </row>
    <row r="56" ht="15.75" customHeight="1" spans="1:15" x14ac:dyDescent="0.25">
      <c r="A56" s="59">
        <v>7429</v>
      </c>
      <c r="B56" s="98" t="s">
        <v>59</v>
      </c>
      <c r="C56" s="99">
        <v>0</v>
      </c>
      <c r="D56" s="99">
        <v>0</v>
      </c>
      <c r="E56" s="99">
        <v>0</v>
      </c>
      <c r="F56" s="99"/>
      <c r="G56" s="100">
        <v>0</v>
      </c>
      <c r="H56" s="100">
        <v>0.22356150784199</v>
      </c>
      <c r="I56" s="98">
        <v>10</v>
      </c>
      <c r="J56" s="99">
        <v>5000</v>
      </c>
      <c r="K56" s="99">
        <v>5400</v>
      </c>
      <c r="L56" s="100">
        <v>0</v>
      </c>
      <c r="M56" s="99">
        <v>-5400</v>
      </c>
      <c r="N56" s="98">
        <v>-32.25</v>
      </c>
      <c r="O56" s="60">
        <v>242.69662921348313</v>
      </c>
    </row>
    <row r="57" ht="7.5" customHeight="1" spans="1:15" x14ac:dyDescent="0.25">
      <c r="A57" s="90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6"/>
      <c r="O57" s="97"/>
    </row>
    <row r="58" ht="15.75" customHeight="1" spans="1:15" x14ac:dyDescent="0.25">
      <c r="A58" s="59">
        <v>9508</v>
      </c>
      <c r="B58" s="98" t="s">
        <v>60</v>
      </c>
      <c r="C58" s="99">
        <v>0</v>
      </c>
      <c r="D58" s="99">
        <v>0</v>
      </c>
      <c r="E58" s="99">
        <v>0</v>
      </c>
      <c r="F58" s="99"/>
      <c r="G58" s="100">
        <v>0</v>
      </c>
      <c r="H58" s="100"/>
      <c r="I58" s="98"/>
      <c r="J58" s="99"/>
      <c r="K58" s="99">
        <v>0</v>
      </c>
      <c r="L58" s="100">
        <v>0</v>
      </c>
      <c r="M58" s="99">
        <v>0</v>
      </c>
      <c r="N58" s="98"/>
      <c r="O58" s="60">
        <v>0</v>
      </c>
    </row>
    <row r="59" ht="7.5" customHeight="1" spans="1:15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6"/>
      <c r="O59" s="97"/>
    </row>
    <row r="60" ht="15" customHeight="1" spans="1:15" x14ac:dyDescent="0.25">
      <c r="A60" s="59"/>
      <c r="B60" s="98"/>
      <c r="C60" s="99"/>
      <c r="D60" s="99"/>
      <c r="E60" s="99"/>
      <c r="F60" s="99"/>
      <c r="G60" s="100"/>
      <c r="H60" s="100"/>
      <c r="I60" s="98"/>
      <c r="J60" s="99"/>
      <c r="K60" s="99"/>
      <c r="L60" s="100"/>
      <c r="M60" s="99"/>
      <c r="N60" s="98"/>
      <c r="O60" s="60"/>
    </row>
    <row r="61" ht="7.5" customHeight="1" spans="1:15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6"/>
      <c r="O61" s="97"/>
    </row>
    <row r="62" ht="15" customHeight="1" spans="1:15" x14ac:dyDescent="0.25">
      <c r="A62" s="59"/>
      <c r="B62" s="98" t="s">
        <v>61</v>
      </c>
      <c r="C62" s="99"/>
      <c r="D62" s="99"/>
      <c r="E62" s="99"/>
      <c r="F62" s="99"/>
      <c r="G62" s="100"/>
      <c r="H62" s="100"/>
      <c r="I62" s="98">
        <v>0</v>
      </c>
      <c r="J62" s="99"/>
      <c r="K62" s="99"/>
      <c r="L62" s="100"/>
      <c r="M62" s="99"/>
      <c r="N62" s="98"/>
      <c r="O62" s="60"/>
    </row>
    <row r="63" ht="7.5" customHeight="1" spans="1:15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6"/>
      <c r="O63" s="97"/>
    </row>
    <row r="64" ht="15" customHeight="1" spans="1:15" x14ac:dyDescent="0.25">
      <c r="A64" s="59">
        <v>8946</v>
      </c>
      <c r="B64" s="98" t="s">
        <v>62</v>
      </c>
      <c r="C64" s="99">
        <v>0</v>
      </c>
      <c r="D64" s="99">
        <v>4470.959999999999</v>
      </c>
      <c r="E64" s="99">
        <v>-4470.959999999999</v>
      </c>
      <c r="F64" s="99"/>
      <c r="G64" s="100">
        <v>0</v>
      </c>
      <c r="H64" s="100">
        <v>0.143790046441692</v>
      </c>
      <c r="I64" s="98"/>
      <c r="J64" s="99">
        <v>1750</v>
      </c>
      <c r="K64" s="99">
        <v>1750</v>
      </c>
      <c r="L64" s="100">
        <v>0</v>
      </c>
      <c r="M64" s="99">
        <v>-6220.959999999999</v>
      </c>
      <c r="N64" s="98"/>
      <c r="O64" s="60">
        <v>0</v>
      </c>
    </row>
    <row r="65" ht="7.5" customHeight="1" spans="1:15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6"/>
      <c r="O65" s="97"/>
    </row>
    <row r="66" ht="15" customHeight="1" spans="1:15" x14ac:dyDescent="0.25">
      <c r="A66" s="102">
        <v>8308</v>
      </c>
      <c r="B66" s="98" t="s">
        <v>63</v>
      </c>
      <c r="C66" s="99">
        <v>34650.399999999965</v>
      </c>
      <c r="D66" s="99">
        <v>12036.179999999993</v>
      </c>
      <c r="E66" s="99">
        <v>22614.219999999972</v>
      </c>
      <c r="F66" s="99"/>
      <c r="G66" s="100">
        <v>0.6526395077690299</v>
      </c>
      <c r="H66" s="100">
        <v>0.256265521519856</v>
      </c>
      <c r="I66" s="98">
        <v>80</v>
      </c>
      <c r="J66" s="99">
        <v>0</v>
      </c>
      <c r="K66" s="99">
        <v>3200</v>
      </c>
      <c r="L66" s="100">
        <v>0.5602884815182506</v>
      </c>
      <c r="M66" s="99">
        <v>19414.219999999972</v>
      </c>
      <c r="N66" s="98">
        <v>-1014.25</v>
      </c>
      <c r="O66" s="60">
        <v>-20.78054054054051</v>
      </c>
    </row>
    <row r="67" ht="15" customHeight="1" spans="1:15" x14ac:dyDescent="0.25">
      <c r="A67" s="102">
        <f>'Main Sheet'!A68</f>
      </c>
      <c r="B67" s="98">
        <f>'Main Sheet'!B68</f>
      </c>
      <c r="C67" s="99"/>
      <c r="D67" s="99"/>
      <c r="E67" s="99">
        <f>C67-D67</f>
      </c>
      <c r="F67" s="99"/>
      <c r="G67" s="100">
        <f>(E67+F67)/C67</f>
      </c>
      <c r="H67" s="100">
        <f>'Deliverables Sheet'!AA228</f>
      </c>
      <c r="I67" s="98"/>
      <c r="J67" s="99"/>
      <c r="K67" s="99">
        <f>(I67*40)+J67</f>
      </c>
      <c r="L67" s="100">
        <f>((E67-K67)+F67)/C67</f>
      </c>
      <c r="M67" s="99">
        <f>SUM(E67:F67)-K67</f>
      </c>
      <c r="N67" s="98"/>
      <c r="O67" s="60">
        <f>SUM(M67/(N67+I67))</f>
      </c>
    </row>
    <row r="68" ht="15" customHeight="1" spans="1:15" x14ac:dyDescent="0.25">
      <c r="A68" s="35"/>
      <c r="B68" s="35"/>
      <c r="C68" s="36"/>
      <c r="D68" s="36"/>
      <c r="E68" s="36"/>
      <c r="F68" s="36"/>
      <c r="G68" s="37"/>
      <c r="H68" s="37"/>
      <c r="I68" s="35"/>
      <c r="J68" s="36"/>
      <c r="K68" s="36"/>
      <c r="L68" s="37"/>
      <c r="M68" s="36"/>
      <c r="N68" s="35"/>
      <c r="O68" s="36"/>
    </row>
    <row r="69" spans="1:15" x14ac:dyDescent="0.25">
      <c r="A69" s="35"/>
      <c r="B69" s="35"/>
      <c r="C69" s="36"/>
      <c r="D69" s="36"/>
      <c r="E69" s="36"/>
      <c r="F69" s="36"/>
      <c r="G69" s="37"/>
      <c r="H69" s="37"/>
      <c r="I69" s="35"/>
      <c r="J69" s="36"/>
      <c r="K69" s="36"/>
      <c r="L69" s="37"/>
      <c r="M69" s="37"/>
      <c r="N69" s="35"/>
      <c r="O69" s="35"/>
    </row>
    <row r="70" ht="15" customHeight="1" spans="1:15" x14ac:dyDescent="0.25">
      <c r="A70" s="49" t="s">
        <v>122</v>
      </c>
      <c r="B70" s="103" t="s">
        <v>123</v>
      </c>
      <c r="C70" s="104">
        <v>88103.76999999996</v>
      </c>
      <c r="D70" s="104">
        <v>53954.86999999998</v>
      </c>
      <c r="E70" s="105">
        <v>34148.89999999998</v>
      </c>
      <c r="F70" s="106" t="s">
        <v>124</v>
      </c>
      <c r="G70" s="107">
        <v>0.38759862375923293</v>
      </c>
      <c r="H70" s="108" t="s">
        <v>125</v>
      </c>
      <c r="I70" s="109">
        <v>-0.20071445296835796</v>
      </c>
      <c r="J70" s="36"/>
      <c r="K70" s="36"/>
      <c r="L70" s="37"/>
      <c r="M70" s="37"/>
      <c r="N70" s="35"/>
      <c r="O70" s="35"/>
    </row>
    <row r="71" ht="15" customHeight="1" spans="1:15" x14ac:dyDescent="0.25">
      <c r="A71" s="59"/>
      <c r="B71" s="98" t="s">
        <v>126</v>
      </c>
      <c r="C71" s="99">
        <v>-22865.6</v>
      </c>
      <c r="D71" s="99">
        <v>32774.04000000001</v>
      </c>
      <c r="E71" s="110">
        <v>-55639.640000000014</v>
      </c>
      <c r="F71" s="111"/>
      <c r="G71" s="112">
        <v>2.433333916450914</v>
      </c>
      <c r="H71" s="113" t="s">
        <v>125</v>
      </c>
      <c r="I71" s="114">
        <v>2.685240710936954</v>
      </c>
      <c r="J71" s="36"/>
      <c r="K71" s="36"/>
      <c r="L71" s="37"/>
      <c r="M71" s="37"/>
      <c r="N71" s="35"/>
      <c r="O71" s="35"/>
    </row>
  </sheetData>
  <mergeCells count="17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conditionalFormatting sqref="M46 M48 M50 M52 M54 M56 M58 M60 M62 M64 M66:M67">
    <cfRule type="expression" dxfId="164" priority="2">
      <formula>$L$4&lt;$H$4</formula>
    </cfRule>
  </conditionalFormatting>
  <conditionalFormatting sqref="M44">
    <cfRule type="expression" dxfId="165" priority="3">
      <formula>$L$4&lt;$H$4</formula>
    </cfRule>
  </conditionalFormatting>
  <conditionalFormatting sqref="M42">
    <cfRule type="expression" dxfId="166" priority="4">
      <formula>$L$4&lt;$H$4</formula>
    </cfRule>
  </conditionalFormatting>
  <conditionalFormatting sqref="M40">
    <cfRule type="expression" dxfId="167" priority="5">
      <formula>$L$4&lt;$H$4</formula>
    </cfRule>
  </conditionalFormatting>
  <conditionalFormatting sqref="M38">
    <cfRule type="expression" dxfId="168" priority="6">
      <formula>$L$4&lt;$H$4</formula>
    </cfRule>
  </conditionalFormatting>
  <conditionalFormatting sqref="M36">
    <cfRule type="expression" dxfId="169" priority="7">
      <formula>$L$4&lt;$H$4</formula>
    </cfRule>
  </conditionalFormatting>
  <conditionalFormatting sqref="M34">
    <cfRule type="expression" dxfId="170" priority="8">
      <formula>$L$4&lt;$H$4</formula>
    </cfRule>
  </conditionalFormatting>
  <conditionalFormatting sqref="M32">
    <cfRule type="expression" dxfId="171" priority="9">
      <formula>$L$4&lt;$H$4</formula>
    </cfRule>
  </conditionalFormatting>
  <conditionalFormatting sqref="M30">
    <cfRule type="expression" dxfId="172" priority="10">
      <formula>$L$4&lt;$H$4</formula>
    </cfRule>
  </conditionalFormatting>
  <conditionalFormatting sqref="M28">
    <cfRule type="expression" dxfId="173" priority="11">
      <formula>$L$4&lt;$H$4</formula>
    </cfRule>
  </conditionalFormatting>
  <conditionalFormatting sqref="M26">
    <cfRule type="expression" dxfId="174" priority="12">
      <formula>$L$4&lt;$H$4</formula>
    </cfRule>
  </conditionalFormatting>
  <conditionalFormatting sqref="M24">
    <cfRule type="expression" dxfId="175" priority="13">
      <formula>$L$4&lt;$H$4</formula>
    </cfRule>
  </conditionalFormatting>
  <conditionalFormatting sqref="M22">
    <cfRule type="expression" dxfId="176" priority="14">
      <formula>$L$4&lt;$H$4</formula>
    </cfRule>
  </conditionalFormatting>
  <conditionalFormatting sqref="M20">
    <cfRule type="expression" dxfId="177" priority="15">
      <formula>$L$4&lt;$H$4</formula>
    </cfRule>
  </conditionalFormatting>
  <conditionalFormatting sqref="M18">
    <cfRule type="expression" dxfId="178" priority="16">
      <formula>$L$4&lt;$H$4</formula>
    </cfRule>
  </conditionalFormatting>
  <conditionalFormatting sqref="M16">
    <cfRule type="expression" dxfId="179" priority="17">
      <formula>$L$4&lt;$H$4</formula>
    </cfRule>
  </conditionalFormatting>
  <conditionalFormatting sqref="M14">
    <cfRule type="expression" dxfId="180" priority="18">
      <formula>$L$4&lt;$H$4</formula>
    </cfRule>
  </conditionalFormatting>
  <conditionalFormatting sqref="M12">
    <cfRule type="expression" dxfId="181" priority="19">
      <formula>$L$4&lt;$H$4</formula>
    </cfRule>
  </conditionalFormatting>
  <conditionalFormatting sqref="M10">
    <cfRule type="expression" dxfId="182" priority="20">
      <formula>$L$4&lt;$H$4</formula>
    </cfRule>
  </conditionalFormatting>
  <conditionalFormatting sqref="M8">
    <cfRule type="expression" dxfId="183" priority="21">
      <formula>$L$4&lt;$H$4</formula>
    </cfRule>
  </conditionalFormatting>
  <conditionalFormatting sqref="M6">
    <cfRule type="expression" dxfId="184" priority="22">
      <formula>$L$4&lt;$H$4</formula>
    </cfRule>
  </conditionalFormatting>
  <conditionalFormatting sqref="L46 L48 L50 L52 L54 L56 L58 L60 L62 L64 L66:L67">
    <cfRule type="expression" dxfId="185" priority="23">
      <formula>$L$46&lt;$H$46</formula>
    </cfRule>
  </conditionalFormatting>
  <conditionalFormatting sqref="L44">
    <cfRule type="expression" dxfId="186" priority="24">
      <formula>$L$44&lt;$H$44</formula>
    </cfRule>
  </conditionalFormatting>
  <conditionalFormatting sqref="L42">
    <cfRule type="expression" dxfId="187" priority="25">
      <formula>$L$42&lt;$H$42</formula>
    </cfRule>
  </conditionalFormatting>
  <conditionalFormatting sqref="L40">
    <cfRule type="expression" dxfId="188" priority="26">
      <formula>$L$40&lt;$H$40</formula>
    </cfRule>
  </conditionalFormatting>
  <conditionalFormatting sqref="L38">
    <cfRule type="expression" dxfId="189" priority="27">
      <formula>$L$38&lt;$H$38</formula>
    </cfRule>
  </conditionalFormatting>
  <conditionalFormatting sqref="L36">
    <cfRule type="expression" dxfId="190" priority="28">
      <formula>$L$36&lt;$H$36</formula>
    </cfRule>
  </conditionalFormatting>
  <conditionalFormatting sqref="L34">
    <cfRule type="expression" dxfId="191" priority="29">
      <formula>$L$34&lt;$H$34</formula>
    </cfRule>
  </conditionalFormatting>
  <conditionalFormatting sqref="L32">
    <cfRule type="expression" dxfId="192" priority="30">
      <formula>$L$32&lt;$H$32</formula>
    </cfRule>
  </conditionalFormatting>
  <conditionalFormatting sqref="L30">
    <cfRule type="expression" dxfId="193" priority="31">
      <formula>$L$30&lt;$H$30</formula>
    </cfRule>
  </conditionalFormatting>
  <conditionalFormatting sqref="L28">
    <cfRule type="expression" dxfId="194" priority="32">
      <formula>$L$28&lt;$H$28</formula>
    </cfRule>
  </conditionalFormatting>
  <conditionalFormatting sqref="L26">
    <cfRule type="expression" dxfId="195" priority="33">
      <formula>$L$26&lt;$H$26</formula>
    </cfRule>
  </conditionalFormatting>
  <conditionalFormatting sqref="L24">
    <cfRule type="expression" dxfId="196" priority="34">
      <formula>$L$24&lt;$H$24</formula>
    </cfRule>
  </conditionalFormatting>
  <conditionalFormatting sqref="L22">
    <cfRule type="expression" dxfId="197" priority="35">
      <formula>$L$22&lt;$H$22</formula>
    </cfRule>
  </conditionalFormatting>
  <conditionalFormatting sqref="L20">
    <cfRule type="expression" dxfId="198" priority="36">
      <formula>$L$20&lt;$H$20</formula>
    </cfRule>
  </conditionalFormatting>
  <conditionalFormatting sqref="L18">
    <cfRule type="expression" dxfId="199" priority="37">
      <formula>$L$18&lt;$H$18</formula>
    </cfRule>
  </conditionalFormatting>
  <conditionalFormatting sqref="L16">
    <cfRule type="expression" dxfId="200" priority="38">
      <formula>$L$16&lt;$H$16</formula>
    </cfRule>
  </conditionalFormatting>
  <conditionalFormatting sqref="L14">
    <cfRule type="expression" dxfId="201" priority="39">
      <formula>$L$14&lt;$H$14</formula>
    </cfRule>
  </conditionalFormatting>
  <conditionalFormatting sqref="L12">
    <cfRule type="expression" dxfId="202" priority="40">
      <formula>$L$12&lt;$H$12</formula>
    </cfRule>
  </conditionalFormatting>
  <conditionalFormatting sqref="L10">
    <cfRule type="expression" dxfId="203" priority="41">
      <formula>$L$10&lt;$H$10</formula>
    </cfRule>
  </conditionalFormatting>
  <conditionalFormatting sqref="L8">
    <cfRule type="expression" dxfId="204" priority="42">
      <formula>$L$8&lt;$H$8</formula>
    </cfRule>
  </conditionalFormatting>
  <conditionalFormatting sqref="L6">
    <cfRule type="expression" dxfId="205" priority="43">
      <formula>$L$6&lt;$H$6</formula>
    </cfRule>
  </conditionalFormatting>
  <conditionalFormatting sqref="L4:M4">
    <cfRule type="expression" dxfId="206" priority="44">
      <formula>$L$4&lt;$H$4</formula>
    </cfRule>
  </conditionalFormatting>
  <conditionalFormatting sqref="G46 G48 G50 G52 G54 G56 G58 G60 G62 G64 G66:G67">
    <cfRule type="expression" dxfId="207" priority="45">
      <formula>$G$46&lt;$H$46</formula>
    </cfRule>
  </conditionalFormatting>
  <conditionalFormatting sqref="G44">
    <cfRule type="expression" dxfId="208" priority="46">
      <formula>$G$44&lt;$H$44</formula>
    </cfRule>
  </conditionalFormatting>
  <conditionalFormatting sqref="G42">
    <cfRule type="expression" dxfId="209" priority="47">
      <formula>$G$42&lt;$H$42</formula>
    </cfRule>
  </conditionalFormatting>
  <conditionalFormatting sqref="G40">
    <cfRule type="expression" dxfId="210" priority="48">
      <formula>$G$40&lt;$H$40</formula>
    </cfRule>
  </conditionalFormatting>
  <conditionalFormatting sqref="G38">
    <cfRule type="expression" dxfId="211" priority="49">
      <formula>$G$38&lt;$H$38</formula>
    </cfRule>
  </conditionalFormatting>
  <conditionalFormatting sqref="G36">
    <cfRule type="expression" dxfId="212" priority="50">
      <formula>$G$36&lt;$H$36</formula>
    </cfRule>
  </conditionalFormatting>
  <conditionalFormatting sqref="G34">
    <cfRule type="expression" dxfId="213" priority="51">
      <formula>$G$34&lt;$H$34</formula>
    </cfRule>
  </conditionalFormatting>
  <conditionalFormatting sqref="G32">
    <cfRule type="expression" dxfId="214" priority="52">
      <formula>$G$32&lt;$H$32</formula>
    </cfRule>
  </conditionalFormatting>
  <conditionalFormatting sqref="G30">
    <cfRule type="expression" dxfId="215" priority="53">
      <formula>$G$30&lt;$H$30</formula>
    </cfRule>
  </conditionalFormatting>
  <conditionalFormatting sqref="G28">
    <cfRule type="expression" dxfId="216" priority="54">
      <formula>$G$28&lt;$H$28</formula>
    </cfRule>
  </conditionalFormatting>
  <conditionalFormatting sqref="G26">
    <cfRule type="expression" dxfId="217" priority="55">
      <formula>$G$26&lt;$H$26</formula>
    </cfRule>
  </conditionalFormatting>
  <conditionalFormatting sqref="G24">
    <cfRule type="expression" dxfId="218" priority="56">
      <formula>$G$24&lt;$H$24</formula>
    </cfRule>
  </conditionalFormatting>
  <conditionalFormatting sqref="G22">
    <cfRule type="expression" dxfId="219" priority="57">
      <formula>$G$22&lt;$H$22</formula>
    </cfRule>
  </conditionalFormatting>
  <conditionalFormatting sqref="G20">
    <cfRule type="expression" dxfId="220" priority="58">
      <formula>$G$20&lt;$H$20</formula>
    </cfRule>
  </conditionalFormatting>
  <conditionalFormatting sqref="G18">
    <cfRule type="expression" dxfId="221" priority="59">
      <formula>$G$18&lt;$H$18</formula>
    </cfRule>
  </conditionalFormatting>
  <conditionalFormatting sqref="G16">
    <cfRule type="expression" dxfId="222" priority="60">
      <formula>$G$16&lt;$H$16</formula>
    </cfRule>
  </conditionalFormatting>
  <conditionalFormatting sqref="G14">
    <cfRule type="expression" dxfId="223" priority="61">
      <formula>$G$14&lt;$H$14</formula>
    </cfRule>
  </conditionalFormatting>
  <conditionalFormatting sqref="G12">
    <cfRule type="expression" dxfId="224" priority="62">
      <formula>$G$12&lt;$H$12</formula>
    </cfRule>
  </conditionalFormatting>
  <conditionalFormatting sqref="G10">
    <cfRule type="expression" dxfId="225" priority="63">
      <formula>$G$10&lt;$H$10</formula>
    </cfRule>
  </conditionalFormatting>
  <conditionalFormatting sqref="G8">
    <cfRule type="expression" dxfId="226" priority="64">
      <formula>$G$8&lt;$H$8</formula>
    </cfRule>
  </conditionalFormatting>
  <conditionalFormatting sqref="G6">
    <cfRule type="expression" dxfId="227" priority="65">
      <formula>$G$6&lt;$H$6</formula>
    </cfRule>
  </conditionalFormatting>
  <conditionalFormatting sqref="G4">
    <cfRule type="expression" dxfId="228" priority="66">
      <formula>$G$4&lt;$H$4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0"/>
  <sheetViews>
    <sheetView workbookViewId="0" zoomScale="100" zoomScaleNormal="100" view="normal">
      <pane xSplit="2" ySplit="2" topLeftCell="C9" activePane="bottomRight" state="frozen"/>
      <selection pane="bottomRight" activeCell="O24" sqref="O24"/>
    </sheetView>
  </sheetViews>
  <sheetFormatPr defaultRowHeight="15" outlineLevelRow="0" outlineLevelCol="0" x14ac:dyDescent="0" defaultColWidth="8.5390625"/>
  <cols>
    <col min="1" max="1" width="11" style="35" customWidth="1"/>
    <col min="2" max="2" width="40.28" style="35" customWidth="1"/>
    <col min="3" max="3" width="14.72" style="35" customWidth="1"/>
    <col min="4" max="4" width="12.43" style="35" customWidth="1"/>
    <col min="5" max="5" width="18.71" style="35" customWidth="1"/>
    <col min="6" max="17" width="11.43" style="35" customWidth="1"/>
  </cols>
  <sheetData>
    <row r="1" ht="46.5" customHeight="1" spans="1:17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5" customHeight="1" spans="1:28" x14ac:dyDescent="0.25">
      <c r="A2" s="115"/>
      <c r="B2" s="116" t="s">
        <v>127</v>
      </c>
      <c r="C2" s="117" t="s">
        <v>128</v>
      </c>
      <c r="D2" s="117" t="s">
        <v>129</v>
      </c>
      <c r="E2" s="117" t="s">
        <v>130</v>
      </c>
      <c r="F2" s="117" t="s">
        <v>131</v>
      </c>
      <c r="G2" s="117" t="s">
        <v>132</v>
      </c>
      <c r="H2" s="117" t="s">
        <v>133</v>
      </c>
      <c r="I2" s="117" t="s">
        <v>134</v>
      </c>
      <c r="J2" s="117" t="s">
        <v>135</v>
      </c>
      <c r="K2" s="117" t="s">
        <v>136</v>
      </c>
      <c r="L2" s="117" t="s">
        <v>137</v>
      </c>
      <c r="M2" s="117" t="s">
        <v>138</v>
      </c>
      <c r="N2" s="117" t="s">
        <v>139</v>
      </c>
      <c r="O2" s="117" t="s">
        <v>140</v>
      </c>
      <c r="P2" s="117" t="s">
        <v>141</v>
      </c>
      <c r="Q2" s="118" t="s">
        <v>142</v>
      </c>
      <c r="R2" s="119"/>
      <c r="S2" s="120"/>
      <c r="T2" s="120"/>
      <c r="U2" s="120"/>
      <c r="V2" s="120"/>
      <c r="W2" s="120"/>
      <c r="X2" s="120"/>
      <c r="Y2" s="120"/>
      <c r="Z2" s="120"/>
      <c r="AA2" s="120"/>
      <c r="AB2" s="121"/>
    </row>
    <row r="3" ht="15" customHeight="1" spans="1:28" x14ac:dyDescent="0.25">
      <c r="A3" s="122" t="s">
        <v>143</v>
      </c>
      <c r="B3" s="123" t="s">
        <v>144</v>
      </c>
      <c r="C3" s="124"/>
      <c r="D3" s="124"/>
      <c r="E3" s="125"/>
      <c r="F3" s="126">
        <v>500</v>
      </c>
      <c r="G3" s="126">
        <v>700</v>
      </c>
      <c r="H3" s="126">
        <v>700</v>
      </c>
      <c r="I3" s="126">
        <v>700</v>
      </c>
      <c r="J3" s="126">
        <v>700</v>
      </c>
      <c r="K3" s="126">
        <v>700</v>
      </c>
      <c r="L3" s="126">
        <v>700</v>
      </c>
      <c r="M3" s="126">
        <v>700</v>
      </c>
      <c r="N3" s="126">
        <v>700</v>
      </c>
      <c r="O3" s="126">
        <v>700</v>
      </c>
      <c r="P3" s="126">
        <v>700</v>
      </c>
      <c r="Q3" s="127">
        <v>500</v>
      </c>
      <c r="R3" s="128"/>
      <c r="S3" s="129"/>
      <c r="T3" s="129"/>
      <c r="U3" s="129"/>
      <c r="V3" s="129"/>
      <c r="W3" s="129"/>
      <c r="X3" s="129"/>
      <c r="Y3" s="129"/>
      <c r="Z3" s="129"/>
      <c r="AA3" s="129"/>
      <c r="AB3" s="130"/>
    </row>
    <row r="4" ht="15" customHeight="1" spans="1:19" x14ac:dyDescent="0.25">
      <c r="A4" s="19">
        <v>7658</v>
      </c>
      <c r="B4" s="20" t="s">
        <v>25</v>
      </c>
      <c r="C4" s="54">
        <v>565.45</v>
      </c>
      <c r="D4" s="54">
        <v>600.25</v>
      </c>
      <c r="E4" s="54">
        <v>-34.799999999999955</v>
      </c>
      <c r="F4" s="54">
        <v>0</v>
      </c>
      <c r="G4" s="54">
        <v>0</v>
      </c>
      <c r="H4" s="54">
        <v>0</v>
      </c>
      <c r="I4" s="54"/>
      <c r="J4" s="54"/>
      <c r="K4" s="54"/>
      <c r="L4" s="54"/>
      <c r="M4" s="54">
        <v>80</v>
      </c>
      <c r="N4" s="54"/>
      <c r="O4" s="54"/>
      <c r="P4" s="54"/>
      <c r="Q4" s="131"/>
      <c r="S4" s="35" t="s">
        <v>145</v>
      </c>
    </row>
    <row r="5" ht="6" customHeight="1" spans="1:17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</row>
    <row r="6" ht="15" customHeight="1" spans="1:19" x14ac:dyDescent="0.25">
      <c r="A6" s="19">
        <v>8142</v>
      </c>
      <c r="B6" s="20" t="s">
        <v>29</v>
      </c>
      <c r="C6" s="54">
        <v>363.57</v>
      </c>
      <c r="D6" s="54">
        <v>168.25</v>
      </c>
      <c r="E6" s="54">
        <v>195.32</v>
      </c>
      <c r="F6" s="54"/>
      <c r="G6" s="54"/>
      <c r="H6" s="54"/>
      <c r="I6" s="54"/>
      <c r="J6" s="54"/>
      <c r="K6" s="54"/>
      <c r="L6" s="54"/>
      <c r="M6" s="54"/>
      <c r="N6" s="54">
        <v>80</v>
      </c>
      <c r="O6" s="54"/>
      <c r="P6" s="54"/>
      <c r="Q6" s="131"/>
      <c r="S6" s="35" t="s">
        <v>146</v>
      </c>
    </row>
    <row r="7" ht="6" customHeight="1" spans="1:17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ht="15" customHeight="1" spans="1:19" x14ac:dyDescent="0.25">
      <c r="A8" s="19">
        <v>8824</v>
      </c>
      <c r="B8" s="20" t="s">
        <v>31</v>
      </c>
      <c r="C8" s="54">
        <v>125.39</v>
      </c>
      <c r="D8" s="54">
        <v>34.75</v>
      </c>
      <c r="E8" s="54">
        <v>90.64</v>
      </c>
      <c r="F8" s="54"/>
      <c r="G8" s="54"/>
      <c r="H8" s="54"/>
      <c r="I8" s="54"/>
      <c r="J8" s="54"/>
      <c r="K8" s="54"/>
      <c r="L8" s="54"/>
      <c r="M8" s="54"/>
      <c r="N8" s="54">
        <v>90</v>
      </c>
      <c r="O8" s="54"/>
      <c r="P8" s="54"/>
      <c r="Q8" s="131"/>
      <c r="S8" s="35" t="s">
        <v>145</v>
      </c>
    </row>
    <row r="9" ht="6" customHeight="1" spans="1:17" x14ac:dyDescent="0.2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ht="15" customHeight="1" spans="1:19" x14ac:dyDescent="0.25">
      <c r="A10" s="19">
        <v>8127</v>
      </c>
      <c r="B10" s="20" t="s">
        <v>32</v>
      </c>
      <c r="C10" s="54">
        <v>805.22</v>
      </c>
      <c r="D10" s="54">
        <v>615.5</v>
      </c>
      <c r="E10" s="54">
        <v>189.72000000000003</v>
      </c>
      <c r="F10" s="54"/>
      <c r="G10" s="54"/>
      <c r="H10" s="54"/>
      <c r="I10" s="54"/>
      <c r="J10" s="54"/>
      <c r="K10" s="54"/>
      <c r="L10" s="54"/>
      <c r="M10" s="54">
        <v>200</v>
      </c>
      <c r="N10" s="54">
        <v>80</v>
      </c>
      <c r="O10" s="54">
        <v>0</v>
      </c>
      <c r="P10" s="54"/>
      <c r="Q10" s="131"/>
      <c r="S10" s="35" t="s">
        <v>145</v>
      </c>
    </row>
    <row r="11" ht="6" customHeight="1" spans="1:17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</row>
    <row r="12" ht="15" customHeight="1" spans="1:19" x14ac:dyDescent="0.25">
      <c r="A12" s="19">
        <v>8183</v>
      </c>
      <c r="B12" s="20" t="s">
        <v>118</v>
      </c>
      <c r="C12" s="54">
        <v>1124.47</v>
      </c>
      <c r="D12" s="54">
        <v>609</v>
      </c>
      <c r="E12" s="54">
        <v>515.47</v>
      </c>
      <c r="F12" s="54"/>
      <c r="G12" s="54"/>
      <c r="H12" s="54"/>
      <c r="I12" s="54"/>
      <c r="J12" s="54"/>
      <c r="K12" s="54"/>
      <c r="L12" s="54"/>
      <c r="M12" s="54">
        <v>160</v>
      </c>
      <c r="N12" s="54">
        <v>320</v>
      </c>
      <c r="O12" s="86">
        <v>80</v>
      </c>
      <c r="P12" s="54"/>
      <c r="Q12" s="131"/>
      <c r="S12" s="35" t="s">
        <v>145</v>
      </c>
    </row>
    <row r="13" ht="6" customHeight="1" spans="1:1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</row>
    <row r="14" ht="15" customHeight="1" spans="1:19" x14ac:dyDescent="0.25">
      <c r="A14" s="19">
        <v>8886</v>
      </c>
      <c r="B14" s="20" t="s">
        <v>35</v>
      </c>
      <c r="C14" s="54">
        <v>501.83</v>
      </c>
      <c r="D14" s="54">
        <v>308.25</v>
      </c>
      <c r="E14" s="54">
        <v>193.57999999999998</v>
      </c>
      <c r="F14" s="54"/>
      <c r="G14" s="54"/>
      <c r="H14" s="54"/>
      <c r="I14" s="54"/>
      <c r="J14" s="54"/>
      <c r="K14" s="54"/>
      <c r="L14" s="54">
        <v>0</v>
      </c>
      <c r="M14" s="54">
        <v>80</v>
      </c>
      <c r="N14" s="54">
        <v>300</v>
      </c>
      <c r="O14" s="54"/>
      <c r="P14" s="54"/>
      <c r="Q14" s="131"/>
      <c r="S14" s="35" t="s">
        <v>145</v>
      </c>
    </row>
    <row r="15" ht="6" customHeight="1" spans="1:1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ht="15" customHeight="1" spans="1:17" x14ac:dyDescent="0.25">
      <c r="A16" s="19">
        <v>8887</v>
      </c>
      <c r="B16" s="20" t="s">
        <v>36</v>
      </c>
      <c r="C16" s="54">
        <v>223.22</v>
      </c>
      <c r="D16" s="54">
        <v>113.25</v>
      </c>
      <c r="E16" s="54">
        <v>109.97</v>
      </c>
      <c r="F16" s="54"/>
      <c r="G16" s="54"/>
      <c r="H16" s="54"/>
      <c r="I16" s="54"/>
      <c r="J16" s="54"/>
      <c r="K16" s="54"/>
      <c r="L16" s="54"/>
      <c r="M16" s="54">
        <v>16</v>
      </c>
      <c r="N16" s="54">
        <v>110</v>
      </c>
      <c r="O16" s="54"/>
      <c r="P16" s="54"/>
      <c r="Q16" s="131"/>
    </row>
    <row r="17" ht="6" customHeight="1" spans="1:17" x14ac:dyDescent="0.25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</row>
    <row r="18" ht="15" customHeight="1" spans="1:17" x14ac:dyDescent="0.25">
      <c r="A18" s="19">
        <v>8670</v>
      </c>
      <c r="B18" s="20" t="s">
        <v>37</v>
      </c>
      <c r="C18" s="54">
        <v>685.48</v>
      </c>
      <c r="D18" s="54">
        <v>561.5</v>
      </c>
      <c r="E18" s="54">
        <v>123.98000000000002</v>
      </c>
      <c r="F18" s="54"/>
      <c r="G18" s="54"/>
      <c r="H18" s="54"/>
      <c r="I18" s="54"/>
      <c r="J18" s="54"/>
      <c r="K18" s="54"/>
      <c r="L18" s="54"/>
      <c r="M18" s="54">
        <v>240</v>
      </c>
      <c r="N18" s="54">
        <v>160</v>
      </c>
      <c r="O18" s="54"/>
      <c r="P18" s="54"/>
      <c r="Q18" s="131"/>
    </row>
    <row r="19" ht="6" customHeight="1" spans="1:1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</row>
    <row r="20" ht="15" customHeight="1" spans="1:17" x14ac:dyDescent="0.25">
      <c r="A20" s="19">
        <v>8907</v>
      </c>
      <c r="B20" s="20" t="s">
        <v>38</v>
      </c>
      <c r="C20" s="54">
        <v>63.5</v>
      </c>
      <c r="D20" s="54">
        <v>48.25</v>
      </c>
      <c r="E20" s="54">
        <v>15.25</v>
      </c>
      <c r="F20" s="54"/>
      <c r="G20" s="54"/>
      <c r="H20" s="54"/>
      <c r="I20" s="54"/>
      <c r="J20" s="54"/>
      <c r="K20" s="54"/>
      <c r="L20" s="54"/>
      <c r="M20" s="54">
        <v>36</v>
      </c>
      <c r="N20" s="54"/>
      <c r="O20" s="54"/>
      <c r="P20" s="54"/>
      <c r="Q20" s="131"/>
    </row>
    <row r="21" ht="6" customHeight="1" spans="1:1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</row>
    <row r="22" ht="15" customHeight="1" spans="1:17" x14ac:dyDescent="0.25">
      <c r="A22" s="19">
        <v>9065</v>
      </c>
      <c r="B22" s="20" t="s">
        <v>39</v>
      </c>
      <c r="C22" s="54">
        <v>193.32</v>
      </c>
      <c r="D22" s="54">
        <v>2.75</v>
      </c>
      <c r="E22" s="54">
        <v>190.57</v>
      </c>
      <c r="F22" s="54"/>
      <c r="G22" s="54"/>
      <c r="H22" s="54"/>
      <c r="I22" s="54"/>
      <c r="J22" s="54"/>
      <c r="K22" s="54"/>
      <c r="L22" s="54"/>
      <c r="M22" s="54">
        <v>20</v>
      </c>
      <c r="N22" s="54">
        <v>80</v>
      </c>
      <c r="O22" s="54">
        <v>60</v>
      </c>
      <c r="P22" s="54"/>
      <c r="Q22" s="131"/>
    </row>
    <row r="23" ht="6" customHeight="1" spans="1:17" x14ac:dyDescent="0.25">
      <c r="A23" s="133"/>
      <c r="B23" s="134"/>
      <c r="C23" s="134"/>
      <c r="D23" s="135"/>
      <c r="E23" s="136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7"/>
    </row>
    <row r="24" ht="15" customHeight="1" spans="1:17" x14ac:dyDescent="0.25">
      <c r="A24" s="19">
        <v>9259</v>
      </c>
      <c r="B24" s="20" t="s">
        <v>40</v>
      </c>
      <c r="C24" s="54">
        <v>472.14</v>
      </c>
      <c r="D24" s="54">
        <v>144.25</v>
      </c>
      <c r="E24" s="54">
        <v>327.89</v>
      </c>
      <c r="F24" s="54"/>
      <c r="G24" s="54"/>
      <c r="H24" s="54"/>
      <c r="I24" s="54"/>
      <c r="J24" s="54"/>
      <c r="K24" s="54"/>
      <c r="L24" s="54"/>
      <c r="M24" s="54">
        <v>188</v>
      </c>
      <c r="N24" s="54">
        <v>282</v>
      </c>
      <c r="O24" s="54"/>
      <c r="P24" s="54"/>
      <c r="Q24" s="131"/>
    </row>
    <row r="25" ht="6" customHeight="1" spans="1:17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</row>
    <row r="26" ht="15" customHeight="1" spans="1:17" x14ac:dyDescent="0.25">
      <c r="A26" s="19">
        <v>8352</v>
      </c>
      <c r="B26" s="20" t="s">
        <v>41</v>
      </c>
      <c r="C26" s="54">
        <v>139.07</v>
      </c>
      <c r="D26" s="54">
        <v>147.75</v>
      </c>
      <c r="E26" s="54">
        <v>-8.680000000000007</v>
      </c>
      <c r="F26" s="54"/>
      <c r="G26" s="54"/>
      <c r="H26" s="54"/>
      <c r="I26" s="54"/>
      <c r="J26" s="54"/>
      <c r="K26" s="54"/>
      <c r="L26" s="54"/>
      <c r="M26" s="54">
        <v>48</v>
      </c>
      <c r="N26" s="54"/>
      <c r="O26" s="54"/>
      <c r="P26" s="54"/>
      <c r="Q26" s="131"/>
    </row>
    <row r="27" ht="6" customHeight="1" spans="1:1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</row>
    <row r="28" ht="15" customHeight="1" spans="1:19" x14ac:dyDescent="0.25">
      <c r="A28" s="19">
        <v>8234</v>
      </c>
      <c r="B28" s="20" t="s">
        <v>43</v>
      </c>
      <c r="C28" s="54">
        <v>231.75</v>
      </c>
      <c r="D28" s="54">
        <v>225.5</v>
      </c>
      <c r="E28" s="54">
        <v>6.25</v>
      </c>
      <c r="F28" s="54"/>
      <c r="G28" s="54"/>
      <c r="H28" s="54"/>
      <c r="I28" s="54"/>
      <c r="J28" s="54"/>
      <c r="K28" s="54"/>
      <c r="L28" s="54"/>
      <c r="M28" s="54">
        <v>32</v>
      </c>
      <c r="N28" s="54"/>
      <c r="O28" s="54"/>
      <c r="P28" s="54"/>
      <c r="Q28" s="131"/>
      <c r="S28" s="138"/>
    </row>
    <row r="29" ht="6" customHeight="1" spans="1:17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</row>
    <row r="30" ht="15" customHeight="1" spans="1:19" x14ac:dyDescent="0.25">
      <c r="A30" s="19">
        <v>8214</v>
      </c>
      <c r="B30" s="20" t="s">
        <v>44</v>
      </c>
      <c r="C30" s="54">
        <v>147.9</v>
      </c>
      <c r="D30" s="54">
        <v>5</v>
      </c>
      <c r="E30" s="54">
        <v>142.9</v>
      </c>
      <c r="F30" s="54"/>
      <c r="G30" s="54"/>
      <c r="H30" s="54"/>
      <c r="I30" s="54"/>
      <c r="J30" s="54"/>
      <c r="K30" s="54"/>
      <c r="L30" s="54"/>
      <c r="M30" s="54"/>
      <c r="N30" s="54">
        <v>48</v>
      </c>
      <c r="O30" s="54">
        <v>16</v>
      </c>
      <c r="P30" s="54">
        <v>64</v>
      </c>
      <c r="Q30" s="131"/>
      <c r="S30" s="139"/>
    </row>
    <row r="31" ht="6" customHeight="1" spans="1:17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</row>
    <row r="32" ht="15" customHeight="1" spans="1:17" x14ac:dyDescent="0.25">
      <c r="A32" s="19">
        <v>6792</v>
      </c>
      <c r="B32" s="20" t="s">
        <v>45</v>
      </c>
      <c r="C32" s="54">
        <v>208.2</v>
      </c>
      <c r="D32" s="54">
        <v>324.25</v>
      </c>
      <c r="E32" s="54">
        <v>-116.05000000000001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131"/>
    </row>
    <row r="33" ht="6" customHeight="1" spans="1:17" x14ac:dyDescent="0.2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</row>
    <row r="34" ht="15" customHeight="1" spans="1:17" x14ac:dyDescent="0.25">
      <c r="A34" s="19">
        <v>8840</v>
      </c>
      <c r="B34" s="20" t="s">
        <v>48</v>
      </c>
      <c r="C34" s="54">
        <v>324.19</v>
      </c>
      <c r="D34" s="54">
        <v>472.75</v>
      </c>
      <c r="E34" s="54">
        <v>-148.56</v>
      </c>
      <c r="F34" s="54"/>
      <c r="G34" s="54"/>
      <c r="H34" s="54"/>
      <c r="I34" s="54"/>
      <c r="J34" s="54"/>
      <c r="K34" s="54"/>
      <c r="L34" s="54"/>
      <c r="M34" s="54">
        <v>130</v>
      </c>
      <c r="N34" s="54"/>
      <c r="O34" s="54"/>
      <c r="P34" s="54"/>
      <c r="Q34" s="131"/>
    </row>
    <row r="35" ht="6" customHeight="1" spans="1:17" x14ac:dyDescent="0.2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</row>
    <row r="36" ht="15" customHeight="1" spans="1:17" x14ac:dyDescent="0.25">
      <c r="A36" s="19">
        <v>8769</v>
      </c>
      <c r="B36" s="20" t="s">
        <v>49</v>
      </c>
      <c r="C36" s="54">
        <v>84.05</v>
      </c>
      <c r="D36" s="54">
        <v>0</v>
      </c>
      <c r="E36" s="54">
        <v>84.05</v>
      </c>
      <c r="F36" s="54"/>
      <c r="G36" s="54"/>
      <c r="H36" s="54"/>
      <c r="I36" s="54"/>
      <c r="J36" s="54"/>
      <c r="K36" s="54"/>
      <c r="L36" s="54"/>
      <c r="M36" s="54">
        <v>30</v>
      </c>
      <c r="N36" s="54">
        <v>50</v>
      </c>
      <c r="O36" s="54"/>
      <c r="P36" s="54"/>
      <c r="Q36" s="131"/>
    </row>
    <row r="37" ht="6" customHeight="1" spans="1:17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</row>
    <row r="38" ht="15" customHeight="1" spans="1:19" x14ac:dyDescent="0.25">
      <c r="A38" s="19">
        <v>7901</v>
      </c>
      <c r="B38" s="20" t="s">
        <v>50</v>
      </c>
      <c r="C38" s="54">
        <v>317.92</v>
      </c>
      <c r="D38" s="54">
        <v>106</v>
      </c>
      <c r="E38" s="54">
        <v>211.92000000000002</v>
      </c>
      <c r="F38" s="54"/>
      <c r="G38" s="54"/>
      <c r="H38" s="54"/>
      <c r="I38" s="54"/>
      <c r="J38" s="54"/>
      <c r="K38" s="54"/>
      <c r="L38" s="54"/>
      <c r="M38" s="54">
        <v>80</v>
      </c>
      <c r="N38" s="54">
        <v>40</v>
      </c>
      <c r="O38" s="54">
        <v>160</v>
      </c>
      <c r="P38" s="54"/>
      <c r="Q38" s="131"/>
      <c r="S38" s="139"/>
    </row>
    <row r="39" ht="6" customHeight="1" spans="1:17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</row>
    <row r="40" ht="15" customHeight="1" spans="1:17" x14ac:dyDescent="0.25">
      <c r="A40" s="19">
        <v>8923</v>
      </c>
      <c r="B40" s="20" t="s">
        <v>51</v>
      </c>
      <c r="C40" s="54">
        <v>156.69</v>
      </c>
      <c r="D40" s="54">
        <v>11.5</v>
      </c>
      <c r="E40" s="54">
        <v>145.19</v>
      </c>
      <c r="F40" s="54">
        <v>60</v>
      </c>
      <c r="G40" s="54">
        <v>15</v>
      </c>
      <c r="H40" s="54">
        <v>90</v>
      </c>
      <c r="I40" s="54"/>
      <c r="J40" s="54"/>
      <c r="K40" s="54"/>
      <c r="L40" s="54"/>
      <c r="M40" s="54"/>
      <c r="N40" s="54"/>
      <c r="O40" s="54"/>
      <c r="P40" s="54"/>
      <c r="Q40" s="131"/>
    </row>
    <row r="41" ht="6" customHeight="1" spans="1:17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</row>
    <row r="42" ht="15" customHeight="1" spans="1:19" x14ac:dyDescent="0.25">
      <c r="A42" s="19">
        <v>7864</v>
      </c>
      <c r="B42" s="20" t="s">
        <v>52</v>
      </c>
      <c r="C42" s="54">
        <v>200.82</v>
      </c>
      <c r="D42" s="54">
        <v>283.75</v>
      </c>
      <c r="E42" s="54">
        <v>-82.93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31"/>
      <c r="S42" s="139"/>
    </row>
    <row r="43" ht="6" customHeight="1" spans="1:17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</row>
    <row r="44" ht="15" customHeight="1" spans="1:19" x14ac:dyDescent="0.25">
      <c r="A44" s="19">
        <v>7912</v>
      </c>
      <c r="B44" s="20" t="s">
        <v>53</v>
      </c>
      <c r="C44" s="54">
        <v>497.55</v>
      </c>
      <c r="D44" s="54">
        <v>58.25</v>
      </c>
      <c r="E44" s="54">
        <v>439.3</v>
      </c>
      <c r="F44" s="54">
        <v>80</v>
      </c>
      <c r="G44" s="54"/>
      <c r="H44" s="54"/>
      <c r="I44" s="54"/>
      <c r="J44" s="54"/>
      <c r="K44" s="54"/>
      <c r="L44" s="54"/>
      <c r="M44" s="54"/>
      <c r="N44" s="54">
        <v>40</v>
      </c>
      <c r="O44" s="54">
        <v>300</v>
      </c>
      <c r="P44" s="54">
        <v>150</v>
      </c>
      <c r="Q44" s="131">
        <v>150</v>
      </c>
      <c r="S44" s="139"/>
    </row>
    <row r="45" ht="6" customHeight="1" spans="1:17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</row>
    <row r="46" ht="15" customHeight="1" spans="1:17" x14ac:dyDescent="0.25">
      <c r="A46" s="59">
        <v>8360</v>
      </c>
      <c r="B46" s="75" t="s">
        <v>54</v>
      </c>
      <c r="C46" s="54">
        <v>210.6</v>
      </c>
      <c r="D46" s="54">
        <v>260.75</v>
      </c>
      <c r="E46" s="54">
        <v>-50.150000000000006</v>
      </c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140"/>
    </row>
    <row r="47" ht="6" customHeight="1" spans="1:17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</row>
    <row r="48" ht="15" customHeight="1" spans="1:17" x14ac:dyDescent="0.25">
      <c r="A48" s="19">
        <v>8337</v>
      </c>
      <c r="B48" s="20" t="s">
        <v>55</v>
      </c>
      <c r="C48" s="54">
        <v>110.44</v>
      </c>
      <c r="D48" s="54">
        <v>60.75</v>
      </c>
      <c r="E48" s="54">
        <v>49.69</v>
      </c>
      <c r="F48" s="54"/>
      <c r="G48" s="54"/>
      <c r="H48" s="54"/>
      <c r="I48" s="54"/>
      <c r="J48" s="54"/>
      <c r="K48" s="54"/>
      <c r="L48" s="54"/>
      <c r="M48" s="54">
        <v>16</v>
      </c>
      <c r="N48" s="54">
        <v>32</v>
      </c>
      <c r="O48" s="54"/>
      <c r="P48" s="54"/>
      <c r="Q48" s="131"/>
    </row>
    <row r="49" ht="6" customHeight="1" spans="1:17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</row>
    <row r="50" ht="15" customHeight="1" spans="1:17" x14ac:dyDescent="0.25">
      <c r="A50" s="19">
        <v>9240</v>
      </c>
      <c r="B50" s="20" t="s">
        <v>56</v>
      </c>
      <c r="C50" s="54">
        <v>65.13</v>
      </c>
      <c r="D50" s="54">
        <v>24.33</v>
      </c>
      <c r="E50" s="54">
        <v>40.8</v>
      </c>
      <c r="F50" s="54"/>
      <c r="G50" s="54"/>
      <c r="H50" s="54"/>
      <c r="I50" s="54"/>
      <c r="J50" s="54"/>
      <c r="K50" s="54"/>
      <c r="L50" s="54"/>
      <c r="M50" s="54">
        <v>16</v>
      </c>
      <c r="N50" s="54">
        <v>40</v>
      </c>
      <c r="O50" s="54"/>
      <c r="P50" s="54"/>
      <c r="Q50" s="131"/>
    </row>
    <row r="51" ht="6" customHeight="1" spans="1:17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</row>
    <row r="52" ht="15" customHeight="1" spans="1:19" x14ac:dyDescent="0.25">
      <c r="A52" s="19">
        <v>7428</v>
      </c>
      <c r="B52" s="20" t="s">
        <v>57</v>
      </c>
      <c r="C52" s="54">
        <v>659.73</v>
      </c>
      <c r="D52" s="54">
        <v>548.75</v>
      </c>
      <c r="E52" s="54">
        <v>110.98000000000002</v>
      </c>
      <c r="F52" s="54"/>
      <c r="G52" s="54"/>
      <c r="H52" s="54"/>
      <c r="I52" s="54"/>
      <c r="J52" s="54"/>
      <c r="K52" s="54"/>
      <c r="L52" s="54"/>
      <c r="M52" s="54">
        <v>80</v>
      </c>
      <c r="N52" s="54">
        <v>80</v>
      </c>
      <c r="O52" s="141">
        <v>180</v>
      </c>
      <c r="P52" s="54"/>
      <c r="Q52" s="131"/>
      <c r="S52" s="139"/>
    </row>
    <row r="53" ht="6" customHeight="1" spans="1:17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</row>
    <row r="54" ht="15" customHeight="1" spans="1:19" x14ac:dyDescent="0.25">
      <c r="A54" s="19">
        <v>9351</v>
      </c>
      <c r="B54" s="20" t="s">
        <v>58</v>
      </c>
      <c r="C54" s="54">
        <v>125.17</v>
      </c>
      <c r="D54" s="54">
        <v>23.75</v>
      </c>
      <c r="E54" s="54">
        <v>101.42</v>
      </c>
      <c r="F54" s="54"/>
      <c r="G54" s="54"/>
      <c r="H54" s="54"/>
      <c r="I54" s="54"/>
      <c r="J54" s="54"/>
      <c r="K54" s="54"/>
      <c r="L54" s="54">
        <v>16</v>
      </c>
      <c r="M54" s="54">
        <v>32</v>
      </c>
      <c r="N54" s="54">
        <v>65</v>
      </c>
      <c r="O54" s="54"/>
      <c r="P54" s="54"/>
      <c r="Q54" s="131"/>
      <c r="S54" s="138"/>
    </row>
    <row r="55" ht="6" customHeight="1" spans="1:17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</row>
    <row r="56" ht="15" customHeight="1" spans="1:19" x14ac:dyDescent="0.25">
      <c r="A56" s="19">
        <v>7429</v>
      </c>
      <c r="B56" s="20" t="s">
        <v>59</v>
      </c>
      <c r="C56" s="54">
        <v>130.62</v>
      </c>
      <c r="D56" s="54">
        <v>34.75</v>
      </c>
      <c r="E56" s="54">
        <v>95.87</v>
      </c>
      <c r="F56" s="54"/>
      <c r="G56" s="54"/>
      <c r="H56" s="54"/>
      <c r="I56" s="54"/>
      <c r="J56" s="54"/>
      <c r="K56" s="54"/>
      <c r="L56" s="54"/>
      <c r="M56" s="54">
        <v>16</v>
      </c>
      <c r="N56" s="54">
        <v>70</v>
      </c>
      <c r="O56" s="54"/>
      <c r="P56" s="54"/>
      <c r="Q56" s="131"/>
      <c r="S56" s="139"/>
    </row>
    <row r="57" ht="6" customHeight="1" spans="1:17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</row>
    <row r="58" ht="15" customHeight="1" spans="1:17" x14ac:dyDescent="0.25">
      <c r="A58" s="19">
        <v>9508</v>
      </c>
      <c r="B58" s="20" t="s">
        <v>60</v>
      </c>
      <c r="C58" s="54">
        <v>140.15</v>
      </c>
      <c r="D58" s="54">
        <v>5.75</v>
      </c>
      <c r="E58" s="54">
        <v>134.4</v>
      </c>
      <c r="F58" s="54"/>
      <c r="G58" s="54"/>
      <c r="H58" s="54"/>
      <c r="I58" s="54"/>
      <c r="J58" s="54"/>
      <c r="K58" s="54"/>
      <c r="L58" s="54"/>
      <c r="M58" s="54"/>
      <c r="N58" s="54"/>
      <c r="O58" s="54">
        <v>52</v>
      </c>
      <c r="P58" s="54">
        <v>13</v>
      </c>
      <c r="Q58" s="131">
        <v>69</v>
      </c>
    </row>
    <row r="59" ht="6" customHeight="1" spans="1:17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</row>
    <row r="60" ht="15" customHeight="1" spans="1:17" x14ac:dyDescent="0.25">
      <c r="A60" s="19"/>
      <c r="B60" s="20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131"/>
    </row>
    <row r="61" ht="6" customHeight="1" spans="1:17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</row>
    <row r="62" ht="15" customHeight="1" spans="1:17" x14ac:dyDescent="0.25">
      <c r="A62" s="19"/>
      <c r="B62" s="20" t="s">
        <v>61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131"/>
    </row>
    <row r="63" ht="6" customHeight="1" spans="1:17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</row>
    <row r="64" ht="15" customHeight="1" spans="1:17" x14ac:dyDescent="0.25">
      <c r="A64" s="19">
        <v>8946</v>
      </c>
      <c r="B64" s="20" t="s">
        <v>62</v>
      </c>
      <c r="C64" s="54">
        <v>358.86</v>
      </c>
      <c r="D64" s="54">
        <v>0</v>
      </c>
      <c r="E64" s="54">
        <v>358.86</v>
      </c>
      <c r="F64" s="54"/>
      <c r="G64" s="54"/>
      <c r="H64" s="54"/>
      <c r="I64" s="54"/>
      <c r="J64" s="54"/>
      <c r="K64" s="54"/>
      <c r="L64" s="54"/>
      <c r="M64" s="54"/>
      <c r="N64" s="54">
        <v>143</v>
      </c>
      <c r="O64" s="54"/>
      <c r="P64" s="54">
        <v>215</v>
      </c>
      <c r="Q64" s="131"/>
    </row>
    <row r="65" ht="6" customHeight="1" spans="1:17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</row>
    <row r="66" ht="15" customHeight="1" spans="1:17" x14ac:dyDescent="0.25">
      <c r="A66" s="19">
        <v>8308</v>
      </c>
      <c r="B66" s="20" t="s">
        <v>63</v>
      </c>
      <c r="C66" s="54">
        <v>2344.68</v>
      </c>
      <c r="D66" s="54">
        <v>1401.92</v>
      </c>
      <c r="E66" s="54">
        <v>942.7599999999998</v>
      </c>
      <c r="F66" s="54"/>
      <c r="G66" s="54"/>
      <c r="H66" s="54"/>
      <c r="I66" s="54"/>
      <c r="J66" s="54"/>
      <c r="K66" s="54"/>
      <c r="L66" s="54"/>
      <c r="M66" s="54">
        <v>320</v>
      </c>
      <c r="N66" s="54">
        <v>250</v>
      </c>
      <c r="O66" s="54">
        <v>250</v>
      </c>
      <c r="P66" s="54">
        <v>240</v>
      </c>
      <c r="Q66" s="54">
        <v>80</v>
      </c>
    </row>
    <row r="67" ht="15" customHeight="1" spans="1:17" x14ac:dyDescent="0.25">
      <c r="A67" s="19">
        <f>'Main Sheet'!A68</f>
      </c>
      <c r="B67" s="20">
        <f>'Main Sheet'!B68</f>
      </c>
      <c r="C67" s="54">
        <f>LOOKUP(2,1/('Deliverables Sheet'!S229:S233&lt;&gt;0),'Deliverables Sheet'!S229:S233)</f>
      </c>
      <c r="D67" s="54">
        <f>LOOKUP(2,1/('Deliverables Sheet'!T229:T233&lt;&gt;0),'Deliverables Sheet'!T229:T233)</f>
      </c>
      <c r="E67" s="54">
        <f>LOOKUP(2,1/('Deliverables Sheet'!U229:U233&lt;&gt;0),'Deliverables Sheet'!U229:U233)</f>
      </c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</row>
    <row r="68" ht="15" customHeight="1" spans="1:17" x14ac:dyDescent="0.25">
      <c r="A68" s="142"/>
      <c r="B68" s="14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144"/>
    </row>
    <row r="69" ht="15" customHeight="1" spans="1:17" x14ac:dyDescent="0.25">
      <c r="A69" s="142"/>
      <c r="B69" s="14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144"/>
    </row>
    <row r="70" ht="15.75" customHeight="1" spans="1:17" x14ac:dyDescent="0.25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</row>
    <row r="71" ht="15" customHeight="1" spans="1:17" x14ac:dyDescent="0.25">
      <c r="A71" s="142"/>
      <c r="B71" s="146" t="s">
        <v>147</v>
      </c>
      <c r="C71" s="147"/>
      <c r="D71" s="147"/>
      <c r="E71" s="147"/>
      <c r="F71" s="147">
        <v>640</v>
      </c>
      <c r="G71" s="147">
        <v>715</v>
      </c>
      <c r="H71" s="147">
        <v>790</v>
      </c>
      <c r="I71" s="147">
        <v>700</v>
      </c>
      <c r="J71" s="147">
        <v>700</v>
      </c>
      <c r="K71" s="147">
        <v>700</v>
      </c>
      <c r="L71" s="147">
        <v>716</v>
      </c>
      <c r="M71" s="147">
        <v>2520</v>
      </c>
      <c r="N71" s="147">
        <v>3060</v>
      </c>
      <c r="O71" s="147">
        <v>1316</v>
      </c>
      <c r="P71" s="147">
        <v>914</v>
      </c>
      <c r="Q71" s="147">
        <v>650</v>
      </c>
    </row>
    <row r="72" ht="15" customHeight="1" spans="1:17" x14ac:dyDescent="0.25">
      <c r="A72" s="142"/>
      <c r="B72" s="77" t="s">
        <v>148</v>
      </c>
      <c r="C72" s="20"/>
      <c r="D72" s="20"/>
      <c r="E72" s="20"/>
      <c r="F72" s="20">
        <v>140</v>
      </c>
      <c r="G72" s="20">
        <v>15</v>
      </c>
      <c r="H72" s="20">
        <v>90</v>
      </c>
      <c r="I72" s="20"/>
      <c r="J72" s="20"/>
      <c r="K72" s="20"/>
      <c r="L72" s="20">
        <v>16</v>
      </c>
      <c r="M72" s="20">
        <v>800</v>
      </c>
      <c r="N72" s="20">
        <v>858</v>
      </c>
      <c r="O72" s="20">
        <v>476</v>
      </c>
      <c r="P72" s="20">
        <v>214</v>
      </c>
      <c r="Q72" s="20">
        <v>150</v>
      </c>
    </row>
    <row r="73" ht="15" customHeight="1" spans="1:17" x14ac:dyDescent="0.25">
      <c r="A73" s="142"/>
      <c r="B73" s="77" t="s">
        <v>149</v>
      </c>
      <c r="C73" s="20">
        <v>4490.26</v>
      </c>
      <c r="D73" s="20"/>
      <c r="E73" s="20"/>
      <c r="F73" s="20"/>
      <c r="G73" s="20"/>
      <c r="H73" s="20"/>
      <c r="I73" s="20"/>
      <c r="J73" s="20"/>
      <c r="K73" s="20"/>
      <c r="L73" s="20"/>
      <c r="M73" s="20">
        <v>1020</v>
      </c>
      <c r="N73" s="20">
        <v>1502</v>
      </c>
      <c r="O73" s="20">
        <v>140</v>
      </c>
      <c r="P73" s="20"/>
      <c r="Q73" s="20"/>
    </row>
    <row r="74" ht="15" customHeight="1" spans="1:17" x14ac:dyDescent="0.25">
      <c r="A74" s="142"/>
      <c r="B74" s="148" t="s">
        <v>150</v>
      </c>
      <c r="C74" s="149"/>
      <c r="D74" s="149"/>
      <c r="E74" s="149"/>
      <c r="F74" s="149">
        <v>1488</v>
      </c>
      <c r="G74" s="149">
        <v>2112</v>
      </c>
      <c r="H74" s="149">
        <v>1984</v>
      </c>
      <c r="I74" s="149">
        <v>1884.8</v>
      </c>
      <c r="J74" s="149">
        <v>1948.8</v>
      </c>
      <c r="K74" s="149">
        <v>2083.2</v>
      </c>
      <c r="L74" s="149">
        <v>2604.8</v>
      </c>
      <c r="M74" s="149">
        <v>2486.4</v>
      </c>
      <c r="N74" s="149">
        <v>2604.8</v>
      </c>
      <c r="O74" s="149">
        <v>2217.6</v>
      </c>
      <c r="P74" s="149">
        <v>2112</v>
      </c>
      <c r="Q74" s="150">
        <v>1478.4</v>
      </c>
    </row>
    <row r="75" ht="15" customHeight="1" spans="1:17" x14ac:dyDescent="0.25">
      <c r="A75" s="142"/>
      <c r="B75" s="151" t="s">
        <v>151</v>
      </c>
      <c r="C75" s="152"/>
      <c r="D75" s="152"/>
      <c r="E75" s="152"/>
      <c r="F75" s="153">
        <v>-848</v>
      </c>
      <c r="G75" s="153">
        <v>-1397</v>
      </c>
      <c r="H75" s="154">
        <v>-1194</v>
      </c>
      <c r="I75" s="153">
        <v>-1184.8</v>
      </c>
      <c r="J75" s="153">
        <v>-1248.8</v>
      </c>
      <c r="K75" s="153">
        <v>-1383.2</v>
      </c>
      <c r="L75" s="153">
        <v>-1888.8</v>
      </c>
      <c r="M75" s="153">
        <v>33.5999999999999</v>
      </c>
      <c r="N75" s="153">
        <v>455.2</v>
      </c>
      <c r="O75" s="153">
        <v>-901.6</v>
      </c>
      <c r="P75" s="153">
        <v>-1198</v>
      </c>
      <c r="Q75" s="155">
        <v>-828.4</v>
      </c>
    </row>
    <row r="76" ht="15" customHeight="1" spans="1:17" x14ac:dyDescent="0.25">
      <c r="A76" s="142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144"/>
    </row>
    <row r="77" ht="15" customHeight="1" spans="1:17" x14ac:dyDescent="0.25">
      <c r="A77" s="142"/>
      <c r="B77" s="156" t="s">
        <v>152</v>
      </c>
      <c r="C77" s="157" t="s">
        <v>153</v>
      </c>
      <c r="D77" s="157"/>
      <c r="E77" s="157"/>
      <c r="F77" s="158">
        <v>15</v>
      </c>
      <c r="G77" s="159">
        <v>20</v>
      </c>
      <c r="H77" s="159">
        <v>20</v>
      </c>
      <c r="I77" s="159">
        <v>19</v>
      </c>
      <c r="J77" s="159">
        <v>21</v>
      </c>
      <c r="K77" s="159">
        <v>21</v>
      </c>
      <c r="L77" s="159">
        <v>22</v>
      </c>
      <c r="M77" s="159">
        <v>21</v>
      </c>
      <c r="N77" s="159">
        <v>22</v>
      </c>
      <c r="O77" s="159">
        <v>21</v>
      </c>
      <c r="P77" s="159">
        <v>20</v>
      </c>
      <c r="Q77" s="160">
        <v>14</v>
      </c>
    </row>
    <row r="78" ht="15" customHeight="1" spans="1:17" x14ac:dyDescent="0.25">
      <c r="A78" s="161"/>
      <c r="B78" s="162" t="s">
        <v>154</v>
      </c>
      <c r="C78" s="157"/>
      <c r="D78" s="157"/>
      <c r="E78" s="157"/>
      <c r="F78" s="163">
        <v>15.5</v>
      </c>
      <c r="G78" s="163">
        <v>16.5</v>
      </c>
      <c r="H78" s="163">
        <v>15.5</v>
      </c>
      <c r="I78" s="163">
        <v>15.5</v>
      </c>
      <c r="J78" s="163">
        <v>14.5</v>
      </c>
      <c r="K78" s="163">
        <v>15.5</v>
      </c>
      <c r="L78" s="163">
        <v>18.5</v>
      </c>
      <c r="M78" s="163">
        <v>18.5</v>
      </c>
      <c r="N78" s="163">
        <v>18.5</v>
      </c>
      <c r="O78" s="163">
        <v>16.5</v>
      </c>
      <c r="P78" s="163">
        <v>16.5</v>
      </c>
      <c r="Q78" s="163">
        <v>16.5</v>
      </c>
    </row>
    <row r="79" spans="1:17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</row>
    <row r="80" ht="15" customHeight="1" spans="1:17" x14ac:dyDescent="0.25">
      <c r="A80" s="35"/>
      <c r="B80" s="164" t="s">
        <v>155</v>
      </c>
      <c r="C80" s="165"/>
      <c r="D80" s="35"/>
      <c r="E80" s="35"/>
      <c r="F80" s="35"/>
      <c r="G80" s="35"/>
      <c r="H80" s="35"/>
      <c r="I80" s="35"/>
      <c r="J80" s="35"/>
      <c r="K80" s="35"/>
      <c r="L80" s="166" t="s">
        <v>156</v>
      </c>
      <c r="M80" s="166"/>
      <c r="N80" s="35"/>
      <c r="O80" s="35"/>
      <c r="P80" s="35"/>
      <c r="Q80" s="35"/>
    </row>
    <row r="81" ht="15" customHeight="1" spans="1:17" x14ac:dyDescent="0.25">
      <c r="A81" s="35"/>
      <c r="B81" s="167" t="s">
        <v>157</v>
      </c>
      <c r="C81" s="168">
        <v>1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 ht="15" customHeight="1" spans="1:17" x14ac:dyDescent="0.25">
      <c r="A82" s="35"/>
      <c r="B82" s="19" t="s">
        <v>158</v>
      </c>
      <c r="C82" s="131">
        <v>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 ht="15" customHeight="1" spans="1:17" x14ac:dyDescent="0.25">
      <c r="A83" s="35"/>
      <c r="B83" s="19" t="s">
        <v>159</v>
      </c>
      <c r="C83" s="131">
        <v>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 ht="15" customHeight="1" spans="1:17" x14ac:dyDescent="0.25">
      <c r="A84" s="35"/>
      <c r="B84" s="19" t="s">
        <v>160</v>
      </c>
      <c r="C84" s="131">
        <v>1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 ht="15" customHeight="1" spans="1:17" x14ac:dyDescent="0.25">
      <c r="A85" s="35"/>
      <c r="B85" s="19" t="s">
        <v>161</v>
      </c>
      <c r="C85" s="131">
        <v>1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 ht="15" customHeight="1" spans="1:17" x14ac:dyDescent="0.25">
      <c r="A86" s="35"/>
      <c r="B86" s="19" t="s">
        <v>162</v>
      </c>
      <c r="C86" s="131">
        <v>0.5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 ht="15" customHeight="1" spans="1:17" x14ac:dyDescent="0.25">
      <c r="A87" s="35"/>
      <c r="B87" s="19" t="s">
        <v>163</v>
      </c>
      <c r="C87" s="131">
        <v>1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 ht="15" customHeight="1" spans="1:17" x14ac:dyDescent="0.25">
      <c r="A88" s="35"/>
      <c r="B88" s="19" t="s">
        <v>164</v>
      </c>
      <c r="C88" s="131">
        <v>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 ht="15" customHeight="1" spans="1:17" x14ac:dyDescent="0.25">
      <c r="A89" s="35"/>
      <c r="B89" s="19" t="s">
        <v>165</v>
      </c>
      <c r="C89" s="131">
        <v>1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 ht="15" customHeight="1" spans="1:17" x14ac:dyDescent="0.25">
      <c r="A90" s="35"/>
      <c r="B90" s="19" t="s">
        <v>166</v>
      </c>
      <c r="C90" s="131">
        <v>0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 ht="15" customHeight="1" spans="1:17" x14ac:dyDescent="0.25">
      <c r="A91" s="35"/>
      <c r="B91" s="19" t="s">
        <v>167</v>
      </c>
      <c r="C91" s="131">
        <v>1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 ht="15" customHeight="1" spans="1:17" x14ac:dyDescent="0.25">
      <c r="A92" s="35"/>
      <c r="B92" s="19"/>
      <c r="C92" s="131">
        <v>0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 ht="15" customHeight="1" spans="1:17" x14ac:dyDescent="0.25">
      <c r="A93" s="35"/>
      <c r="B93" s="19"/>
      <c r="C93" s="131">
        <v>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 ht="15" customHeight="1" spans="1:17" x14ac:dyDescent="0.25">
      <c r="A94" s="35"/>
      <c r="B94" s="19"/>
      <c r="C94" s="131">
        <v>0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 ht="15" customHeight="1" spans="1:17" x14ac:dyDescent="0.25">
      <c r="A95" s="35"/>
      <c r="B95" s="19"/>
      <c r="C95" s="131">
        <v>0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 ht="15" customHeight="1" spans="1:17" x14ac:dyDescent="0.25">
      <c r="A96" s="35"/>
      <c r="B96" s="19"/>
      <c r="C96" s="131">
        <v>0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 ht="15" customHeight="1" spans="1:17" x14ac:dyDescent="0.25">
      <c r="A97" s="35"/>
      <c r="B97" s="19"/>
      <c r="C97" s="131">
        <v>0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 ht="15" customHeight="1" spans="1:17" x14ac:dyDescent="0.25">
      <c r="A98" s="35"/>
      <c r="B98" s="19"/>
      <c r="C98" s="131">
        <v>0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 ht="15" customHeight="1" spans="1:17" x14ac:dyDescent="0.25">
      <c r="A99" s="35"/>
      <c r="B99" s="19" t="s">
        <v>168</v>
      </c>
      <c r="C99" s="131">
        <v>1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 ht="15" customHeight="1" spans="1:17" x14ac:dyDescent="0.25">
      <c r="A100" s="35"/>
      <c r="B100" s="19" t="s">
        <v>169</v>
      </c>
      <c r="C100" s="131">
        <v>1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 ht="15" customHeight="1" spans="1:17" x14ac:dyDescent="0.25">
      <c r="A101" s="35"/>
      <c r="B101" s="19" t="s">
        <v>170</v>
      </c>
      <c r="C101" s="131">
        <v>1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 ht="15" customHeight="1" spans="1:17" x14ac:dyDescent="0.25">
      <c r="A102" s="35"/>
      <c r="B102" s="19" t="s">
        <v>171</v>
      </c>
      <c r="C102" s="131">
        <v>1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 ht="15" customHeight="1" spans="1:17" x14ac:dyDescent="0.25">
      <c r="A103" s="35"/>
      <c r="B103" s="19" t="s">
        <v>172</v>
      </c>
      <c r="C103" s="131">
        <v>1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 ht="15" customHeight="1" spans="1:17" x14ac:dyDescent="0.25">
      <c r="A104" s="35"/>
      <c r="B104" s="19" t="s">
        <v>173</v>
      </c>
      <c r="C104" s="131">
        <v>1</v>
      </c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 ht="15" customHeight="1" spans="1:17" x14ac:dyDescent="0.25">
      <c r="A105" s="35"/>
      <c r="B105" s="19" t="s">
        <v>174</v>
      </c>
      <c r="C105" s="131">
        <v>1</v>
      </c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 ht="15" customHeight="1" spans="1:17" x14ac:dyDescent="0.25">
      <c r="A106" s="35"/>
      <c r="B106" s="19"/>
      <c r="C106" s="131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 ht="15" customHeight="1" spans="1:17" x14ac:dyDescent="0.25">
      <c r="A107" s="35"/>
      <c r="B107" s="19"/>
      <c r="C107" s="131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 ht="15" customHeight="1" spans="1:17" x14ac:dyDescent="0.25">
      <c r="A108" s="35"/>
      <c r="B108" s="19"/>
      <c r="C108" s="131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 ht="15" customHeight="1" spans="1:17" x14ac:dyDescent="0.25">
      <c r="A109" s="35"/>
      <c r="B109" s="169"/>
      <c r="C109" s="150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  <row r="110" ht="15" customHeight="1" spans="1:17" x14ac:dyDescent="0.25">
      <c r="A110" s="35"/>
      <c r="B110" s="164" t="s">
        <v>175</v>
      </c>
      <c r="C110" s="170">
        <v>16.5</v>
      </c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</row>
  </sheetData>
  <mergeCells count="33">
    <mergeCell ref="A1:Q1"/>
    <mergeCell ref="A5:Q5"/>
    <mergeCell ref="A7:Q7"/>
    <mergeCell ref="A9:Q9"/>
    <mergeCell ref="A11:Q11"/>
    <mergeCell ref="A13:Q13"/>
    <mergeCell ref="A15:Q15"/>
    <mergeCell ref="A17:Q17"/>
    <mergeCell ref="A19:Q19"/>
    <mergeCell ref="A21:Q21"/>
    <mergeCell ref="A25:Q25"/>
    <mergeCell ref="A27:Q27"/>
    <mergeCell ref="A29:Q29"/>
    <mergeCell ref="A31:Q31"/>
    <mergeCell ref="A33:Q33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70:Q70"/>
    <mergeCell ref="C77:E78"/>
  </mergeCells>
  <conditionalFormatting sqref="F74:Q74">
    <cfRule type="cellIs" dxfId="229" priority="2" operator="lessThan">
      <formula>0</formula>
    </cfRule>
    <cfRule type="cellIs" dxfId="230" priority="3" operator="greater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6"/>
  <sheetViews>
    <sheetView workbookViewId="0" zoomScale="100" zoomScaleNormal="100" view="normal">
      <selection activeCell="A37" sqref="A3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176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 t="s">
        <v>177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 t="s">
        <v>178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175" t="s">
        <v>179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3"/>
    </row>
    <row r="6" ht="15" customHeight="1" spans="1:29" x14ac:dyDescent="0.25">
      <c r="A6" s="176" t="s">
        <v>180</v>
      </c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177" t="s">
        <v>181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3"/>
    </row>
    <row r="8" ht="15" customHeight="1" spans="1:29" x14ac:dyDescent="0.25">
      <c r="A8" s="176" t="s">
        <v>182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178" t="s">
        <v>183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3"/>
    </row>
    <row r="10" ht="15" customHeight="1" spans="1:29" x14ac:dyDescent="0.25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3"/>
    </row>
    <row r="11" ht="15" customHeight="1" spans="1:29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73"/>
    </row>
    <row r="12" ht="15" customHeight="1" spans="1:29" x14ac:dyDescent="0.25">
      <c r="A12" s="181" t="s">
        <v>184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73"/>
    </row>
    <row r="13" ht="15" customHeight="1" spans="1:29" x14ac:dyDescent="0.25">
      <c r="A13" s="182" t="s">
        <v>185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73"/>
    </row>
    <row r="14" ht="15" customHeight="1" spans="1:29" x14ac:dyDescent="0.25">
      <c r="A14" s="183" t="s">
        <v>186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73"/>
    </row>
    <row r="15" ht="15" customHeight="1" spans="1:29" x14ac:dyDescent="0.25">
      <c r="A15" s="172" t="s">
        <v>187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3"/>
    </row>
    <row r="16" ht="15" customHeight="1" spans="1:29" x14ac:dyDescent="0.25">
      <c r="A16" s="184" t="s">
        <v>188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  <c r="Z16" s="184"/>
      <c r="AA16" s="184"/>
      <c r="AB16" s="184"/>
      <c r="AC16" s="173"/>
    </row>
    <row r="17" ht="15" customHeight="1" spans="1:29" x14ac:dyDescent="0.25">
      <c r="A17" s="185" t="s">
        <v>189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73"/>
    </row>
    <row r="18" ht="15" customHeight="1" spans="1:29" x14ac:dyDescent="0.25">
      <c r="A18" s="186" t="s">
        <v>190</v>
      </c>
      <c r="B18" s="186"/>
      <c r="C18" s="186"/>
      <c r="D18" s="186"/>
      <c r="E18" s="186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73"/>
    </row>
    <row r="19" ht="15" customHeight="1" spans="1:29" x14ac:dyDescent="0.25">
      <c r="A19" s="178" t="s">
        <v>191</v>
      </c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3"/>
    </row>
    <row r="20" ht="15" customHeight="1" spans="1:29" x14ac:dyDescent="0.25">
      <c r="A20" s="187" t="s">
        <v>192</v>
      </c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73"/>
    </row>
    <row r="21" ht="15" customHeight="1" spans="1:29" x14ac:dyDescent="0.25">
      <c r="A21" s="188" t="s">
        <v>193</v>
      </c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73"/>
    </row>
    <row r="22" ht="15" customHeight="1" spans="1:29" x14ac:dyDescent="0.25">
      <c r="A22" s="188" t="s">
        <v>194</v>
      </c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73"/>
    </row>
    <row r="23" ht="15" customHeight="1" spans="1:29" x14ac:dyDescent="0.25">
      <c r="A23" s="188" t="s">
        <v>195</v>
      </c>
      <c r="B23" s="188"/>
      <c r="C23" s="188"/>
      <c r="D23" s="188"/>
      <c r="E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73"/>
    </row>
    <row r="24" ht="15" customHeight="1" spans="1:29" x14ac:dyDescent="0.25">
      <c r="A24" s="188" t="s">
        <v>196</v>
      </c>
      <c r="B24" s="188"/>
      <c r="C24" s="188"/>
      <c r="D24" s="188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73"/>
    </row>
    <row r="25" ht="15" customHeight="1" spans="1:29" x14ac:dyDescent="0.25">
      <c r="A25" s="189" t="s">
        <v>197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73"/>
    </row>
    <row r="26" ht="15" customHeight="1" spans="1:29" x14ac:dyDescent="0.25">
      <c r="A26" s="181" t="s">
        <v>198</v>
      </c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  <c r="X26" s="181"/>
      <c r="Y26" s="181"/>
      <c r="Z26" s="181"/>
      <c r="AA26" s="181"/>
      <c r="AB26" s="181"/>
      <c r="AC26" s="173"/>
    </row>
    <row r="27" ht="15" customHeight="1" spans="1:29" x14ac:dyDescent="0.25">
      <c r="A27" s="190" t="s">
        <v>199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73"/>
    </row>
    <row r="28" ht="15" customHeight="1" spans="1:28" x14ac:dyDescent="0.25">
      <c r="A28" s="172" t="s">
        <v>200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190" t="s">
        <v>201</v>
      </c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</row>
    <row r="30" ht="15" customHeight="1" spans="1:28" x14ac:dyDescent="0.25">
      <c r="A30" s="191" t="s">
        <v>202</v>
      </c>
      <c r="B30" s="191"/>
      <c r="C30" s="191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</row>
    <row r="31" ht="15" customHeight="1" spans="1:28" x14ac:dyDescent="0.25">
      <c r="A31" s="191" t="s">
        <v>203</v>
      </c>
      <c r="B31" s="191"/>
      <c r="C31" s="191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</row>
    <row r="32" ht="15" customHeight="1" spans="1:28" x14ac:dyDescent="0.25">
      <c r="A32" s="191" t="s">
        <v>204</v>
      </c>
      <c r="B32" s="191"/>
      <c r="C32" s="191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</row>
    <row r="33" ht="15" customHeight="1" spans="1:28" x14ac:dyDescent="0.25">
      <c r="A33" s="191"/>
      <c r="B33" s="191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</row>
    <row r="34" ht="15" customHeight="1" spans="1:28" x14ac:dyDescent="0.25">
      <c r="A34" s="191"/>
      <c r="B34" s="191"/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</row>
    <row r="35" ht="15" customHeight="1" spans="1:28" x14ac:dyDescent="0.25">
      <c r="A35" s="192" t="s">
        <v>205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</row>
    <row r="36" ht="15" customHeight="1" spans="1:28" x14ac:dyDescent="0.25">
      <c r="A36" s="193" t="s">
        <v>206</v>
      </c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</row>
    <row r="37" ht="15" customHeight="1" spans="1:28" x14ac:dyDescent="0.25">
      <c r="A37" s="194" t="s">
        <v>207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</row>
    <row r="38" ht="15" customHeight="1" spans="1:28" x14ac:dyDescent="0.25">
      <c r="A38" s="179" t="s">
        <v>208</v>
      </c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" customHeight="1" spans="1:28" x14ac:dyDescent="0.25">
      <c r="A39" s="181" t="s">
        <v>209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</row>
    <row r="40" ht="15" customHeight="1" spans="1:28" x14ac:dyDescent="0.25">
      <c r="A40" s="195"/>
      <c r="B40" s="195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</row>
    <row r="41" ht="15" customHeight="1" spans="1:28" x14ac:dyDescent="0.25">
      <c r="A41" s="172" t="s">
        <v>210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</row>
    <row r="42" ht="15" customHeight="1" spans="1:28" x14ac:dyDescent="0.25">
      <c r="A42" s="196" t="s">
        <v>211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</row>
    <row r="43" ht="15" customHeight="1" spans="1:28" x14ac:dyDescent="0.25">
      <c r="A43" s="172" t="s">
        <v>212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</row>
    <row r="44" ht="15" customHeight="1" spans="1:28" x14ac:dyDescent="0.25">
      <c r="A44" s="197" t="s">
        <v>213</v>
      </c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</row>
    <row r="45" ht="15" customHeight="1" spans="1:28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</row>
    <row r="46" ht="15" customHeight="1" spans="1:28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</row>
    <row r="47" ht="15" customHeight="1" spans="1:28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</row>
    <row r="48" ht="15" customHeight="1" spans="1:28" x14ac:dyDescent="0.25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</row>
    <row r="49" ht="15" customHeight="1" spans="1:28" x14ac:dyDescent="0.25">
      <c r="A49" s="172" t="s">
        <v>214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</row>
    <row r="50" ht="15" customHeight="1" spans="1:28" x14ac:dyDescent="0.25">
      <c r="A50" s="200" t="s">
        <v>215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200"/>
    </row>
    <row r="51" ht="15" customHeight="1" spans="1:28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</row>
    <row r="52" ht="15" customHeight="1" spans="1:28" x14ac:dyDescent="0.25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</row>
    <row r="53" ht="15" customHeight="1" spans="1:28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</row>
    <row r="54" ht="15" customHeight="1" spans="1:28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</row>
    <row r="55" ht="15" customHeight="1" spans="1:28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</row>
    <row r="56" ht="15" customHeight="1" spans="1:28" x14ac:dyDescent="0.25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</sheetData>
  <mergeCells count="55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  <mergeCell ref="A46:AB46"/>
    <mergeCell ref="A47:AB47"/>
    <mergeCell ref="A48:AB48"/>
    <mergeCell ref="A49:AB49"/>
    <mergeCell ref="A50:AB50"/>
    <mergeCell ref="A51:AB51"/>
    <mergeCell ref="A52:AB52"/>
    <mergeCell ref="A53:AB53"/>
    <mergeCell ref="A54:AB54"/>
    <mergeCell ref="A55:AB55"/>
    <mergeCell ref="A56:AB56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45"/>
  <sheetViews>
    <sheetView workbookViewId="0" zoomScale="100" zoomScaleNormal="100" view="normal">
      <selection activeCell="A7" sqref="A7"/>
    </sheetView>
  </sheetViews>
  <sheetFormatPr defaultRowHeight="15" outlineLevelRow="0" outlineLevelCol="0" x14ac:dyDescent="0" defaultColWidth="8.5390625"/>
  <sheetData>
    <row r="2" ht="15" customHeight="1" spans="1:28" x14ac:dyDescent="0.25">
      <c r="A2" s="171" t="s">
        <v>216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</row>
    <row r="3" ht="15" customHeight="1" spans="1:29" x14ac:dyDescent="0.25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3"/>
    </row>
    <row r="4" ht="15" customHeight="1" spans="1:29" x14ac:dyDescent="0.25">
      <c r="A4" s="174"/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3"/>
    </row>
    <row r="5" ht="15" customHeight="1" spans="1:29" x14ac:dyDescent="0.25">
      <c r="A5" s="203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  <c r="AA5" s="203"/>
      <c r="AB5" s="203"/>
      <c r="AC5" s="173"/>
    </row>
    <row r="6" ht="15" customHeight="1" spans="1:29" x14ac:dyDescent="0.25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3"/>
    </row>
    <row r="7" ht="15" customHeight="1" spans="1:29" x14ac:dyDescent="0.25">
      <c r="A7" s="204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173"/>
    </row>
    <row r="8" ht="15" customHeight="1" spans="1:29" x14ac:dyDescent="0.25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3"/>
    </row>
    <row r="9" ht="15" customHeight="1" spans="1:29" x14ac:dyDescent="0.25">
      <c r="A9" s="205"/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173"/>
    </row>
    <row r="10" ht="15" customHeight="1" spans="1:29" x14ac:dyDescent="0.25">
      <c r="A10" s="206"/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173"/>
    </row>
    <row r="11" ht="15" customHeight="1" spans="1:29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3"/>
    </row>
    <row r="12" ht="15" customHeight="1" spans="1:29" x14ac:dyDescent="0.25">
      <c r="A12" s="207"/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173"/>
    </row>
    <row r="13" ht="15" customHeight="1" spans="1:29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3"/>
    </row>
    <row r="14" ht="15" customHeight="1" spans="1:29" x14ac:dyDescent="0.25">
      <c r="A14" s="184"/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/>
      <c r="AB14" s="184"/>
      <c r="AC14" s="173"/>
    </row>
    <row r="15" ht="15" customHeight="1" spans="1:29" x14ac:dyDescent="0.25">
      <c r="A15" s="20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173"/>
    </row>
    <row r="16" ht="15" customHeight="1" spans="1:29" x14ac:dyDescent="0.25">
      <c r="A16" s="208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  <c r="Q16" s="208"/>
      <c r="R16" s="208"/>
      <c r="S16" s="208"/>
      <c r="T16" s="208"/>
      <c r="U16" s="208"/>
      <c r="V16" s="208"/>
      <c r="W16" s="208"/>
      <c r="X16" s="208"/>
      <c r="Y16" s="208"/>
      <c r="Z16" s="208"/>
      <c r="AA16" s="208"/>
      <c r="AB16" s="208"/>
      <c r="AC16" s="173"/>
    </row>
    <row r="17" ht="15" customHeight="1" spans="1:29" x14ac:dyDescent="0.25">
      <c r="A17" s="205"/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173"/>
    </row>
    <row r="18" ht="15" customHeight="1" spans="1:29" x14ac:dyDescent="0.25">
      <c r="A18" s="205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173"/>
    </row>
    <row r="19" ht="15" customHeight="1" spans="1:29" x14ac:dyDescent="0.25">
      <c r="A19" s="209"/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173"/>
    </row>
    <row r="20" ht="15" customHeight="1" spans="1:29" x14ac:dyDescent="0.25">
      <c r="A20" s="172"/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3"/>
    </row>
    <row r="21" ht="15" customHeight="1" spans="1:29" x14ac:dyDescent="0.25">
      <c r="A21" s="190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73"/>
    </row>
    <row r="22" ht="15" customHeight="1" spans="1:28" x14ac:dyDescent="0.25">
      <c r="A22" s="172"/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</row>
    <row r="23" ht="15" customHeight="1" spans="1:28" x14ac:dyDescent="0.25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</row>
    <row r="24" ht="15" customHeight="1" spans="1:28" x14ac:dyDescent="0.25">
      <c r="A24" s="211"/>
      <c r="B24" s="211"/>
      <c r="C24" s="211"/>
      <c r="D24" s="211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1"/>
      <c r="R24" s="211"/>
      <c r="S24" s="211"/>
      <c r="T24" s="211"/>
      <c r="U24" s="211"/>
      <c r="V24" s="211"/>
      <c r="W24" s="211"/>
      <c r="X24" s="211"/>
      <c r="Y24" s="211"/>
      <c r="Z24" s="211"/>
      <c r="AA24" s="211"/>
      <c r="AB24" s="211"/>
    </row>
    <row r="25" ht="15" customHeight="1" spans="1:28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</row>
    <row r="26" ht="15" customHeight="1" spans="1:28" x14ac:dyDescent="0.25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</row>
    <row r="27" ht="15" customHeight="1" spans="1:28" x14ac:dyDescent="0.25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ht="15" customHeight="1" spans="1:28" x14ac:dyDescent="0.25">
      <c r="A28" s="172"/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</row>
    <row r="29" ht="15" customHeight="1" spans="1:28" x14ac:dyDescent="0.25">
      <c r="A29" s="213"/>
      <c r="B29" s="213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  <c r="Z29" s="213"/>
      <c r="AA29" s="213"/>
      <c r="AB29" s="213"/>
    </row>
    <row r="30" ht="15" customHeight="1" spans="1:28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</row>
    <row r="31" ht="15" customHeight="1" spans="1:28" x14ac:dyDescent="0.25">
      <c r="A31" s="213"/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</row>
    <row r="32" ht="15" customHeight="1" spans="1:28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</row>
    <row r="33" ht="15" customHeight="1" spans="1:28" x14ac:dyDescent="0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200"/>
    </row>
    <row r="34" ht="15" customHeight="1" spans="1:28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</row>
    <row r="35" ht="15" customHeight="1" spans="1:28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</row>
    <row r="36" ht="15" customHeight="1" spans="1:28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</row>
    <row r="37" ht="15" customHeight="1" spans="1:28" x14ac:dyDescent="0.25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</row>
    <row r="38" ht="15" customHeight="1" spans="1:28" x14ac:dyDescent="0.25">
      <c r="A38" s="172" t="s">
        <v>214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</row>
    <row r="39" ht="15" customHeight="1" spans="1:28" x14ac:dyDescent="0.25">
      <c r="A39" s="200" t="s">
        <v>215</v>
      </c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</row>
    <row r="40" ht="15" customHeight="1" spans="1:28" x14ac:dyDescent="0.25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</row>
    <row r="41" ht="15" customHeight="1" spans="1:28" x14ac:dyDescent="0.25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</row>
    <row r="42" ht="15" customHeight="1" spans="1:28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</row>
    <row r="43" ht="15" customHeight="1" spans="1:28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</row>
    <row r="44" ht="15" customHeight="1" spans="1:28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</row>
    <row r="45" ht="15" customHeight="1" spans="1:28" x14ac:dyDescent="0.25">
      <c r="A45" s="202"/>
      <c r="B45" s="202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</sheetData>
  <mergeCells count="44">
    <mergeCell ref="A2:AB2"/>
    <mergeCell ref="A3:AB3"/>
    <mergeCell ref="A4:AB4"/>
    <mergeCell ref="A5:AB5"/>
    <mergeCell ref="A6:AB6"/>
    <mergeCell ref="A7:AB7"/>
    <mergeCell ref="A8:AB8"/>
    <mergeCell ref="A9:AB9"/>
    <mergeCell ref="A10:AB10"/>
    <mergeCell ref="A11:AB11"/>
    <mergeCell ref="A12:AB12"/>
    <mergeCell ref="A13:AB13"/>
    <mergeCell ref="A14:AB14"/>
    <mergeCell ref="A15:AB15"/>
    <mergeCell ref="A16:AB16"/>
    <mergeCell ref="A17:AB17"/>
    <mergeCell ref="A18:AB18"/>
    <mergeCell ref="A19:AB19"/>
    <mergeCell ref="A20:AB20"/>
    <mergeCell ref="A21:AB21"/>
    <mergeCell ref="A22:AB22"/>
    <mergeCell ref="A23:AB23"/>
    <mergeCell ref="A24:AB24"/>
    <mergeCell ref="A25:AB25"/>
    <mergeCell ref="A26:AB26"/>
    <mergeCell ref="A27:AB27"/>
    <mergeCell ref="A28:AB28"/>
    <mergeCell ref="A29:AB29"/>
    <mergeCell ref="A30:AB30"/>
    <mergeCell ref="A31:AB31"/>
    <mergeCell ref="A32:AB32"/>
    <mergeCell ref="A33:AB33"/>
    <mergeCell ref="A34:AB34"/>
    <mergeCell ref="A35:AB35"/>
    <mergeCell ref="A36:AB36"/>
    <mergeCell ref="A37:AB37"/>
    <mergeCell ref="A38:AB38"/>
    <mergeCell ref="A39:AB39"/>
    <mergeCell ref="A40:AB40"/>
    <mergeCell ref="A41:AB41"/>
    <mergeCell ref="A42:AB42"/>
    <mergeCell ref="A43:AB43"/>
    <mergeCell ref="A44:AB44"/>
    <mergeCell ref="A45:AB45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6"/>
  <sheetViews>
    <sheetView workbookViewId="0" zoomScale="85" zoomScaleNormal="85" view="normal">
      <pane xSplit="2" ySplit="3" topLeftCell="C4" activePane="bottomRight" state="frozen"/>
      <selection pane="bottomRight" activeCell="O7" sqref="O7"/>
    </sheetView>
  </sheetViews>
  <sheetFormatPr defaultRowHeight="15" outlineLevelRow="0" outlineLevelCol="0" x14ac:dyDescent="0" defaultColWidth="8.5390625"/>
  <cols>
    <col min="2" max="3" width="26.43" style="35" customWidth="1"/>
    <col min="4" max="4" width="13.86" style="36" customWidth="1"/>
    <col min="5" max="5" width="14.86" style="36" customWidth="1"/>
    <col min="6" max="6" width="13.72" style="36" customWidth="1"/>
    <col min="7" max="7" width="12.72" style="37" customWidth="1"/>
    <col min="8" max="8" width="15.57" style="36" customWidth="1"/>
    <col min="9" max="9" width="16.43" style="36" customWidth="1"/>
    <col min="10" max="10" width="13.86" style="36" customWidth="1"/>
    <col min="11" max="11" width="14" style="36" customWidth="1"/>
    <col min="12" max="12" width="14.29" style="36" customWidth="1"/>
    <col min="13" max="17" width="12.72" style="37" customWidth="1"/>
    <col min="18" max="20" width="12.72" style="36" customWidth="1"/>
    <col min="21" max="21" width="12.72" style="37" customWidth="1"/>
    <col min="22" max="24" width="12.72" style="35" customWidth="1"/>
    <col min="25" max="30" width="12.72" style="37" customWidth="1"/>
    <col min="33" max="33" width="29" style="35" customWidth="1"/>
    <col min="34" max="34" width="17" style="35" customWidth="1"/>
    <col min="37" max="37" width="11" style="35" customWidth="1"/>
    <col min="38" max="38" width="13.72" style="35" customWidth="1"/>
  </cols>
  <sheetData>
    <row r="1" ht="31.5" customHeight="1" spans="1:3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1"/>
      <c r="AG1" s="35"/>
      <c r="AH1" s="35"/>
      <c r="AK1" s="35"/>
      <c r="AL1" s="35"/>
    </row>
    <row r="2" ht="50.25" customHeight="1" spans="1:38" x14ac:dyDescent="0.25">
      <c r="A2" s="3" t="s">
        <v>1</v>
      </c>
      <c r="B2" s="4" t="s">
        <v>2</v>
      </c>
      <c r="C2" s="4" t="s">
        <v>65</v>
      </c>
      <c r="D2" s="43" t="s">
        <v>66</v>
      </c>
      <c r="E2" s="43" t="s">
        <v>67</v>
      </c>
      <c r="F2" s="39" t="s">
        <v>68</v>
      </c>
      <c r="G2" s="40" t="s">
        <v>69</v>
      </c>
      <c r="H2" s="43" t="s">
        <v>70</v>
      </c>
      <c r="I2" s="43" t="s">
        <v>71</v>
      </c>
      <c r="J2" s="41" t="s">
        <v>72</v>
      </c>
      <c r="K2" s="41" t="s">
        <v>73</v>
      </c>
      <c r="L2" s="39" t="s">
        <v>74</v>
      </c>
      <c r="M2" s="40" t="s">
        <v>75</v>
      </c>
      <c r="N2" s="42" t="s">
        <v>76</v>
      </c>
      <c r="O2" s="42" t="s">
        <v>217</v>
      </c>
      <c r="P2" s="42" t="s">
        <v>218</v>
      </c>
      <c r="Q2" s="42" t="s">
        <v>219</v>
      </c>
      <c r="R2" s="43" t="s">
        <v>77</v>
      </c>
      <c r="S2" s="43" t="s">
        <v>78</v>
      </c>
      <c r="T2" s="39" t="s">
        <v>79</v>
      </c>
      <c r="U2" s="40" t="s">
        <v>80</v>
      </c>
      <c r="V2" s="214" t="s">
        <v>81</v>
      </c>
      <c r="W2" s="214" t="s">
        <v>82</v>
      </c>
      <c r="X2" s="45" t="s">
        <v>83</v>
      </c>
      <c r="Y2" s="40" t="s">
        <v>84</v>
      </c>
      <c r="Z2" s="42" t="s">
        <v>85</v>
      </c>
      <c r="AA2" s="46" t="s">
        <v>86</v>
      </c>
      <c r="AB2" s="47" t="s">
        <v>87</v>
      </c>
      <c r="AC2" s="46" t="s">
        <v>88</v>
      </c>
      <c r="AD2" s="48" t="s">
        <v>89</v>
      </c>
      <c r="AG2" s="35"/>
      <c r="AH2" s="35"/>
      <c r="AK2" s="35"/>
      <c r="AL2" s="35"/>
    </row>
    <row r="3" ht="16.5" customHeight="1" spans="1:38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8"/>
      <c r="AG3" s="35"/>
      <c r="AH3" s="35"/>
      <c r="AK3" s="49" t="s">
        <v>90</v>
      </c>
      <c r="AL3" s="50" t="s">
        <v>91</v>
      </c>
    </row>
    <row r="4" ht="15" customHeight="1" spans="1:38" x14ac:dyDescent="0.25">
      <c r="A4" s="19">
        <f>'Main Sheet'!A4</f>
        <v>7658</v>
      </c>
      <c r="B4" s="20" t="str">
        <f>'Main Sheet'!B4</f>
        <v>Charity Hospital</v>
      </c>
      <c r="C4" s="51" t="s">
        <v>92</v>
      </c>
      <c r="D4" s="52">
        <v>1914143.52</v>
      </c>
      <c r="E4" s="52">
        <v>1667392.4</v>
      </c>
      <c r="F4" s="52">
        <f>D4-E4</f>
        <v>246751.12</v>
      </c>
      <c r="G4" s="53">
        <f>F4/D4</f>
        <v>0.128909414274223</v>
      </c>
      <c r="H4" s="52">
        <v>1675577.99</v>
      </c>
      <c r="I4" s="52">
        <v>1406264.78</v>
      </c>
      <c r="J4" s="52">
        <f>SUM(H4-(R4+O4))</f>
        <v>1511021.45</v>
      </c>
      <c r="K4" s="52">
        <f>SUM(I4-(S4+P4))</f>
        <v>1215391.45</v>
      </c>
      <c r="L4" s="52">
        <f>J4-K4</f>
        <v>295630</v>
      </c>
      <c r="M4" s="53">
        <f>L4/J4</f>
        <v>0.195649108753552</v>
      </c>
      <c r="N4" s="53"/>
      <c r="O4" s="215">
        <v>5</v>
      </c>
      <c r="P4" s="215">
        <v>4</v>
      </c>
      <c r="Q4" s="215">
        <f>O4-P4</f>
        <v>1</v>
      </c>
      <c r="R4" s="52">
        <v>164551.54</v>
      </c>
      <c r="S4" s="52">
        <v>190869.33</v>
      </c>
      <c r="T4" s="52">
        <f>R4-S4</f>
        <v>-26317.79</v>
      </c>
      <c r="U4" s="53">
        <f>T4/R4</f>
        <v>-0.159936455167785</v>
      </c>
      <c r="V4" s="54">
        <v>3296.1</v>
      </c>
      <c r="W4" s="54">
        <v>4599</v>
      </c>
      <c r="X4" s="54">
        <f>V4-W4</f>
        <v>-1302.9</v>
      </c>
      <c r="Y4" s="53">
        <f>X4/V4</f>
        <v>-0.395285337216711</v>
      </c>
      <c r="Z4" s="53"/>
      <c r="AA4" s="55">
        <f>(E4-K4-S4)/W4</f>
        <v>56.7800869754294</v>
      </c>
      <c r="AB4" s="55">
        <f>(D4-J4-R4)/V4</f>
        <v>72.3796395740421</v>
      </c>
      <c r="AC4" s="53">
        <f>(E4-K4-S4)/E4</f>
        <v>0.156610777403088</v>
      </c>
      <c r="AD4" s="56">
        <f>SUM(D4-H4)/D4</f>
        <v>0.124633042145137</v>
      </c>
      <c r="AE4" s="57"/>
      <c r="AG4" s="35" t="s">
        <v>93</v>
      </c>
      <c r="AH4" s="35">
        <f>AK9</f>
        <v>-4599</v>
      </c>
      <c r="AK4" s="19">
        <f>SUM(W5-W4)</f>
        <v>415.49</v>
      </c>
      <c r="AL4" s="58">
        <f>SUM(K5-K4)</f>
        <v>48650.8899999999</v>
      </c>
    </row>
    <row r="5" ht="15" customHeight="1" spans="1:38" x14ac:dyDescent="0.25">
      <c r="A5" s="19"/>
      <c r="B5" s="20"/>
      <c r="C5" s="51" t="s">
        <v>94</v>
      </c>
      <c r="D5" s="52">
        <v>1922479.92</v>
      </c>
      <c r="E5" s="52">
        <v>1667392.4</v>
      </c>
      <c r="F5" s="52">
        <f>D5-E5</f>
        <v>255087.52</v>
      </c>
      <c r="G5" s="53">
        <f>F5/D5</f>
        <v>0.132686701872028</v>
      </c>
      <c r="H5" s="52">
        <v>1681960.61</v>
      </c>
      <c r="I5" s="52">
        <v>1474477.14</v>
      </c>
      <c r="J5" s="52">
        <f>SUM(H5-R5)</f>
        <v>1516687.43</v>
      </c>
      <c r="K5" s="52">
        <f>SUM(I5-S5)</f>
        <v>1264042.34</v>
      </c>
      <c r="L5" s="52">
        <f>J5-K5</f>
        <v>252645.09</v>
      </c>
      <c r="M5" s="53">
        <f>L5/J5</f>
        <v>0.166576899763717</v>
      </c>
      <c r="N5" s="53"/>
      <c r="O5" s="216"/>
      <c r="P5" s="216"/>
      <c r="Q5" s="216"/>
      <c r="R5" s="52">
        <v>165273.18</v>
      </c>
      <c r="S5" s="52">
        <v>210434.8</v>
      </c>
      <c r="T5" s="52">
        <f>R5-S5</f>
        <v>-45161.62</v>
      </c>
      <c r="U5" s="53">
        <f>T5/R5</f>
        <v>-0.273254377994058</v>
      </c>
      <c r="V5" s="54">
        <v>3312.1</v>
      </c>
      <c r="W5" s="54">
        <v>5014.49</v>
      </c>
      <c r="X5" s="54">
        <f>V5-W5</f>
        <v>-1702.39</v>
      </c>
      <c r="Y5" s="53">
        <f>X5/V5</f>
        <v>-0.513991123456417</v>
      </c>
      <c r="Z5" s="53"/>
      <c r="AA5" s="55">
        <f>(E5-K5-S5)/W5</f>
        <v>38.4715614150193</v>
      </c>
      <c r="AB5" s="55">
        <f>(D5-J5-R5)/V5</f>
        <v>72.6183720298299</v>
      </c>
      <c r="AC5" s="53">
        <f>(E5-K5-S5)/E5</f>
        <v>0.115698776124924</v>
      </c>
      <c r="AD5" s="56">
        <f>SUM(D5-H5)/D5</f>
        <v>0.125108880200944</v>
      </c>
      <c r="AE5" s="57"/>
      <c r="AG5" s="35" t="s">
        <v>95</v>
      </c>
      <c r="AH5" s="36">
        <f>AL9</f>
        <v>-1215391.45</v>
      </c>
      <c r="AK5" s="19">
        <f>SUM(W6-W5)</f>
        <v>134.5</v>
      </c>
      <c r="AL5" s="58">
        <f>SUM(K6-K5)</f>
        <v>24752.6700000002</v>
      </c>
    </row>
    <row r="6" ht="15" customHeight="1" spans="1:38" x14ac:dyDescent="0.25">
      <c r="A6" s="19"/>
      <c r="B6" s="20"/>
      <c r="C6" s="51" t="s">
        <v>96</v>
      </c>
      <c r="D6" s="52">
        <v>1922479.92</v>
      </c>
      <c r="E6" s="52">
        <v>1667392.4</v>
      </c>
      <c r="F6" s="52">
        <f>D6-E6</f>
        <v>255087.52</v>
      </c>
      <c r="G6" s="53">
        <f>F6/D6</f>
        <v>0.132686701872028</v>
      </c>
      <c r="H6" s="52">
        <v>1681960.61</v>
      </c>
      <c r="I6" s="52">
        <v>1505572.21</v>
      </c>
      <c r="J6" s="52">
        <f>SUM(H6-R6)</f>
        <v>1516687.43</v>
      </c>
      <c r="K6" s="52">
        <f>SUM(I6-S6)</f>
        <v>1288795.01</v>
      </c>
      <c r="L6" s="52">
        <f>J6-K6</f>
        <v>227892.42</v>
      </c>
      <c r="M6" s="53">
        <f>L6/J6</f>
        <v>0.150256681431058</v>
      </c>
      <c r="N6" s="53">
        <v>0.9</v>
      </c>
      <c r="O6" s="216"/>
      <c r="P6" s="216"/>
      <c r="Q6" s="216"/>
      <c r="R6" s="52">
        <v>165273.18</v>
      </c>
      <c r="S6" s="52">
        <v>216777.2</v>
      </c>
      <c r="T6" s="52">
        <f>R6-S6</f>
        <v>-51504.02</v>
      </c>
      <c r="U6" s="53">
        <f>T6/R6</f>
        <v>-0.311629630409483</v>
      </c>
      <c r="V6" s="54">
        <v>3312.1</v>
      </c>
      <c r="W6" s="54">
        <v>5148.99</v>
      </c>
      <c r="X6" s="54">
        <f>V6-W6</f>
        <v>-1836.89</v>
      </c>
      <c r="Y6" s="53">
        <f>X6/V6</f>
        <v>-0.554599800730654</v>
      </c>
      <c r="Z6" s="53">
        <v>0.9</v>
      </c>
      <c r="AA6" s="55">
        <f>(E6-K6-S6)/W6</f>
        <v>31.4275595796457</v>
      </c>
      <c r="AB6" s="55">
        <f>(D6-J6-R6)/V6</f>
        <v>72.6183720298299</v>
      </c>
      <c r="AC6" s="53">
        <f>(E6-K6-S6)/E6</f>
        <v>0.097049854611308</v>
      </c>
      <c r="AD6" s="56">
        <f>SUM(D6-H6)/D6</f>
        <v>0.125108880200944</v>
      </c>
      <c r="AE6" s="57"/>
      <c r="AG6" s="35"/>
      <c r="AH6" s="35"/>
      <c r="AK6" s="19">
        <f>SUM(W7-W6)</f>
        <v>-5148.99</v>
      </c>
      <c r="AL6" s="58">
        <f>SUM(K7-K6)</f>
        <v>-1288795.01</v>
      </c>
    </row>
    <row r="7" ht="15" customHeight="1" spans="1:38" x14ac:dyDescent="0.25">
      <c r="A7" s="19"/>
      <c r="B7" s="20"/>
      <c r="C7" s="51" t="s">
        <v>97</v>
      </c>
      <c r="D7" s="52"/>
      <c r="E7" s="52"/>
      <c r="F7" s="52">
        <f>D7-E7</f>
        <v>0</v>
      </c>
      <c r="G7" s="53" t="e">
        <f>F7/D7</f>
        <v>#DIV/0!</v>
      </c>
      <c r="H7" s="52"/>
      <c r="I7" s="52"/>
      <c r="J7" s="52">
        <f>SUM(H7-R7)</f>
        <v>0</v>
      </c>
      <c r="K7" s="52">
        <f>SUM(I7-S7)</f>
        <v>0</v>
      </c>
      <c r="L7" s="52">
        <f>J7-K7</f>
        <v>0</v>
      </c>
      <c r="M7" s="53" t="e">
        <f>L7/J7</f>
        <v>#DIV/0!</v>
      </c>
      <c r="N7" s="53"/>
      <c r="O7" s="216"/>
      <c r="P7" s="216"/>
      <c r="Q7" s="216"/>
      <c r="R7" s="52"/>
      <c r="S7" s="52"/>
      <c r="T7" s="52">
        <f>R7-S7</f>
        <v>0</v>
      </c>
      <c r="U7" s="53" t="e">
        <f>T7/R7</f>
        <v>#DIV/0!</v>
      </c>
      <c r="V7" s="54"/>
      <c r="W7" s="54"/>
      <c r="X7" s="54">
        <f>V7-W7</f>
        <v>0</v>
      </c>
      <c r="Y7" s="53" t="e">
        <f>X7/V7</f>
        <v>#DIV/0!</v>
      </c>
      <c r="Z7" s="53"/>
      <c r="AA7" s="55" t="e">
        <f>(E7-K7-S7)/W7</f>
        <v>#DIV/0!</v>
      </c>
      <c r="AB7" s="55" t="e">
        <f>(D7-J7-R7)/V7</f>
        <v>#DIV/0!</v>
      </c>
      <c r="AC7" s="53" t="e">
        <f>(E7-K7-S7)/E7</f>
        <v>#DIV/0!</v>
      </c>
      <c r="AD7" s="56" t="e">
        <f>SUM(D7-H7)/D7</f>
        <v>#DIV/0!</v>
      </c>
      <c r="AE7" s="57"/>
      <c r="AG7" s="35" t="s">
        <v>98</v>
      </c>
      <c r="AH7" s="36">
        <v>0</v>
      </c>
      <c r="AK7" s="19">
        <f>SUM(W8-W7)</f>
        <v>0</v>
      </c>
      <c r="AL7" s="58">
        <f>SUM(K8-K7)</f>
        <v>0</v>
      </c>
    </row>
    <row r="8" ht="15" customHeight="1" spans="1:38" x14ac:dyDescent="0.25">
      <c r="A8" s="19"/>
      <c r="B8" s="20"/>
      <c r="C8" s="51" t="s">
        <v>99</v>
      </c>
      <c r="D8" s="52"/>
      <c r="E8" s="52"/>
      <c r="F8" s="52">
        <f>D8-E8</f>
        <v>0</v>
      </c>
      <c r="G8" s="53" t="e">
        <f>F8/D8</f>
        <v>#DIV/0!</v>
      </c>
      <c r="H8" s="52"/>
      <c r="I8" s="52"/>
      <c r="J8" s="52">
        <f>SUM(H8-R8)</f>
        <v>0</v>
      </c>
      <c r="K8" s="52">
        <f>SUM(I8-S8)</f>
        <v>0</v>
      </c>
      <c r="L8" s="52">
        <f>J8-K8</f>
        <v>0</v>
      </c>
      <c r="M8" s="53" t="e">
        <f>L8/J8</f>
        <v>#DIV/0!</v>
      </c>
      <c r="N8" s="53"/>
      <c r="O8" s="216"/>
      <c r="P8" s="216"/>
      <c r="Q8" s="216"/>
      <c r="R8" s="52"/>
      <c r="S8" s="52"/>
      <c r="T8" s="52">
        <f>R8-S8</f>
        <v>0</v>
      </c>
      <c r="U8" s="53" t="e">
        <f>T8/R8</f>
        <v>#DIV/0!</v>
      </c>
      <c r="V8" s="54"/>
      <c r="W8" s="54"/>
      <c r="X8" s="54">
        <f>V8-W8</f>
        <v>0</v>
      </c>
      <c r="Y8" s="53" t="e">
        <f>X8/V8</f>
        <v>#DIV/0!</v>
      </c>
      <c r="Z8" s="53"/>
      <c r="AA8" s="55" t="e">
        <f>(E8-K8-S8)/W8</f>
        <v>#DIV/0!</v>
      </c>
      <c r="AB8" s="55" t="e">
        <f>(D8-J8-R8)/V8</f>
        <v>#DIV/0!</v>
      </c>
      <c r="AC8" s="53" t="e">
        <f>(E8-K8-S8)/E8</f>
        <v>#DIV/0!</v>
      </c>
      <c r="AD8" s="56" t="e">
        <f>SUM(D8-H8)/D8</f>
        <v>#DIV/0!</v>
      </c>
      <c r="AE8" s="57"/>
      <c r="AG8" s="35"/>
      <c r="AH8" s="35"/>
      <c r="AK8" s="19">
        <f>SUM(W9-W8)</f>
        <v>0</v>
      </c>
      <c r="AL8" s="58">
        <f>SUM(K9-K8)</f>
        <v>0</v>
      </c>
    </row>
    <row r="9" ht="15" customHeight="1" spans="1:38" x14ac:dyDescent="0.25">
      <c r="A9" s="19"/>
      <c r="B9" s="20"/>
      <c r="C9" s="51" t="s">
        <v>100</v>
      </c>
      <c r="D9" s="52"/>
      <c r="E9" s="52"/>
      <c r="F9" s="52">
        <f>D9-E9</f>
        <v>0</v>
      </c>
      <c r="G9" s="53" t="e">
        <f>F9/D9</f>
        <v>#DIV/0!</v>
      </c>
      <c r="H9" s="52"/>
      <c r="I9" s="52"/>
      <c r="J9" s="52">
        <f>SUM(H9-R9)</f>
        <v>0</v>
      </c>
      <c r="K9" s="52">
        <f>SUM(I9-S9)</f>
        <v>0</v>
      </c>
      <c r="L9" s="52">
        <f>J9-K9</f>
        <v>0</v>
      </c>
      <c r="M9" s="53" t="e">
        <f>L9/J9</f>
        <v>#DIV/0!</v>
      </c>
      <c r="N9" s="53"/>
      <c r="O9" s="216"/>
      <c r="P9" s="216"/>
      <c r="Q9" s="216"/>
      <c r="R9" s="52"/>
      <c r="S9" s="52"/>
      <c r="T9" s="52">
        <f>R9-S9</f>
        <v>0</v>
      </c>
      <c r="U9" s="53" t="e">
        <f>T9/R9</f>
        <v>#DIV/0!</v>
      </c>
      <c r="V9" s="54"/>
      <c r="W9" s="54"/>
      <c r="X9" s="54">
        <f>V9-W9</f>
        <v>0</v>
      </c>
      <c r="Y9" s="53" t="e">
        <f>X9/V9</f>
        <v>#DIV/0!</v>
      </c>
      <c r="Z9" s="53"/>
      <c r="AA9" s="55" t="e">
        <f>(E9-K9-S9)/W9</f>
        <v>#DIV/0!</v>
      </c>
      <c r="AB9" s="55" t="e">
        <f>(D9-J9-R9)/V9</f>
        <v>#DIV/0!</v>
      </c>
      <c r="AC9" s="53" t="e">
        <f>(E9-K9-S9)/E9</f>
        <v>#DIV/0!</v>
      </c>
      <c r="AD9" s="56" t="e">
        <f>SUM(D9-H9)/D9</f>
        <v>#DIV/0!</v>
      </c>
      <c r="AE9" s="57"/>
      <c r="AG9" s="35"/>
      <c r="AH9" s="35"/>
      <c r="AK9" s="59">
        <f>SUM(AK4,AK5,AK6,AK7,AK8)</f>
        <v>-4599</v>
      </c>
      <c r="AL9" s="60">
        <f>SUM(AL4,AL5,AL6,AL7,AL8)</f>
        <v>-1215391.45</v>
      </c>
    </row>
    <row r="10" ht="9" customHeight="1" spans="1:38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G10" s="35"/>
      <c r="AH10" s="35"/>
      <c r="AK10" s="35"/>
      <c r="AL10" s="35"/>
    </row>
    <row r="11" ht="15" customHeight="1" spans="1:38" x14ac:dyDescent="0.25">
      <c r="A11" s="19">
        <f>'Main Sheet'!A6</f>
        <v>8142</v>
      </c>
      <c r="B11" s="20" t="str">
        <f>'Main Sheet'!B6</f>
        <v>Fisher Developements</v>
      </c>
      <c r="C11" s="51" t="s">
        <v>92</v>
      </c>
      <c r="D11" s="65">
        <v>381671.63</v>
      </c>
      <c r="E11" s="62">
        <v>144223.4</v>
      </c>
      <c r="F11" s="52">
        <f>D11-E11</f>
        <v>237448.23</v>
      </c>
      <c r="G11" s="53">
        <f>F11/D11</f>
        <v>0.622127010068839</v>
      </c>
      <c r="H11" s="52">
        <v>329257.09</v>
      </c>
      <c r="I11" s="52">
        <v>168819.17</v>
      </c>
      <c r="J11" s="52">
        <f>SUM(H11-R11)</f>
        <v>288248.16</v>
      </c>
      <c r="K11" s="52">
        <f>SUM(I11-S11)</f>
        <v>158648.53</v>
      </c>
      <c r="L11" s="52">
        <f>J11-K11</f>
        <v>129599.63</v>
      </c>
      <c r="M11" s="53">
        <f>L11/J11</f>
        <v>0.449611300207432</v>
      </c>
      <c r="N11" s="53"/>
      <c r="O11" s="53"/>
      <c r="P11" s="53"/>
      <c r="Q11" s="53"/>
      <c r="R11" s="52">
        <v>41008.93</v>
      </c>
      <c r="S11" s="52">
        <v>10170.64</v>
      </c>
      <c r="T11" s="52">
        <f>R11-S11</f>
        <v>30838.29</v>
      </c>
      <c r="U11" s="53">
        <f>T11/R11</f>
        <v>0.751989627625008</v>
      </c>
      <c r="V11" s="54">
        <v>821.2</v>
      </c>
      <c r="W11" s="54">
        <v>241</v>
      </c>
      <c r="X11" s="54">
        <f>V11-W11</f>
        <v>580.2</v>
      </c>
      <c r="Y11" s="53">
        <f>X11/V11</f>
        <v>0.706527033609352</v>
      </c>
      <c r="Z11" s="53"/>
      <c r="AA11" s="55">
        <f>(E11-K11-S11)/W11</f>
        <v>-102.057136929461</v>
      </c>
      <c r="AB11" s="55">
        <f>(D11-J11-R11)/V11</f>
        <v>63.8267657087189</v>
      </c>
      <c r="AC11" s="53">
        <f>(E11-K11-S11)/E11</f>
        <v>-0.170539385425666</v>
      </c>
      <c r="AD11" s="56">
        <f>SUM(D11-H11)/D11</f>
        <v>0.137328886613867</v>
      </c>
      <c r="AE11" s="57"/>
      <c r="AG11" s="35" t="s">
        <v>93</v>
      </c>
      <c r="AH11" s="35">
        <f>AK16</f>
        <v>-241</v>
      </c>
      <c r="AK11" s="19">
        <f>SUM(W12-W11)</f>
        <v>96.25</v>
      </c>
      <c r="AL11" s="58">
        <f>SUM(K12-K11)</f>
        <v>30474.42</v>
      </c>
    </row>
    <row r="12" ht="15" customHeight="1" spans="1:38" x14ac:dyDescent="0.25">
      <c r="A12" s="19"/>
      <c r="B12" s="20"/>
      <c r="C12" s="63" t="s">
        <v>94</v>
      </c>
      <c r="D12" s="52">
        <v>382219.49</v>
      </c>
      <c r="E12" s="62">
        <v>240065.55</v>
      </c>
      <c r="F12" s="52">
        <f>D12-E12</f>
        <v>142153.94</v>
      </c>
      <c r="G12" s="53">
        <f>F12/D12</f>
        <v>0.371917036465095</v>
      </c>
      <c r="H12" s="52">
        <v>329585.81</v>
      </c>
      <c r="I12" s="52">
        <v>202828.2</v>
      </c>
      <c r="J12" s="52">
        <f>SUM(H12-R12)</f>
        <v>288352.94</v>
      </c>
      <c r="K12" s="52">
        <f>SUM(I12-S12)</f>
        <v>189122.95</v>
      </c>
      <c r="L12" s="52">
        <f>J12-K12</f>
        <v>99229.99</v>
      </c>
      <c r="M12" s="53">
        <f>L12/J12</f>
        <v>0.344126853709208</v>
      </c>
      <c r="N12" s="53"/>
      <c r="O12" s="53"/>
      <c r="P12" s="53"/>
      <c r="Q12" s="53"/>
      <c r="R12" s="52">
        <v>41232.87</v>
      </c>
      <c r="S12" s="52">
        <v>13705.25</v>
      </c>
      <c r="T12" s="52">
        <f>R12-S12</f>
        <v>27527.62</v>
      </c>
      <c r="U12" s="53">
        <f>T12/R12</f>
        <v>0.667613484096547</v>
      </c>
      <c r="V12" s="54">
        <v>825.68</v>
      </c>
      <c r="W12" s="54">
        <v>337.25</v>
      </c>
      <c r="X12" s="54">
        <f>V12-W12</f>
        <v>488.43</v>
      </c>
      <c r="Y12" s="53">
        <f>X12/V12</f>
        <v>0.591548784032555</v>
      </c>
      <c r="Z12" s="53"/>
      <c r="AA12" s="55">
        <f>(E12-K12-S12)/W12</f>
        <v>110.414677538918</v>
      </c>
      <c r="AB12" s="55">
        <f>(D12-J12-R12)/V12</f>
        <v>63.7458579595</v>
      </c>
      <c r="AC12" s="53">
        <f>(E12-K12-S12)/E12</f>
        <v>0.155113259690947</v>
      </c>
      <c r="AD12" s="56">
        <f>SUM(D12-H12)/D12</f>
        <v>0.137705379702118</v>
      </c>
      <c r="AE12" s="57"/>
      <c r="AG12" s="35" t="s">
        <v>95</v>
      </c>
      <c r="AH12" s="36">
        <f>AL16</f>
        <v>-158648.53</v>
      </c>
      <c r="AK12" s="19">
        <f>SUM(W13-W12)</f>
        <v>101.75</v>
      </c>
      <c r="AL12" s="58">
        <f>SUM(K13-K12)</f>
        <v>7119.32000000001</v>
      </c>
    </row>
    <row r="13" ht="15" customHeight="1" spans="1:38" x14ac:dyDescent="0.25">
      <c r="A13" s="19"/>
      <c r="B13" s="20"/>
      <c r="C13" s="63" t="s">
        <v>96</v>
      </c>
      <c r="D13" s="52">
        <v>382219.49</v>
      </c>
      <c r="E13" s="62">
        <v>240065.55</v>
      </c>
      <c r="F13" s="52">
        <f>D13-E13</f>
        <v>142153.94</v>
      </c>
      <c r="G13" s="53">
        <f>F13/D13</f>
        <v>0.371917036465095</v>
      </c>
      <c r="H13" s="52">
        <v>329585.81</v>
      </c>
      <c r="I13" s="52">
        <v>213730.54</v>
      </c>
      <c r="J13" s="52">
        <f>SUM(H13-R13)</f>
        <v>288352.94</v>
      </c>
      <c r="K13" s="52">
        <f>SUM(I13-S13)</f>
        <v>196242.27</v>
      </c>
      <c r="L13" s="52">
        <f>J13-K13</f>
        <v>92110.67</v>
      </c>
      <c r="M13" s="53">
        <f>L13/J13</f>
        <v>0.319437249365309</v>
      </c>
      <c r="N13" s="53"/>
      <c r="O13" s="53"/>
      <c r="P13" s="53"/>
      <c r="Q13" s="53"/>
      <c r="R13" s="52">
        <v>41232.87</v>
      </c>
      <c r="S13" s="52">
        <v>17488.27</v>
      </c>
      <c r="T13" s="52">
        <f>R13-S13</f>
        <v>23744.6</v>
      </c>
      <c r="U13" s="53">
        <f>T13/R13</f>
        <v>0.575865808031311</v>
      </c>
      <c r="V13" s="54">
        <v>825.68</v>
      </c>
      <c r="W13" s="54">
        <v>439</v>
      </c>
      <c r="X13" s="54">
        <f>V13-W13</f>
        <v>386.68</v>
      </c>
      <c r="Y13" s="53">
        <f>X13/V13</f>
        <v>0.46831702354423</v>
      </c>
      <c r="Z13" s="53"/>
      <c r="AA13" s="55">
        <f>(E13-K13-S13)/W13</f>
        <v>59.9886332574031</v>
      </c>
      <c r="AB13" s="55">
        <f>(D13-J13-R13)/V13</f>
        <v>63.7458579595</v>
      </c>
      <c r="AC13" s="53">
        <f>(E13-K13-S13)/E13</f>
        <v>0.109699246726571</v>
      </c>
      <c r="AD13" s="56">
        <f>SUM(D13-H13)/D13</f>
        <v>0.137705379702118</v>
      </c>
      <c r="AE13" s="57"/>
      <c r="AG13" s="35"/>
      <c r="AH13" s="35"/>
      <c r="AK13" s="19">
        <f>SUM(W14-W13)</f>
        <v>-439</v>
      </c>
      <c r="AL13" s="58">
        <f>SUM(K14-K13)</f>
        <v>23228</v>
      </c>
    </row>
    <row r="14" ht="15" customHeight="1" spans="1:38" x14ac:dyDescent="0.25">
      <c r="A14" s="19"/>
      <c r="B14" s="20"/>
      <c r="C14" s="63" t="s">
        <v>97</v>
      </c>
      <c r="D14" s="65">
        <v>383409.63</v>
      </c>
      <c r="E14" s="62">
        <v>240065.55</v>
      </c>
      <c r="F14" s="52">
        <f>D14-E14</f>
        <v>143344.08</v>
      </c>
      <c r="G14" s="53">
        <f>F14/D14</f>
        <v>0.373866665790319</v>
      </c>
      <c r="H14" s="52">
        <v>330537</v>
      </c>
      <c r="I14" s="52">
        <v>246817.11</v>
      </c>
      <c r="J14" s="52">
        <v>289155.03</v>
      </c>
      <c r="K14" s="52">
        <v>219470.27</v>
      </c>
      <c r="L14" s="52">
        <f>J14-K14</f>
        <v>69684.76</v>
      </c>
      <c r="M14" s="53">
        <f>L14/J14</f>
        <v>0.24099445892399</v>
      </c>
      <c r="N14" s="53">
        <v>0.75</v>
      </c>
      <c r="O14" s="53"/>
      <c r="P14" s="53"/>
      <c r="Q14" s="53"/>
      <c r="R14" s="52"/>
      <c r="S14" s="52"/>
      <c r="T14" s="52">
        <f>R14-S14</f>
        <v>0</v>
      </c>
      <c r="U14" s="53" t="e">
        <f>T14/R14</f>
        <v>#DIV/0!</v>
      </c>
      <c r="V14" s="54"/>
      <c r="W14" s="54"/>
      <c r="X14" s="54">
        <f>V14-W14</f>
        <v>0</v>
      </c>
      <c r="Y14" s="53" t="e">
        <f>X14/V14</f>
        <v>#DIV/0!</v>
      </c>
      <c r="Z14" s="53"/>
      <c r="AA14" s="55" t="e">
        <f>(E14-K14-S14)/W14</f>
        <v>#DIV/0!</v>
      </c>
      <c r="AB14" s="55" t="e">
        <f>(D16-J14-R14)/V14</f>
        <v>#DIV/0!</v>
      </c>
      <c r="AC14" s="53">
        <f>(E14-K14-S14)/E14</f>
        <v>0.0857902352086753</v>
      </c>
      <c r="AD14" s="56">
        <f>SUM(D16-H14)/D16</f>
        <v>0.137901152874016</v>
      </c>
      <c r="AE14" s="57"/>
      <c r="AG14" s="35" t="s">
        <v>98</v>
      </c>
      <c r="AH14" s="36">
        <v>0</v>
      </c>
      <c r="AK14" s="19">
        <f>SUM(W15-W14)</f>
        <v>0</v>
      </c>
      <c r="AL14" s="58">
        <f>SUM(K15-K14)</f>
        <v>-219470.27</v>
      </c>
    </row>
    <row r="15" ht="15" customHeight="1" spans="1:38" x14ac:dyDescent="0.25">
      <c r="A15" s="19"/>
      <c r="B15" s="20"/>
      <c r="C15" s="63" t="s">
        <v>99</v>
      </c>
      <c r="D15" s="65">
        <v>383409.63</v>
      </c>
      <c r="E15" s="62"/>
      <c r="F15" s="52">
        <f>D15-E15</f>
        <v>383409.63</v>
      </c>
      <c r="G15" s="53">
        <f>F15/D15</f>
        <v>1</v>
      </c>
      <c r="H15" s="52"/>
      <c r="I15" s="52"/>
      <c r="J15" s="52">
        <f>SUM(H15-R15)</f>
        <v>0</v>
      </c>
      <c r="K15" s="52">
        <f>SUM(I15-S15)</f>
        <v>0</v>
      </c>
      <c r="L15" s="52">
        <f>J15-K15</f>
        <v>0</v>
      </c>
      <c r="M15" s="53" t="e">
        <f>L15/J15</f>
        <v>#DIV/0!</v>
      </c>
      <c r="N15" s="53"/>
      <c r="O15" s="53"/>
      <c r="P15" s="53"/>
      <c r="Q15" s="53"/>
      <c r="R15" s="52"/>
      <c r="S15" s="52"/>
      <c r="T15" s="52">
        <f>R15-S15</f>
        <v>0</v>
      </c>
      <c r="U15" s="53" t="e">
        <f>T15/R15</f>
        <v>#DIV/0!</v>
      </c>
      <c r="V15" s="54"/>
      <c r="W15" s="54"/>
      <c r="X15" s="54">
        <f>V15-W15</f>
        <v>0</v>
      </c>
      <c r="Y15" s="53" t="e">
        <f>X15/V15</f>
        <v>#DIV/0!</v>
      </c>
      <c r="Z15" s="53"/>
      <c r="AA15" s="55" t="e">
        <f>(E15-K15-S15)/W15</f>
        <v>#DIV/0!</v>
      </c>
      <c r="AB15" s="55" t="e">
        <f>(D15-J15-R15)/V15</f>
        <v>#DIV/0!</v>
      </c>
      <c r="AC15" s="53" t="e">
        <f>(E15-K15-S15)/E15</f>
        <v>#DIV/0!</v>
      </c>
      <c r="AD15" s="56">
        <f>SUM(D15-H15)/D15</f>
        <v>1</v>
      </c>
      <c r="AE15" s="57"/>
      <c r="AG15" s="35"/>
      <c r="AH15" s="35"/>
      <c r="AK15" s="19">
        <f>SUM(W16-W15)</f>
        <v>0</v>
      </c>
      <c r="AL15" s="58">
        <f>SUM(K16-K15)</f>
        <v>0</v>
      </c>
    </row>
    <row r="16" ht="15" customHeight="1" spans="1:38" x14ac:dyDescent="0.25">
      <c r="A16" s="19"/>
      <c r="B16" s="20"/>
      <c r="C16" s="63" t="s">
        <v>100</v>
      </c>
      <c r="D16" s="65">
        <v>383409.63</v>
      </c>
      <c r="E16" s="62"/>
      <c r="F16" s="52">
        <f>D16-E16</f>
        <v>383409.63</v>
      </c>
      <c r="G16" s="53">
        <f>F16/D16</f>
        <v>1</v>
      </c>
      <c r="H16" s="52"/>
      <c r="I16" s="52"/>
      <c r="J16" s="52">
        <f>SUM(H16-R16)</f>
        <v>0</v>
      </c>
      <c r="K16" s="52">
        <f>SUM(I16-S16)</f>
        <v>0</v>
      </c>
      <c r="L16" s="52">
        <f>J16-K16</f>
        <v>0</v>
      </c>
      <c r="M16" s="53" t="e">
        <f>L16/J16</f>
        <v>#DIV/0!</v>
      </c>
      <c r="N16" s="53">
        <v>0.55</v>
      </c>
      <c r="O16" s="53"/>
      <c r="P16" s="53"/>
      <c r="Q16" s="53"/>
      <c r="R16" s="52"/>
      <c r="S16" s="52"/>
      <c r="T16" s="52">
        <f>R16-S16</f>
        <v>0</v>
      </c>
      <c r="U16" s="53" t="e">
        <f>T16/R16</f>
        <v>#DIV/0!</v>
      </c>
      <c r="V16" s="54"/>
      <c r="W16" s="54"/>
      <c r="X16" s="54">
        <f>V16-W16</f>
        <v>0</v>
      </c>
      <c r="Y16" s="53" t="e">
        <f>X16/V16</f>
        <v>#DIV/0!</v>
      </c>
      <c r="Z16" s="53">
        <v>0.35</v>
      </c>
      <c r="AA16" s="55" t="e">
        <f>(E16-K16-S16)/W16</f>
        <v>#DIV/0!</v>
      </c>
      <c r="AB16" s="55" t="e">
        <f>(#REF!-J16-R16)/V16</f>
        <v>#REF!</v>
      </c>
      <c r="AC16" s="53" t="e">
        <f>(E16-K16-S16)/E16</f>
        <v>#DIV/0!</v>
      </c>
      <c r="AD16" s="56" t="e">
        <f>SUM(#REF!-H16)/#REF!</f>
        <v>#REF!</v>
      </c>
      <c r="AE16" s="57"/>
      <c r="AG16" s="35"/>
      <c r="AH16" s="35"/>
      <c r="AK16" s="59">
        <f>SUM(AK11,AK12,AK13,AK14,AK15)</f>
        <v>-241</v>
      </c>
      <c r="AL16" s="60">
        <f>SUM(AL11,AL12,AL13,AL14,AL15)</f>
        <v>-158648.53</v>
      </c>
    </row>
    <row r="17" ht="9" customHeight="1" spans="1:38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G17" s="35"/>
      <c r="AH17" s="35"/>
      <c r="AK17" s="35"/>
      <c r="AL17" s="35"/>
    </row>
    <row r="18" ht="15" customHeight="1" spans="1:38" x14ac:dyDescent="0.25">
      <c r="A18" s="19">
        <v>7104</v>
      </c>
      <c r="B18" s="20" t="str">
        <f>'Main Sheet'!B8</f>
        <v>3 Innovation Road</v>
      </c>
      <c r="C18" s="51" t="s">
        <v>92</v>
      </c>
      <c r="D18" s="52">
        <v>449818.08</v>
      </c>
      <c r="E18" s="52">
        <v>246538.95</v>
      </c>
      <c r="F18" s="52">
        <f>D18-E18</f>
        <v>203279.13</v>
      </c>
      <c r="G18" s="53">
        <f>F18/D18</f>
        <v>0.451914093804322</v>
      </c>
      <c r="H18" s="52">
        <v>329858.1</v>
      </c>
      <c r="I18" s="52">
        <v>251921.97</v>
      </c>
      <c r="J18" s="52">
        <f>SUM(H18-R18)</f>
        <v>255282.19</v>
      </c>
      <c r="K18" s="52">
        <f>SUM(I18-S18)</f>
        <v>219103.38</v>
      </c>
      <c r="L18" s="52">
        <f>J18-K18</f>
        <v>36178.81</v>
      </c>
      <c r="M18" s="53">
        <f>L18/J18</f>
        <v>0.141720854087001</v>
      </c>
      <c r="N18" s="53">
        <v>0</v>
      </c>
      <c r="O18" s="53"/>
      <c r="P18" s="53"/>
      <c r="Q18" s="53"/>
      <c r="R18" s="52">
        <v>74575.91</v>
      </c>
      <c r="S18" s="52">
        <v>32818.59</v>
      </c>
      <c r="T18" s="52">
        <f>R18-S18</f>
        <v>41757.32</v>
      </c>
      <c r="U18" s="53">
        <f>T18/R18</f>
        <v>0.55993041184479</v>
      </c>
      <c r="V18" s="54">
        <v>1493.36</v>
      </c>
      <c r="W18" s="54">
        <v>799.5</v>
      </c>
      <c r="X18" s="54">
        <f>V18-W18</f>
        <v>693.86</v>
      </c>
      <c r="Y18" s="53">
        <f>X18/V18</f>
        <v>0.464630095891145</v>
      </c>
      <c r="Z18" s="53">
        <v>0</v>
      </c>
      <c r="AA18" s="55">
        <f>(E18-K18-S18)/W18</f>
        <v>-6.73298311444652</v>
      </c>
      <c r="AB18" s="55">
        <f>(D18-J18-R18)/V18</f>
        <v>80.328909305191</v>
      </c>
      <c r="AC18" s="53">
        <f>(E18-K18-S18)/E18</f>
        <v>-0.0218343592361369</v>
      </c>
      <c r="AD18" s="56">
        <f>SUM(D18-H18)/D18</f>
        <v>0.266685545409824</v>
      </c>
      <c r="AE18" s="57"/>
      <c r="AG18" s="35" t="s">
        <v>93</v>
      </c>
      <c r="AH18" s="35">
        <f>AK23</f>
        <v>-799.5</v>
      </c>
      <c r="AK18" s="19">
        <f>SUM(W19-W18)</f>
        <v>57.75</v>
      </c>
      <c r="AL18" s="58">
        <f>SUM(K19-K18)</f>
        <v>-918.25999999998</v>
      </c>
    </row>
    <row r="19" ht="15" customHeight="1" spans="1:38" x14ac:dyDescent="0.25">
      <c r="A19" s="19"/>
      <c r="B19" s="20"/>
      <c r="C19" s="51" t="s">
        <v>94</v>
      </c>
      <c r="D19" s="52">
        <v>449818.08</v>
      </c>
      <c r="E19" s="52">
        <v>364039.73</v>
      </c>
      <c r="F19" s="52">
        <f>D19-E19</f>
        <v>85778.35</v>
      </c>
      <c r="G19" s="53">
        <f>F19/D19</f>
        <v>0.190695647449298</v>
      </c>
      <c r="H19" s="52">
        <v>329858.1</v>
      </c>
      <c r="I19" s="52">
        <v>253347.64</v>
      </c>
      <c r="J19" s="52">
        <f>SUM(H19-R19)</f>
        <v>255282.19</v>
      </c>
      <c r="K19" s="52">
        <f>SUM(I19-S19)</f>
        <v>218185.12</v>
      </c>
      <c r="L19" s="52">
        <f>J19-K19</f>
        <v>37097.07</v>
      </c>
      <c r="M19" s="53">
        <f>L19/J19</f>
        <v>0.145317893112716</v>
      </c>
      <c r="N19" s="53"/>
      <c r="O19" s="53"/>
      <c r="P19" s="53"/>
      <c r="Q19" s="53"/>
      <c r="R19" s="52">
        <v>74575.91</v>
      </c>
      <c r="S19" s="52">
        <v>35162.52</v>
      </c>
      <c r="T19" s="52">
        <f>R19-S19</f>
        <v>39413.39</v>
      </c>
      <c r="U19" s="53">
        <f>T19/R19</f>
        <v>0.528500289168446</v>
      </c>
      <c r="V19" s="54">
        <v>1493.36</v>
      </c>
      <c r="W19" s="54">
        <v>857.25</v>
      </c>
      <c r="X19" s="54">
        <f>V19-W19</f>
        <v>636.11</v>
      </c>
      <c r="Y19" s="53">
        <f>X19/V19</f>
        <v>0.42595891144801</v>
      </c>
      <c r="Z19" s="53">
        <v>0.1</v>
      </c>
      <c r="AA19" s="55">
        <f>(E19-K19-S19)/W19</f>
        <v>129.124631087781</v>
      </c>
      <c r="AB19" s="55">
        <f>(D19-J19-R19)/V19</f>
        <v>80.328909305191</v>
      </c>
      <c r="AC19" s="53">
        <f>(E19-K19-S19)/E19</f>
        <v>0.304065960053316</v>
      </c>
      <c r="AD19" s="56">
        <f>SUM(D19-H19)/D19</f>
        <v>0.266685545409824</v>
      </c>
      <c r="AE19" s="57"/>
      <c r="AG19" s="35" t="s">
        <v>95</v>
      </c>
      <c r="AH19" s="36">
        <f>AL23</f>
        <v>-219103.38</v>
      </c>
      <c r="AK19" s="19">
        <f>SUM(W20-W19)</f>
        <v>93.75</v>
      </c>
      <c r="AL19" s="58">
        <f>SUM(K20-K19)</f>
        <v>5813.69</v>
      </c>
    </row>
    <row r="20" ht="15" customHeight="1" spans="1:38" x14ac:dyDescent="0.25">
      <c r="A20" s="19"/>
      <c r="B20" s="20"/>
      <c r="C20" s="51" t="s">
        <v>96</v>
      </c>
      <c r="D20" s="52">
        <v>449818.08</v>
      </c>
      <c r="E20" s="52">
        <v>364039.73</v>
      </c>
      <c r="F20" s="52">
        <f>D20-E20</f>
        <v>85778.35</v>
      </c>
      <c r="G20" s="53">
        <f>F20/D20</f>
        <v>0.190695647449298</v>
      </c>
      <c r="H20" s="52">
        <v>329858.1</v>
      </c>
      <c r="I20" s="52">
        <v>262942.02</v>
      </c>
      <c r="J20" s="52">
        <f>SUM(H20-R20)</f>
        <v>255282.19</v>
      </c>
      <c r="K20" s="52">
        <f>SUM(I20-S20)</f>
        <v>223998.81</v>
      </c>
      <c r="L20" s="52">
        <f>J20-K20</f>
        <v>31283.3799999999</v>
      </c>
      <c r="M20" s="53">
        <f>L20/J20</f>
        <v>0.122544310670478</v>
      </c>
      <c r="N20" s="53"/>
      <c r="O20" s="53"/>
      <c r="P20" s="53"/>
      <c r="Q20" s="53"/>
      <c r="R20" s="52">
        <v>74575.91</v>
      </c>
      <c r="S20" s="52">
        <v>38943.21</v>
      </c>
      <c r="T20" s="52">
        <f>R20-S20</f>
        <v>35632.7</v>
      </c>
      <c r="U20" s="53">
        <f>T20/R20</f>
        <v>0.477804427730081</v>
      </c>
      <c r="V20" s="54">
        <v>1493.36</v>
      </c>
      <c r="W20" s="54">
        <v>951</v>
      </c>
      <c r="X20" s="54">
        <f>V20-W20</f>
        <v>542.36</v>
      </c>
      <c r="Y20" s="53">
        <f>X20/V20</f>
        <v>0.363181014624739</v>
      </c>
      <c r="Z20" s="53">
        <v>0.15</v>
      </c>
      <c r="AA20" s="55">
        <f>(E20-K20-S20)/W20</f>
        <v>106.306740273396</v>
      </c>
      <c r="AB20" s="55">
        <f>(D20-J20-R20)/V20</f>
        <v>80.328909305191</v>
      </c>
      <c r="AC20" s="53">
        <f>(E20-K20-S20)/E20</f>
        <v>0.277710649878792</v>
      </c>
      <c r="AD20" s="56">
        <f>SUM(D20-H20)/D20</f>
        <v>0.266685545409824</v>
      </c>
      <c r="AE20" s="57"/>
      <c r="AG20" s="35"/>
      <c r="AH20" s="35"/>
      <c r="AK20" s="19">
        <f>SUM(W21-W20)</f>
        <v>-951</v>
      </c>
      <c r="AL20" s="58">
        <f>SUM(K21-K20)</f>
        <v>-223998.81</v>
      </c>
    </row>
    <row r="21" ht="15" customHeight="1" spans="1:38" x14ac:dyDescent="0.25">
      <c r="A21" s="19"/>
      <c r="B21" s="20"/>
      <c r="C21" s="51" t="s">
        <v>97</v>
      </c>
      <c r="D21" s="52"/>
      <c r="E21" s="52"/>
      <c r="F21" s="52">
        <f>D21-E21</f>
        <v>0</v>
      </c>
      <c r="G21" s="53" t="e">
        <f>F21/D21</f>
        <v>#DIV/0!</v>
      </c>
      <c r="H21" s="52"/>
      <c r="I21" s="52"/>
      <c r="J21" s="52">
        <f>SUM(H21-R21)</f>
        <v>0</v>
      </c>
      <c r="K21" s="52">
        <f>SUM(I21-S21)</f>
        <v>0</v>
      </c>
      <c r="L21" s="52">
        <f>J21-K21</f>
        <v>0</v>
      </c>
      <c r="M21" s="53" t="e">
        <f>L21/J21</f>
        <v>#DIV/0!</v>
      </c>
      <c r="N21" s="53"/>
      <c r="O21" s="53"/>
      <c r="P21" s="53"/>
      <c r="Q21" s="53"/>
      <c r="R21" s="52"/>
      <c r="S21" s="52"/>
      <c r="T21" s="52">
        <f>R21-S21</f>
        <v>0</v>
      </c>
      <c r="U21" s="53" t="e">
        <f>T21/R21</f>
        <v>#DIV/0!</v>
      </c>
      <c r="V21" s="54"/>
      <c r="W21" s="54"/>
      <c r="X21" s="54">
        <f>V21-W21</f>
        <v>0</v>
      </c>
      <c r="Y21" s="53" t="e">
        <f>X21/V21</f>
        <v>#DIV/0!</v>
      </c>
      <c r="Z21" s="53">
        <v>0.03</v>
      </c>
      <c r="AA21" s="55" t="e">
        <f>(E21-K21-S21)/W21</f>
        <v>#DIV/0!</v>
      </c>
      <c r="AB21" s="55" t="e">
        <f>(D21-J21-R21)/V21</f>
        <v>#DIV/0!</v>
      </c>
      <c r="AC21" s="53" t="e">
        <f>(E21-K21-S21)/E21</f>
        <v>#DIV/0!</v>
      </c>
      <c r="AD21" s="56" t="e">
        <f>SUM(D21-H21)/D21</f>
        <v>#DIV/0!</v>
      </c>
      <c r="AE21" s="57"/>
      <c r="AG21" s="35" t="s">
        <v>98</v>
      </c>
      <c r="AH21" s="36">
        <v>0</v>
      </c>
      <c r="AK21" s="19">
        <f>SUM(W22-W21)</f>
        <v>0</v>
      </c>
      <c r="AL21" s="58">
        <f>SUM(K22-K21)</f>
        <v>0</v>
      </c>
    </row>
    <row r="22" ht="15" customHeight="1" spans="1:38" x14ac:dyDescent="0.25">
      <c r="A22" s="19"/>
      <c r="B22" s="20"/>
      <c r="C22" s="51" t="s">
        <v>99</v>
      </c>
      <c r="D22" s="52"/>
      <c r="E22" s="52"/>
      <c r="F22" s="52">
        <f>D22-E22</f>
        <v>0</v>
      </c>
      <c r="G22" s="53" t="e">
        <f>F22/D22</f>
        <v>#DIV/0!</v>
      </c>
      <c r="H22" s="52"/>
      <c r="I22" s="52"/>
      <c r="J22" s="52">
        <f>SUM(H22-R22)</f>
        <v>0</v>
      </c>
      <c r="K22" s="52">
        <f>SUM(I22-S22)</f>
        <v>0</v>
      </c>
      <c r="L22" s="52">
        <f>J22-K22</f>
        <v>0</v>
      </c>
      <c r="M22" s="53" t="e">
        <f>L22/J22</f>
        <v>#DIV/0!</v>
      </c>
      <c r="N22" s="53"/>
      <c r="O22" s="53"/>
      <c r="P22" s="53"/>
      <c r="Q22" s="53"/>
      <c r="R22" s="52"/>
      <c r="S22" s="52"/>
      <c r="T22" s="52">
        <f>R22-S22</f>
        <v>0</v>
      </c>
      <c r="U22" s="53" t="e">
        <f>T22/R22</f>
        <v>#DIV/0!</v>
      </c>
      <c r="V22" s="54"/>
      <c r="W22" s="54"/>
      <c r="X22" s="54">
        <f>V22-W22</f>
        <v>0</v>
      </c>
      <c r="Y22" s="53" t="e">
        <f>X22/V22</f>
        <v>#DIV/0!</v>
      </c>
      <c r="Z22" s="53">
        <v>0.03</v>
      </c>
      <c r="AA22" s="55" t="e">
        <f>(E22-K22-S22)/W22</f>
        <v>#DIV/0!</v>
      </c>
      <c r="AB22" s="55" t="e">
        <f>(D22-J22-R22)/V22</f>
        <v>#DIV/0!</v>
      </c>
      <c r="AC22" s="53" t="e">
        <f>(E22-K22-S22)/E22</f>
        <v>#DIV/0!</v>
      </c>
      <c r="AD22" s="56" t="e">
        <f>SUM(D22-H22)/D22</f>
        <v>#DIV/0!</v>
      </c>
      <c r="AE22" s="57"/>
      <c r="AG22" s="35"/>
      <c r="AH22" s="35"/>
      <c r="AK22" s="19">
        <f>SUM(W23-W22)</f>
        <v>0</v>
      </c>
      <c r="AL22" s="58">
        <f>SUM(K23-K22)</f>
        <v>0</v>
      </c>
    </row>
    <row r="23" ht="15" customHeight="1" spans="1:38" x14ac:dyDescent="0.25">
      <c r="A23" s="19"/>
      <c r="B23" s="20"/>
      <c r="C23" s="51" t="s">
        <v>100</v>
      </c>
      <c r="D23" s="52"/>
      <c r="E23" s="52"/>
      <c r="F23" s="52">
        <f>D23-E23</f>
        <v>0</v>
      </c>
      <c r="G23" s="53" t="e">
        <f>F23/D23</f>
        <v>#DIV/0!</v>
      </c>
      <c r="H23" s="52"/>
      <c r="I23" s="52"/>
      <c r="J23" s="52">
        <f>SUM(H23-R23)</f>
        <v>0</v>
      </c>
      <c r="K23" s="52">
        <f>SUM(I23-S23)</f>
        <v>0</v>
      </c>
      <c r="L23" s="52">
        <f>J23-K23</f>
        <v>0</v>
      </c>
      <c r="M23" s="53" t="e">
        <f>L23/J23</f>
        <v>#DIV/0!</v>
      </c>
      <c r="N23" s="53">
        <v>0.9</v>
      </c>
      <c r="O23" s="53"/>
      <c r="P23" s="53"/>
      <c r="Q23" s="53"/>
      <c r="R23" s="52"/>
      <c r="S23" s="52"/>
      <c r="T23" s="52">
        <f>R23-S23</f>
        <v>0</v>
      </c>
      <c r="U23" s="53" t="e">
        <f>T23/R23</f>
        <v>#DIV/0!</v>
      </c>
      <c r="V23" s="54"/>
      <c r="W23" s="54"/>
      <c r="X23" s="54">
        <f>V23-W23</f>
        <v>0</v>
      </c>
      <c r="Y23" s="53" t="e">
        <f>X23/V23</f>
        <v>#DIV/0!</v>
      </c>
      <c r="Z23" s="53">
        <v>0.65</v>
      </c>
      <c r="AA23" s="55" t="e">
        <f>(E23-K23-S23)/W23</f>
        <v>#DIV/0!</v>
      </c>
      <c r="AB23" s="55" t="e">
        <f>(D23-J23-R23)/V23</f>
        <v>#DIV/0!</v>
      </c>
      <c r="AC23" s="53" t="e">
        <f>(E23-K23-S23)/E23</f>
        <v>#DIV/0!</v>
      </c>
      <c r="AD23" s="56" t="e">
        <f>SUM(D23-H23)/D23</f>
        <v>#DIV/0!</v>
      </c>
      <c r="AE23" s="57"/>
      <c r="AG23" s="35"/>
      <c r="AH23" s="35"/>
      <c r="AK23" s="59">
        <f>SUM(AK18,AK19,AK20,AK21,AK22)</f>
        <v>-799.5</v>
      </c>
      <c r="AL23" s="60">
        <f>SUM(AL18,AL19,AL20,AL21,AL22)</f>
        <v>-219103.38</v>
      </c>
    </row>
    <row r="24" ht="9" customHeight="1" spans="1:38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G24" s="35"/>
      <c r="AH24" s="35"/>
      <c r="AK24" s="35"/>
      <c r="AL24" s="35"/>
    </row>
    <row r="25" ht="15" customHeight="1" spans="1:38" x14ac:dyDescent="0.25">
      <c r="A25" s="19">
        <f>'Main Sheet'!A10</f>
        <v>8127</v>
      </c>
      <c r="B25" s="20" t="str">
        <f>'Main Sheet'!B10</f>
        <v>Rolly Autowash</v>
      </c>
      <c r="C25" s="51" t="s">
        <v>92</v>
      </c>
      <c r="D25" s="52">
        <v>38856.96</v>
      </c>
      <c r="E25" s="52">
        <v>0</v>
      </c>
      <c r="F25" s="52">
        <f>D25-E25</f>
        <v>38856.96</v>
      </c>
      <c r="G25" s="53">
        <f>F25/D25</f>
        <v>1</v>
      </c>
      <c r="H25" s="52">
        <v>27050.88</v>
      </c>
      <c r="I25" s="52">
        <v>1129.12</v>
      </c>
      <c r="J25" s="52">
        <f>SUM(H25-R25)</f>
        <v>16492.08</v>
      </c>
      <c r="K25" s="52">
        <f>SUM(I25-S25)</f>
        <v>1129.12</v>
      </c>
      <c r="L25" s="52">
        <f>J25-K25</f>
        <v>15362.96</v>
      </c>
      <c r="M25" s="53">
        <f>L25/J25</f>
        <v>0.931535621947019</v>
      </c>
      <c r="N25" s="53">
        <v>0</v>
      </c>
      <c r="O25" s="53"/>
      <c r="P25" s="53"/>
      <c r="Q25" s="53"/>
      <c r="R25" s="52">
        <v>10558.8</v>
      </c>
      <c r="S25" s="52">
        <v>0</v>
      </c>
      <c r="T25" s="52">
        <f>R25-S25</f>
        <v>10558.8</v>
      </c>
      <c r="U25" s="53">
        <f>T25/R25</f>
        <v>1</v>
      </c>
      <c r="V25" s="54">
        <v>213</v>
      </c>
      <c r="W25" s="54">
        <v>0</v>
      </c>
      <c r="X25" s="54">
        <f>V25-W25</f>
        <v>213</v>
      </c>
      <c r="Y25" s="53">
        <f>X25/V25</f>
        <v>1</v>
      </c>
      <c r="Z25" s="53">
        <v>0</v>
      </c>
      <c r="AA25" s="55" t="e">
        <f>(E25-K25-S25)/W25</f>
        <v>#DIV/0!</v>
      </c>
      <c r="AB25" s="55">
        <f>(D25-J25-R25)/V25</f>
        <v>55.4276056338028</v>
      </c>
      <c r="AC25" s="53" t="e">
        <f>(E25-K25-S25)/E25</f>
        <v>#DIV/0!</v>
      </c>
      <c r="AD25" s="56">
        <f>SUM(D25-H25)/D25</f>
        <v>0.303834370985275</v>
      </c>
      <c r="AE25" s="57"/>
      <c r="AG25" s="35" t="s">
        <v>93</v>
      </c>
      <c r="AH25" s="35">
        <f>AK30</f>
        <v>0</v>
      </c>
      <c r="AK25" s="19">
        <f>SUM(W26-W25)</f>
        <v>9.25</v>
      </c>
      <c r="AL25" s="58">
        <f>SUM(K26-K25)</f>
        <v>5779.58</v>
      </c>
    </row>
    <row r="26" ht="15" customHeight="1" spans="1:38" x14ac:dyDescent="0.25">
      <c r="A26" s="19"/>
      <c r="B26" s="20"/>
      <c r="C26" s="51" t="s">
        <v>94</v>
      </c>
      <c r="D26" s="52">
        <v>38856.96</v>
      </c>
      <c r="E26" s="52">
        <v>0</v>
      </c>
      <c r="F26" s="52">
        <f>D26-E26</f>
        <v>38856.96</v>
      </c>
      <c r="G26" s="53">
        <f>F26/D26</f>
        <v>1</v>
      </c>
      <c r="H26" s="52">
        <v>27050.88</v>
      </c>
      <c r="I26" s="52">
        <v>7293.59</v>
      </c>
      <c r="J26" s="52">
        <f>SUM(H26-R26)</f>
        <v>16492.08</v>
      </c>
      <c r="K26" s="52">
        <f>SUM(I26-S26)</f>
        <v>6908.7</v>
      </c>
      <c r="L26" s="52">
        <f>J26-K26</f>
        <v>9583.38</v>
      </c>
      <c r="M26" s="53">
        <f>L26/J26</f>
        <v>0.58108983221037</v>
      </c>
      <c r="N26" s="53">
        <v>0</v>
      </c>
      <c r="O26" s="53"/>
      <c r="P26" s="53"/>
      <c r="Q26" s="53"/>
      <c r="R26" s="52">
        <v>10558.8</v>
      </c>
      <c r="S26" s="52">
        <v>384.89</v>
      </c>
      <c r="T26" s="52">
        <f>R26-S26</f>
        <v>10173.91</v>
      </c>
      <c r="U26" s="53">
        <f>T26/R26</f>
        <v>0.963547941053908</v>
      </c>
      <c r="V26" s="54">
        <v>213.13</v>
      </c>
      <c r="W26" s="54">
        <v>9.25</v>
      </c>
      <c r="X26" s="54">
        <f>V26-W26</f>
        <v>203.88</v>
      </c>
      <c r="Y26" s="53">
        <f>X26/V26</f>
        <v>0.956599258668418</v>
      </c>
      <c r="Z26" s="53">
        <v>0</v>
      </c>
      <c r="AA26" s="55">
        <f>(E26-K26-S26)/W26</f>
        <v>-788.496216216216</v>
      </c>
      <c r="AB26" s="55">
        <f>(D26-J26-R26)/V26</f>
        <v>55.3937972129686</v>
      </c>
      <c r="AC26" s="53" t="e">
        <f>(E26-K26-S26)/E26</f>
        <v>#DIV/0!</v>
      </c>
      <c r="AD26" s="56">
        <f>SUM(D26-H26)/D26</f>
        <v>0.303834370985275</v>
      </c>
      <c r="AE26" s="57"/>
      <c r="AG26" s="35" t="s">
        <v>95</v>
      </c>
      <c r="AH26" s="36">
        <f>AL30</f>
        <v>-1129.12</v>
      </c>
      <c r="AK26" s="19">
        <f>SUM(W27-W26)</f>
        <v>101.75</v>
      </c>
      <c r="AL26" s="58">
        <f>SUM(K27-K26)</f>
        <v>6796.13</v>
      </c>
    </row>
    <row r="27" ht="15" customHeight="1" spans="1:38" x14ac:dyDescent="0.25">
      <c r="A27" s="19"/>
      <c r="B27" s="20"/>
      <c r="C27" s="51" t="s">
        <v>96</v>
      </c>
      <c r="D27" s="52">
        <v>38856.96</v>
      </c>
      <c r="E27" s="52">
        <v>0</v>
      </c>
      <c r="F27" s="52">
        <f>D27-E27</f>
        <v>38856.96</v>
      </c>
      <c r="G27" s="53">
        <f>F27/D27</f>
        <v>1</v>
      </c>
      <c r="H27" s="52">
        <v>27050.88</v>
      </c>
      <c r="I27" s="52">
        <v>18431.21</v>
      </c>
      <c r="J27" s="52">
        <f>SUM(H27-R27)</f>
        <v>16492.08</v>
      </c>
      <c r="K27" s="52">
        <f>SUM(I27-S27)</f>
        <v>13704.83</v>
      </c>
      <c r="L27" s="52">
        <f>J27-K27</f>
        <v>2787.25</v>
      </c>
      <c r="M27" s="53">
        <f>L27/J27</f>
        <v>0.169005364999442</v>
      </c>
      <c r="N27" s="53">
        <v>0</v>
      </c>
      <c r="O27" s="53"/>
      <c r="P27" s="53"/>
      <c r="Q27" s="53"/>
      <c r="R27" s="52">
        <v>10558.8</v>
      </c>
      <c r="S27" s="52">
        <v>4726.38</v>
      </c>
      <c r="T27" s="52">
        <f>R27-S27</f>
        <v>5832.42</v>
      </c>
      <c r="U27" s="53">
        <f>T27/R27</f>
        <v>0.552375269917036</v>
      </c>
      <c r="V27" s="54">
        <v>213.13</v>
      </c>
      <c r="W27" s="54">
        <v>111</v>
      </c>
      <c r="X27" s="54">
        <f>V27-W27</f>
        <v>102.13</v>
      </c>
      <c r="Y27" s="53">
        <f>X27/V27</f>
        <v>0.47919110402102</v>
      </c>
      <c r="Z27" s="53">
        <v>0</v>
      </c>
      <c r="AA27" s="55">
        <f>(E27-K27-S27)/W27</f>
        <v>-166.046936936937</v>
      </c>
      <c r="AB27" s="55">
        <f>(D27-J27-R27)/V27</f>
        <v>55.3937972129686</v>
      </c>
      <c r="AC27" s="53" t="e">
        <f>(E27-K27-S27)/E27</f>
        <v>#DIV/0!</v>
      </c>
      <c r="AD27" s="56">
        <f>SUM(D27-H27)/D27</f>
        <v>0.303834370985275</v>
      </c>
      <c r="AE27" s="57"/>
      <c r="AG27" s="35"/>
      <c r="AH27" s="35"/>
      <c r="AK27" s="19">
        <f>SUM(W28-W27)</f>
        <v>-111</v>
      </c>
      <c r="AL27" s="58">
        <f>SUM(K28-K27)</f>
        <v>-13704.83</v>
      </c>
    </row>
    <row r="28" ht="15" customHeight="1" spans="1:38" x14ac:dyDescent="0.25">
      <c r="A28" s="19"/>
      <c r="B28" s="20"/>
      <c r="C28" s="51" t="s">
        <v>97</v>
      </c>
      <c r="D28" s="52"/>
      <c r="E28" s="52">
        <v>0</v>
      </c>
      <c r="F28" s="52">
        <f>D28-E28</f>
        <v>0</v>
      </c>
      <c r="G28" s="53" t="e">
        <f>F28/D28</f>
        <v>#DIV/0!</v>
      </c>
      <c r="H28" s="52"/>
      <c r="I28" s="52"/>
      <c r="J28" s="52">
        <f>SUM(H28-R28)</f>
        <v>0</v>
      </c>
      <c r="K28" s="52">
        <f>SUM(I28-S28)</f>
        <v>0</v>
      </c>
      <c r="L28" s="52">
        <f>J28-K28</f>
        <v>0</v>
      </c>
      <c r="M28" s="53" t="e">
        <f>L28/J28</f>
        <v>#DIV/0!</v>
      </c>
      <c r="N28" s="53">
        <v>0</v>
      </c>
      <c r="O28" s="53"/>
      <c r="P28" s="53"/>
      <c r="Q28" s="53"/>
      <c r="R28" s="52"/>
      <c r="S28" s="52">
        <v>0</v>
      </c>
      <c r="T28" s="52">
        <f>R28-S28</f>
        <v>0</v>
      </c>
      <c r="U28" s="53" t="e">
        <f>T28/R28</f>
        <v>#DIV/0!</v>
      </c>
      <c r="V28" s="54"/>
      <c r="W28" s="54">
        <v>0</v>
      </c>
      <c r="X28" s="54">
        <f>V28-W28</f>
        <v>0</v>
      </c>
      <c r="Y28" s="53" t="e">
        <f>X28/V28</f>
        <v>#DIV/0!</v>
      </c>
      <c r="Z28" s="53">
        <v>0</v>
      </c>
      <c r="AA28" s="55" t="e">
        <f>(E28-K28-S28)/W28</f>
        <v>#DIV/0!</v>
      </c>
      <c r="AB28" s="55" t="e">
        <f>(D28-J28-R28)/V28</f>
        <v>#DIV/0!</v>
      </c>
      <c r="AC28" s="53" t="e">
        <f>(E28-K28-S28)/E28</f>
        <v>#DIV/0!</v>
      </c>
      <c r="AD28" s="56" t="e">
        <f>SUM(D28-H28)/D28</f>
        <v>#DIV/0!</v>
      </c>
      <c r="AE28" s="57"/>
      <c r="AG28" s="35" t="s">
        <v>98</v>
      </c>
      <c r="AH28" s="36">
        <v>0</v>
      </c>
      <c r="AK28" s="19">
        <f>SUM(W29-W28)</f>
        <v>0</v>
      </c>
      <c r="AL28" s="58">
        <f>SUM(K29-K28)</f>
        <v>0</v>
      </c>
    </row>
    <row r="29" ht="15" customHeight="1" spans="1:38" x14ac:dyDescent="0.25">
      <c r="A29" s="19"/>
      <c r="B29" s="20"/>
      <c r="C29" s="51" t="s">
        <v>99</v>
      </c>
      <c r="D29" s="52"/>
      <c r="E29" s="52">
        <v>0</v>
      </c>
      <c r="F29" s="52">
        <f>D29-E29</f>
        <v>0</v>
      </c>
      <c r="G29" s="53" t="e">
        <f>F29/D29</f>
        <v>#DIV/0!</v>
      </c>
      <c r="H29" s="52"/>
      <c r="I29" s="52"/>
      <c r="J29" s="52">
        <f>SUM(H29-R29)</f>
        <v>0</v>
      </c>
      <c r="K29" s="52">
        <f>SUM(I29-S29)</f>
        <v>0</v>
      </c>
      <c r="L29" s="52">
        <f>J29-K29</f>
        <v>0</v>
      </c>
      <c r="M29" s="53" t="e">
        <f>L29/J29</f>
        <v>#DIV/0!</v>
      </c>
      <c r="N29" s="53">
        <v>0</v>
      </c>
      <c r="O29" s="53"/>
      <c r="P29" s="53"/>
      <c r="Q29" s="53"/>
      <c r="R29" s="52"/>
      <c r="S29" s="52">
        <v>0</v>
      </c>
      <c r="T29" s="52">
        <f>R29-S29</f>
        <v>0</v>
      </c>
      <c r="U29" s="53" t="e">
        <f>T29/R29</f>
        <v>#DIV/0!</v>
      </c>
      <c r="V29" s="54"/>
      <c r="W29" s="54">
        <v>0</v>
      </c>
      <c r="X29" s="54">
        <f>V29-W29</f>
        <v>0</v>
      </c>
      <c r="Y29" s="53" t="e">
        <f>X29/V29</f>
        <v>#DIV/0!</v>
      </c>
      <c r="Z29" s="53">
        <v>0</v>
      </c>
      <c r="AA29" s="55" t="e">
        <f>(E29-K29-S29)/W29</f>
        <v>#DIV/0!</v>
      </c>
      <c r="AB29" s="55" t="e">
        <f>(D29-J29-R29)/V29</f>
        <v>#DIV/0!</v>
      </c>
      <c r="AC29" s="53" t="e">
        <f>(E29-K29-S29)/E29</f>
        <v>#DIV/0!</v>
      </c>
      <c r="AD29" s="56" t="e">
        <f>SUM(D29-H29)/D29</f>
        <v>#DIV/0!</v>
      </c>
      <c r="AE29" s="57"/>
      <c r="AG29" s="35"/>
      <c r="AH29" s="35"/>
      <c r="AK29" s="19">
        <f>SUM(W30-W29)</f>
        <v>0</v>
      </c>
      <c r="AL29" s="58">
        <f>SUM(K30-K29)</f>
        <v>0</v>
      </c>
    </row>
    <row r="30" ht="15" customHeight="1" spans="1:38" x14ac:dyDescent="0.25">
      <c r="A30" s="19"/>
      <c r="B30" s="20"/>
      <c r="C30" s="51" t="s">
        <v>100</v>
      </c>
      <c r="D30" s="52"/>
      <c r="E30" s="52">
        <v>0</v>
      </c>
      <c r="F30" s="52">
        <f>D30-E30</f>
        <v>0</v>
      </c>
      <c r="G30" s="53" t="e">
        <f>F30/D30</f>
        <v>#DIV/0!</v>
      </c>
      <c r="H30" s="52"/>
      <c r="I30" s="52"/>
      <c r="J30" s="52">
        <f>SUM(H30-R30)</f>
        <v>0</v>
      </c>
      <c r="K30" s="52">
        <f>SUM(I30-S30)</f>
        <v>0</v>
      </c>
      <c r="L30" s="52">
        <f>J30-K30</f>
        <v>0</v>
      </c>
      <c r="M30" s="53" t="e">
        <f>L30/J30</f>
        <v>#DIV/0!</v>
      </c>
      <c r="N30" s="53">
        <v>0</v>
      </c>
      <c r="O30" s="53"/>
      <c r="P30" s="53"/>
      <c r="Q30" s="53"/>
      <c r="R30" s="52"/>
      <c r="S30" s="52">
        <v>0</v>
      </c>
      <c r="T30" s="52">
        <f>R30-S30</f>
        <v>0</v>
      </c>
      <c r="U30" s="53" t="e">
        <f>T30/R30</f>
        <v>#DIV/0!</v>
      </c>
      <c r="V30" s="54"/>
      <c r="W30" s="54">
        <v>0</v>
      </c>
      <c r="X30" s="54">
        <f>V30-W30</f>
        <v>0</v>
      </c>
      <c r="Y30" s="53" t="e">
        <f>X30/V30</f>
        <v>#DIV/0!</v>
      </c>
      <c r="Z30" s="53">
        <v>0</v>
      </c>
      <c r="AA30" s="55" t="e">
        <f>(E30-K30-S30)/W30</f>
        <v>#DIV/0!</v>
      </c>
      <c r="AB30" s="55" t="e">
        <f>(D30-J30-R30)/V30</f>
        <v>#DIV/0!</v>
      </c>
      <c r="AC30" s="53" t="e">
        <f>(E30-K30-S30)/E30</f>
        <v>#DIV/0!</v>
      </c>
      <c r="AD30" s="56" t="e">
        <f>SUM(D30-H30)/D30</f>
        <v>#DIV/0!</v>
      </c>
      <c r="AE30" s="57"/>
      <c r="AG30" s="35"/>
      <c r="AH30" s="35"/>
      <c r="AK30" s="59">
        <f>SUM(AK25,AK26,AK27,AK28,AK29)</f>
        <v>0</v>
      </c>
      <c r="AL30" s="60">
        <f>SUM(AL25,AL26,AL27,AL28,AL29)</f>
        <v>-1129.12</v>
      </c>
    </row>
    <row r="31" ht="9" customHeight="1" spans="1:38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G31" s="35"/>
      <c r="AH31" s="35"/>
      <c r="AK31" s="35"/>
      <c r="AL31" s="35"/>
    </row>
    <row r="32" ht="15" customHeight="1" spans="1:38" x14ac:dyDescent="0.25">
      <c r="A32" s="19">
        <f>'Main Sheet'!A12</f>
        <v>8183</v>
      </c>
      <c r="B32" s="20" t="str">
        <f>'Main Sheet'!B12</f>
        <v>Murney - 1 Freight Drive + 109 Iport</v>
      </c>
      <c r="C32" s="51" t="s">
        <v>92</v>
      </c>
      <c r="D32" s="52">
        <v>69191.71</v>
      </c>
      <c r="E32" s="52">
        <v>0</v>
      </c>
      <c r="F32" s="52">
        <f>D32-E32</f>
        <v>69191.71</v>
      </c>
      <c r="G32" s="53">
        <f>F32/D32</f>
        <v>1</v>
      </c>
      <c r="H32" s="52">
        <v>53243.87</v>
      </c>
      <c r="I32" s="52">
        <v>641.28</v>
      </c>
      <c r="J32" s="52">
        <f>SUM(H32-R32)</f>
        <v>41588.94</v>
      </c>
      <c r="K32" s="52">
        <f>SUM(I32-S32)</f>
        <v>171.84</v>
      </c>
      <c r="L32" s="52">
        <f>J32-K32</f>
        <v>41417.1</v>
      </c>
      <c r="M32" s="53">
        <f>L32/J32</f>
        <v>0.995868132248622</v>
      </c>
      <c r="N32" s="53"/>
      <c r="O32" s="53"/>
      <c r="P32" s="53"/>
      <c r="Q32" s="53"/>
      <c r="R32" s="52">
        <v>11654.93</v>
      </c>
      <c r="S32" s="52">
        <v>469.44</v>
      </c>
      <c r="T32" s="52">
        <f>R32-S32</f>
        <v>11185.49</v>
      </c>
      <c r="U32" s="53">
        <f>T32/R32</f>
        <v>0.959721765810691</v>
      </c>
      <c r="V32" s="54">
        <v>233.59</v>
      </c>
      <c r="W32" s="54">
        <v>12.5</v>
      </c>
      <c r="X32" s="54">
        <f>V32-W32</f>
        <v>221.09</v>
      </c>
      <c r="Y32" s="53">
        <f>X32/V32</f>
        <v>0.946487435249797</v>
      </c>
      <c r="Z32" s="53">
        <v>0</v>
      </c>
      <c r="AA32" s="55">
        <f>(E32-K32-S32)/W32</f>
        <v>-51.3024</v>
      </c>
      <c r="AB32" s="55">
        <f>(D32-J32-R32)/V32</f>
        <v>68.2727856500707</v>
      </c>
      <c r="AC32" s="53" t="e">
        <f>(E32-K32-S32)/E32</f>
        <v>#DIV/0!</v>
      </c>
      <c r="AD32" s="56">
        <f>SUM(D32-H32)/D32</f>
        <v>0.230487727503772</v>
      </c>
      <c r="AE32" s="57"/>
      <c r="AG32" s="35" t="s">
        <v>93</v>
      </c>
      <c r="AH32" s="35">
        <f>AK37</f>
        <v>-12.5</v>
      </c>
      <c r="AK32" s="19">
        <f>SUM(W33-W32)</f>
        <v>4.5</v>
      </c>
      <c r="AL32" s="58">
        <f>SUM(K33-K32)</f>
        <v>13.95</v>
      </c>
    </row>
    <row r="33" ht="15" customHeight="1" spans="1:38" x14ac:dyDescent="0.25">
      <c r="A33" s="19"/>
      <c r="B33" s="20"/>
      <c r="C33" s="51" t="s">
        <v>94</v>
      </c>
      <c r="D33" s="52">
        <v>69191.71</v>
      </c>
      <c r="E33" s="52">
        <v>1364.78</v>
      </c>
      <c r="F33" s="52">
        <f>D33-E33</f>
        <v>67826.93</v>
      </c>
      <c r="G33" s="53">
        <f>F33/D33</f>
        <v>0.980275382701194</v>
      </c>
      <c r="H33" s="52">
        <v>53243.87</v>
      </c>
      <c r="I33" s="52">
        <v>844.77</v>
      </c>
      <c r="J33" s="52">
        <f>SUM(H33-R33)</f>
        <v>41588.94</v>
      </c>
      <c r="K33" s="52">
        <f>SUM(I33-S33)</f>
        <v>185.79</v>
      </c>
      <c r="L33" s="52">
        <f>J33-K33</f>
        <v>41403.15</v>
      </c>
      <c r="M33" s="53">
        <f>L33/J33</f>
        <v>0.995532706532073</v>
      </c>
      <c r="N33" s="53"/>
      <c r="O33" s="53"/>
      <c r="P33" s="53"/>
      <c r="Q33" s="53"/>
      <c r="R33" s="52">
        <v>11654.93</v>
      </c>
      <c r="S33" s="52">
        <v>658.98</v>
      </c>
      <c r="T33" s="52">
        <f>R33-S33</f>
        <v>10995.95</v>
      </c>
      <c r="U33" s="53">
        <f>T33/R33</f>
        <v>0.943459119874594</v>
      </c>
      <c r="V33" s="54">
        <v>233.59</v>
      </c>
      <c r="W33" s="54">
        <v>17</v>
      </c>
      <c r="X33" s="54">
        <f>V33-W33</f>
        <v>216.59</v>
      </c>
      <c r="Y33" s="53">
        <f>X33/V33</f>
        <v>0.927222911939723</v>
      </c>
      <c r="Z33" s="53"/>
      <c r="AA33" s="55">
        <f>(E33-K33-S33)/W33</f>
        <v>30.5888235294118</v>
      </c>
      <c r="AB33" s="55">
        <f>(D33-J33-R33)/V33</f>
        <v>68.2727856500707</v>
      </c>
      <c r="AC33" s="53">
        <f>(E33-K33-S33)/E33</f>
        <v>0.381021116956579</v>
      </c>
      <c r="AD33" s="56">
        <f>SUM(D33-H33)/D33</f>
        <v>0.230487727503772</v>
      </c>
      <c r="AE33" s="57"/>
      <c r="AG33" s="35" t="s">
        <v>95</v>
      </c>
      <c r="AH33" s="36">
        <f>AL37</f>
        <v>-171.84</v>
      </c>
      <c r="AK33" s="19">
        <f>SUM(W34-W33)</f>
        <v>3</v>
      </c>
      <c r="AL33" s="58">
        <f>SUM(K34-K33)</f>
        <v>3907.37</v>
      </c>
    </row>
    <row r="34" ht="15" customHeight="1" spans="1:38" x14ac:dyDescent="0.25">
      <c r="A34" s="19"/>
      <c r="B34" s="20"/>
      <c r="C34" s="51" t="s">
        <v>96</v>
      </c>
      <c r="D34" s="52">
        <v>69191.71</v>
      </c>
      <c r="E34" s="52">
        <v>1364.78</v>
      </c>
      <c r="F34" s="52">
        <f>D34-E34</f>
        <v>67826.93</v>
      </c>
      <c r="G34" s="53">
        <f>F34/D34</f>
        <v>0.980275382701194</v>
      </c>
      <c r="H34" s="52">
        <v>53243.87</v>
      </c>
      <c r="I34" s="52">
        <v>4850.24</v>
      </c>
      <c r="J34" s="52">
        <f>SUM(H34-R34)</f>
        <v>41588.94</v>
      </c>
      <c r="K34" s="52">
        <f>SUM(I34-S34)</f>
        <v>4093.16</v>
      </c>
      <c r="L34" s="52">
        <f>J34-K34</f>
        <v>37495.78</v>
      </c>
      <c r="M34" s="53">
        <f>L34/J34</f>
        <v>0.901580564448144</v>
      </c>
      <c r="N34" s="53"/>
      <c r="O34" s="53"/>
      <c r="P34" s="53"/>
      <c r="Q34" s="53"/>
      <c r="R34" s="52">
        <v>11654.93</v>
      </c>
      <c r="S34" s="52">
        <v>757.08</v>
      </c>
      <c r="T34" s="52">
        <f>R34-S34</f>
        <v>10897.85</v>
      </c>
      <c r="U34" s="53">
        <f>T34/R34</f>
        <v>0.935042080904819</v>
      </c>
      <c r="V34" s="54">
        <v>233.59</v>
      </c>
      <c r="W34" s="54">
        <v>20</v>
      </c>
      <c r="X34" s="54">
        <f>V34-W34</f>
        <v>213.59</v>
      </c>
      <c r="Y34" s="53">
        <f>X34/V34</f>
        <v>0.914379896399675</v>
      </c>
      <c r="Z34" s="53"/>
      <c r="AA34" s="55">
        <f>(E34-K34-S34)/W34</f>
        <v>-174.273</v>
      </c>
      <c r="AB34" s="55">
        <f>(D34-J34-R34)/V34</f>
        <v>68.2727856500707</v>
      </c>
      <c r="AC34" s="53">
        <f>(E34-K34-S34)/E34</f>
        <v>-2.55386216093436</v>
      </c>
      <c r="AD34" s="56">
        <f>SUM(D34-H34)/D34</f>
        <v>0.230487727503772</v>
      </c>
      <c r="AE34" s="57"/>
      <c r="AG34" s="35"/>
      <c r="AH34" s="35"/>
      <c r="AK34" s="19">
        <f>SUM(W35-W34)</f>
        <v>-20</v>
      </c>
      <c r="AL34" s="58">
        <f>SUM(K35-K34)</f>
        <v>-4093.16</v>
      </c>
    </row>
    <row r="35" ht="15" customHeight="1" spans="1:38" x14ac:dyDescent="0.25">
      <c r="A35" s="19"/>
      <c r="B35" s="20"/>
      <c r="C35" s="51" t="s">
        <v>97</v>
      </c>
      <c r="D35" s="52"/>
      <c r="E35" s="52"/>
      <c r="F35" s="52">
        <f>D35-E35</f>
        <v>0</v>
      </c>
      <c r="G35" s="53" t="e">
        <f>F35/D35</f>
        <v>#DIV/0!</v>
      </c>
      <c r="H35" s="52"/>
      <c r="I35" s="52"/>
      <c r="J35" s="52">
        <f>SUM(H35-R35)</f>
        <v>0</v>
      </c>
      <c r="K35" s="52">
        <f>SUM(I35-S35)</f>
        <v>0</v>
      </c>
      <c r="L35" s="52">
        <f>J35-K35</f>
        <v>0</v>
      </c>
      <c r="M35" s="53" t="e">
        <f>L35/J35</f>
        <v>#DIV/0!</v>
      </c>
      <c r="N35" s="53"/>
      <c r="O35" s="53"/>
      <c r="P35" s="53"/>
      <c r="Q35" s="53"/>
      <c r="R35" s="52"/>
      <c r="S35" s="52"/>
      <c r="T35" s="52">
        <f>R35-S35</f>
        <v>0</v>
      </c>
      <c r="U35" s="53" t="e">
        <f>T35/R35</f>
        <v>#DIV/0!</v>
      </c>
      <c r="V35" s="54"/>
      <c r="W35" s="54"/>
      <c r="X35" s="54">
        <f>V35-W35</f>
        <v>0</v>
      </c>
      <c r="Y35" s="53" t="e">
        <f>X35/V35</f>
        <v>#DIV/0!</v>
      </c>
      <c r="Z35" s="53"/>
      <c r="AA35" s="55" t="e">
        <f>(E35-K35-S35)/W35</f>
        <v>#DIV/0!</v>
      </c>
      <c r="AB35" s="55" t="e">
        <f>(D35-J35-R35)/V35</f>
        <v>#DIV/0!</v>
      </c>
      <c r="AC35" s="53" t="e">
        <f>(E35-K35-S35)/E35</f>
        <v>#DIV/0!</v>
      </c>
      <c r="AD35" s="56" t="e">
        <f>SUM(D35-H35)/D35</f>
        <v>#DIV/0!</v>
      </c>
      <c r="AE35" s="57"/>
      <c r="AG35" s="35" t="s">
        <v>98</v>
      </c>
      <c r="AH35" s="36">
        <v>0</v>
      </c>
      <c r="AK35" s="19">
        <f>SUM(W36-W35)</f>
        <v>0</v>
      </c>
      <c r="AL35" s="58">
        <f>SUM(K36-K35)</f>
        <v>0</v>
      </c>
    </row>
    <row r="36" ht="15" customHeight="1" spans="1:38" x14ac:dyDescent="0.25">
      <c r="A36" s="19"/>
      <c r="B36" s="20"/>
      <c r="C36" s="51" t="s">
        <v>99</v>
      </c>
      <c r="D36" s="52"/>
      <c r="E36" s="52"/>
      <c r="F36" s="52">
        <f>D36-E36</f>
        <v>0</v>
      </c>
      <c r="G36" s="53" t="e">
        <f>F36/D36</f>
        <v>#DIV/0!</v>
      </c>
      <c r="H36" s="52"/>
      <c r="I36" s="52"/>
      <c r="J36" s="52">
        <f>SUM(H36-R36)</f>
        <v>0</v>
      </c>
      <c r="K36" s="52">
        <f>SUM(I36-S36)</f>
        <v>0</v>
      </c>
      <c r="L36" s="52">
        <f>J36-K36</f>
        <v>0</v>
      </c>
      <c r="M36" s="53" t="e">
        <f>L36/J36</f>
        <v>#DIV/0!</v>
      </c>
      <c r="N36" s="53"/>
      <c r="O36" s="53"/>
      <c r="P36" s="53"/>
      <c r="Q36" s="53"/>
      <c r="R36" s="52"/>
      <c r="S36" s="52"/>
      <c r="T36" s="52">
        <f>R36-S36</f>
        <v>0</v>
      </c>
      <c r="U36" s="53" t="e">
        <f>T36/R36</f>
        <v>#DIV/0!</v>
      </c>
      <c r="V36" s="54"/>
      <c r="W36" s="54"/>
      <c r="X36" s="54">
        <f>V36-W36</f>
        <v>0</v>
      </c>
      <c r="Y36" s="53" t="e">
        <f>X36/V36</f>
        <v>#DIV/0!</v>
      </c>
      <c r="Z36" s="53"/>
      <c r="AA36" s="55" t="e">
        <f>(E36-K36-S36)/W36</f>
        <v>#DIV/0!</v>
      </c>
      <c r="AB36" s="55" t="e">
        <f>(D36-J36-R36)/V36</f>
        <v>#DIV/0!</v>
      </c>
      <c r="AC36" s="53" t="e">
        <f>(E36-K36-S36)/E36</f>
        <v>#DIV/0!</v>
      </c>
      <c r="AD36" s="56" t="e">
        <f>SUM(D36-H36)/D36</f>
        <v>#DIV/0!</v>
      </c>
      <c r="AE36" s="57"/>
      <c r="AG36" s="35"/>
      <c r="AH36" s="35"/>
      <c r="AK36" s="19">
        <f>SUM(W37-W36)</f>
        <v>0</v>
      </c>
      <c r="AL36" s="58">
        <f>SUM(K37-K36)</f>
        <v>0</v>
      </c>
    </row>
    <row r="37" ht="15" customHeight="1" spans="1:38" x14ac:dyDescent="0.25">
      <c r="A37" s="19"/>
      <c r="B37" s="20"/>
      <c r="C37" s="51" t="s">
        <v>100</v>
      </c>
      <c r="D37" s="52"/>
      <c r="E37" s="52"/>
      <c r="F37" s="52">
        <f>D37-E37</f>
        <v>0</v>
      </c>
      <c r="G37" s="53" t="e">
        <f>F37/D37</f>
        <v>#DIV/0!</v>
      </c>
      <c r="H37" s="52"/>
      <c r="I37" s="52"/>
      <c r="J37" s="52">
        <f>SUM(H37-R37)</f>
        <v>0</v>
      </c>
      <c r="K37" s="52">
        <f>SUM(I37-S37)</f>
        <v>0</v>
      </c>
      <c r="L37" s="52">
        <f>J37-K37</f>
        <v>0</v>
      </c>
      <c r="M37" s="53" t="e">
        <f>L37/J37</f>
        <v>#DIV/0!</v>
      </c>
      <c r="N37" s="53"/>
      <c r="O37" s="53"/>
      <c r="P37" s="53"/>
      <c r="Q37" s="53"/>
      <c r="R37" s="52"/>
      <c r="S37" s="52"/>
      <c r="T37" s="52">
        <f>R37-S37</f>
        <v>0</v>
      </c>
      <c r="U37" s="53" t="e">
        <f>T37/R37</f>
        <v>#DIV/0!</v>
      </c>
      <c r="V37" s="54"/>
      <c r="W37" s="54"/>
      <c r="X37" s="54">
        <f>V37-W37</f>
        <v>0</v>
      </c>
      <c r="Y37" s="53" t="e">
        <f>X37/V37</f>
        <v>#DIV/0!</v>
      </c>
      <c r="Z37" s="53"/>
      <c r="AA37" s="55" t="e">
        <f>(E37-K37-S37)/W37</f>
        <v>#DIV/0!</v>
      </c>
      <c r="AB37" s="55" t="e">
        <f>(D37-J37-R37)/V37</f>
        <v>#DIV/0!</v>
      </c>
      <c r="AC37" s="53" t="e">
        <f>(E37-K37-S37)/E37</f>
        <v>#DIV/0!</v>
      </c>
      <c r="AD37" s="56" t="e">
        <f>SUM(D37-H37)/D37</f>
        <v>#DIV/0!</v>
      </c>
      <c r="AE37" s="57"/>
      <c r="AG37" s="35"/>
      <c r="AH37" s="35"/>
      <c r="AK37" s="59">
        <f>SUM(AK32,AK33,AK34,AK35,AK36)</f>
        <v>-12.5</v>
      </c>
      <c r="AL37" s="60">
        <f>SUM(AL32,AL33,AL34,AL35,AL36)</f>
        <v>-171.84</v>
      </c>
    </row>
    <row r="38" ht="9" customHeight="1" spans="1:38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G38" s="35"/>
      <c r="AH38" s="35"/>
      <c r="AK38" s="35"/>
      <c r="AL38" s="35"/>
    </row>
    <row r="39" ht="15" customHeight="1" spans="1:38" x14ac:dyDescent="0.25">
      <c r="A39" s="19">
        <f>'Main Sheet'!A14</f>
        <v>8886</v>
      </c>
      <c r="B39" s="20" t="str">
        <f>'Main Sheet'!B14</f>
        <v>Monkey Toe - Fisher fit out</v>
      </c>
      <c r="C39" s="51" t="s">
        <v>92</v>
      </c>
      <c r="D39" s="52">
        <v>44956.29</v>
      </c>
      <c r="E39" s="52"/>
      <c r="F39" s="52">
        <f>D39-E39</f>
        <v>44956.29</v>
      </c>
      <c r="G39" s="53">
        <f>F39/D39</f>
        <v>1</v>
      </c>
      <c r="H39" s="52">
        <v>30585.67</v>
      </c>
      <c r="I39" s="52">
        <v>0</v>
      </c>
      <c r="J39" s="52">
        <f>SUM(H39-R39)</f>
        <v>19268.79</v>
      </c>
      <c r="K39" s="52">
        <f>SUM(I39-S39)</f>
        <v>0</v>
      </c>
      <c r="L39" s="52">
        <f>J39-K39</f>
        <v>19268.79</v>
      </c>
      <c r="M39" s="53">
        <f>L39/J39</f>
        <v>1</v>
      </c>
      <c r="N39" s="53"/>
      <c r="O39" s="53"/>
      <c r="P39" s="53"/>
      <c r="Q39" s="53"/>
      <c r="R39" s="52">
        <v>11316.88</v>
      </c>
      <c r="S39" s="52"/>
      <c r="T39" s="52">
        <f>R39-S39</f>
        <v>11316.88</v>
      </c>
      <c r="U39" s="53">
        <f>T39/R39</f>
        <v>1</v>
      </c>
      <c r="V39" s="54">
        <v>234.28</v>
      </c>
      <c r="W39" s="54">
        <v>0</v>
      </c>
      <c r="X39" s="54">
        <f>V39-W39</f>
        <v>234.28</v>
      </c>
      <c r="Y39" s="53">
        <f>X39/V39</f>
        <v>1</v>
      </c>
      <c r="Z39" s="53">
        <v>0.8</v>
      </c>
      <c r="AA39" s="55" t="e">
        <f>(E39-K39-S39)/W39</f>
        <v>#DIV/0!</v>
      </c>
      <c r="AB39" s="55">
        <f>(D39-J39-R39)/V39</f>
        <v>61.3395082806898</v>
      </c>
      <c r="AC39" s="53" t="e">
        <f>(E39-K39-S39)/E39</f>
        <v>#DIV/0!</v>
      </c>
      <c r="AD39" s="56">
        <f>SUM(D39-H39)/D39</f>
        <v>0.319657605198294</v>
      </c>
      <c r="AE39" s="57"/>
      <c r="AG39" s="35" t="s">
        <v>93</v>
      </c>
      <c r="AH39" s="35">
        <f>AK44</f>
        <v>0</v>
      </c>
      <c r="AK39" s="19">
        <f>SUM(W40-W39)</f>
        <v>0</v>
      </c>
      <c r="AL39" s="58">
        <f>SUM(K40-K39)</f>
        <v>0</v>
      </c>
    </row>
    <row r="40" ht="15" customHeight="1" spans="1:38" x14ac:dyDescent="0.25">
      <c r="A40" s="19"/>
      <c r="B40" s="20"/>
      <c r="C40" s="51" t="s">
        <v>94</v>
      </c>
      <c r="D40" s="52">
        <v>44956.29</v>
      </c>
      <c r="E40" s="52"/>
      <c r="F40" s="52">
        <f>D40-E40</f>
        <v>44956.29</v>
      </c>
      <c r="G40" s="53">
        <f>F40/D40</f>
        <v>1</v>
      </c>
      <c r="H40" s="52">
        <v>30585.67</v>
      </c>
      <c r="I40" s="52"/>
      <c r="J40" s="52">
        <f>SUM(H40-R40)</f>
        <v>19268.79</v>
      </c>
      <c r="K40" s="52">
        <f>SUM(I40-S40)</f>
        <v>0</v>
      </c>
      <c r="L40" s="52">
        <f>J40-K40</f>
        <v>19268.79</v>
      </c>
      <c r="M40" s="53">
        <f>L40/J40</f>
        <v>1</v>
      </c>
      <c r="N40" s="53"/>
      <c r="O40" s="53"/>
      <c r="P40" s="53"/>
      <c r="Q40" s="53"/>
      <c r="R40" s="52">
        <v>11316.88</v>
      </c>
      <c r="S40" s="52"/>
      <c r="T40" s="52">
        <f>R40-S40</f>
        <v>11316.88</v>
      </c>
      <c r="U40" s="53">
        <f>T40/R40</f>
        <v>1</v>
      </c>
      <c r="V40" s="54">
        <v>234.28</v>
      </c>
      <c r="W40" s="54">
        <v>0</v>
      </c>
      <c r="X40" s="54">
        <f>V40-W40</f>
        <v>234.28</v>
      </c>
      <c r="Y40" s="53">
        <f>X40/V40</f>
        <v>1</v>
      </c>
      <c r="Z40" s="53">
        <v>0.95</v>
      </c>
      <c r="AA40" s="55" t="e">
        <f>(E40-K40-S40)/W40</f>
        <v>#DIV/0!</v>
      </c>
      <c r="AB40" s="55">
        <f>(D40-J40-R40)/V40</f>
        <v>61.3395082806898</v>
      </c>
      <c r="AC40" s="53" t="e">
        <f>(E40-K40-S40)/E40</f>
        <v>#DIV/0!</v>
      </c>
      <c r="AD40" s="56">
        <f>SUM(D40-H40)/D40</f>
        <v>0.319657605198294</v>
      </c>
      <c r="AE40" s="57"/>
      <c r="AG40" s="35" t="s">
        <v>95</v>
      </c>
      <c r="AH40" s="36">
        <f>AL44</f>
        <v>0</v>
      </c>
      <c r="AK40" s="19">
        <f>SUM(W41-W40)</f>
        <v>2.5</v>
      </c>
      <c r="AL40" s="58">
        <f>SUM(K41-K40)</f>
        <v>0</v>
      </c>
    </row>
    <row r="41" ht="15" customHeight="1" spans="1:38" x14ac:dyDescent="0.25">
      <c r="A41" s="19"/>
      <c r="B41" s="20"/>
      <c r="C41" s="51" t="s">
        <v>96</v>
      </c>
      <c r="D41" s="52">
        <v>44956.29</v>
      </c>
      <c r="E41" s="52"/>
      <c r="F41" s="52">
        <f>D41-E41</f>
        <v>44956.29</v>
      </c>
      <c r="G41" s="53">
        <f>F41/D41</f>
        <v>1</v>
      </c>
      <c r="H41" s="52">
        <v>30585.67</v>
      </c>
      <c r="I41" s="52">
        <v>112.35</v>
      </c>
      <c r="J41" s="52">
        <f>SUM(H41-R41)</f>
        <v>19268.79</v>
      </c>
      <c r="K41" s="52">
        <f>SUM(I41-S41)</f>
        <v>0</v>
      </c>
      <c r="L41" s="52">
        <f>J41-K41</f>
        <v>19268.79</v>
      </c>
      <c r="M41" s="53">
        <f>L41/J41</f>
        <v>1</v>
      </c>
      <c r="N41" s="53"/>
      <c r="O41" s="53"/>
      <c r="P41" s="53"/>
      <c r="Q41" s="53"/>
      <c r="R41" s="52">
        <v>11316.88</v>
      </c>
      <c r="S41" s="52">
        <v>112.35</v>
      </c>
      <c r="T41" s="52">
        <f>R41-S41</f>
        <v>11204.53</v>
      </c>
      <c r="U41" s="53">
        <f>T41/R41</f>
        <v>0.990072352097044</v>
      </c>
      <c r="V41" s="54">
        <v>234.28</v>
      </c>
      <c r="W41" s="54">
        <v>2.5</v>
      </c>
      <c r="X41" s="54">
        <f>V41-W41</f>
        <v>231.78</v>
      </c>
      <c r="Y41" s="53">
        <f>X41/V41</f>
        <v>0.989329008024586</v>
      </c>
      <c r="Z41" s="53">
        <v>0.98</v>
      </c>
      <c r="AA41" s="55">
        <f>(E41-K41-S41)/W41</f>
        <v>-44.94</v>
      </c>
      <c r="AB41" s="55">
        <f>(D41-J41-R41)/V41</f>
        <v>61.3395082806898</v>
      </c>
      <c r="AC41" s="53" t="e">
        <f>(E41-K41-S41)/E41</f>
        <v>#DIV/0!</v>
      </c>
      <c r="AD41" s="56">
        <f>SUM(D41-H41)/D41</f>
        <v>0.319657605198294</v>
      </c>
      <c r="AE41" s="57"/>
      <c r="AG41" s="35"/>
      <c r="AH41" s="35"/>
      <c r="AK41" s="19">
        <f>SUM(W42-W41)</f>
        <v>-2.5</v>
      </c>
      <c r="AL41" s="58">
        <f>SUM(K42-K41)</f>
        <v>0</v>
      </c>
    </row>
    <row r="42" ht="15" customHeight="1" spans="1:38" x14ac:dyDescent="0.25">
      <c r="A42" s="19"/>
      <c r="B42" s="20"/>
      <c r="C42" s="51" t="s">
        <v>97</v>
      </c>
      <c r="D42" s="52"/>
      <c r="E42" s="52"/>
      <c r="F42" s="52">
        <f>D42-E42</f>
        <v>0</v>
      </c>
      <c r="G42" s="53" t="e">
        <f>F42/D42</f>
        <v>#DIV/0!</v>
      </c>
      <c r="H42" s="52"/>
      <c r="I42" s="52"/>
      <c r="J42" s="52">
        <f>SUM(H42-R42)</f>
        <v>0</v>
      </c>
      <c r="K42" s="52">
        <f>SUM(I42-S42)</f>
        <v>0</v>
      </c>
      <c r="L42" s="52">
        <f>J42-K42</f>
        <v>0</v>
      </c>
      <c r="M42" s="53" t="e">
        <f>L42/J42</f>
        <v>#DIV/0!</v>
      </c>
      <c r="N42" s="53"/>
      <c r="O42" s="53"/>
      <c r="P42" s="53"/>
      <c r="Q42" s="53"/>
      <c r="R42" s="52"/>
      <c r="S42" s="52"/>
      <c r="T42" s="52">
        <f>R42-S42</f>
        <v>0</v>
      </c>
      <c r="U42" s="53" t="e">
        <f>T42/R42</f>
        <v>#DIV/0!</v>
      </c>
      <c r="V42" s="54"/>
      <c r="W42" s="54">
        <v>0</v>
      </c>
      <c r="X42" s="54">
        <f>V42-W42</f>
        <v>0</v>
      </c>
      <c r="Y42" s="53">
        <f>X42/V41</f>
        <v>0</v>
      </c>
      <c r="Z42" s="53">
        <v>1</v>
      </c>
      <c r="AA42" s="55" t="e">
        <f>(E42-K42-S42)/W42</f>
        <v>#DIV/0!</v>
      </c>
      <c r="AB42" s="55">
        <f>(D42-J42-R42)/V41</f>
        <v>0</v>
      </c>
      <c r="AC42" s="53" t="e">
        <f>(E42-K42-S42)/E42</f>
        <v>#DIV/0!</v>
      </c>
      <c r="AD42" s="56" t="e">
        <f>SUM(D42-H42)/D42</f>
        <v>#DIV/0!</v>
      </c>
      <c r="AE42" s="57"/>
      <c r="AG42" s="35" t="s">
        <v>98</v>
      </c>
      <c r="AH42" s="36">
        <v>0</v>
      </c>
      <c r="AK42" s="19">
        <f>SUM(W43-W42)</f>
        <v>0</v>
      </c>
      <c r="AL42" s="58">
        <f>SUM(K43-K42)</f>
        <v>0</v>
      </c>
    </row>
    <row r="43" ht="15" customHeight="1" spans="1:38" x14ac:dyDescent="0.25">
      <c r="A43" s="19"/>
      <c r="B43" s="20"/>
      <c r="C43" s="51" t="s">
        <v>99</v>
      </c>
      <c r="D43" s="52"/>
      <c r="E43" s="52"/>
      <c r="F43" s="52">
        <f>D43-E43</f>
        <v>0</v>
      </c>
      <c r="G43" s="53" t="e">
        <f>F43/D43</f>
        <v>#DIV/0!</v>
      </c>
      <c r="H43" s="52"/>
      <c r="I43" s="52"/>
      <c r="J43" s="52">
        <f>SUM(H43-R43)</f>
        <v>0</v>
      </c>
      <c r="K43" s="52">
        <f>SUM(I43-S43)</f>
        <v>0</v>
      </c>
      <c r="L43" s="52">
        <f>J43-K43</f>
        <v>0</v>
      </c>
      <c r="M43" s="53" t="e">
        <f>L43/J43</f>
        <v>#DIV/0!</v>
      </c>
      <c r="N43" s="53"/>
      <c r="O43" s="53"/>
      <c r="P43" s="53"/>
      <c r="Q43" s="53"/>
      <c r="R43" s="52"/>
      <c r="S43" s="52"/>
      <c r="T43" s="52">
        <f>R43-S43</f>
        <v>0</v>
      </c>
      <c r="U43" s="53" t="e">
        <f>T43/R43</f>
        <v>#DIV/0!</v>
      </c>
      <c r="V43" s="54"/>
      <c r="W43" s="54">
        <v>0</v>
      </c>
      <c r="X43" s="54">
        <f>V43-W43</f>
        <v>0</v>
      </c>
      <c r="Y43" s="53" t="e">
        <f>X43/V43</f>
        <v>#DIV/0!</v>
      </c>
      <c r="Z43" s="53">
        <v>1</v>
      </c>
      <c r="AA43" s="55" t="e">
        <f>(E43-K43-S43)/W43</f>
        <v>#DIV/0!</v>
      </c>
      <c r="AB43" s="55" t="e">
        <f>(D43-J43-R43)/V43</f>
        <v>#DIV/0!</v>
      </c>
      <c r="AC43" s="53" t="e">
        <f>(E43-K43-S43)/E43</f>
        <v>#DIV/0!</v>
      </c>
      <c r="AD43" s="56" t="e">
        <f>SUM(D43-H43)/D43</f>
        <v>#DIV/0!</v>
      </c>
      <c r="AE43" s="57"/>
      <c r="AG43" s="35"/>
      <c r="AH43" s="35"/>
      <c r="AK43" s="19">
        <f>SUM(W44-W43)</f>
        <v>0</v>
      </c>
      <c r="AL43" s="58">
        <f>SUM(K44-K43)</f>
        <v>0</v>
      </c>
    </row>
    <row r="44" ht="15" customHeight="1" spans="1:38" x14ac:dyDescent="0.25">
      <c r="A44" s="19"/>
      <c r="B44" s="20"/>
      <c r="C44" s="51" t="s">
        <v>100</v>
      </c>
      <c r="D44" s="52"/>
      <c r="E44" s="52"/>
      <c r="F44" s="52">
        <f>D44-E44</f>
        <v>0</v>
      </c>
      <c r="G44" s="53" t="e">
        <f>F44/D44</f>
        <v>#DIV/0!</v>
      </c>
      <c r="H44" s="52"/>
      <c r="I44" s="52"/>
      <c r="J44" s="52">
        <f>SUM(H44-R44)</f>
        <v>0</v>
      </c>
      <c r="K44" s="52">
        <f>SUM(I44-S44)</f>
        <v>0</v>
      </c>
      <c r="L44" s="52">
        <f>J44-K44</f>
        <v>0</v>
      </c>
      <c r="M44" s="53" t="e">
        <f>L44/J44</f>
        <v>#DIV/0!</v>
      </c>
      <c r="N44" s="53"/>
      <c r="O44" s="53"/>
      <c r="P44" s="53"/>
      <c r="Q44" s="53"/>
      <c r="R44" s="52"/>
      <c r="S44" s="52"/>
      <c r="T44" s="52">
        <f>R44-S44</f>
        <v>0</v>
      </c>
      <c r="U44" s="53" t="e">
        <f>T44/R44</f>
        <v>#DIV/0!</v>
      </c>
      <c r="V44" s="54"/>
      <c r="W44" s="54">
        <v>0</v>
      </c>
      <c r="X44" s="54">
        <f>V44-W44</f>
        <v>0</v>
      </c>
      <c r="Y44" s="53" t="e">
        <f>X44/V44</f>
        <v>#DIV/0!</v>
      </c>
      <c r="Z44" s="53">
        <v>1</v>
      </c>
      <c r="AA44" s="55" t="e">
        <f>(E44-K44-S44)/W44</f>
        <v>#DIV/0!</v>
      </c>
      <c r="AB44" s="55" t="e">
        <f>(D44-J44-R44)/V44</f>
        <v>#DIV/0!</v>
      </c>
      <c r="AC44" s="53" t="e">
        <f>(E44-K44-S44)/E44</f>
        <v>#DIV/0!</v>
      </c>
      <c r="AD44" s="56" t="e">
        <f>SUM(D44-H44)/D44</f>
        <v>#DIV/0!</v>
      </c>
      <c r="AE44" s="57"/>
      <c r="AG44" s="35"/>
      <c r="AH44" s="35"/>
      <c r="AK44" s="59">
        <f>SUM(AK39,AK40,AK41,AK42,AK43)</f>
        <v>0</v>
      </c>
      <c r="AL44" s="60">
        <f>SUM(AL39,AL40,AL41,AL42,AL43)</f>
        <v>0</v>
      </c>
    </row>
    <row r="45" ht="9" customHeight="1" spans="1:38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G45" s="35"/>
      <c r="AH45" s="35"/>
      <c r="AK45" s="35"/>
      <c r="AL45" s="35"/>
    </row>
    <row r="46" ht="15" customHeight="1" spans="1:38" x14ac:dyDescent="0.25">
      <c r="A46" s="19">
        <f>'Main Sheet'!A16</f>
        <v>8887</v>
      </c>
      <c r="B46" s="20" t="str">
        <f>'Main Sheet'!B16</f>
        <v>Tenancy 2 - Fisher Fit out</v>
      </c>
      <c r="C46" s="51" t="s">
        <v>92</v>
      </c>
      <c r="D46" s="52">
        <v>7495.54</v>
      </c>
      <c r="E46" s="52">
        <v>0</v>
      </c>
      <c r="F46" s="52">
        <f>D46-E46</f>
        <v>7495.54</v>
      </c>
      <c r="G46" s="53">
        <f>F46/D46</f>
        <v>1</v>
      </c>
      <c r="H46" s="52">
        <v>5659.85</v>
      </c>
      <c r="I46" s="52">
        <v>0</v>
      </c>
      <c r="J46" s="52">
        <f>SUM(H46-R46)</f>
        <v>3768.03</v>
      </c>
      <c r="K46" s="52">
        <f>SUM(I46-S46)</f>
        <v>0</v>
      </c>
      <c r="L46" s="52">
        <f>J46-K46</f>
        <v>3768.03</v>
      </c>
      <c r="M46" s="53">
        <f>L46/J46</f>
        <v>1</v>
      </c>
      <c r="N46" s="53">
        <v>0</v>
      </c>
      <c r="O46" s="53"/>
      <c r="P46" s="53"/>
      <c r="Q46" s="53"/>
      <c r="R46" s="52">
        <v>1891.82</v>
      </c>
      <c r="S46" s="52">
        <v>0</v>
      </c>
      <c r="T46" s="52">
        <f>R46-S46</f>
        <v>1891.82</v>
      </c>
      <c r="U46" s="53">
        <f>T46/R46</f>
        <v>1</v>
      </c>
      <c r="V46" s="54">
        <v>37.84</v>
      </c>
      <c r="W46" s="54">
        <v>0</v>
      </c>
      <c r="X46" s="54">
        <f>V46-W46</f>
        <v>37.84</v>
      </c>
      <c r="Y46" s="53">
        <f>X46/V46</f>
        <v>1</v>
      </c>
      <c r="Z46" s="53">
        <v>0</v>
      </c>
      <c r="AA46" s="55" t="e">
        <f>(E46-K46-S46)/W46</f>
        <v>#DIV/0!</v>
      </c>
      <c r="AB46" s="55">
        <f>(D46-J46-R46)/V46</f>
        <v>48.5118921775898</v>
      </c>
      <c r="AC46" s="53" t="e">
        <f>(E46-K46-S46)/E46</f>
        <v>#DIV/0!</v>
      </c>
      <c r="AD46" s="56">
        <f>SUM(D46-H46)/D46</f>
        <v>0.244904303092239</v>
      </c>
      <c r="AE46" s="57"/>
      <c r="AG46" s="35" t="s">
        <v>93</v>
      </c>
      <c r="AH46" s="35">
        <f>AK51</f>
        <v>0</v>
      </c>
      <c r="AK46" s="19">
        <f>SUM(W47-W46)</f>
        <v>0</v>
      </c>
      <c r="AL46" s="58">
        <f>SUM(K47-K46)</f>
        <v>0</v>
      </c>
    </row>
    <row r="47" ht="15" customHeight="1" spans="1:38" x14ac:dyDescent="0.25">
      <c r="A47" s="19"/>
      <c r="B47" s="20"/>
      <c r="C47" s="51" t="s">
        <v>94</v>
      </c>
      <c r="D47" s="52">
        <v>7495.54</v>
      </c>
      <c r="E47" s="52">
        <v>0</v>
      </c>
      <c r="F47" s="52">
        <f>D47-E47</f>
        <v>7495.54</v>
      </c>
      <c r="G47" s="53">
        <f>F47/D47</f>
        <v>1</v>
      </c>
      <c r="H47" s="52">
        <v>5659.85</v>
      </c>
      <c r="I47" s="52">
        <v>0</v>
      </c>
      <c r="J47" s="52">
        <f>SUM(H47-R47)</f>
        <v>3768.03</v>
      </c>
      <c r="K47" s="52">
        <f>SUM(I47-S47)</f>
        <v>0</v>
      </c>
      <c r="L47" s="52">
        <f>J47-K47</f>
        <v>3768.03</v>
      </c>
      <c r="M47" s="53">
        <f>L47/J47</f>
        <v>1</v>
      </c>
      <c r="N47" s="53">
        <v>0</v>
      </c>
      <c r="O47" s="53"/>
      <c r="P47" s="53"/>
      <c r="Q47" s="53"/>
      <c r="R47" s="52">
        <v>1891.82</v>
      </c>
      <c r="S47" s="52">
        <v>0</v>
      </c>
      <c r="T47" s="52">
        <f>R47-S47</f>
        <v>1891.82</v>
      </c>
      <c r="U47" s="53">
        <f>T47/R47</f>
        <v>1</v>
      </c>
      <c r="V47" s="54">
        <v>37.84</v>
      </c>
      <c r="W47" s="54">
        <v>0</v>
      </c>
      <c r="X47" s="54">
        <f>V47-W47</f>
        <v>37.84</v>
      </c>
      <c r="Y47" s="53">
        <f>X47/V47</f>
        <v>1</v>
      </c>
      <c r="Z47" s="53">
        <v>0</v>
      </c>
      <c r="AA47" s="55" t="e">
        <f>(E47-K47-S47)/W47</f>
        <v>#DIV/0!</v>
      </c>
      <c r="AB47" s="55">
        <f>(D47-J47-R47)/V47</f>
        <v>48.5118921775898</v>
      </c>
      <c r="AC47" s="53" t="e">
        <f>(E47-K47-S47)/E47</f>
        <v>#DIV/0!</v>
      </c>
      <c r="AD47" s="56">
        <f>SUM(D47-H47)/D47</f>
        <v>0.244904303092239</v>
      </c>
      <c r="AE47" s="57"/>
      <c r="AG47" s="35" t="s">
        <v>95</v>
      </c>
      <c r="AH47" s="36">
        <f>AL51</f>
        <v>0</v>
      </c>
      <c r="AK47" s="19">
        <f>SUM(W48-W47)</f>
        <v>0</v>
      </c>
      <c r="AL47" s="58">
        <f>SUM(K48-K47)</f>
        <v>0</v>
      </c>
    </row>
    <row r="48" ht="15" customHeight="1" spans="1:38" x14ac:dyDescent="0.25">
      <c r="A48" s="19"/>
      <c r="B48" s="20"/>
      <c r="C48" s="51" t="s">
        <v>96</v>
      </c>
      <c r="D48" s="52">
        <v>7495.54</v>
      </c>
      <c r="E48" s="52">
        <v>0</v>
      </c>
      <c r="F48" s="52">
        <f>D48-E48</f>
        <v>7495.54</v>
      </c>
      <c r="G48" s="53">
        <f>F48/D48</f>
        <v>1</v>
      </c>
      <c r="H48" s="52">
        <v>5659.85</v>
      </c>
      <c r="I48" s="52">
        <v>0</v>
      </c>
      <c r="J48" s="52">
        <f>SUM(H48-R48)</f>
        <v>3768.03</v>
      </c>
      <c r="K48" s="52">
        <f>SUM(I48-S48)</f>
        <v>0</v>
      </c>
      <c r="L48" s="52">
        <f>J48-K48</f>
        <v>3768.03</v>
      </c>
      <c r="M48" s="53">
        <f>L48/J48</f>
        <v>1</v>
      </c>
      <c r="N48" s="53">
        <v>0</v>
      </c>
      <c r="O48" s="53"/>
      <c r="P48" s="53"/>
      <c r="Q48" s="53"/>
      <c r="R48" s="52">
        <v>1891.82</v>
      </c>
      <c r="S48" s="52">
        <v>0</v>
      </c>
      <c r="T48" s="52">
        <f>R48-S48</f>
        <v>1891.82</v>
      </c>
      <c r="U48" s="53">
        <f>T48/R48</f>
        <v>1</v>
      </c>
      <c r="V48" s="54">
        <v>37.84</v>
      </c>
      <c r="W48" s="54">
        <v>0</v>
      </c>
      <c r="X48" s="54">
        <f>V48-W48</f>
        <v>37.84</v>
      </c>
      <c r="Y48" s="53">
        <f>X48/V48</f>
        <v>1</v>
      </c>
      <c r="Z48" s="53">
        <v>0</v>
      </c>
      <c r="AA48" s="55" t="e">
        <f>(E48-K48-S48)/W48</f>
        <v>#DIV/0!</v>
      </c>
      <c r="AB48" s="55">
        <f>(D48-J48-R48)/V48</f>
        <v>48.5118921775898</v>
      </c>
      <c r="AC48" s="53" t="e">
        <f>(E48-K48-S48)/E48</f>
        <v>#DIV/0!</v>
      </c>
      <c r="AD48" s="56">
        <f>SUM(D48-H48)/D48</f>
        <v>0.244904303092239</v>
      </c>
      <c r="AE48" s="57"/>
      <c r="AG48" s="35"/>
      <c r="AH48" s="35"/>
      <c r="AK48" s="19">
        <f>SUM(W49-W48)</f>
        <v>0</v>
      </c>
      <c r="AL48" s="58">
        <f>SUM(K49-K48)</f>
        <v>0</v>
      </c>
    </row>
    <row r="49" ht="15" customHeight="1" spans="1:38" x14ac:dyDescent="0.25">
      <c r="A49" s="19"/>
      <c r="B49" s="20"/>
      <c r="C49" s="51" t="s">
        <v>97</v>
      </c>
      <c r="D49" s="52"/>
      <c r="E49" s="52">
        <v>0</v>
      </c>
      <c r="F49" s="52">
        <f>D49-E49</f>
        <v>0</v>
      </c>
      <c r="G49" s="53" t="e">
        <f>F49/D49</f>
        <v>#DIV/0!</v>
      </c>
      <c r="H49" s="52"/>
      <c r="I49" s="52"/>
      <c r="J49" s="52">
        <f>SUM(H49-R49)</f>
        <v>0</v>
      </c>
      <c r="K49" s="52">
        <f>SUM(I49-S49)</f>
        <v>0</v>
      </c>
      <c r="L49" s="52">
        <f>J49-K49</f>
        <v>0</v>
      </c>
      <c r="M49" s="53" t="e">
        <f>L49/J49</f>
        <v>#DIV/0!</v>
      </c>
      <c r="N49" s="53">
        <v>0</v>
      </c>
      <c r="O49" s="53"/>
      <c r="P49" s="53"/>
      <c r="Q49" s="53"/>
      <c r="R49" s="52"/>
      <c r="S49" s="52">
        <v>0</v>
      </c>
      <c r="T49" s="52">
        <f>R49-S49</f>
        <v>0</v>
      </c>
      <c r="U49" s="53" t="e">
        <f>T49/R49</f>
        <v>#DIV/0!</v>
      </c>
      <c r="V49" s="54"/>
      <c r="W49" s="54">
        <v>0</v>
      </c>
      <c r="X49" s="54">
        <f>V49-W49</f>
        <v>0</v>
      </c>
      <c r="Y49" s="53" t="e">
        <f>X49/V49</f>
        <v>#DIV/0!</v>
      </c>
      <c r="Z49" s="53"/>
      <c r="AA49" s="55" t="e">
        <f>(E49-K49-S49)/W49</f>
        <v>#DIV/0!</v>
      </c>
      <c r="AB49" s="55" t="e">
        <f>(D49-J49-R49)/V49</f>
        <v>#DIV/0!</v>
      </c>
      <c r="AC49" s="53" t="e">
        <f>(E49-K49-S49)/E49</f>
        <v>#DIV/0!</v>
      </c>
      <c r="AD49" s="56" t="e">
        <f>SUM(D49-H49)/D49</f>
        <v>#DIV/0!</v>
      </c>
      <c r="AE49" s="57"/>
      <c r="AG49" s="35" t="s">
        <v>98</v>
      </c>
      <c r="AH49" s="36">
        <v>0</v>
      </c>
      <c r="AK49" s="19">
        <f>SUM(W50-W49)</f>
        <v>0</v>
      </c>
      <c r="AL49" s="58">
        <f>SUM(K50-K49)</f>
        <v>0</v>
      </c>
    </row>
    <row r="50" ht="15" customHeight="1" spans="1:38" x14ac:dyDescent="0.25">
      <c r="A50" s="19"/>
      <c r="B50" s="20"/>
      <c r="C50" s="51" t="s">
        <v>99</v>
      </c>
      <c r="D50" s="52"/>
      <c r="E50" s="52">
        <v>0</v>
      </c>
      <c r="F50" s="52">
        <f>D50-E50</f>
        <v>0</v>
      </c>
      <c r="G50" s="53" t="e">
        <f>F50/D50</f>
        <v>#DIV/0!</v>
      </c>
      <c r="H50" s="52"/>
      <c r="I50" s="52"/>
      <c r="J50" s="52">
        <f>SUM(H50-R50)</f>
        <v>0</v>
      </c>
      <c r="K50" s="52">
        <f>SUM(I50-S50)</f>
        <v>0</v>
      </c>
      <c r="L50" s="52">
        <f>J50-K50</f>
        <v>0</v>
      </c>
      <c r="M50" s="53" t="e">
        <f>L50/J50</f>
        <v>#DIV/0!</v>
      </c>
      <c r="N50" s="53">
        <v>0</v>
      </c>
      <c r="O50" s="53"/>
      <c r="P50" s="53"/>
      <c r="Q50" s="53"/>
      <c r="R50" s="52"/>
      <c r="S50" s="52">
        <v>0</v>
      </c>
      <c r="T50" s="52">
        <f>R50-S50</f>
        <v>0</v>
      </c>
      <c r="U50" s="53" t="e">
        <f>T50/R50</f>
        <v>#DIV/0!</v>
      </c>
      <c r="V50" s="54"/>
      <c r="W50" s="54">
        <v>0</v>
      </c>
      <c r="X50" s="54">
        <f>V50-W50</f>
        <v>0</v>
      </c>
      <c r="Y50" s="53" t="e">
        <f>X50/V50</f>
        <v>#DIV/0!</v>
      </c>
      <c r="Z50" s="53"/>
      <c r="AA50" s="55" t="e">
        <f>(E50-K50-S50)/W50</f>
        <v>#DIV/0!</v>
      </c>
      <c r="AB50" s="55" t="e">
        <f>(D50-J50-R50)/V50</f>
        <v>#DIV/0!</v>
      </c>
      <c r="AC50" s="53" t="e">
        <f>(E50-K50-S50)/E50</f>
        <v>#DIV/0!</v>
      </c>
      <c r="AD50" s="56" t="e">
        <f>SUM(D50-H50)/D50</f>
        <v>#DIV/0!</v>
      </c>
      <c r="AE50" s="57"/>
      <c r="AG50" s="35"/>
      <c r="AH50" s="35"/>
      <c r="AK50" s="19">
        <f>SUM(W51-W50)</f>
        <v>0</v>
      </c>
      <c r="AL50" s="58">
        <f>SUM(K51-K50)</f>
        <v>0</v>
      </c>
    </row>
    <row r="51" ht="15" customHeight="1" spans="1:38" x14ac:dyDescent="0.25">
      <c r="A51" s="19"/>
      <c r="B51" s="20"/>
      <c r="C51" s="51" t="s">
        <v>100</v>
      </c>
      <c r="D51" s="52"/>
      <c r="E51" s="52">
        <v>0</v>
      </c>
      <c r="F51" s="52">
        <f>D51-E51</f>
        <v>0</v>
      </c>
      <c r="G51" s="53" t="e">
        <f>F51/D51</f>
        <v>#DIV/0!</v>
      </c>
      <c r="H51" s="52"/>
      <c r="I51" s="52"/>
      <c r="J51" s="52">
        <f>SUM(H51-R51)</f>
        <v>0</v>
      </c>
      <c r="K51" s="52">
        <f>SUM(I51-S51)</f>
        <v>0</v>
      </c>
      <c r="L51" s="52">
        <f>J51-K51</f>
        <v>0</v>
      </c>
      <c r="M51" s="53" t="e">
        <f>L51/J51</f>
        <v>#DIV/0!</v>
      </c>
      <c r="N51" s="53">
        <v>0</v>
      </c>
      <c r="O51" s="53"/>
      <c r="P51" s="53"/>
      <c r="Q51" s="53"/>
      <c r="R51" s="52"/>
      <c r="S51" s="52">
        <v>0</v>
      </c>
      <c r="T51" s="52">
        <f>R51-S51</f>
        <v>0</v>
      </c>
      <c r="U51" s="53" t="e">
        <f>T51/R51</f>
        <v>#DIV/0!</v>
      </c>
      <c r="V51" s="54"/>
      <c r="W51" s="54">
        <v>0</v>
      </c>
      <c r="X51" s="54">
        <f>V51-W51</f>
        <v>0</v>
      </c>
      <c r="Y51" s="53" t="e">
        <f>X51/V51</f>
        <v>#DIV/0!</v>
      </c>
      <c r="Z51" s="53"/>
      <c r="AA51" s="55" t="e">
        <f>(E51-K51-S51)/W51</f>
        <v>#DIV/0!</v>
      </c>
      <c r="AB51" s="55" t="e">
        <f>(D51-J51-R51)/V51</f>
        <v>#DIV/0!</v>
      </c>
      <c r="AC51" s="53" t="e">
        <f>(E51-K51-S51)/E51</f>
        <v>#DIV/0!</v>
      </c>
      <c r="AD51" s="56" t="e">
        <f>SUM(D51-H51)/D51</f>
        <v>#DIV/0!</v>
      </c>
      <c r="AE51" s="57"/>
      <c r="AG51" s="35"/>
      <c r="AH51" s="35"/>
      <c r="AK51" s="59">
        <f>SUM(AK46,AK47,AK48,AK49,AK50)</f>
        <v>0</v>
      </c>
      <c r="AL51" s="60">
        <f>SUM(AL46,AL47,AL48,AL49,AL50)</f>
        <v>0</v>
      </c>
    </row>
    <row r="52" ht="9" customHeight="1" spans="1:38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G52" s="35"/>
      <c r="AH52" s="35"/>
      <c r="AK52" s="35"/>
      <c r="AL52" s="35"/>
    </row>
    <row r="53" ht="15" customHeight="1" spans="1:38" x14ac:dyDescent="0.25">
      <c r="A53" s="19">
        <f>'Main Sheet'!A18</f>
        <v>8670</v>
      </c>
      <c r="B53" s="20" t="str">
        <f>'Main Sheet'!B18</f>
        <v>Studio DB - tautara fit out</v>
      </c>
      <c r="C53" s="51" t="s">
        <v>92</v>
      </c>
      <c r="D53" s="52">
        <v>100348.26</v>
      </c>
      <c r="E53" s="52">
        <v>91153</v>
      </c>
      <c r="F53" s="52">
        <f>D53-E53</f>
        <v>9195.26</v>
      </c>
      <c r="G53" s="53">
        <f>F53/D53</f>
        <v>0.0916334772521217</v>
      </c>
      <c r="H53" s="52">
        <v>79103.46</v>
      </c>
      <c r="I53" s="52">
        <v>64224.89</v>
      </c>
      <c r="J53" s="52">
        <f>SUM(H53-R53)</f>
        <v>62144.61</v>
      </c>
      <c r="K53" s="52">
        <f>SUM(I53-S53)</f>
        <v>54357.06</v>
      </c>
      <c r="L53" s="52">
        <f>J53-K53</f>
        <v>7787.55000000001</v>
      </c>
      <c r="M53" s="53">
        <f>L53/J53</f>
        <v>0.12531336185069</v>
      </c>
      <c r="N53" s="53">
        <v>0</v>
      </c>
      <c r="O53" s="53"/>
      <c r="P53" s="53"/>
      <c r="Q53" s="53"/>
      <c r="R53" s="52">
        <v>16958.85</v>
      </c>
      <c r="S53" s="52">
        <v>9867.83</v>
      </c>
      <c r="T53" s="52">
        <f>R53-S53</f>
        <v>7091.02</v>
      </c>
      <c r="U53" s="53">
        <f>T53/R53</f>
        <v>0.418130946379029</v>
      </c>
      <c r="V53" s="54">
        <v>340.12</v>
      </c>
      <c r="W53" s="54">
        <v>262</v>
      </c>
      <c r="X53" s="54">
        <f>V53-W53</f>
        <v>78.12</v>
      </c>
      <c r="Y53" s="53">
        <f>X53/V53</f>
        <v>0.229683641067858</v>
      </c>
      <c r="Z53" s="53">
        <v>0</v>
      </c>
      <c r="AA53" s="55">
        <f>(E53-K53-S53)/W53</f>
        <v>102.779045801527</v>
      </c>
      <c r="AB53" s="55">
        <f>(D53-J53-R53)/V53</f>
        <v>62.4626602375632</v>
      </c>
      <c r="AC53" s="53">
        <f>(E53-K53-S53)/E53</f>
        <v>0.295416607242768</v>
      </c>
      <c r="AD53" s="56">
        <f>SUM(D53-H53)/D53</f>
        <v>0.211710696328965</v>
      </c>
      <c r="AE53" s="57"/>
      <c r="AG53" s="35" t="s">
        <v>93</v>
      </c>
      <c r="AH53" s="35">
        <f>AK58</f>
        <v>-262</v>
      </c>
      <c r="AK53" s="19">
        <f>SUM(W54-W53)</f>
        <v>10</v>
      </c>
      <c r="AL53" s="58">
        <f>SUM(K54-K53)</f>
        <v>1582.92</v>
      </c>
    </row>
    <row r="54" ht="15" customHeight="1" spans="1:38" x14ac:dyDescent="0.25">
      <c r="A54" s="19"/>
      <c r="B54" s="20"/>
      <c r="C54" s="51" t="s">
        <v>94</v>
      </c>
      <c r="D54" s="52">
        <v>100348.26</v>
      </c>
      <c r="E54" s="52">
        <v>91153</v>
      </c>
      <c r="F54" s="52">
        <f>D54-E54</f>
        <v>9195.26</v>
      </c>
      <c r="G54" s="53">
        <f>F54/D54</f>
        <v>0.0916334772521217</v>
      </c>
      <c r="H54" s="52">
        <v>79103.46</v>
      </c>
      <c r="I54" s="52">
        <v>66212.81</v>
      </c>
      <c r="J54" s="52">
        <f>SUM(H54-R54)</f>
        <v>62144.61</v>
      </c>
      <c r="K54" s="52">
        <f>SUM(I54-S54)</f>
        <v>55939.98</v>
      </c>
      <c r="L54" s="52">
        <f>J54-K54</f>
        <v>6204.63000000001</v>
      </c>
      <c r="M54" s="53">
        <f>L54/J54</f>
        <v>0.0998418044622054</v>
      </c>
      <c r="N54" s="53"/>
      <c r="O54" s="53"/>
      <c r="P54" s="53"/>
      <c r="Q54" s="53"/>
      <c r="R54" s="52">
        <v>16958.85</v>
      </c>
      <c r="S54" s="52">
        <v>10272.83</v>
      </c>
      <c r="T54" s="52">
        <f>R54-S54</f>
        <v>6686.02</v>
      </c>
      <c r="U54" s="53">
        <f>T54/R54</f>
        <v>0.39424961008559</v>
      </c>
      <c r="V54" s="54">
        <v>340.12</v>
      </c>
      <c r="W54" s="54">
        <v>272</v>
      </c>
      <c r="X54" s="54">
        <f>V54-W54</f>
        <v>68.12</v>
      </c>
      <c r="Y54" s="53">
        <f>X54/V54</f>
        <v>0.200282253322357</v>
      </c>
      <c r="Z54" s="53"/>
      <c r="AA54" s="55">
        <f>(E54-K54-S54)/W54</f>
        <v>91.691875</v>
      </c>
      <c r="AB54" s="55">
        <f>(D54-J54-R54)/V54</f>
        <v>62.4626602375632</v>
      </c>
      <c r="AC54" s="53">
        <f>(E54-K54-S54)/E54</f>
        <v>0.273607999736706</v>
      </c>
      <c r="AD54" s="56">
        <f>SUM(D54-H54)/D54</f>
        <v>0.211710696328965</v>
      </c>
      <c r="AE54" s="57"/>
      <c r="AG54" s="35" t="s">
        <v>95</v>
      </c>
      <c r="AH54" s="36">
        <f>AL58</f>
        <v>-54357.06</v>
      </c>
      <c r="AK54" s="19">
        <f>SUM(W55-W54)</f>
        <v>44.25</v>
      </c>
      <c r="AL54" s="58">
        <f>SUM(K55-K54)</f>
        <v>218.200000000004</v>
      </c>
    </row>
    <row r="55" ht="15" customHeight="1" spans="1:38" x14ac:dyDescent="0.25">
      <c r="A55" s="19"/>
      <c r="B55" s="20"/>
      <c r="C55" s="51" t="s">
        <v>96</v>
      </c>
      <c r="D55" s="52">
        <v>100348.26</v>
      </c>
      <c r="E55" s="52">
        <v>91153</v>
      </c>
      <c r="F55" s="52">
        <f>D55-E55</f>
        <v>9195.26</v>
      </c>
      <c r="G55" s="53">
        <f>F55/D55</f>
        <v>0.0916334772521217</v>
      </c>
      <c r="H55" s="52">
        <v>79103.46</v>
      </c>
      <c r="I55" s="52">
        <v>68039.14</v>
      </c>
      <c r="J55" s="52">
        <f>SUM(H55-R55)</f>
        <v>62144.61</v>
      </c>
      <c r="K55" s="52">
        <f>SUM(I55-S55)</f>
        <v>56158.18</v>
      </c>
      <c r="L55" s="52">
        <f>J55-K55</f>
        <v>5986.43000000001</v>
      </c>
      <c r="M55" s="53">
        <f>L55/J55</f>
        <v>0.0963306391334664</v>
      </c>
      <c r="N55" s="53"/>
      <c r="O55" s="53"/>
      <c r="P55" s="53"/>
      <c r="Q55" s="53"/>
      <c r="R55" s="52">
        <v>16958.85</v>
      </c>
      <c r="S55" s="52">
        <v>11880.96</v>
      </c>
      <c r="T55" s="52">
        <f>R55-S55</f>
        <v>5077.89</v>
      </c>
      <c r="U55" s="53">
        <f>T55/R55</f>
        <v>0.299424194447147</v>
      </c>
      <c r="V55" s="54">
        <v>340.12</v>
      </c>
      <c r="W55" s="54">
        <v>316.25</v>
      </c>
      <c r="X55" s="54">
        <f>V55-W55</f>
        <v>23.87</v>
      </c>
      <c r="Y55" s="53">
        <f>X55/V55</f>
        <v>0.0701811125485123</v>
      </c>
      <c r="Z55" s="53"/>
      <c r="AA55" s="55">
        <f>(E55-K55-S55)/W55</f>
        <v>73.0873043478261</v>
      </c>
      <c r="AB55" s="55">
        <f>(D55-J55-R55)/V55</f>
        <v>62.4626602375632</v>
      </c>
      <c r="AC55" s="53">
        <f>(E55-K55-S55)/E55</f>
        <v>0.25357212598598</v>
      </c>
      <c r="AD55" s="56">
        <f>SUM(D55-H55)/D55</f>
        <v>0.211710696328965</v>
      </c>
      <c r="AE55" s="57"/>
      <c r="AG55" s="35"/>
      <c r="AH55" s="35"/>
      <c r="AK55" s="19">
        <f>SUM(W56-W55)</f>
        <v>-316.25</v>
      </c>
      <c r="AL55" s="58">
        <f>SUM(K56-K55)</f>
        <v>-56158.18</v>
      </c>
    </row>
    <row r="56" ht="15" customHeight="1" spans="1:38" x14ac:dyDescent="0.25">
      <c r="A56" s="19"/>
      <c r="B56" s="20"/>
      <c r="C56" s="51" t="s">
        <v>97</v>
      </c>
      <c r="D56" s="52"/>
      <c r="E56" s="52"/>
      <c r="F56" s="52">
        <f>D56-E56</f>
        <v>0</v>
      </c>
      <c r="G56" s="53" t="e">
        <f>F56/D56</f>
        <v>#DIV/0!</v>
      </c>
      <c r="H56" s="52"/>
      <c r="I56" s="52"/>
      <c r="J56" s="52">
        <f>SUM(H56-R56)</f>
        <v>0</v>
      </c>
      <c r="K56" s="52">
        <f>SUM(I56-S56)</f>
        <v>0</v>
      </c>
      <c r="L56" s="52">
        <f>J56-K56</f>
        <v>0</v>
      </c>
      <c r="M56" s="53" t="e">
        <f>L56/J56</f>
        <v>#DIV/0!</v>
      </c>
      <c r="N56" s="53"/>
      <c r="O56" s="53"/>
      <c r="P56" s="53"/>
      <c r="Q56" s="53"/>
      <c r="R56" s="52"/>
      <c r="S56" s="52"/>
      <c r="T56" s="52">
        <f>R56-S56</f>
        <v>0</v>
      </c>
      <c r="U56" s="53" t="e">
        <f>T56/R56</f>
        <v>#DIV/0!</v>
      </c>
      <c r="V56" s="54"/>
      <c r="W56" s="54"/>
      <c r="X56" s="54">
        <f>V56-W56</f>
        <v>0</v>
      </c>
      <c r="Y56" s="53" t="e">
        <f>X56/V56</f>
        <v>#DIV/0!</v>
      </c>
      <c r="Z56" s="53"/>
      <c r="AA56" s="55" t="e">
        <f>(E56-K56-S56)/W56</f>
        <v>#DIV/0!</v>
      </c>
      <c r="AB56" s="55" t="e">
        <f>(D56-J56-R56)/V56</f>
        <v>#DIV/0!</v>
      </c>
      <c r="AC56" s="53" t="e">
        <f>(E56-K56-S56)/E56</f>
        <v>#DIV/0!</v>
      </c>
      <c r="AD56" s="56" t="e">
        <f>SUM(D56-H56)/D56</f>
        <v>#DIV/0!</v>
      </c>
      <c r="AE56" s="57"/>
      <c r="AG56" s="35" t="s">
        <v>98</v>
      </c>
      <c r="AH56" s="36">
        <v>0</v>
      </c>
      <c r="AK56" s="19">
        <f>SUM(W57-W56)</f>
        <v>0</v>
      </c>
      <c r="AL56" s="58">
        <f>SUM(K57-K56)</f>
        <v>0</v>
      </c>
    </row>
    <row r="57" ht="15" customHeight="1" spans="1:38" x14ac:dyDescent="0.25">
      <c r="A57" s="19"/>
      <c r="B57" s="20"/>
      <c r="C57" s="51" t="s">
        <v>99</v>
      </c>
      <c r="D57" s="52"/>
      <c r="E57" s="52"/>
      <c r="F57" s="52">
        <f>D57-E57</f>
        <v>0</v>
      </c>
      <c r="G57" s="53" t="e">
        <f>F57/D57</f>
        <v>#DIV/0!</v>
      </c>
      <c r="H57" s="52"/>
      <c r="I57" s="52"/>
      <c r="J57" s="52">
        <f>SUM(H57-R57)</f>
        <v>0</v>
      </c>
      <c r="K57" s="52">
        <f>SUM(I57-S57)</f>
        <v>0</v>
      </c>
      <c r="L57" s="52">
        <f>J57-K57</f>
        <v>0</v>
      </c>
      <c r="M57" s="53" t="e">
        <f>L57/J57</f>
        <v>#DIV/0!</v>
      </c>
      <c r="N57" s="53"/>
      <c r="O57" s="53"/>
      <c r="P57" s="53"/>
      <c r="Q57" s="53"/>
      <c r="R57" s="52"/>
      <c r="S57" s="52"/>
      <c r="T57" s="52">
        <f>R57-S57</f>
        <v>0</v>
      </c>
      <c r="U57" s="53" t="e">
        <f>T57/R57</f>
        <v>#DIV/0!</v>
      </c>
      <c r="V57" s="54"/>
      <c r="W57" s="54"/>
      <c r="X57" s="54">
        <f>V57-W57</f>
        <v>0</v>
      </c>
      <c r="Y57" s="53" t="e">
        <f>X57/V57</f>
        <v>#DIV/0!</v>
      </c>
      <c r="Z57" s="53"/>
      <c r="AA57" s="55" t="e">
        <f>(E57-K57-S57)/W57</f>
        <v>#DIV/0!</v>
      </c>
      <c r="AB57" s="55" t="e">
        <f>(D57-J57-R57)/V57</f>
        <v>#DIV/0!</v>
      </c>
      <c r="AC57" s="53" t="e">
        <f>(E57-K57-S57)/E57</f>
        <v>#DIV/0!</v>
      </c>
      <c r="AD57" s="56" t="e">
        <f>SUM(D57-H57)/D57</f>
        <v>#DIV/0!</v>
      </c>
      <c r="AE57" s="57"/>
      <c r="AG57" s="35"/>
      <c r="AH57" s="35"/>
      <c r="AK57" s="19">
        <f>SUM(W58-W57)</f>
        <v>0</v>
      </c>
      <c r="AL57" s="58">
        <f>SUM(K58-K57)</f>
        <v>0</v>
      </c>
    </row>
    <row r="58" ht="15" customHeight="1" spans="1:38" x14ac:dyDescent="0.25">
      <c r="A58" s="19"/>
      <c r="B58" s="20"/>
      <c r="C58" s="51" t="s">
        <v>100</v>
      </c>
      <c r="D58" s="52"/>
      <c r="E58" s="52"/>
      <c r="F58" s="52">
        <f>D58-E58</f>
        <v>0</v>
      </c>
      <c r="G58" s="53" t="e">
        <f>F58/D58</f>
        <v>#DIV/0!</v>
      </c>
      <c r="H58" s="52"/>
      <c r="I58" s="52"/>
      <c r="J58" s="52">
        <f>SUM(H58-R58)</f>
        <v>0</v>
      </c>
      <c r="K58" s="52">
        <f>SUM(I58-S58)</f>
        <v>0</v>
      </c>
      <c r="L58" s="52">
        <f>J58-K58</f>
        <v>0</v>
      </c>
      <c r="M58" s="53" t="e">
        <f>L58/J58</f>
        <v>#DIV/0!</v>
      </c>
      <c r="N58" s="53">
        <v>0.9</v>
      </c>
      <c r="O58" s="53"/>
      <c r="P58" s="53"/>
      <c r="Q58" s="53"/>
      <c r="R58" s="52"/>
      <c r="S58" s="52"/>
      <c r="T58" s="52">
        <f>R58-S58</f>
        <v>0</v>
      </c>
      <c r="U58" s="53" t="e">
        <f>T58/R58</f>
        <v>#DIV/0!</v>
      </c>
      <c r="V58" s="54"/>
      <c r="W58" s="54"/>
      <c r="X58" s="54">
        <f>V58-W58</f>
        <v>0</v>
      </c>
      <c r="Y58" s="53" t="e">
        <f>X58/V58</f>
        <v>#DIV/0!</v>
      </c>
      <c r="Z58" s="53">
        <v>0.9</v>
      </c>
      <c r="AA58" s="55" t="e">
        <f>(E58-K58-S58)/W58</f>
        <v>#DIV/0!</v>
      </c>
      <c r="AB58" s="55" t="e">
        <f>(D58-J58-R58)/V58</f>
        <v>#DIV/0!</v>
      </c>
      <c r="AC58" s="53" t="e">
        <f>(E58-K58-S58)/E58</f>
        <v>#DIV/0!</v>
      </c>
      <c r="AD58" s="56" t="e">
        <f>SUM(D58-H58)/D58</f>
        <v>#DIV/0!</v>
      </c>
      <c r="AE58" s="57"/>
      <c r="AG58" s="35"/>
      <c r="AH58" s="35"/>
      <c r="AK58" s="59">
        <f>SUM(AK53,AK54,AK55,AK56,AK57)</f>
        <v>-262</v>
      </c>
      <c r="AL58" s="60">
        <f>SUM(AL53,AL54,AL55,AL56,AL57)</f>
        <v>-54357.06</v>
      </c>
    </row>
    <row r="59" ht="9" customHeight="1" spans="1:38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G59" s="35"/>
      <c r="AH59" s="35"/>
      <c r="AK59" s="35"/>
      <c r="AL59" s="35"/>
    </row>
    <row r="60" ht="15" customHeight="1" spans="1:38" x14ac:dyDescent="0.25">
      <c r="A60" s="19">
        <f>'Main Sheet'!A20</f>
        <v>8907</v>
      </c>
      <c r="B60" s="20" t="str">
        <f>'Main Sheet'!B20</f>
        <v>35 Mania</v>
      </c>
      <c r="C60" s="51" t="s">
        <v>92</v>
      </c>
      <c r="D60" s="52">
        <v>98524.85</v>
      </c>
      <c r="E60" s="52">
        <v>42682.56</v>
      </c>
      <c r="F60" s="52">
        <f>D60-E60</f>
        <v>55842.29</v>
      </c>
      <c r="G60" s="53">
        <f>F60/D60</f>
        <v>0.566783811393775</v>
      </c>
      <c r="H60" s="52">
        <v>82927.42</v>
      </c>
      <c r="I60" s="52">
        <v>59094.67</v>
      </c>
      <c r="J60" s="52">
        <f>SUM(H60-R60)</f>
        <v>64755.29</v>
      </c>
      <c r="K60" s="52">
        <f>SUM(I60-S60)</f>
        <v>50345.39</v>
      </c>
      <c r="L60" s="52">
        <f>J60-K60</f>
        <v>14409.9</v>
      </c>
      <c r="M60" s="53">
        <f>L60/J60</f>
        <v>0.222528537822933</v>
      </c>
      <c r="N60" s="53"/>
      <c r="O60" s="53"/>
      <c r="P60" s="53"/>
      <c r="Q60" s="53"/>
      <c r="R60" s="52">
        <v>18172.13</v>
      </c>
      <c r="S60" s="52">
        <v>8749.28</v>
      </c>
      <c r="T60" s="52">
        <f>R60-S60</f>
        <v>9422.85</v>
      </c>
      <c r="U60" s="53">
        <f>T60/R60</f>
        <v>0.518533050335872</v>
      </c>
      <c r="V60" s="54">
        <v>363.99</v>
      </c>
      <c r="W60" s="54">
        <v>218.25</v>
      </c>
      <c r="X60" s="54">
        <f>V60-W60</f>
        <v>145.74</v>
      </c>
      <c r="Y60" s="53">
        <f>X60/V60</f>
        <v>0.400395615264156</v>
      </c>
      <c r="Z60" s="53">
        <v>0</v>
      </c>
      <c r="AA60" s="55">
        <f>(E60-K60-S60)/W60</f>
        <v>-75.1986712485682</v>
      </c>
      <c r="AB60" s="55">
        <f>(D60-J60-R60)/V60</f>
        <v>42.8512596499904</v>
      </c>
      <c r="AC60" s="53">
        <f>(E60-K60-S60)/E60</f>
        <v>-0.384515596065466</v>
      </c>
      <c r="AD60" s="56">
        <f>SUM(D60-H60)/D60</f>
        <v>0.158309604125254</v>
      </c>
      <c r="AE60" s="57"/>
      <c r="AG60" s="35" t="s">
        <v>93</v>
      </c>
      <c r="AH60" s="35">
        <f>AK65</f>
        <v>-218.25</v>
      </c>
      <c r="AK60" s="19">
        <f>SUM(W61-W60)</f>
        <v>163.25</v>
      </c>
      <c r="AL60" s="58">
        <f>SUM(K61-K60)</f>
        <v>7441.38000000001</v>
      </c>
    </row>
    <row r="61" ht="15" customHeight="1" spans="1:38" x14ac:dyDescent="0.25">
      <c r="A61" s="19"/>
      <c r="B61" s="20"/>
      <c r="C61" s="51" t="s">
        <v>94</v>
      </c>
      <c r="D61" s="52">
        <v>98524.85</v>
      </c>
      <c r="E61" s="52">
        <v>93329.71</v>
      </c>
      <c r="F61" s="52">
        <f>D61-E61</f>
        <v>5195.14</v>
      </c>
      <c r="G61" s="53">
        <f>F61/D61</f>
        <v>0.0527292353147455</v>
      </c>
      <c r="H61" s="52">
        <v>82927.42</v>
      </c>
      <c r="I61" s="52">
        <v>73161.13</v>
      </c>
      <c r="J61" s="52">
        <f>SUM(H61-R61)</f>
        <v>64755.29</v>
      </c>
      <c r="K61" s="52">
        <f>SUM(I61-S61)</f>
        <v>57786.77</v>
      </c>
      <c r="L61" s="52">
        <f>J61-K61</f>
        <v>6968.51999999999</v>
      </c>
      <c r="M61" s="53">
        <f>L61/J61</f>
        <v>0.107613138633152</v>
      </c>
      <c r="N61" s="53"/>
      <c r="O61" s="53"/>
      <c r="P61" s="53"/>
      <c r="Q61" s="53"/>
      <c r="R61" s="52">
        <v>18172.13</v>
      </c>
      <c r="S61" s="52">
        <v>15374.36</v>
      </c>
      <c r="T61" s="52">
        <f>R61-S61</f>
        <v>2797.77</v>
      </c>
      <c r="U61" s="53">
        <f>T61/R61</f>
        <v>0.153959387259501</v>
      </c>
      <c r="V61" s="54">
        <v>363.99</v>
      </c>
      <c r="W61" s="54">
        <v>381.5</v>
      </c>
      <c r="X61" s="54">
        <f>V61-W61</f>
        <v>-17.51</v>
      </c>
      <c r="Y61" s="53">
        <f>X61/V61</f>
        <v>-0.0481057171900327</v>
      </c>
      <c r="Z61" s="53">
        <v>0.2</v>
      </c>
      <c r="AA61" s="55">
        <f>(E61-K61-S61)/W61</f>
        <v>52.8665268676278</v>
      </c>
      <c r="AB61" s="55">
        <f>(D61-J61-R61)/V61</f>
        <v>42.8512596499904</v>
      </c>
      <c r="AC61" s="53">
        <f>(E61-K61-S61)/E61</f>
        <v>0.216100317894484</v>
      </c>
      <c r="AD61" s="56">
        <f>SUM(D61-H61)/D61</f>
        <v>0.158309604125254</v>
      </c>
      <c r="AE61" s="57"/>
      <c r="AG61" s="35" t="s">
        <v>95</v>
      </c>
      <c r="AH61" s="36">
        <f>AL65</f>
        <v>-50345.39</v>
      </c>
      <c r="AK61" s="19">
        <f>SUM(W62-W61)</f>
        <v>2</v>
      </c>
      <c r="AL61" s="58">
        <f>SUM(K62-K61)</f>
        <v>728.099999999999</v>
      </c>
    </row>
    <row r="62" ht="15" customHeight="1" spans="1:38" x14ac:dyDescent="0.25">
      <c r="A62" s="19"/>
      <c r="B62" s="20"/>
      <c r="C62" s="51" t="s">
        <v>96</v>
      </c>
      <c r="D62" s="52">
        <v>98524.85</v>
      </c>
      <c r="E62" s="52">
        <v>93329.71</v>
      </c>
      <c r="F62" s="52">
        <f>D62-E62</f>
        <v>5195.14</v>
      </c>
      <c r="G62" s="53">
        <f>F62/D62</f>
        <v>0.0527292353147455</v>
      </c>
      <c r="H62" s="52">
        <v>82927.42</v>
      </c>
      <c r="I62" s="52">
        <v>73980.77</v>
      </c>
      <c r="J62" s="52">
        <f>SUM(H62-R62)</f>
        <v>64755.29</v>
      </c>
      <c r="K62" s="52">
        <f>SUM(I62-S62)</f>
        <v>58514.87</v>
      </c>
      <c r="L62" s="52">
        <f>J62-K62</f>
        <v>6240.41999999999</v>
      </c>
      <c r="M62" s="53">
        <f>L62/J62</f>
        <v>0.0963692695994411</v>
      </c>
      <c r="N62" s="53"/>
      <c r="O62" s="53"/>
      <c r="P62" s="53"/>
      <c r="Q62" s="53"/>
      <c r="R62" s="52">
        <v>18172.13</v>
      </c>
      <c r="S62" s="52">
        <v>15465.9</v>
      </c>
      <c r="T62" s="52">
        <f>R62-S62</f>
        <v>2706.23</v>
      </c>
      <c r="U62" s="53">
        <f>T62/R62</f>
        <v>0.148922003089346</v>
      </c>
      <c r="V62" s="54">
        <v>363.99</v>
      </c>
      <c r="W62" s="54">
        <v>383.5</v>
      </c>
      <c r="X62" s="54">
        <f>V62-W62</f>
        <v>-19.51</v>
      </c>
      <c r="Y62" s="53">
        <f>X62/V62</f>
        <v>-0.0536003736366383</v>
      </c>
      <c r="Z62" s="53">
        <v>0.25</v>
      </c>
      <c r="AA62" s="55">
        <f>(E62-K62-S62)/W62</f>
        <v>50.4535593220339</v>
      </c>
      <c r="AB62" s="55">
        <f>(D62-J62-R62)/V62</f>
        <v>42.8512596499904</v>
      </c>
      <c r="AC62" s="53">
        <f>(E62-K62-S62)/E62</f>
        <v>0.207318119814151</v>
      </c>
      <c r="AD62" s="56">
        <f>SUM(D62-H62)/D62</f>
        <v>0.158309604125254</v>
      </c>
      <c r="AE62" s="57"/>
      <c r="AG62" s="35"/>
      <c r="AH62" s="35"/>
      <c r="AK62" s="19">
        <f>SUM(W63-W62)</f>
        <v>-383.5</v>
      </c>
      <c r="AL62" s="58">
        <f>SUM(K63-K62)</f>
        <v>-58514.87</v>
      </c>
    </row>
    <row r="63" ht="15" customHeight="1" spans="1:38" x14ac:dyDescent="0.25">
      <c r="A63" s="19"/>
      <c r="B63" s="20"/>
      <c r="C63" s="51" t="s">
        <v>97</v>
      </c>
      <c r="D63" s="52"/>
      <c r="E63" s="52"/>
      <c r="F63" s="52">
        <f>D63-E63</f>
        <v>0</v>
      </c>
      <c r="G63" s="53" t="e">
        <f>F63/D63</f>
        <v>#DIV/0!</v>
      </c>
      <c r="H63" s="52"/>
      <c r="I63" s="52"/>
      <c r="J63" s="52">
        <f>SUM(H63-R63)</f>
        <v>0</v>
      </c>
      <c r="K63" s="52">
        <f>SUM(I63-S63)</f>
        <v>0</v>
      </c>
      <c r="L63" s="52">
        <f>J63-K63</f>
        <v>0</v>
      </c>
      <c r="M63" s="53" t="e">
        <f>L63/J63</f>
        <v>#DIV/0!</v>
      </c>
      <c r="N63" s="53">
        <v>0.05</v>
      </c>
      <c r="O63" s="53"/>
      <c r="P63" s="53"/>
      <c r="Q63" s="53"/>
      <c r="R63" s="52"/>
      <c r="S63" s="52"/>
      <c r="T63" s="52">
        <f>R63-S63</f>
        <v>0</v>
      </c>
      <c r="U63" s="53" t="e">
        <f>T63/R63</f>
        <v>#DIV/0!</v>
      </c>
      <c r="V63" s="54"/>
      <c r="W63" s="54"/>
      <c r="X63" s="54">
        <f>V63-W63</f>
        <v>0</v>
      </c>
      <c r="Y63" s="53" t="e">
        <f>X63/V63</f>
        <v>#DIV/0!</v>
      </c>
      <c r="Z63" s="53">
        <v>0.02</v>
      </c>
      <c r="AA63" s="55" t="e">
        <f>(E63-K63-S63)/W63</f>
        <v>#DIV/0!</v>
      </c>
      <c r="AB63" s="55" t="e">
        <f>(D63-J63-R63)/V63</f>
        <v>#DIV/0!</v>
      </c>
      <c r="AC63" s="53" t="e">
        <f>(E63-K63-S63)/E63</f>
        <v>#DIV/0!</v>
      </c>
      <c r="AD63" s="56" t="e">
        <f>SUM(D63-H63)/D63</f>
        <v>#DIV/0!</v>
      </c>
      <c r="AE63" s="57"/>
      <c r="AG63" s="35" t="s">
        <v>98</v>
      </c>
      <c r="AH63" s="36">
        <v>0</v>
      </c>
      <c r="AK63" s="19">
        <f>SUM(W64-W63)</f>
        <v>0</v>
      </c>
      <c r="AL63" s="58">
        <f>SUM(K64-K63)</f>
        <v>0</v>
      </c>
    </row>
    <row r="64" ht="15" customHeight="1" spans="1:38" x14ac:dyDescent="0.25">
      <c r="A64" s="19"/>
      <c r="B64" s="20"/>
      <c r="C64" s="51" t="s">
        <v>99</v>
      </c>
      <c r="D64" s="52"/>
      <c r="E64" s="52"/>
      <c r="F64" s="52">
        <f>D64-E64</f>
        <v>0</v>
      </c>
      <c r="G64" s="53" t="e">
        <f>F64/D64</f>
        <v>#DIV/0!</v>
      </c>
      <c r="H64" s="52"/>
      <c r="I64" s="52"/>
      <c r="J64" s="52">
        <f>SUM(H64-R64)</f>
        <v>0</v>
      </c>
      <c r="K64" s="52">
        <f>SUM(I64-S64)</f>
        <v>0</v>
      </c>
      <c r="L64" s="52">
        <f>J64-K64</f>
        <v>0</v>
      </c>
      <c r="M64" s="53" t="e">
        <f>L64/J64</f>
        <v>#DIV/0!</v>
      </c>
      <c r="N64" s="53">
        <v>0.25</v>
      </c>
      <c r="O64" s="53"/>
      <c r="P64" s="53"/>
      <c r="Q64" s="53"/>
      <c r="R64" s="52"/>
      <c r="S64" s="52"/>
      <c r="T64" s="52">
        <f>R64-S64</f>
        <v>0</v>
      </c>
      <c r="U64" s="53" t="e">
        <f>T64/R64</f>
        <v>#DIV/0!</v>
      </c>
      <c r="V64" s="54"/>
      <c r="W64" s="54"/>
      <c r="X64" s="54">
        <f>V64-W64</f>
        <v>0</v>
      </c>
      <c r="Y64" s="53" t="e">
        <f>X64/V64</f>
        <v>#DIV/0!</v>
      </c>
      <c r="Z64" s="53">
        <v>0.1</v>
      </c>
      <c r="AA64" s="55" t="e">
        <f>(E64-K64-S64)/W64</f>
        <v>#DIV/0!</v>
      </c>
      <c r="AB64" s="55" t="e">
        <f>(D64-J64-R64)/V64</f>
        <v>#DIV/0!</v>
      </c>
      <c r="AC64" s="53" t="e">
        <f>(E64-K64-S64)/E64</f>
        <v>#DIV/0!</v>
      </c>
      <c r="AD64" s="56" t="e">
        <f>SUM(D64-H64)/D64</f>
        <v>#DIV/0!</v>
      </c>
      <c r="AE64" s="57"/>
      <c r="AG64" s="35"/>
      <c r="AH64" s="35"/>
      <c r="AK64" s="19">
        <f>SUM(W65-W64)</f>
        <v>0</v>
      </c>
      <c r="AL64" s="58">
        <f>SUM(K65-K64)</f>
        <v>0</v>
      </c>
    </row>
    <row r="65" ht="15" customHeight="1" spans="1:38" x14ac:dyDescent="0.25">
      <c r="A65" s="19"/>
      <c r="B65" s="20"/>
      <c r="C65" s="51" t="s">
        <v>100</v>
      </c>
      <c r="D65" s="52"/>
      <c r="E65" s="52"/>
      <c r="F65" s="52">
        <f>D65-E65</f>
        <v>0</v>
      </c>
      <c r="G65" s="53" t="e">
        <f>F65/D65</f>
        <v>#DIV/0!</v>
      </c>
      <c r="H65" s="52"/>
      <c r="I65" s="52"/>
      <c r="J65" s="52">
        <f>SUM(H65-R65)</f>
        <v>0</v>
      </c>
      <c r="K65" s="52">
        <f>SUM(I65-S65)</f>
        <v>0</v>
      </c>
      <c r="L65" s="52">
        <f>J65-K65</f>
        <v>0</v>
      </c>
      <c r="M65" s="53" t="e">
        <f>L65/J65</f>
        <v>#DIV/0!</v>
      </c>
      <c r="N65" s="53">
        <v>0.95</v>
      </c>
      <c r="O65" s="53"/>
      <c r="P65" s="53"/>
      <c r="Q65" s="53"/>
      <c r="R65" s="52"/>
      <c r="S65" s="52"/>
      <c r="T65" s="52">
        <f>R65-S65</f>
        <v>0</v>
      </c>
      <c r="U65" s="53" t="e">
        <f>T65/R65</f>
        <v>#DIV/0!</v>
      </c>
      <c r="V65" s="54"/>
      <c r="W65" s="54"/>
      <c r="X65" s="54">
        <f>V65-W65</f>
        <v>0</v>
      </c>
      <c r="Y65" s="53" t="e">
        <f>X65/V65</f>
        <v>#DIV/0!</v>
      </c>
      <c r="Z65" s="53">
        <v>0.1</v>
      </c>
      <c r="AA65" s="55" t="e">
        <f>(E65-K65-S65)/W65</f>
        <v>#DIV/0!</v>
      </c>
      <c r="AB65" s="55" t="e">
        <f>(D65-J65-R65)/V65</f>
        <v>#DIV/0!</v>
      </c>
      <c r="AC65" s="53" t="e">
        <f>(E65-K65-S65)/E65</f>
        <v>#DIV/0!</v>
      </c>
      <c r="AD65" s="56" t="e">
        <f>SUM(D65-H65)/D65</f>
        <v>#DIV/0!</v>
      </c>
      <c r="AE65" s="57"/>
      <c r="AG65" s="35"/>
      <c r="AH65" s="35"/>
      <c r="AK65" s="59">
        <f>SUM(AK60,AK61,AK62,AK63,AK64)</f>
        <v>-218.25</v>
      </c>
      <c r="AL65" s="60">
        <f>SUM(AL60,AL61,AL62,AL63,AL64)</f>
        <v>-50345.39</v>
      </c>
    </row>
    <row r="66" ht="9" customHeight="1" spans="1:38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G66" s="35"/>
      <c r="AH66" s="35"/>
      <c r="AK66" s="35"/>
      <c r="AL66" s="35"/>
    </row>
    <row r="67" ht="15" customHeight="1" spans="1:38" x14ac:dyDescent="0.25">
      <c r="A67" s="19">
        <f>'Main Sheet'!A22</f>
        <v>9065</v>
      </c>
      <c r="B67" s="20" t="str">
        <f>'Main Sheet'!B22</f>
        <v>Cooltranz stage 4</v>
      </c>
      <c r="C67" s="51" t="s">
        <v>92</v>
      </c>
      <c r="D67" s="52">
        <v>87970.61</v>
      </c>
      <c r="E67" s="52">
        <v>48945.78</v>
      </c>
      <c r="F67" s="52">
        <f>D67-E67</f>
        <v>39024.83</v>
      </c>
      <c r="G67" s="53">
        <f>F67/D67</f>
        <v>0.44361213364327</v>
      </c>
      <c r="H67" s="52">
        <v>68471.73</v>
      </c>
      <c r="I67" s="52">
        <v>49900.98</v>
      </c>
      <c r="J67" s="52">
        <f>SUM(H67-R67)</f>
        <v>52300.56</v>
      </c>
      <c r="K67" s="52">
        <f>SUM(I67-S67)</f>
        <v>37733.03</v>
      </c>
      <c r="L67" s="52">
        <f>J67-K67</f>
        <v>14567.53</v>
      </c>
      <c r="M67" s="53">
        <f>L67/J67</f>
        <v>0.278534876108401</v>
      </c>
      <c r="N67" s="53"/>
      <c r="O67" s="53"/>
      <c r="P67" s="53"/>
      <c r="Q67" s="53"/>
      <c r="R67" s="52">
        <v>16171.17</v>
      </c>
      <c r="S67" s="52">
        <v>12167.95</v>
      </c>
      <c r="T67" s="52">
        <f>R67-S67</f>
        <v>4003.22</v>
      </c>
      <c r="U67" s="53">
        <f>T67/R67</f>
        <v>0.247552898151463</v>
      </c>
      <c r="V67" s="54">
        <v>323.99</v>
      </c>
      <c r="W67" s="54">
        <v>350</v>
      </c>
      <c r="X67" s="54">
        <f>V67-W67</f>
        <v>-26.01</v>
      </c>
      <c r="Y67" s="53">
        <f>X67/V67</f>
        <v>-0.0802802555634433</v>
      </c>
      <c r="Z67" s="53"/>
      <c r="AA67" s="55">
        <f>(E67-K67-S67)/W67</f>
        <v>-2.72914285714286</v>
      </c>
      <c r="AB67" s="55">
        <f>(D67-J67-R67)/V67</f>
        <v>60.1835859131455</v>
      </c>
      <c r="AC67" s="53">
        <f>(E67-K67-S67)/E67</f>
        <v>-0.019515472018221</v>
      </c>
      <c r="AD67" s="56">
        <f>SUM(D67-H67)/D67</f>
        <v>0.22165220861831</v>
      </c>
      <c r="AE67" s="57"/>
      <c r="AG67" s="35" t="s">
        <v>93</v>
      </c>
      <c r="AH67" s="35">
        <f>AK72</f>
        <v>-350</v>
      </c>
      <c r="AK67" s="19">
        <f>SUM(W68-W67)</f>
        <v>-39.5</v>
      </c>
      <c r="AL67" s="58">
        <f>SUM(K68-K67)</f>
        <v>321.160000000004</v>
      </c>
    </row>
    <row r="68" ht="15" customHeight="1" spans="1:38" x14ac:dyDescent="0.25">
      <c r="A68" s="19"/>
      <c r="B68" s="20"/>
      <c r="C68" s="51" t="s">
        <v>94</v>
      </c>
      <c r="D68" s="52">
        <v>87970.61</v>
      </c>
      <c r="E68" s="52">
        <v>85555.47</v>
      </c>
      <c r="F68" s="52">
        <f>D68-E68</f>
        <v>2415.14</v>
      </c>
      <c r="G68" s="53">
        <f>F68/D68</f>
        <v>0.0274539417198539</v>
      </c>
      <c r="H68" s="52">
        <v>68471.73</v>
      </c>
      <c r="I68" s="52">
        <v>50194.4</v>
      </c>
      <c r="J68" s="52">
        <f>SUM(H68-R68)</f>
        <v>52300.56</v>
      </c>
      <c r="K68" s="52">
        <f>SUM(I68-S68)</f>
        <v>38054.19</v>
      </c>
      <c r="L68" s="52">
        <f>J68-K68</f>
        <v>14246.37</v>
      </c>
      <c r="M68" s="53">
        <f>L68/J68</f>
        <v>0.272394215281825</v>
      </c>
      <c r="N68" s="53"/>
      <c r="O68" s="53"/>
      <c r="P68" s="53"/>
      <c r="Q68" s="53"/>
      <c r="R68" s="52">
        <v>16171.17</v>
      </c>
      <c r="S68" s="52">
        <v>12140.21</v>
      </c>
      <c r="T68" s="52">
        <f>R68-S68</f>
        <v>4030.96</v>
      </c>
      <c r="U68" s="53">
        <f>T68/R68</f>
        <v>0.249268296604389</v>
      </c>
      <c r="V68" s="54">
        <v>323.99</v>
      </c>
      <c r="W68" s="54">
        <v>310.5</v>
      </c>
      <c r="X68" s="54">
        <f>V68-W68</f>
        <v>13.49</v>
      </c>
      <c r="Y68" s="53">
        <f>X68/V68</f>
        <v>0.041637087564431</v>
      </c>
      <c r="Z68" s="53">
        <v>0.3</v>
      </c>
      <c r="AA68" s="55">
        <f>(E68-K68-S68)/W68</f>
        <v>113.884283413849</v>
      </c>
      <c r="AB68" s="55">
        <f>(D68-J68-R68)/V68</f>
        <v>60.1835859131455</v>
      </c>
      <c r="AC68" s="53">
        <f>(E68-K68-S68)/E68</f>
        <v>0.413311621103829</v>
      </c>
      <c r="AD68" s="56">
        <f>SUM(D68-H68)/D68</f>
        <v>0.22165220861831</v>
      </c>
      <c r="AE68" s="57"/>
      <c r="AG68" s="35" t="s">
        <v>95</v>
      </c>
      <c r="AH68" s="36">
        <f>AL72</f>
        <v>-37733.03</v>
      </c>
      <c r="AK68" s="19">
        <f>SUM(W69-W68)</f>
        <v>-310.5</v>
      </c>
      <c r="AL68" s="58">
        <f>SUM(K69-K68)</f>
        <v>-38054.19</v>
      </c>
    </row>
    <row r="69" ht="15" customHeight="1" spans="1:38" x14ac:dyDescent="0.25">
      <c r="A69" s="19"/>
      <c r="B69" s="20"/>
      <c r="C69" s="51" t="s">
        <v>96</v>
      </c>
      <c r="D69" s="52"/>
      <c r="E69" s="52"/>
      <c r="F69" s="52">
        <f>D69-E69</f>
        <v>0</v>
      </c>
      <c r="G69" s="53" t="e">
        <f>F69/D69</f>
        <v>#DIV/0!</v>
      </c>
      <c r="H69" s="52"/>
      <c r="I69" s="52"/>
      <c r="J69" s="52">
        <f>SUM(H69-R69)</f>
        <v>0</v>
      </c>
      <c r="K69" s="52">
        <f>SUM(I69-S69)</f>
        <v>0</v>
      </c>
      <c r="L69" s="52">
        <f>J69-K69</f>
        <v>0</v>
      </c>
      <c r="M69" s="53" t="e">
        <f>L69/J69</f>
        <v>#DIV/0!</v>
      </c>
      <c r="N69" s="53"/>
      <c r="O69" s="53"/>
      <c r="P69" s="53"/>
      <c r="Q69" s="53"/>
      <c r="R69" s="52"/>
      <c r="S69" s="52"/>
      <c r="T69" s="52">
        <f>R69-S69</f>
        <v>0</v>
      </c>
      <c r="U69" s="53" t="e">
        <f>T69/R69</f>
        <v>#DIV/0!</v>
      </c>
      <c r="V69" s="54"/>
      <c r="W69" s="54"/>
      <c r="X69" s="54">
        <f>V69-W69</f>
        <v>0</v>
      </c>
      <c r="Y69" s="53" t="e">
        <f>X69/V69</f>
        <v>#DIV/0!</v>
      </c>
      <c r="Z69" s="53">
        <v>0.3</v>
      </c>
      <c r="AA69" s="55" t="e">
        <f>(E69-K69-S69)/W69</f>
        <v>#DIV/0!</v>
      </c>
      <c r="AB69" s="55" t="e">
        <f>(D69-J69-R69)/V69</f>
        <v>#DIV/0!</v>
      </c>
      <c r="AC69" s="53" t="e">
        <f>(E69-K69-S69)/E69</f>
        <v>#DIV/0!</v>
      </c>
      <c r="AD69" s="56" t="e">
        <f>SUM(D69-H69)/D69</f>
        <v>#DIV/0!</v>
      </c>
      <c r="AE69" s="57"/>
      <c r="AG69" s="35"/>
      <c r="AH69" s="35"/>
      <c r="AK69" s="19">
        <f>SUM(W70-W69)</f>
        <v>0</v>
      </c>
      <c r="AL69" s="58">
        <f>SUM(K70-K69)</f>
        <v>0</v>
      </c>
    </row>
    <row r="70" ht="15" customHeight="1" spans="1:38" x14ac:dyDescent="0.25">
      <c r="A70" s="19"/>
      <c r="B70" s="20"/>
      <c r="C70" s="51" t="s">
        <v>97</v>
      </c>
      <c r="D70" s="52"/>
      <c r="E70" s="52"/>
      <c r="F70" s="52">
        <f>D70-E70</f>
        <v>0</v>
      </c>
      <c r="G70" s="53" t="e">
        <f>F70/D70</f>
        <v>#DIV/0!</v>
      </c>
      <c r="H70" s="52"/>
      <c r="I70" s="52"/>
      <c r="J70" s="52">
        <f>SUM(H70-R70)</f>
        <v>0</v>
      </c>
      <c r="K70" s="52">
        <f>SUM(I70-S70)</f>
        <v>0</v>
      </c>
      <c r="L70" s="52">
        <f>J70-K70</f>
        <v>0</v>
      </c>
      <c r="M70" s="53" t="e">
        <f>L70/J70</f>
        <v>#DIV/0!</v>
      </c>
      <c r="N70" s="53"/>
      <c r="O70" s="53"/>
      <c r="P70" s="53"/>
      <c r="Q70" s="53"/>
      <c r="R70" s="52"/>
      <c r="S70" s="52"/>
      <c r="T70" s="52">
        <f>R70-S70</f>
        <v>0</v>
      </c>
      <c r="U70" s="53" t="e">
        <f>T70/R70</f>
        <v>#DIV/0!</v>
      </c>
      <c r="V70" s="54"/>
      <c r="W70" s="54"/>
      <c r="X70" s="54">
        <f>V70-W70</f>
        <v>0</v>
      </c>
      <c r="Y70" s="53" t="e">
        <f>X70/V70</f>
        <v>#DIV/0!</v>
      </c>
      <c r="Z70" s="53">
        <v>0.1</v>
      </c>
      <c r="AA70" s="55" t="e">
        <f>(E70-K70-S70)/W70</f>
        <v>#DIV/0!</v>
      </c>
      <c r="AB70" s="55" t="e">
        <f>(D70-J70-R70)/V70</f>
        <v>#DIV/0!</v>
      </c>
      <c r="AC70" s="53" t="e">
        <f>(E70-K70-S70)/E70</f>
        <v>#DIV/0!</v>
      </c>
      <c r="AD70" s="56" t="e">
        <f>SUM(D70-H70)/D70</f>
        <v>#DIV/0!</v>
      </c>
      <c r="AE70" s="57"/>
      <c r="AG70" s="35" t="s">
        <v>98</v>
      </c>
      <c r="AH70" s="36">
        <v>0</v>
      </c>
      <c r="AK70" s="19">
        <f>SUM(W71-W70)</f>
        <v>0</v>
      </c>
      <c r="AL70" s="58">
        <f>SUM(K71-K70)</f>
        <v>0</v>
      </c>
    </row>
    <row r="71" ht="15" customHeight="1" spans="1:38" x14ac:dyDescent="0.25">
      <c r="A71" s="19"/>
      <c r="B71" s="20"/>
      <c r="C71" s="51" t="s">
        <v>99</v>
      </c>
      <c r="D71" s="52"/>
      <c r="E71" s="52"/>
      <c r="F71" s="52">
        <f>D71-E71</f>
        <v>0</v>
      </c>
      <c r="G71" s="53" t="e">
        <f>F71/D71</f>
        <v>#DIV/0!</v>
      </c>
      <c r="H71" s="52"/>
      <c r="I71" s="52"/>
      <c r="J71" s="52">
        <f>SUM(H71-R71)</f>
        <v>0</v>
      </c>
      <c r="K71" s="52">
        <f>SUM(I71-S71)</f>
        <v>0</v>
      </c>
      <c r="L71" s="52">
        <f>J71-K71</f>
        <v>0</v>
      </c>
      <c r="M71" s="53" t="e">
        <f>L71/J71</f>
        <v>#DIV/0!</v>
      </c>
      <c r="N71" s="53"/>
      <c r="O71" s="53"/>
      <c r="P71" s="53"/>
      <c r="Q71" s="53"/>
      <c r="R71" s="52"/>
      <c r="S71" s="52"/>
      <c r="T71" s="52">
        <f>R71-S71</f>
        <v>0</v>
      </c>
      <c r="U71" s="53" t="e">
        <f>T71/R71</f>
        <v>#DIV/0!</v>
      </c>
      <c r="V71" s="54"/>
      <c r="W71" s="54"/>
      <c r="X71" s="54">
        <f>V71-W71</f>
        <v>0</v>
      </c>
      <c r="Y71" s="53" t="e">
        <f>X71/V71</f>
        <v>#DIV/0!</v>
      </c>
      <c r="Z71" s="53">
        <v>0.1</v>
      </c>
      <c r="AA71" s="55" t="e">
        <f>(E71-K71-S71)/W71</f>
        <v>#DIV/0!</v>
      </c>
      <c r="AB71" s="55" t="e">
        <f>(D71-J71-R71)/V71</f>
        <v>#DIV/0!</v>
      </c>
      <c r="AC71" s="53" t="e">
        <f>(E71-K71-S71)/E71</f>
        <v>#DIV/0!</v>
      </c>
      <c r="AD71" s="56" t="e">
        <f>SUM(D71-H71)/D71</f>
        <v>#DIV/0!</v>
      </c>
      <c r="AE71" s="57"/>
      <c r="AG71" s="35"/>
      <c r="AH71" s="35"/>
      <c r="AK71" s="19">
        <f>SUM(W72-W71)</f>
        <v>0</v>
      </c>
      <c r="AL71" s="58">
        <f>SUM(K72-K71)</f>
        <v>0</v>
      </c>
    </row>
    <row r="72" ht="15" customHeight="1" spans="1:38" x14ac:dyDescent="0.25">
      <c r="A72" s="19"/>
      <c r="B72" s="20"/>
      <c r="C72" s="51" t="s">
        <v>100</v>
      </c>
      <c r="D72" s="52"/>
      <c r="E72" s="52"/>
      <c r="F72" s="52">
        <f>D72-E72</f>
        <v>0</v>
      </c>
      <c r="G72" s="53" t="e">
        <f>F72/D72</f>
        <v>#DIV/0!</v>
      </c>
      <c r="H72" s="52"/>
      <c r="I72" s="52"/>
      <c r="J72" s="52">
        <f>SUM(H72-R72)</f>
        <v>0</v>
      </c>
      <c r="K72" s="52">
        <f>SUM(I72-S72)</f>
        <v>0</v>
      </c>
      <c r="L72" s="52">
        <f>J72-K72</f>
        <v>0</v>
      </c>
      <c r="M72" s="53" t="e">
        <f>L72/J72</f>
        <v>#DIV/0!</v>
      </c>
      <c r="N72" s="53"/>
      <c r="O72" s="53"/>
      <c r="P72" s="53"/>
      <c r="Q72" s="53"/>
      <c r="R72" s="52"/>
      <c r="S72" s="52"/>
      <c r="T72" s="52">
        <f>R72-S72</f>
        <v>0</v>
      </c>
      <c r="U72" s="53" t="e">
        <f>T72/R72</f>
        <v>#DIV/0!</v>
      </c>
      <c r="V72" s="54"/>
      <c r="W72" s="54"/>
      <c r="X72" s="54">
        <f>V72-W72</f>
        <v>0</v>
      </c>
      <c r="Y72" s="53" t="e">
        <f>X72/V72</f>
        <v>#DIV/0!</v>
      </c>
      <c r="Z72" s="53"/>
      <c r="AA72" s="55" t="e">
        <f>(E72-K72-S72)/W72</f>
        <v>#DIV/0!</v>
      </c>
      <c r="AB72" s="55" t="e">
        <f>(D72-J72-R72)/V72</f>
        <v>#DIV/0!</v>
      </c>
      <c r="AC72" s="53" t="e">
        <f>(E72-K72-S72)/E72</f>
        <v>#DIV/0!</v>
      </c>
      <c r="AD72" s="56" t="e">
        <f>SUM(D72-H72)/D72</f>
        <v>#DIV/0!</v>
      </c>
      <c r="AE72" s="57"/>
      <c r="AG72" s="35"/>
      <c r="AH72" s="35"/>
      <c r="AK72" s="59">
        <f>SUM(AK67,AK68,AK69,AK70,AK71)</f>
        <v>-350</v>
      </c>
      <c r="AL72" s="60">
        <f>SUM(AL67,AL68,AL69,AL70,AL71)</f>
        <v>-37733.03</v>
      </c>
    </row>
    <row r="73" ht="9" customHeight="1" spans="1:38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G73" s="35"/>
      <c r="AH73" s="35"/>
      <c r="AK73" s="35"/>
      <c r="AL73" s="35"/>
    </row>
    <row r="74" ht="15" customHeight="1" spans="1:38" x14ac:dyDescent="0.25">
      <c r="A74" s="19">
        <f>'Main Sheet'!A24</f>
        <v>9259</v>
      </c>
      <c r="B74" s="20" t="str">
        <f>'Main Sheet'!B24</f>
        <v>Andrew Reeve Stage 2</v>
      </c>
      <c r="C74" s="51" t="s">
        <v>92</v>
      </c>
      <c r="D74" s="52">
        <v>210242.4</v>
      </c>
      <c r="E74" s="52">
        <v>14860.85</v>
      </c>
      <c r="F74" s="52">
        <f>D74-E74</f>
        <v>195381.55</v>
      </c>
      <c r="G74" s="53">
        <f>F74/D74</f>
        <v>0.929315637568825</v>
      </c>
      <c r="H74" s="52">
        <v>188013.59</v>
      </c>
      <c r="I74" s="52">
        <v>33639.16</v>
      </c>
      <c r="J74" s="52">
        <f>SUM(H74-R74)</f>
        <v>167291.62</v>
      </c>
      <c r="K74" s="52">
        <f>SUM(I74-S74)</f>
        <v>33639.16</v>
      </c>
      <c r="L74" s="52">
        <f>J74-K74</f>
        <v>133652.46</v>
      </c>
      <c r="M74" s="53">
        <f>L74/J74</f>
        <v>0.798919037307428</v>
      </c>
      <c r="N74" s="53">
        <v>0</v>
      </c>
      <c r="O74" s="53"/>
      <c r="P74" s="53"/>
      <c r="Q74" s="53"/>
      <c r="R74" s="52">
        <v>20721.97</v>
      </c>
      <c r="S74" s="52">
        <v>0</v>
      </c>
      <c r="T74" s="52">
        <f>R74-S74</f>
        <v>20721.97</v>
      </c>
      <c r="U74" s="53">
        <f>T74/R74</f>
        <v>1</v>
      </c>
      <c r="V74" s="54">
        <v>416.73</v>
      </c>
      <c r="W74" s="54">
        <v>0</v>
      </c>
      <c r="X74" s="54">
        <f>V74-W74</f>
        <v>416.73</v>
      </c>
      <c r="Y74" s="53">
        <f>X74/V74</f>
        <v>1</v>
      </c>
      <c r="Z74" s="53">
        <v>0</v>
      </c>
      <c r="AA74" s="55" t="e">
        <f>(E74-K74-S74)/W74</f>
        <v>#DIV/0!</v>
      </c>
      <c r="AB74" s="55">
        <f>(D74-J74-R74)/V74</f>
        <v>53.3410361625033</v>
      </c>
      <c r="AC74" s="53">
        <f>(E74-K74-S74)/E74</f>
        <v>-1.26360941668882</v>
      </c>
      <c r="AD74" s="56">
        <f>SUM(D74-H74)/D74</f>
        <v>0.105729434214982</v>
      </c>
      <c r="AE74" s="57"/>
      <c r="AG74" s="35" t="s">
        <v>93</v>
      </c>
      <c r="AH74" s="35">
        <f>AK79</f>
        <v>0</v>
      </c>
      <c r="AK74" s="19">
        <f>SUM(W75-W74)</f>
        <v>0</v>
      </c>
      <c r="AL74" s="58">
        <f>SUM(K75-K74)</f>
        <v>16474.45</v>
      </c>
    </row>
    <row r="75" ht="15" customHeight="1" spans="1:38" x14ac:dyDescent="0.25">
      <c r="A75" s="19"/>
      <c r="B75" s="20"/>
      <c r="C75" s="51" t="s">
        <v>94</v>
      </c>
      <c r="D75" s="52">
        <v>210242.4</v>
      </c>
      <c r="E75" s="52">
        <v>67511.23</v>
      </c>
      <c r="F75" s="52">
        <f>D75-E75</f>
        <v>142731.17</v>
      </c>
      <c r="G75" s="53">
        <f>F75/D75</f>
        <v>0.678888606674962</v>
      </c>
      <c r="H75" s="52">
        <v>188013.59</v>
      </c>
      <c r="I75" s="52">
        <v>50113.61</v>
      </c>
      <c r="J75" s="52">
        <f>SUM(H75-R75)</f>
        <v>167291.62</v>
      </c>
      <c r="K75" s="52">
        <f>SUM(I75-S75)</f>
        <v>50113.61</v>
      </c>
      <c r="L75" s="52">
        <f>J75-K75</f>
        <v>117178.01</v>
      </c>
      <c r="M75" s="53">
        <f>L75/J75</f>
        <v>0.700441600123186</v>
      </c>
      <c r="N75" s="53">
        <v>0</v>
      </c>
      <c r="O75" s="53"/>
      <c r="P75" s="53"/>
      <c r="Q75" s="53"/>
      <c r="R75" s="52">
        <v>20721.97</v>
      </c>
      <c r="S75" s="52"/>
      <c r="T75" s="52">
        <f>R75-S75</f>
        <v>20721.97</v>
      </c>
      <c r="U75" s="53">
        <f>T75/R75</f>
        <v>1</v>
      </c>
      <c r="V75" s="54">
        <v>416.73</v>
      </c>
      <c r="W75" s="54">
        <v>0</v>
      </c>
      <c r="X75" s="54">
        <f>V75-W75</f>
        <v>416.73</v>
      </c>
      <c r="Y75" s="53">
        <f>X75/V75</f>
        <v>1</v>
      </c>
      <c r="Z75" s="53">
        <v>0</v>
      </c>
      <c r="AA75" s="55" t="e">
        <f>(E75-K75-S75)/W75</f>
        <v>#DIV/0!</v>
      </c>
      <c r="AB75" s="55">
        <f>(D75-J75-R75)/V75</f>
        <v>53.3410361625033</v>
      </c>
      <c r="AC75" s="53">
        <f>(E75-K75-S75)/E75</f>
        <v>0.257699644933147</v>
      </c>
      <c r="AD75" s="56">
        <f>SUM(D75-H75)/D75</f>
        <v>0.105729434214982</v>
      </c>
      <c r="AE75" s="57"/>
      <c r="AG75" s="35" t="s">
        <v>95</v>
      </c>
      <c r="AH75" s="36">
        <f>AL79</f>
        <v>-33639.16</v>
      </c>
      <c r="AK75" s="19">
        <f>SUM(W76-W75)</f>
        <v>0</v>
      </c>
      <c r="AL75" s="58">
        <f>SUM(K76-K75)</f>
        <v>1067.7</v>
      </c>
    </row>
    <row r="76" ht="15" customHeight="1" spans="1:38" x14ac:dyDescent="0.25">
      <c r="A76" s="19"/>
      <c r="B76" s="20"/>
      <c r="C76" s="51" t="s">
        <v>96</v>
      </c>
      <c r="D76" s="52">
        <v>210242.4</v>
      </c>
      <c r="E76" s="52">
        <v>67511.23</v>
      </c>
      <c r="F76" s="52">
        <f>D76-E76</f>
        <v>142731.17</v>
      </c>
      <c r="G76" s="53">
        <f>F76/D76</f>
        <v>0.678888606674962</v>
      </c>
      <c r="H76" s="52">
        <v>188013.59</v>
      </c>
      <c r="I76" s="52">
        <v>51181.31</v>
      </c>
      <c r="J76" s="52">
        <f>SUM(H76-R76)</f>
        <v>167216.61</v>
      </c>
      <c r="K76" s="52">
        <f>SUM(I76-S76)</f>
        <v>51181.31</v>
      </c>
      <c r="L76" s="52">
        <f>J76-K76</f>
        <v>116035.3</v>
      </c>
      <c r="M76" s="53">
        <f>L76/J76</f>
        <v>0.693922093026524</v>
      </c>
      <c r="N76" s="53">
        <v>0</v>
      </c>
      <c r="O76" s="53"/>
      <c r="P76" s="53"/>
      <c r="Q76" s="53"/>
      <c r="R76" s="52">
        <v>20796.98</v>
      </c>
      <c r="S76" s="52"/>
      <c r="T76" s="52">
        <f>R76-S76</f>
        <v>20796.98</v>
      </c>
      <c r="U76" s="53">
        <f>T76/R76</f>
        <v>1</v>
      </c>
      <c r="V76" s="54">
        <v>416.73</v>
      </c>
      <c r="W76" s="54">
        <v>0</v>
      </c>
      <c r="X76" s="54">
        <f>V76-W76</f>
        <v>416.73</v>
      </c>
      <c r="Y76" s="53">
        <f>X76/V76</f>
        <v>1</v>
      </c>
      <c r="Z76" s="53">
        <v>0</v>
      </c>
      <c r="AA76" s="55" t="e">
        <f>(E76-K76-S76)/W76</f>
        <v>#DIV/0!</v>
      </c>
      <c r="AB76" s="55">
        <f>(D76-J76-R76)/V76</f>
        <v>53.3410361625033</v>
      </c>
      <c r="AC76" s="53">
        <f>(E76-K76-S76)/E76</f>
        <v>0.241884498327167</v>
      </c>
      <c r="AD76" s="56">
        <f>SUM(D76-H76)/D76</f>
        <v>0.105729434214982</v>
      </c>
      <c r="AE76" s="57"/>
      <c r="AG76" s="35"/>
      <c r="AH76" s="35"/>
      <c r="AK76" s="19">
        <f>SUM(W77-W76)</f>
        <v>0</v>
      </c>
      <c r="AL76" s="58">
        <f>SUM(K77-K76)</f>
        <v>-51181.31</v>
      </c>
    </row>
    <row r="77" ht="15" customHeight="1" spans="1:38" x14ac:dyDescent="0.25">
      <c r="A77" s="19"/>
      <c r="B77" s="20"/>
      <c r="C77" s="51" t="s">
        <v>97</v>
      </c>
      <c r="D77" s="52"/>
      <c r="E77" s="52"/>
      <c r="F77" s="52">
        <f>D77-E77</f>
        <v>0</v>
      </c>
      <c r="G77" s="53" t="e">
        <f>F77/D77</f>
        <v>#DIV/0!</v>
      </c>
      <c r="H77" s="52"/>
      <c r="I77" s="52"/>
      <c r="J77" s="52">
        <f>SUM(H77-R77)</f>
        <v>0</v>
      </c>
      <c r="K77" s="52">
        <f>SUM(I77-S77)</f>
        <v>0</v>
      </c>
      <c r="L77" s="52">
        <f>J77-K77</f>
        <v>0</v>
      </c>
      <c r="M77" s="53" t="e">
        <f>L77/J77</f>
        <v>#DIV/0!</v>
      </c>
      <c r="N77" s="53">
        <v>0</v>
      </c>
      <c r="O77" s="53"/>
      <c r="P77" s="53"/>
      <c r="Q77" s="53"/>
      <c r="R77" s="52"/>
      <c r="S77" s="52"/>
      <c r="T77" s="52">
        <f>R77-S77</f>
        <v>0</v>
      </c>
      <c r="U77" s="53" t="e">
        <f>T77/R77</f>
        <v>#DIV/0!</v>
      </c>
      <c r="V77" s="54"/>
      <c r="W77" s="54">
        <v>0</v>
      </c>
      <c r="X77" s="54">
        <f>V77-W77</f>
        <v>0</v>
      </c>
      <c r="Y77" s="53" t="e">
        <f>X77/V77</f>
        <v>#DIV/0!</v>
      </c>
      <c r="Z77" s="53">
        <v>0</v>
      </c>
      <c r="AA77" s="55" t="e">
        <f>(E77-K77-S77)/W77</f>
        <v>#DIV/0!</v>
      </c>
      <c r="AB77" s="55" t="e">
        <f>(D77-J77-R77)/V77</f>
        <v>#DIV/0!</v>
      </c>
      <c r="AC77" s="53" t="e">
        <f>(E77-K77-S77)/E77</f>
        <v>#DIV/0!</v>
      </c>
      <c r="AD77" s="56" t="e">
        <f>SUM(D77-H77)/D77</f>
        <v>#DIV/0!</v>
      </c>
      <c r="AE77" s="57"/>
      <c r="AG77" s="35" t="s">
        <v>98</v>
      </c>
      <c r="AH77" s="36">
        <v>0</v>
      </c>
      <c r="AK77" s="19">
        <f>SUM(W78-W77)</f>
        <v>0</v>
      </c>
      <c r="AL77" s="58">
        <f>SUM(K78-K77)</f>
        <v>0</v>
      </c>
    </row>
    <row r="78" ht="15" customHeight="1" spans="1:38" x14ac:dyDescent="0.25">
      <c r="A78" s="19"/>
      <c r="B78" s="20"/>
      <c r="C78" s="51" t="s">
        <v>99</v>
      </c>
      <c r="D78" s="52"/>
      <c r="E78" s="52"/>
      <c r="F78" s="52">
        <f>D78-E78</f>
        <v>0</v>
      </c>
      <c r="G78" s="53" t="e">
        <f>F78/D78</f>
        <v>#DIV/0!</v>
      </c>
      <c r="H78" s="52"/>
      <c r="I78" s="52"/>
      <c r="J78" s="52">
        <f>SUM(H78-R78)</f>
        <v>0</v>
      </c>
      <c r="K78" s="52">
        <f>SUM(I78-S78)</f>
        <v>0</v>
      </c>
      <c r="L78" s="52">
        <f>J78-K78</f>
        <v>0</v>
      </c>
      <c r="M78" s="53" t="e">
        <f>L78/J78</f>
        <v>#DIV/0!</v>
      </c>
      <c r="N78" s="53">
        <v>0</v>
      </c>
      <c r="O78" s="53"/>
      <c r="P78" s="53"/>
      <c r="Q78" s="53"/>
      <c r="R78" s="52"/>
      <c r="S78" s="52">
        <v>0</v>
      </c>
      <c r="T78" s="52">
        <f>R78-S78</f>
        <v>0</v>
      </c>
      <c r="U78" s="53" t="e">
        <f>T78/R78</f>
        <v>#DIV/0!</v>
      </c>
      <c r="V78" s="54"/>
      <c r="W78" s="54">
        <v>0</v>
      </c>
      <c r="X78" s="54">
        <f>V78-W78</f>
        <v>0</v>
      </c>
      <c r="Y78" s="53" t="e">
        <f>X78/V78</f>
        <v>#DIV/0!</v>
      </c>
      <c r="Z78" s="53">
        <v>0</v>
      </c>
      <c r="AA78" s="55" t="e">
        <f>(E78-K78-S78)/W78</f>
        <v>#DIV/0!</v>
      </c>
      <c r="AB78" s="55" t="e">
        <f>(D78-J78-R78)/V78</f>
        <v>#DIV/0!</v>
      </c>
      <c r="AC78" s="53" t="e">
        <f>(E78-K78-S78)/E78</f>
        <v>#DIV/0!</v>
      </c>
      <c r="AD78" s="56" t="e">
        <f>SUM(D78-H78)/D78</f>
        <v>#DIV/0!</v>
      </c>
      <c r="AE78" s="57"/>
      <c r="AG78" s="35"/>
      <c r="AH78" s="35"/>
      <c r="AK78" s="19">
        <f>SUM(W79-W78)</f>
        <v>0</v>
      </c>
      <c r="AL78" s="58">
        <f>SUM(K79-K78)</f>
        <v>0</v>
      </c>
    </row>
    <row r="79" ht="15" customHeight="1" spans="1:38" x14ac:dyDescent="0.25">
      <c r="A79" s="19"/>
      <c r="B79" s="20"/>
      <c r="C79" s="51" t="s">
        <v>100</v>
      </c>
      <c r="D79" s="52"/>
      <c r="E79" s="52"/>
      <c r="F79" s="52">
        <f>D79-E79</f>
        <v>0</v>
      </c>
      <c r="G79" s="53" t="e">
        <f>F79/D79</f>
        <v>#DIV/0!</v>
      </c>
      <c r="H79" s="52"/>
      <c r="I79" s="52"/>
      <c r="J79" s="52">
        <f>SUM(H79-R79)</f>
        <v>0</v>
      </c>
      <c r="K79" s="52">
        <f>SUM(I79-S79)</f>
        <v>0</v>
      </c>
      <c r="L79" s="52">
        <f>J79-K79</f>
        <v>0</v>
      </c>
      <c r="M79" s="53" t="e">
        <f>L79/J79</f>
        <v>#DIV/0!</v>
      </c>
      <c r="N79" s="53">
        <v>0</v>
      </c>
      <c r="O79" s="53"/>
      <c r="P79" s="53"/>
      <c r="Q79" s="53"/>
      <c r="R79" s="52"/>
      <c r="S79" s="52">
        <v>0</v>
      </c>
      <c r="T79" s="52">
        <f>R79-S79</f>
        <v>0</v>
      </c>
      <c r="U79" s="53" t="e">
        <f>T79/R79</f>
        <v>#DIV/0!</v>
      </c>
      <c r="V79" s="54"/>
      <c r="W79" s="54">
        <v>0</v>
      </c>
      <c r="X79" s="54">
        <f>V79-W79</f>
        <v>0</v>
      </c>
      <c r="Y79" s="53" t="e">
        <f>X79/V79</f>
        <v>#DIV/0!</v>
      </c>
      <c r="Z79" s="53">
        <v>0</v>
      </c>
      <c r="AA79" s="55" t="e">
        <f>(E79-K79-S79)/W79</f>
        <v>#DIV/0!</v>
      </c>
      <c r="AB79" s="55" t="e">
        <f>(D79-J79-R79)/V79</f>
        <v>#DIV/0!</v>
      </c>
      <c r="AC79" s="53" t="e">
        <f>(E79-K79-S79)/E79</f>
        <v>#DIV/0!</v>
      </c>
      <c r="AD79" s="56" t="e">
        <f>SUM(D79-H79)/D79</f>
        <v>#DIV/0!</v>
      </c>
      <c r="AE79" s="57"/>
      <c r="AG79" s="35"/>
      <c r="AH79" s="35"/>
      <c r="AK79" s="59">
        <f>SUM(AK74,AK75,AK76,AK77,AK78)</f>
        <v>0</v>
      </c>
      <c r="AL79" s="60">
        <f>SUM(AL74,AL75,AL76,AL77,AL78)</f>
        <v>-33639.16</v>
      </c>
    </row>
    <row r="80" ht="9" customHeight="1" spans="1:38" x14ac:dyDescent="0.25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G80" s="35"/>
      <c r="AH80" s="35"/>
      <c r="AK80" s="35"/>
      <c r="AL80" s="35"/>
    </row>
    <row r="81" ht="15" customHeight="1" spans="1:38" x14ac:dyDescent="0.25">
      <c r="A81" s="19">
        <f>'Main Sheet'!A26</f>
        <v>8352</v>
      </c>
      <c r="B81" s="20" t="str">
        <f>'Main Sheet'!B26</f>
        <v>5 Sanscrit Place</v>
      </c>
      <c r="C81" s="51" t="s">
        <v>92</v>
      </c>
      <c r="D81" s="52">
        <v>43448.62</v>
      </c>
      <c r="E81" s="52">
        <v>19551.87</v>
      </c>
      <c r="F81" s="52">
        <f>D81-E81</f>
        <v>23896.75</v>
      </c>
      <c r="G81" s="53">
        <f>F81/D81</f>
        <v>0.550000207141217</v>
      </c>
      <c r="H81" s="52">
        <v>31063.54</v>
      </c>
      <c r="I81" s="52">
        <v>25863.55</v>
      </c>
      <c r="J81" s="52">
        <f>SUM(H81-R81)</f>
        <v>16447.56</v>
      </c>
      <c r="K81" s="52">
        <f>SUM(I81-S81)</f>
        <v>18255.63</v>
      </c>
      <c r="L81" s="52">
        <f>J81-K81</f>
        <v>-1808.07</v>
      </c>
      <c r="M81" s="53">
        <f>L81/J81</f>
        <v>-0.109929375542633</v>
      </c>
      <c r="N81" s="53">
        <v>0</v>
      </c>
      <c r="O81" s="53"/>
      <c r="P81" s="53"/>
      <c r="Q81" s="53"/>
      <c r="R81" s="52">
        <v>14615.98</v>
      </c>
      <c r="S81" s="52">
        <v>7607.92</v>
      </c>
      <c r="T81" s="52">
        <f>R81-S81</f>
        <v>7008.06</v>
      </c>
      <c r="U81" s="53">
        <f>T81/R81</f>
        <v>0.479479309632334</v>
      </c>
      <c r="V81" s="54">
        <v>292.93</v>
      </c>
      <c r="W81" s="54">
        <v>181.5</v>
      </c>
      <c r="X81" s="54">
        <f>V81-W81</f>
        <v>111.43</v>
      </c>
      <c r="Y81" s="53">
        <f>X81/V81</f>
        <v>0.380398047315058</v>
      </c>
      <c r="Z81" s="53">
        <v>0</v>
      </c>
      <c r="AA81" s="55">
        <f>(E81-K81-S81)/W81</f>
        <v>-34.7750964187328</v>
      </c>
      <c r="AB81" s="55">
        <f>(D81-J81-R81)/V81</f>
        <v>42.2799986344861</v>
      </c>
      <c r="AC81" s="53">
        <f>(E81-K81-S81)/E81</f>
        <v>-0.322817203674124</v>
      </c>
      <c r="AD81" s="56">
        <f>SUM(D81-H81)/D81</f>
        <v>0.285051170785171</v>
      </c>
      <c r="AE81" s="57"/>
      <c r="AG81" s="35" t="s">
        <v>93</v>
      </c>
      <c r="AH81" s="35">
        <f>AK86</f>
        <v>-181.5</v>
      </c>
      <c r="AK81" s="19">
        <f>SUM(W82-W81)</f>
        <v>0</v>
      </c>
      <c r="AL81" s="58">
        <f>SUM(K82-K81)</f>
        <v>979.130000000005</v>
      </c>
    </row>
    <row r="82" ht="15" customHeight="1" spans="1:38" x14ac:dyDescent="0.25">
      <c r="A82" s="19"/>
      <c r="B82" s="20"/>
      <c r="C82" s="51" t="s">
        <v>94</v>
      </c>
      <c r="D82" s="52">
        <v>43448.62</v>
      </c>
      <c r="E82" s="52">
        <v>34758.89</v>
      </c>
      <c r="F82" s="52">
        <f>D82-E82</f>
        <v>8689.73</v>
      </c>
      <c r="G82" s="53">
        <f>F82/D82</f>
        <v>0.200000138094144</v>
      </c>
      <c r="H82" s="52">
        <v>31063.54</v>
      </c>
      <c r="I82" s="52">
        <v>26842.68</v>
      </c>
      <c r="J82" s="52">
        <f>SUM(H82-R82)</f>
        <v>16447.56</v>
      </c>
      <c r="K82" s="52">
        <f>SUM(I82-S82)</f>
        <v>19234.76</v>
      </c>
      <c r="L82" s="52">
        <f>J82-K82</f>
        <v>-2787.2</v>
      </c>
      <c r="M82" s="53">
        <f>L82/J82</f>
        <v>-0.169459786132411</v>
      </c>
      <c r="N82" s="53">
        <v>0</v>
      </c>
      <c r="O82" s="53"/>
      <c r="P82" s="53"/>
      <c r="Q82" s="53"/>
      <c r="R82" s="52">
        <v>14615.98</v>
      </c>
      <c r="S82" s="52">
        <v>7607.92</v>
      </c>
      <c r="T82" s="52">
        <f>R82-S82</f>
        <v>7008.06</v>
      </c>
      <c r="U82" s="53">
        <f>T82/R82</f>
        <v>0.479479309632334</v>
      </c>
      <c r="V82" s="54">
        <v>292.93</v>
      </c>
      <c r="W82" s="54">
        <v>181.5</v>
      </c>
      <c r="X82" s="54">
        <f>V82-W82</f>
        <v>111.43</v>
      </c>
      <c r="Y82" s="53">
        <f>X82/V82</f>
        <v>0.380398047315058</v>
      </c>
      <c r="Z82" s="53">
        <v>0</v>
      </c>
      <c r="AA82" s="55">
        <f>(E82-K82-S82)/W82</f>
        <v>43.6154820936639</v>
      </c>
      <c r="AB82" s="55">
        <f>(D82-J82-R82)/V82</f>
        <v>42.2799986344861</v>
      </c>
      <c r="AC82" s="53">
        <f>(E82-K82-S82)/E82</f>
        <v>0.227746340576468</v>
      </c>
      <c r="AD82" s="56">
        <f>SUM(D82-H82)/D82</f>
        <v>0.285051170785171</v>
      </c>
      <c r="AE82" s="57"/>
      <c r="AG82" s="35" t="s">
        <v>95</v>
      </c>
      <c r="AH82" s="36">
        <f>AL86</f>
        <v>-18255.63</v>
      </c>
      <c r="AK82" s="19">
        <f>SUM(W83-W82)</f>
        <v>-181.5</v>
      </c>
      <c r="AL82" s="58">
        <f>SUM(K83-K82)</f>
        <v>-19234.76</v>
      </c>
    </row>
    <row r="83" ht="15" customHeight="1" spans="1:38" x14ac:dyDescent="0.25">
      <c r="A83" s="19"/>
      <c r="B83" s="20"/>
      <c r="C83" s="51" t="s">
        <v>96</v>
      </c>
      <c r="D83" s="52">
        <v>0</v>
      </c>
      <c r="E83" s="52">
        <v>0</v>
      </c>
      <c r="F83" s="52">
        <f>D83-E83</f>
        <v>0</v>
      </c>
      <c r="G83" s="53" t="e">
        <f>F83/D83</f>
        <v>#DIV/0!</v>
      </c>
      <c r="H83" s="52">
        <v>0</v>
      </c>
      <c r="I83" s="52">
        <v>0</v>
      </c>
      <c r="J83" s="52">
        <f>SUM(H83-R83)</f>
        <v>0</v>
      </c>
      <c r="K83" s="52">
        <f>SUM(I83-S83)</f>
        <v>0</v>
      </c>
      <c r="L83" s="52">
        <f>J83-K83</f>
        <v>0</v>
      </c>
      <c r="M83" s="53" t="e">
        <f>L83/J83</f>
        <v>#DIV/0!</v>
      </c>
      <c r="N83" s="53"/>
      <c r="O83" s="53"/>
      <c r="P83" s="53"/>
      <c r="Q83" s="53"/>
      <c r="R83" s="52">
        <v>0</v>
      </c>
      <c r="S83" s="52">
        <v>0</v>
      </c>
      <c r="T83" s="52">
        <f>R83-S83</f>
        <v>0</v>
      </c>
      <c r="U83" s="53" t="e">
        <f>T83/R83</f>
        <v>#DIV/0!</v>
      </c>
      <c r="V83" s="54">
        <v>0</v>
      </c>
      <c r="W83" s="54">
        <v>0</v>
      </c>
      <c r="X83" s="54">
        <f>V83-W83</f>
        <v>0</v>
      </c>
      <c r="Y83" s="53" t="e">
        <f>X83/V83</f>
        <v>#DIV/0!</v>
      </c>
      <c r="Z83" s="53">
        <v>0</v>
      </c>
      <c r="AA83" s="55" t="e">
        <f>(E83-K83-S83)/W83</f>
        <v>#DIV/0!</v>
      </c>
      <c r="AB83" s="55" t="e">
        <f>(D83-J83-R83)/V83</f>
        <v>#DIV/0!</v>
      </c>
      <c r="AC83" s="53" t="e">
        <f>(E83-K83-S83)/E83</f>
        <v>#DIV/0!</v>
      </c>
      <c r="AD83" s="56" t="e">
        <f>SUM(D83-H83)/D83</f>
        <v>#DIV/0!</v>
      </c>
      <c r="AE83" s="57"/>
      <c r="AG83" s="35"/>
      <c r="AH83" s="35"/>
      <c r="AK83" s="19">
        <f>SUM(W84-W83)</f>
        <v>0</v>
      </c>
      <c r="AL83" s="58">
        <f>SUM(K84-K83)</f>
        <v>0</v>
      </c>
    </row>
    <row r="84" ht="15" customHeight="1" spans="1:38" x14ac:dyDescent="0.25">
      <c r="A84" s="19"/>
      <c r="B84" s="20"/>
      <c r="C84" s="51" t="s">
        <v>97</v>
      </c>
      <c r="D84" s="52">
        <v>0</v>
      </c>
      <c r="E84" s="52">
        <v>0</v>
      </c>
      <c r="F84" s="52">
        <f>D84-E84</f>
        <v>0</v>
      </c>
      <c r="G84" s="53" t="e">
        <f>F84/D84</f>
        <v>#DIV/0!</v>
      </c>
      <c r="H84" s="52">
        <v>0</v>
      </c>
      <c r="I84" s="52">
        <v>0</v>
      </c>
      <c r="J84" s="52">
        <f>SUM(H84-R84)</f>
        <v>0</v>
      </c>
      <c r="K84" s="52">
        <f>SUM(I84-S84)</f>
        <v>0</v>
      </c>
      <c r="L84" s="52">
        <f>J84-K84</f>
        <v>0</v>
      </c>
      <c r="M84" s="53" t="e">
        <f>L84/J84</f>
        <v>#DIV/0!</v>
      </c>
      <c r="N84" s="53"/>
      <c r="O84" s="53"/>
      <c r="P84" s="53"/>
      <c r="Q84" s="53"/>
      <c r="R84" s="52">
        <v>0</v>
      </c>
      <c r="S84" s="52">
        <v>0</v>
      </c>
      <c r="T84" s="52">
        <f>R84-S84</f>
        <v>0</v>
      </c>
      <c r="U84" s="53" t="e">
        <f>T84/R84</f>
        <v>#DIV/0!</v>
      </c>
      <c r="V84" s="54">
        <v>0</v>
      </c>
      <c r="W84" s="54">
        <v>0</v>
      </c>
      <c r="X84" s="54">
        <f>V84-W84</f>
        <v>0</v>
      </c>
      <c r="Y84" s="53" t="e">
        <f>X84/V84</f>
        <v>#DIV/0!</v>
      </c>
      <c r="Z84" s="53">
        <v>0</v>
      </c>
      <c r="AA84" s="55" t="e">
        <f>(E84-K84-S84)/W84</f>
        <v>#DIV/0!</v>
      </c>
      <c r="AB84" s="55" t="e">
        <f>(D84-J84-R84)/V84</f>
        <v>#DIV/0!</v>
      </c>
      <c r="AC84" s="53" t="e">
        <f>(E84-K84-S84)/E84</f>
        <v>#DIV/0!</v>
      </c>
      <c r="AD84" s="56" t="e">
        <f>SUM(D84-H84)/D84</f>
        <v>#DIV/0!</v>
      </c>
      <c r="AE84" s="57"/>
      <c r="AG84" s="35" t="s">
        <v>98</v>
      </c>
      <c r="AH84" s="36">
        <v>0</v>
      </c>
      <c r="AK84" s="19">
        <f>SUM(W85-W84)</f>
        <v>0</v>
      </c>
      <c r="AL84" s="58">
        <f>SUM(K85-K84)</f>
        <v>0</v>
      </c>
    </row>
    <row r="85" ht="15" customHeight="1" spans="1:38" x14ac:dyDescent="0.25">
      <c r="A85" s="19"/>
      <c r="B85" s="20"/>
      <c r="C85" s="51" t="s">
        <v>99</v>
      </c>
      <c r="D85" s="52">
        <v>0</v>
      </c>
      <c r="E85" s="52">
        <v>0</v>
      </c>
      <c r="F85" s="52">
        <f>D85-E85</f>
        <v>0</v>
      </c>
      <c r="G85" s="53" t="e">
        <f>F85/D85</f>
        <v>#DIV/0!</v>
      </c>
      <c r="H85" s="52">
        <v>0</v>
      </c>
      <c r="I85" s="52">
        <v>0</v>
      </c>
      <c r="J85" s="52">
        <f>SUM(H85-R85)</f>
        <v>0</v>
      </c>
      <c r="K85" s="52">
        <f>SUM(I85-S85)</f>
        <v>0</v>
      </c>
      <c r="L85" s="52">
        <f>J85-K85</f>
        <v>0</v>
      </c>
      <c r="M85" s="53" t="e">
        <f>L85/J85</f>
        <v>#DIV/0!</v>
      </c>
      <c r="N85" s="53"/>
      <c r="O85" s="53"/>
      <c r="P85" s="53"/>
      <c r="Q85" s="53"/>
      <c r="R85" s="52">
        <v>0</v>
      </c>
      <c r="S85" s="52">
        <v>0</v>
      </c>
      <c r="T85" s="52">
        <f>R85-S85</f>
        <v>0</v>
      </c>
      <c r="U85" s="53" t="e">
        <f>T85/R85</f>
        <v>#DIV/0!</v>
      </c>
      <c r="V85" s="54">
        <v>0</v>
      </c>
      <c r="W85" s="54">
        <v>0</v>
      </c>
      <c r="X85" s="54">
        <f>V85-W85</f>
        <v>0</v>
      </c>
      <c r="Y85" s="53" t="e">
        <f>X85/V85</f>
        <v>#DIV/0!</v>
      </c>
      <c r="Z85" s="53"/>
      <c r="AA85" s="55" t="e">
        <f>(E85-K85-S85)/W85</f>
        <v>#DIV/0!</v>
      </c>
      <c r="AB85" s="55" t="e">
        <f>(D85-J85-R85)/V85</f>
        <v>#DIV/0!</v>
      </c>
      <c r="AC85" s="53" t="e">
        <f>(E85-K85-S85)/E85</f>
        <v>#DIV/0!</v>
      </c>
      <c r="AD85" s="56" t="e">
        <f>SUM(D85-H85)/D85</f>
        <v>#DIV/0!</v>
      </c>
      <c r="AE85" s="57"/>
      <c r="AG85" s="35"/>
      <c r="AH85" s="35"/>
      <c r="AK85" s="19">
        <f>SUM(W86-W85)</f>
        <v>0</v>
      </c>
      <c r="AL85" s="58">
        <f>SUM(K86-K85)</f>
        <v>0</v>
      </c>
    </row>
    <row r="86" ht="15" customHeight="1" spans="1:38" x14ac:dyDescent="0.25">
      <c r="A86" s="19"/>
      <c r="B86" s="20"/>
      <c r="C86" s="51" t="s">
        <v>100</v>
      </c>
      <c r="D86" s="52">
        <v>0</v>
      </c>
      <c r="E86" s="52">
        <v>0</v>
      </c>
      <c r="F86" s="52">
        <f>D86-E86</f>
        <v>0</v>
      </c>
      <c r="G86" s="53" t="e">
        <f>F86/D86</f>
        <v>#DIV/0!</v>
      </c>
      <c r="H86" s="52">
        <v>0</v>
      </c>
      <c r="I86" s="52">
        <v>0</v>
      </c>
      <c r="J86" s="52">
        <f>SUM(H86-R86)</f>
        <v>0</v>
      </c>
      <c r="K86" s="52">
        <f>SUM(I86-S86)</f>
        <v>0</v>
      </c>
      <c r="L86" s="52">
        <f>J86-K86</f>
        <v>0</v>
      </c>
      <c r="M86" s="53" t="e">
        <f>L86/J86</f>
        <v>#DIV/0!</v>
      </c>
      <c r="N86" s="53"/>
      <c r="O86" s="53"/>
      <c r="P86" s="53"/>
      <c r="Q86" s="53"/>
      <c r="R86" s="52">
        <v>0</v>
      </c>
      <c r="S86" s="52">
        <v>0</v>
      </c>
      <c r="T86" s="52">
        <f>R86-S86</f>
        <v>0</v>
      </c>
      <c r="U86" s="53" t="e">
        <f>T86/R86</f>
        <v>#DIV/0!</v>
      </c>
      <c r="V86" s="54">
        <v>0</v>
      </c>
      <c r="W86" s="54">
        <v>0</v>
      </c>
      <c r="X86" s="54">
        <f>V86-W86</f>
        <v>0</v>
      </c>
      <c r="Y86" s="53" t="e">
        <f>X86/V86</f>
        <v>#DIV/0!</v>
      </c>
      <c r="Z86" s="53"/>
      <c r="AA86" s="55" t="e">
        <f>(E86-K86-S86)/W86</f>
        <v>#DIV/0!</v>
      </c>
      <c r="AB86" s="55" t="e">
        <f>(D86-J86-R86)/V86</f>
        <v>#DIV/0!</v>
      </c>
      <c r="AC86" s="53" t="e">
        <f>(E86-K86-S86)/E86</f>
        <v>#DIV/0!</v>
      </c>
      <c r="AD86" s="56" t="e">
        <f>SUM(D86-H86)/D86</f>
        <v>#DIV/0!</v>
      </c>
      <c r="AE86" s="57"/>
      <c r="AG86" s="35"/>
      <c r="AH86" s="35"/>
      <c r="AK86" s="59">
        <f>SUM(AK81,AK82,AK83,AK84,AK85)</f>
        <v>-181.5</v>
      </c>
      <c r="AL86" s="60">
        <f>SUM(AL81,AL82,AL83,AL84,AL85)</f>
        <v>-18255.63</v>
      </c>
    </row>
    <row r="87" ht="9" customHeight="1" spans="1:38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G87" s="35"/>
      <c r="AH87" s="35"/>
      <c r="AK87" s="35"/>
      <c r="AL87" s="35"/>
    </row>
    <row r="88" ht="15" customHeight="1" spans="1:38" x14ac:dyDescent="0.25">
      <c r="A88" s="19">
        <f>'Main Sheet'!A28</f>
        <v>8234</v>
      </c>
      <c r="B88" s="20" t="str">
        <f>'Main Sheet'!B28</f>
        <v>Melhuish House</v>
      </c>
      <c r="C88" s="51" t="s">
        <v>92</v>
      </c>
      <c r="D88" s="67">
        <v>49964.93</v>
      </c>
      <c r="E88" s="67">
        <v>25359.22</v>
      </c>
      <c r="F88" s="52">
        <f>D88-E88</f>
        <v>24605.71</v>
      </c>
      <c r="G88" s="53">
        <f>F88/D88</f>
        <v>0.492459611171276</v>
      </c>
      <c r="H88" s="52">
        <v>43768.91</v>
      </c>
      <c r="I88" s="52">
        <v>25556.81</v>
      </c>
      <c r="J88" s="52">
        <f>SUM(H88-R88)</f>
        <v>37199.62</v>
      </c>
      <c r="K88" s="52">
        <f>SUM(I88-S88)</f>
        <v>20554.23</v>
      </c>
      <c r="L88" s="52">
        <f>J88-K88</f>
        <v>16645.39</v>
      </c>
      <c r="M88" s="53">
        <f>L88/J88</f>
        <v>0.447461291271255</v>
      </c>
      <c r="N88" s="53">
        <v>0</v>
      </c>
      <c r="O88" s="53"/>
      <c r="P88" s="53"/>
      <c r="Q88" s="53"/>
      <c r="R88" s="52">
        <v>6569.29</v>
      </c>
      <c r="S88" s="52">
        <v>5002.58</v>
      </c>
      <c r="T88" s="52">
        <f>R88-S88</f>
        <v>1566.71</v>
      </c>
      <c r="U88" s="53">
        <f>T88/R88</f>
        <v>0.238490004247034</v>
      </c>
      <c r="V88" s="68">
        <v>131.78</v>
      </c>
      <c r="W88" s="68">
        <v>113.75</v>
      </c>
      <c r="X88" s="54">
        <f>V88-W88</f>
        <v>18.03</v>
      </c>
      <c r="Y88" s="53">
        <f>X88/V88</f>
        <v>0.136818940658674</v>
      </c>
      <c r="Z88" s="53">
        <v>0</v>
      </c>
      <c r="AA88" s="55">
        <f>(E88-K88-S88)/W88</f>
        <v>-1.73705494505496</v>
      </c>
      <c r="AB88" s="55">
        <f>(D88-J88-R88)/V88</f>
        <v>47.0179086356048</v>
      </c>
      <c r="AC88" s="53">
        <f>(E88-K88-S88)/E88</f>
        <v>-0.00779164343382809</v>
      </c>
      <c r="AD88" s="56">
        <f>SUM(D88-H88)/D88</f>
        <v>0.124007378775473</v>
      </c>
      <c r="AE88" s="57"/>
      <c r="AG88" s="35" t="s">
        <v>93</v>
      </c>
      <c r="AH88" s="35">
        <f>AK93</f>
        <v>-113.75</v>
      </c>
      <c r="AK88" s="19">
        <f>SUM(W89-W88)</f>
        <v>58</v>
      </c>
      <c r="AL88" s="58">
        <f>SUM(K89-K88)</f>
        <v>7824.22</v>
      </c>
    </row>
    <row r="89" ht="15" customHeight="1" spans="1:38" x14ac:dyDescent="0.25">
      <c r="A89" s="19"/>
      <c r="B89" s="20"/>
      <c r="C89" s="51" t="s">
        <v>94</v>
      </c>
      <c r="D89" s="67">
        <v>49964.93</v>
      </c>
      <c r="E89" s="67">
        <v>45361.39</v>
      </c>
      <c r="F89" s="52">
        <f>D89-E89</f>
        <v>4603.54</v>
      </c>
      <c r="G89" s="53">
        <f>F89/D89</f>
        <v>0.0921354237862437</v>
      </c>
      <c r="H89" s="52">
        <v>43768.91</v>
      </c>
      <c r="I89" s="52">
        <v>35776.29</v>
      </c>
      <c r="J89" s="52">
        <f>SUM(H89-R89)</f>
        <v>37199.62</v>
      </c>
      <c r="K89" s="52">
        <f>SUM(I89-S89)</f>
        <v>28378.45</v>
      </c>
      <c r="L89" s="52">
        <f>J89-K89</f>
        <v>8821.17</v>
      </c>
      <c r="M89" s="53">
        <f>L89/J89</f>
        <v>0.237130648108771</v>
      </c>
      <c r="N89" s="53"/>
      <c r="O89" s="53"/>
      <c r="P89" s="53"/>
      <c r="Q89" s="53"/>
      <c r="R89" s="52">
        <v>6569.29</v>
      </c>
      <c r="S89" s="52">
        <v>7397.84</v>
      </c>
      <c r="T89" s="52">
        <f>R89-S89</f>
        <v>-828.55</v>
      </c>
      <c r="U89" s="53">
        <f>T89/R89</f>
        <v>-0.126124741029853</v>
      </c>
      <c r="V89" s="68">
        <v>131.78</v>
      </c>
      <c r="W89" s="68">
        <v>171.75</v>
      </c>
      <c r="X89" s="54">
        <f>V89-W89</f>
        <v>-39.97</v>
      </c>
      <c r="Y89" s="53">
        <f>X89/V89</f>
        <v>-0.303308544543937</v>
      </c>
      <c r="Z89" s="53"/>
      <c r="AA89" s="55">
        <f>(E89-K89-S89)/W89</f>
        <v>55.808442503639</v>
      </c>
      <c r="AB89" s="55">
        <f>(D89-J89-R89)/V89</f>
        <v>47.0179086356048</v>
      </c>
      <c r="AC89" s="53">
        <f>(E89-K89-S89)/E89</f>
        <v>0.211305253212038</v>
      </c>
      <c r="AD89" s="56">
        <f>SUM(D89-H89)/D89</f>
        <v>0.124007378775473</v>
      </c>
      <c r="AE89" s="57"/>
      <c r="AG89" s="35" t="s">
        <v>95</v>
      </c>
      <c r="AH89" s="36">
        <f>AL93</f>
        <v>-20554.23</v>
      </c>
      <c r="AK89" s="19">
        <f>SUM(W90-W89)</f>
        <v>-171.75</v>
      </c>
      <c r="AL89" s="58">
        <f>SUM(K90-K89)</f>
        <v>-28378.45</v>
      </c>
    </row>
    <row r="90" ht="15" customHeight="1" spans="1:38" x14ac:dyDescent="0.25">
      <c r="A90" s="19"/>
      <c r="B90" s="20"/>
      <c r="C90" s="51" t="s">
        <v>96</v>
      </c>
      <c r="D90" s="67">
        <v>0</v>
      </c>
      <c r="E90" s="67">
        <v>0</v>
      </c>
      <c r="F90" s="52">
        <f>D90-E90</f>
        <v>0</v>
      </c>
      <c r="G90" s="53" t="e">
        <f>F90/D90</f>
        <v>#DIV/0!</v>
      </c>
      <c r="H90" s="52">
        <v>0</v>
      </c>
      <c r="I90" s="52">
        <v>0</v>
      </c>
      <c r="J90" s="52">
        <f>SUM(H90-R90)</f>
        <v>0</v>
      </c>
      <c r="K90" s="52">
        <f>SUM(I90-S90)</f>
        <v>0</v>
      </c>
      <c r="L90" s="52">
        <f>J90-K90</f>
        <v>0</v>
      </c>
      <c r="M90" s="53" t="e">
        <f>L90/J90</f>
        <v>#DIV/0!</v>
      </c>
      <c r="N90" s="53"/>
      <c r="O90" s="53"/>
      <c r="P90" s="53"/>
      <c r="Q90" s="53"/>
      <c r="R90" s="52">
        <v>0</v>
      </c>
      <c r="S90" s="52">
        <v>0</v>
      </c>
      <c r="T90" s="52">
        <f>R90-S90</f>
        <v>0</v>
      </c>
      <c r="U90" s="53" t="e">
        <f>T90/R90</f>
        <v>#DIV/0!</v>
      </c>
      <c r="V90" s="68">
        <v>0</v>
      </c>
      <c r="W90" s="68">
        <v>0</v>
      </c>
      <c r="X90" s="54">
        <f>V90-W90</f>
        <v>0</v>
      </c>
      <c r="Y90" s="53" t="e">
        <f>X90/V90</f>
        <v>#DIV/0!</v>
      </c>
      <c r="Z90" s="53"/>
      <c r="AA90" s="55" t="e">
        <f>(E90-K90-S90)/W90</f>
        <v>#DIV/0!</v>
      </c>
      <c r="AB90" s="55" t="e">
        <f>(D90-J90-R90)/V90</f>
        <v>#DIV/0!</v>
      </c>
      <c r="AC90" s="53" t="e">
        <f>(E90-K90-S90)/E90</f>
        <v>#DIV/0!</v>
      </c>
      <c r="AD90" s="56" t="e">
        <f>SUM(D90-H90)/D90</f>
        <v>#DIV/0!</v>
      </c>
      <c r="AE90" s="57"/>
      <c r="AG90" s="35"/>
      <c r="AH90" s="35"/>
      <c r="AK90" s="19">
        <f>SUM(W91-W90)</f>
        <v>0</v>
      </c>
      <c r="AL90" s="58">
        <f>SUM(K91-K90)</f>
        <v>0</v>
      </c>
    </row>
    <row r="91" ht="15" customHeight="1" spans="1:38" x14ac:dyDescent="0.25">
      <c r="A91" s="19"/>
      <c r="B91" s="20"/>
      <c r="C91" s="51" t="s">
        <v>97</v>
      </c>
      <c r="D91" s="67">
        <v>0</v>
      </c>
      <c r="E91" s="67">
        <v>0</v>
      </c>
      <c r="F91" s="52">
        <f>D91-E91</f>
        <v>0</v>
      </c>
      <c r="G91" s="53" t="e">
        <f>F91/D91</f>
        <v>#DIV/0!</v>
      </c>
      <c r="H91" s="52">
        <v>0</v>
      </c>
      <c r="I91" s="52">
        <v>0</v>
      </c>
      <c r="J91" s="52">
        <f>SUM(H91-R91)</f>
        <v>0</v>
      </c>
      <c r="K91" s="52">
        <f>SUM(I91-S91)</f>
        <v>0</v>
      </c>
      <c r="L91" s="52">
        <f>J91-K91</f>
        <v>0</v>
      </c>
      <c r="M91" s="53" t="e">
        <f>L91/J91</f>
        <v>#DIV/0!</v>
      </c>
      <c r="N91" s="53"/>
      <c r="O91" s="53"/>
      <c r="P91" s="53"/>
      <c r="Q91" s="53"/>
      <c r="R91" s="52">
        <v>0</v>
      </c>
      <c r="S91" s="52">
        <v>0</v>
      </c>
      <c r="T91" s="52">
        <f>R91-S91</f>
        <v>0</v>
      </c>
      <c r="U91" s="53" t="e">
        <f>T91/R91</f>
        <v>#DIV/0!</v>
      </c>
      <c r="V91" s="68">
        <v>0</v>
      </c>
      <c r="W91" s="68">
        <v>0</v>
      </c>
      <c r="X91" s="54">
        <f>V91-W91</f>
        <v>0</v>
      </c>
      <c r="Y91" s="53" t="e">
        <f>X91/V91</f>
        <v>#DIV/0!</v>
      </c>
      <c r="Z91" s="53"/>
      <c r="AA91" s="55" t="e">
        <f>(E91-K91-S91)/W91</f>
        <v>#DIV/0!</v>
      </c>
      <c r="AB91" s="55" t="e">
        <f>(D91-J91-R91)/V91</f>
        <v>#DIV/0!</v>
      </c>
      <c r="AC91" s="53" t="e">
        <f>(E91-K91-S91)/E91</f>
        <v>#DIV/0!</v>
      </c>
      <c r="AD91" s="56" t="e">
        <f>SUM(D91-H91)/D91</f>
        <v>#DIV/0!</v>
      </c>
      <c r="AE91" s="57"/>
      <c r="AG91" s="35" t="s">
        <v>98</v>
      </c>
      <c r="AH91" s="36">
        <v>0</v>
      </c>
      <c r="AK91" s="19">
        <f>SUM(W92-W91)</f>
        <v>0</v>
      </c>
      <c r="AL91" s="58">
        <f>SUM(K92-K91)</f>
        <v>0</v>
      </c>
    </row>
    <row r="92" ht="15" customHeight="1" spans="1:38" x14ac:dyDescent="0.25">
      <c r="A92" s="19"/>
      <c r="B92" s="20"/>
      <c r="C92" s="51" t="s">
        <v>99</v>
      </c>
      <c r="D92" s="67">
        <v>0</v>
      </c>
      <c r="E92" s="67">
        <v>0</v>
      </c>
      <c r="F92" s="52">
        <f>D92-E92</f>
        <v>0</v>
      </c>
      <c r="G92" s="53" t="e">
        <f>F92/D92</f>
        <v>#DIV/0!</v>
      </c>
      <c r="H92" s="52">
        <v>0</v>
      </c>
      <c r="I92" s="52">
        <v>0</v>
      </c>
      <c r="J92" s="52">
        <f>SUM(H92-R92)</f>
        <v>0</v>
      </c>
      <c r="K92" s="52">
        <f>SUM(I92-S92)</f>
        <v>0</v>
      </c>
      <c r="L92" s="52">
        <f>J92-K92</f>
        <v>0</v>
      </c>
      <c r="M92" s="53" t="e">
        <f>L92/J92</f>
        <v>#DIV/0!</v>
      </c>
      <c r="N92" s="53"/>
      <c r="O92" s="53"/>
      <c r="P92" s="53"/>
      <c r="Q92" s="53"/>
      <c r="R92" s="52">
        <v>0</v>
      </c>
      <c r="S92" s="52">
        <v>0</v>
      </c>
      <c r="T92" s="52">
        <f>R92-S92</f>
        <v>0</v>
      </c>
      <c r="U92" s="53" t="e">
        <f>T92/R92</f>
        <v>#DIV/0!</v>
      </c>
      <c r="V92" s="68">
        <v>0</v>
      </c>
      <c r="W92" s="68">
        <v>0</v>
      </c>
      <c r="X92" s="54">
        <f>V92-W92</f>
        <v>0</v>
      </c>
      <c r="Y92" s="53" t="e">
        <f>X92/V92</f>
        <v>#DIV/0!</v>
      </c>
      <c r="Z92" s="53"/>
      <c r="AA92" s="55" t="e">
        <f>(E92-K92-S92)/W92</f>
        <v>#DIV/0!</v>
      </c>
      <c r="AB92" s="55" t="e">
        <f>(D92-J92-R92)/V92</f>
        <v>#DIV/0!</v>
      </c>
      <c r="AC92" s="53" t="e">
        <f>(E92-K92-S92)/E92</f>
        <v>#DIV/0!</v>
      </c>
      <c r="AD92" s="56" t="e">
        <f>SUM(D92-H92)/D92</f>
        <v>#DIV/0!</v>
      </c>
      <c r="AE92" s="57"/>
      <c r="AG92" s="35"/>
      <c r="AH92" s="35"/>
      <c r="AK92" s="19">
        <f>SUM(W93-W92)</f>
        <v>0</v>
      </c>
      <c r="AL92" s="58">
        <f>SUM(K93-K92)</f>
        <v>0</v>
      </c>
    </row>
    <row r="93" ht="15" customHeight="1" spans="1:38" x14ac:dyDescent="0.25">
      <c r="A93" s="19"/>
      <c r="B93" s="20"/>
      <c r="C93" s="51" t="s">
        <v>100</v>
      </c>
      <c r="D93" s="67">
        <v>0</v>
      </c>
      <c r="E93" s="67">
        <v>0</v>
      </c>
      <c r="F93" s="52">
        <f>D93-E93</f>
        <v>0</v>
      </c>
      <c r="G93" s="53" t="e">
        <f>F93/D93</f>
        <v>#DIV/0!</v>
      </c>
      <c r="H93" s="52">
        <v>0</v>
      </c>
      <c r="I93" s="52">
        <v>0</v>
      </c>
      <c r="J93" s="52">
        <f>SUM(H93-R93)</f>
        <v>0</v>
      </c>
      <c r="K93" s="52">
        <f>SUM(I93-S93)</f>
        <v>0</v>
      </c>
      <c r="L93" s="52">
        <f>J93-K93</f>
        <v>0</v>
      </c>
      <c r="M93" s="53" t="e">
        <f>L93/J93</f>
        <v>#DIV/0!</v>
      </c>
      <c r="N93" s="53"/>
      <c r="O93" s="53"/>
      <c r="P93" s="53"/>
      <c r="Q93" s="53"/>
      <c r="R93" s="52">
        <v>0</v>
      </c>
      <c r="S93" s="52">
        <v>0</v>
      </c>
      <c r="T93" s="52">
        <f>R93-S93</f>
        <v>0</v>
      </c>
      <c r="U93" s="53" t="e">
        <f>T93/R93</f>
        <v>#DIV/0!</v>
      </c>
      <c r="V93" s="68">
        <v>0</v>
      </c>
      <c r="W93" s="68">
        <v>0</v>
      </c>
      <c r="X93" s="54">
        <f>V93-W93</f>
        <v>0</v>
      </c>
      <c r="Y93" s="53" t="e">
        <f>X93/V93</f>
        <v>#DIV/0!</v>
      </c>
      <c r="Z93" s="53"/>
      <c r="AA93" s="55" t="e">
        <f>(E93-K93-S93)/W93</f>
        <v>#DIV/0!</v>
      </c>
      <c r="AB93" s="55" t="e">
        <f>(D93-J93-R93)/V93</f>
        <v>#DIV/0!</v>
      </c>
      <c r="AC93" s="53" t="e">
        <f>(E93-K93-S93)/E93</f>
        <v>#DIV/0!</v>
      </c>
      <c r="AD93" s="56" t="e">
        <f>SUM(D93-H93)/D93</f>
        <v>#DIV/0!</v>
      </c>
      <c r="AE93" s="57"/>
      <c r="AG93" s="35"/>
      <c r="AH93" s="35"/>
      <c r="AK93" s="59">
        <f>SUM(AK88,AK89,AK90,AK91,AK92)</f>
        <v>-113.75</v>
      </c>
      <c r="AL93" s="60">
        <f>SUM(AL88,AL89,AL90,AL91,AL92)</f>
        <v>-20554.23</v>
      </c>
    </row>
    <row r="94" ht="9" customHeight="1" spans="1:38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G94" s="35"/>
      <c r="AH94" s="35"/>
      <c r="AK94" s="35"/>
      <c r="AL94" s="35"/>
    </row>
    <row r="95" ht="15" customHeight="1" spans="1:38" x14ac:dyDescent="0.25">
      <c r="A95" s="19">
        <f>'Main Sheet'!A30</f>
        <v>8214</v>
      </c>
      <c r="B95" s="20" t="str">
        <f>'Main Sheet'!B30</f>
        <v>6 Tiroroa Lane</v>
      </c>
      <c r="C95" s="51" t="s">
        <v>92</v>
      </c>
      <c r="D95" s="52">
        <v>109103.76</v>
      </c>
      <c r="E95" s="52">
        <v>51323.57</v>
      </c>
      <c r="F95" s="52">
        <f>D95-E95</f>
        <v>57780.19</v>
      </c>
      <c r="G95" s="53">
        <f>F95/D95</f>
        <v>0.529589356040525</v>
      </c>
      <c r="H95" s="52">
        <v>81158.83</v>
      </c>
      <c r="I95" s="52">
        <v>40300.16</v>
      </c>
      <c r="J95" s="52">
        <f>SUM(H95-R95)</f>
        <v>52391.31</v>
      </c>
      <c r="K95" s="52">
        <f>SUM(I95-S95)</f>
        <v>27621.5</v>
      </c>
      <c r="L95" s="52">
        <f>J95-K95</f>
        <v>24769.81</v>
      </c>
      <c r="M95" s="53">
        <f>L95/J95</f>
        <v>0.472784704180903</v>
      </c>
      <c r="N95" s="53">
        <v>0.2</v>
      </c>
      <c r="O95" s="53"/>
      <c r="P95" s="53"/>
      <c r="Q95" s="53"/>
      <c r="R95" s="52">
        <v>28767.52</v>
      </c>
      <c r="S95" s="52">
        <v>12678.66</v>
      </c>
      <c r="T95" s="52">
        <f>R95-S95</f>
        <v>16088.86</v>
      </c>
      <c r="U95" s="53">
        <f>T95/R95</f>
        <v>0.559271706424468</v>
      </c>
      <c r="V95" s="54">
        <v>577.33</v>
      </c>
      <c r="W95" s="54">
        <v>295.5</v>
      </c>
      <c r="X95" s="54">
        <f>V95-W95</f>
        <v>281.83</v>
      </c>
      <c r="Y95" s="53">
        <f>X95/V95</f>
        <v>0.488161017095942</v>
      </c>
      <c r="Z95" s="53">
        <v>0</v>
      </c>
      <c r="AA95" s="55">
        <f>(E95-K95-S95)/W95</f>
        <v>37.3042639593909</v>
      </c>
      <c r="AB95" s="55">
        <f>(D95-J95-R95)/V95</f>
        <v>48.4037378968701</v>
      </c>
      <c r="AC95" s="53">
        <f>(E95-K95-S95)/E95</f>
        <v>0.214782603782239</v>
      </c>
      <c r="AD95" s="56">
        <f>SUM(D95-H95)/D95</f>
        <v>0.25613168602072</v>
      </c>
      <c r="AE95" s="57"/>
      <c r="AG95" s="35" t="s">
        <v>93</v>
      </c>
      <c r="AH95" s="35">
        <f>AK100</f>
        <v>-295.5</v>
      </c>
      <c r="AK95" s="19">
        <f>SUM(W96-W95)</f>
        <v>19.25</v>
      </c>
      <c r="AL95" s="58">
        <f>SUM(K96-K95)</f>
        <v>1.95999999999549</v>
      </c>
    </row>
    <row r="96" ht="15" customHeight="1" spans="1:38" x14ac:dyDescent="0.25">
      <c r="A96" s="19"/>
      <c r="B96" s="20"/>
      <c r="C96" s="51" t="s">
        <v>94</v>
      </c>
      <c r="D96" s="52">
        <v>109103.76</v>
      </c>
      <c r="E96" s="52">
        <v>77821.91</v>
      </c>
      <c r="F96" s="52">
        <f>D96-E96</f>
        <v>31281.85</v>
      </c>
      <c r="G96" s="53">
        <f>F96/D96</f>
        <v>0.286716516461027</v>
      </c>
      <c r="H96" s="52">
        <v>81158.83</v>
      </c>
      <c r="I96" s="52">
        <v>41214.74</v>
      </c>
      <c r="J96" s="52">
        <f>SUM(H96-R96)</f>
        <v>52391.31</v>
      </c>
      <c r="K96" s="52">
        <f>SUM(I96-S96)</f>
        <v>27623.46</v>
      </c>
      <c r="L96" s="52">
        <f>J96-K96</f>
        <v>24767.85</v>
      </c>
      <c r="M96" s="53">
        <f>L96/J96</f>
        <v>0.472747293396558</v>
      </c>
      <c r="N96" s="53">
        <v>0.2</v>
      </c>
      <c r="O96" s="53"/>
      <c r="P96" s="53"/>
      <c r="Q96" s="53"/>
      <c r="R96" s="52">
        <v>28767.52</v>
      </c>
      <c r="S96" s="52">
        <v>13591.28</v>
      </c>
      <c r="T96" s="52">
        <f>R96-S96</f>
        <v>15176.24</v>
      </c>
      <c r="U96" s="53">
        <f>T96/R96</f>
        <v>0.527547734389339</v>
      </c>
      <c r="V96" s="54">
        <v>577.33</v>
      </c>
      <c r="W96" s="54">
        <v>314.75</v>
      </c>
      <c r="X96" s="54">
        <f>V96-W96</f>
        <v>262.58</v>
      </c>
      <c r="Y96" s="53">
        <f>X96/V96</f>
        <v>0.454817868463444</v>
      </c>
      <c r="Z96" s="53">
        <v>0</v>
      </c>
      <c r="AA96" s="55">
        <f>(E96-K96-S96)/W96</f>
        <v>116.305544082605</v>
      </c>
      <c r="AB96" s="55">
        <f>(D96-J96-R96)/V96</f>
        <v>48.4037378968701</v>
      </c>
      <c r="AC96" s="53">
        <f>(E96-K96-S96)/E96</f>
        <v>0.470396704475642</v>
      </c>
      <c r="AD96" s="56">
        <f>SUM(D96-H96)/D96</f>
        <v>0.25613168602072</v>
      </c>
      <c r="AE96" s="57"/>
      <c r="AG96" s="35" t="s">
        <v>95</v>
      </c>
      <c r="AH96" s="36">
        <f>AL100</f>
        <v>-27621.5</v>
      </c>
      <c r="AK96" s="19">
        <f>SUM(W97-W96)</f>
        <v>-314.75</v>
      </c>
      <c r="AL96" s="58">
        <f>SUM(K97-K96)</f>
        <v>-27623.46</v>
      </c>
    </row>
    <row r="97" ht="15" customHeight="1" spans="1:38" x14ac:dyDescent="0.25">
      <c r="A97" s="19"/>
      <c r="B97" s="20"/>
      <c r="C97" s="51" t="s">
        <v>96</v>
      </c>
      <c r="D97" s="52">
        <v>0</v>
      </c>
      <c r="E97" s="52">
        <v>0</v>
      </c>
      <c r="F97" s="52">
        <f>D97-E97</f>
        <v>0</v>
      </c>
      <c r="G97" s="53" t="e">
        <f>F97/D97</f>
        <v>#DIV/0!</v>
      </c>
      <c r="H97" s="52">
        <v>0</v>
      </c>
      <c r="I97" s="52">
        <v>0</v>
      </c>
      <c r="J97" s="52">
        <f>SUM(H97-R97)</f>
        <v>0</v>
      </c>
      <c r="K97" s="52">
        <f>SUM(I97-S97)</f>
        <v>0</v>
      </c>
      <c r="L97" s="52">
        <f>J97-K97</f>
        <v>0</v>
      </c>
      <c r="M97" s="53" t="e">
        <f>L97/J97</f>
        <v>#DIV/0!</v>
      </c>
      <c r="N97" s="53">
        <v>0.2</v>
      </c>
      <c r="O97" s="53"/>
      <c r="P97" s="53"/>
      <c r="Q97" s="53"/>
      <c r="R97" s="52">
        <v>0</v>
      </c>
      <c r="S97" s="52">
        <v>0</v>
      </c>
      <c r="T97" s="52">
        <f>R97-S97</f>
        <v>0</v>
      </c>
      <c r="U97" s="53" t="e">
        <f>T97/R97</f>
        <v>#DIV/0!</v>
      </c>
      <c r="V97" s="54">
        <v>0</v>
      </c>
      <c r="W97" s="54">
        <v>0</v>
      </c>
      <c r="X97" s="54">
        <f>V97-W97</f>
        <v>0</v>
      </c>
      <c r="Y97" s="53" t="e">
        <f>X97/V97</f>
        <v>#DIV/0!</v>
      </c>
      <c r="Z97" s="53">
        <v>0.2</v>
      </c>
      <c r="AA97" s="55" t="e">
        <f>(E97-K97-S97)/W97</f>
        <v>#DIV/0!</v>
      </c>
      <c r="AB97" s="55" t="e">
        <f>(D97-J97-R97)/V97</f>
        <v>#DIV/0!</v>
      </c>
      <c r="AC97" s="53" t="e">
        <f>(E97-K97-S97)/E97</f>
        <v>#DIV/0!</v>
      </c>
      <c r="AD97" s="56" t="e">
        <f>SUM(D97-H97)/D97</f>
        <v>#DIV/0!</v>
      </c>
      <c r="AE97" s="57"/>
      <c r="AG97" s="35"/>
      <c r="AH97" s="35"/>
      <c r="AK97" s="19">
        <f>SUM(W98-W97)</f>
        <v>0</v>
      </c>
      <c r="AL97" s="58">
        <f>SUM(K98-K97)</f>
        <v>0</v>
      </c>
    </row>
    <row r="98" ht="15" customHeight="1" spans="1:38" x14ac:dyDescent="0.25">
      <c r="A98" s="19"/>
      <c r="B98" s="20"/>
      <c r="C98" s="51" t="s">
        <v>97</v>
      </c>
      <c r="D98" s="52">
        <v>0</v>
      </c>
      <c r="E98" s="52">
        <v>0</v>
      </c>
      <c r="F98" s="52">
        <f>D98-E98</f>
        <v>0</v>
      </c>
      <c r="G98" s="53" t="e">
        <f>F98/D98</f>
        <v>#DIV/0!</v>
      </c>
      <c r="H98" s="52">
        <v>0</v>
      </c>
      <c r="I98" s="52">
        <v>0</v>
      </c>
      <c r="J98" s="52">
        <f>SUM(H98-R98)</f>
        <v>0</v>
      </c>
      <c r="K98" s="52">
        <f>SUM(I98-S98)</f>
        <v>0</v>
      </c>
      <c r="L98" s="52">
        <f>J98-K98</f>
        <v>0</v>
      </c>
      <c r="M98" s="53" t="e">
        <f>L98/J98</f>
        <v>#DIV/0!</v>
      </c>
      <c r="N98" s="53">
        <v>0</v>
      </c>
      <c r="O98" s="53"/>
      <c r="P98" s="53"/>
      <c r="Q98" s="53"/>
      <c r="R98" s="52">
        <v>0</v>
      </c>
      <c r="S98" s="52">
        <v>0</v>
      </c>
      <c r="T98" s="52">
        <f>R98-S98</f>
        <v>0</v>
      </c>
      <c r="U98" s="53" t="e">
        <f>T98/R98</f>
        <v>#DIV/0!</v>
      </c>
      <c r="V98" s="54">
        <v>0</v>
      </c>
      <c r="W98" s="54">
        <v>0</v>
      </c>
      <c r="X98" s="54">
        <f>V98-W98</f>
        <v>0</v>
      </c>
      <c r="Y98" s="53" t="e">
        <f>X98/V98</f>
        <v>#DIV/0!</v>
      </c>
      <c r="Z98" s="53">
        <v>0.25</v>
      </c>
      <c r="AA98" s="55" t="e">
        <f>(E98-K98-S98)/W98</f>
        <v>#DIV/0!</v>
      </c>
      <c r="AB98" s="55" t="e">
        <f>(D98-J98-R98)/V98</f>
        <v>#DIV/0!</v>
      </c>
      <c r="AC98" s="53" t="e">
        <f>(E98-K98-S98)/E98</f>
        <v>#DIV/0!</v>
      </c>
      <c r="AD98" s="56" t="e">
        <f>SUM(D98-H98)/D98</f>
        <v>#DIV/0!</v>
      </c>
      <c r="AE98" s="57"/>
      <c r="AG98" s="35" t="s">
        <v>98</v>
      </c>
      <c r="AH98" s="36">
        <v>0</v>
      </c>
      <c r="AK98" s="19">
        <f>SUM(W99-W98)</f>
        <v>0</v>
      </c>
      <c r="AL98" s="58">
        <f>SUM(K99-K98)</f>
        <v>0</v>
      </c>
    </row>
    <row r="99" ht="15" customHeight="1" spans="1:38" x14ac:dyDescent="0.25">
      <c r="A99" s="19"/>
      <c r="B99" s="20"/>
      <c r="C99" s="51" t="s">
        <v>99</v>
      </c>
      <c r="D99" s="52">
        <v>0</v>
      </c>
      <c r="E99" s="52">
        <v>0</v>
      </c>
      <c r="F99" s="52">
        <f>D99-E99</f>
        <v>0</v>
      </c>
      <c r="G99" s="53" t="e">
        <f>F99/D99</f>
        <v>#DIV/0!</v>
      </c>
      <c r="H99" s="52">
        <v>0</v>
      </c>
      <c r="I99" s="52">
        <v>0</v>
      </c>
      <c r="J99" s="52">
        <f>SUM(H99-R99)</f>
        <v>0</v>
      </c>
      <c r="K99" s="52">
        <f>SUM(I99-S99)</f>
        <v>0</v>
      </c>
      <c r="L99" s="52">
        <f>J99-K99</f>
        <v>0</v>
      </c>
      <c r="M99" s="53" t="e">
        <f>L99/J99</f>
        <v>#DIV/0!</v>
      </c>
      <c r="N99" s="53">
        <v>0</v>
      </c>
      <c r="O99" s="53"/>
      <c r="P99" s="53"/>
      <c r="Q99" s="53"/>
      <c r="R99" s="52">
        <v>0</v>
      </c>
      <c r="S99" s="52">
        <v>0</v>
      </c>
      <c r="T99" s="52">
        <f>R99-S99</f>
        <v>0</v>
      </c>
      <c r="U99" s="53" t="e">
        <f>T99/R99</f>
        <v>#DIV/0!</v>
      </c>
      <c r="V99" s="54">
        <v>0</v>
      </c>
      <c r="W99" s="54">
        <v>0</v>
      </c>
      <c r="X99" s="54">
        <f>V99-W99</f>
        <v>0</v>
      </c>
      <c r="Y99" s="53" t="e">
        <f>X99/V99</f>
        <v>#DIV/0!</v>
      </c>
      <c r="Z99" s="53"/>
      <c r="AA99" s="55" t="e">
        <f>(E99-K99-S99)/W99</f>
        <v>#DIV/0!</v>
      </c>
      <c r="AB99" s="55" t="e">
        <f>(D99-J99-R99)/V99</f>
        <v>#DIV/0!</v>
      </c>
      <c r="AC99" s="53" t="e">
        <f>(E99-K99-S99)/E99</f>
        <v>#DIV/0!</v>
      </c>
      <c r="AD99" s="56" t="e">
        <f>SUM(D99-H99)/D99</f>
        <v>#DIV/0!</v>
      </c>
      <c r="AE99" s="57"/>
      <c r="AG99" s="35"/>
      <c r="AH99" s="35"/>
      <c r="AK99" s="19">
        <f>SUM(W100-W99)</f>
        <v>0</v>
      </c>
      <c r="AL99" s="58">
        <f>SUM(K100-K99)</f>
        <v>0</v>
      </c>
    </row>
    <row r="100" ht="15" customHeight="1" spans="1:38" x14ac:dyDescent="0.25">
      <c r="A100" s="19"/>
      <c r="B100" s="20"/>
      <c r="C100" s="51" t="s">
        <v>100</v>
      </c>
      <c r="D100" s="52">
        <v>0</v>
      </c>
      <c r="E100" s="52">
        <v>0</v>
      </c>
      <c r="F100" s="52">
        <f>D100-E100</f>
        <v>0</v>
      </c>
      <c r="G100" s="53" t="e">
        <f>F100/D100</f>
        <v>#DIV/0!</v>
      </c>
      <c r="H100" s="52">
        <v>0</v>
      </c>
      <c r="I100" s="52">
        <v>0</v>
      </c>
      <c r="J100" s="52">
        <f>SUM(H100-R100)</f>
        <v>0</v>
      </c>
      <c r="K100" s="52">
        <f>SUM(I100-S100)</f>
        <v>0</v>
      </c>
      <c r="L100" s="52">
        <f>J100-K100</f>
        <v>0</v>
      </c>
      <c r="M100" s="53" t="e">
        <f>L100/J100</f>
        <v>#DIV/0!</v>
      </c>
      <c r="N100" s="53">
        <v>0</v>
      </c>
      <c r="O100" s="53"/>
      <c r="P100" s="53"/>
      <c r="Q100" s="53"/>
      <c r="R100" s="52">
        <v>0</v>
      </c>
      <c r="S100" s="52">
        <v>0</v>
      </c>
      <c r="T100" s="52">
        <f>R100-S100</f>
        <v>0</v>
      </c>
      <c r="U100" s="53" t="e">
        <f>T100/R100</f>
        <v>#DIV/0!</v>
      </c>
      <c r="V100" s="54">
        <v>0</v>
      </c>
      <c r="W100" s="54">
        <v>0</v>
      </c>
      <c r="X100" s="54">
        <f>V100-W100</f>
        <v>0</v>
      </c>
      <c r="Y100" s="53" t="e">
        <f>X100/V100</f>
        <v>#DIV/0!</v>
      </c>
      <c r="Z100" s="53"/>
      <c r="AA100" s="55" t="e">
        <f>(E100-K100-S100)/W100</f>
        <v>#DIV/0!</v>
      </c>
      <c r="AB100" s="55" t="e">
        <f>(D100-J100-R100)/V100</f>
        <v>#DIV/0!</v>
      </c>
      <c r="AC100" s="53" t="e">
        <f>(E100-K100-S100)/E100</f>
        <v>#DIV/0!</v>
      </c>
      <c r="AD100" s="56" t="e">
        <f>SUM(D100-H100)/D100</f>
        <v>#DIV/0!</v>
      </c>
      <c r="AE100" s="57"/>
      <c r="AG100" s="35"/>
      <c r="AH100" s="35"/>
      <c r="AK100" s="59">
        <f>SUM(AK95,AK96,AK97,AK98,AK99)</f>
        <v>-295.5</v>
      </c>
      <c r="AL100" s="60">
        <f>SUM(AL95,AL96,AL97,AL98,AL99)</f>
        <v>-27621.5</v>
      </c>
    </row>
    <row r="101" ht="9" customHeight="1" spans="1:38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G101" s="35"/>
      <c r="AH101" s="35"/>
      <c r="AK101" s="35"/>
      <c r="AL101" s="35"/>
    </row>
    <row r="102" ht="15" customHeight="1" spans="1:38" x14ac:dyDescent="0.25">
      <c r="A102" s="19">
        <f>'Main Sheet'!A32</f>
        <v>6792</v>
      </c>
      <c r="B102" s="20" t="str">
        <f>'Main Sheet'!B32</f>
        <v>Major Hornbrook </v>
      </c>
      <c r="C102" s="51" t="s">
        <v>92</v>
      </c>
      <c r="D102" s="52">
        <v>27742.44</v>
      </c>
      <c r="E102" s="52">
        <v>0</v>
      </c>
      <c r="F102" s="52">
        <f>D102-E102</f>
        <v>27742.44</v>
      </c>
      <c r="G102" s="53">
        <f>F102/D102</f>
        <v>1</v>
      </c>
      <c r="H102" s="52">
        <v>20094.24</v>
      </c>
      <c r="I102" s="52">
        <v>405.4</v>
      </c>
      <c r="J102" s="52">
        <f>SUM(H102-R102)</f>
        <v>11429.46</v>
      </c>
      <c r="K102" s="52">
        <f>SUM(I102-S102)</f>
        <v>73.74</v>
      </c>
      <c r="L102" s="52">
        <f>J102-K102</f>
        <v>11355.72</v>
      </c>
      <c r="M102" s="53">
        <f>L102/J102</f>
        <v>0.993548251623436</v>
      </c>
      <c r="N102" s="53">
        <v>0</v>
      </c>
      <c r="O102" s="53"/>
      <c r="P102" s="53"/>
      <c r="Q102" s="53"/>
      <c r="R102" s="52">
        <v>8664.78</v>
      </c>
      <c r="S102" s="52">
        <v>331.66</v>
      </c>
      <c r="T102" s="52">
        <f>R102-S102</f>
        <v>8333.12</v>
      </c>
      <c r="U102" s="53">
        <f>T102/R102</f>
        <v>0.961723205897899</v>
      </c>
      <c r="V102" s="54">
        <v>173.8</v>
      </c>
      <c r="W102" s="54">
        <v>7.75</v>
      </c>
      <c r="X102" s="54">
        <f>V102-W102</f>
        <v>166.05</v>
      </c>
      <c r="Y102" s="53">
        <f>X102/V102</f>
        <v>0.955408515535098</v>
      </c>
      <c r="Z102" s="53"/>
      <c r="AA102" s="55">
        <f>(E102-K102-S102)/W102</f>
        <v>-52.3096774193548</v>
      </c>
      <c r="AB102" s="55">
        <f>(D102-J102-R102)/V102</f>
        <v>44.0057537399309</v>
      </c>
      <c r="AC102" s="53" t="e">
        <f>(E102-K102-S102)/E102</f>
        <v>#DIV/0!</v>
      </c>
      <c r="AD102" s="56">
        <f>SUM(D102-H102)/D102</f>
        <v>0.275685916595656</v>
      </c>
      <c r="AE102" s="57"/>
      <c r="AG102" s="35" t="s">
        <v>93</v>
      </c>
      <c r="AH102" s="35">
        <f>AK107</f>
        <v>-7.75</v>
      </c>
      <c r="AK102" s="19">
        <f>SUM(W103-W102)</f>
        <v>0</v>
      </c>
      <c r="AL102" s="58">
        <f>SUM(K103-K102)</f>
        <v>-13.89</v>
      </c>
    </row>
    <row r="103" ht="15" customHeight="1" spans="1:38" x14ac:dyDescent="0.25">
      <c r="A103" s="19"/>
      <c r="B103" s="20"/>
      <c r="C103" s="51" t="s">
        <v>94</v>
      </c>
      <c r="D103" s="52">
        <v>27861.41</v>
      </c>
      <c r="E103" s="69">
        <v>0</v>
      </c>
      <c r="F103" s="52">
        <f>D103-E103</f>
        <v>27861.41</v>
      </c>
      <c r="G103" s="53">
        <f>F103/D103</f>
        <v>1</v>
      </c>
      <c r="H103" s="52">
        <v>20162.08</v>
      </c>
      <c r="I103" s="52">
        <v>392.27</v>
      </c>
      <c r="J103" s="52">
        <f>SUM(H103-R103)</f>
        <v>11464.04</v>
      </c>
      <c r="K103" s="52">
        <f>SUM(I103-S103)</f>
        <v>59.85</v>
      </c>
      <c r="L103" s="52">
        <f>J103-K103</f>
        <v>11404.19</v>
      </c>
      <c r="M103" s="53">
        <f>L103/J103</f>
        <v>0.994779327357546</v>
      </c>
      <c r="N103" s="53">
        <v>0</v>
      </c>
      <c r="O103" s="53"/>
      <c r="P103" s="53"/>
      <c r="Q103" s="53"/>
      <c r="R103" s="52">
        <v>8698.04</v>
      </c>
      <c r="S103" s="52">
        <v>332.42</v>
      </c>
      <c r="T103" s="52">
        <f>R103-S103</f>
        <v>8365.62</v>
      </c>
      <c r="U103" s="53">
        <f>T103/R103</f>
        <v>0.96178219460936</v>
      </c>
      <c r="V103" s="54">
        <v>174.46</v>
      </c>
      <c r="W103" s="54">
        <v>7.75</v>
      </c>
      <c r="X103" s="54">
        <f>V103-W103</f>
        <v>166.71</v>
      </c>
      <c r="Y103" s="53">
        <f>X103/V103</f>
        <v>0.95557720967557</v>
      </c>
      <c r="Z103" s="53"/>
      <c r="AA103" s="55">
        <f>(E103-K103-S103)/W103</f>
        <v>-50.6154838709677</v>
      </c>
      <c r="AB103" s="55">
        <f>(D103-J103-R103)/V103</f>
        <v>44.1323512553021</v>
      </c>
      <c r="AC103" s="53" t="e">
        <f>(E103-K103-S103)/E103</f>
        <v>#DIV/0!</v>
      </c>
      <c r="AD103" s="56">
        <f>SUM(D103-H103)/D103</f>
        <v>0.27634387491516</v>
      </c>
      <c r="AE103" s="57"/>
      <c r="AG103" s="35" t="s">
        <v>95</v>
      </c>
      <c r="AH103" s="36">
        <f>AL107</f>
        <v>-73.74</v>
      </c>
      <c r="AK103" s="19">
        <f>SUM(W104-W103)</f>
        <v>-7.75</v>
      </c>
      <c r="AL103" s="58">
        <f>SUM(K104-K103)</f>
        <v>-59.85</v>
      </c>
    </row>
    <row r="104" ht="15" customHeight="1" spans="1:38" x14ac:dyDescent="0.25">
      <c r="A104" s="19"/>
      <c r="B104" s="20"/>
      <c r="C104" s="51" t="s">
        <v>96</v>
      </c>
      <c r="D104" s="52">
        <v>0</v>
      </c>
      <c r="E104" s="67">
        <v>0</v>
      </c>
      <c r="F104" s="52">
        <f>D104-E104</f>
        <v>0</v>
      </c>
      <c r="G104" s="53" t="e">
        <f>F104/D104</f>
        <v>#DIV/0!</v>
      </c>
      <c r="H104" s="52">
        <v>0</v>
      </c>
      <c r="I104" s="52">
        <v>0</v>
      </c>
      <c r="J104" s="52">
        <f>SUM(H104-R104)</f>
        <v>0</v>
      </c>
      <c r="K104" s="52">
        <f>SUM(I104-S104)</f>
        <v>0</v>
      </c>
      <c r="L104" s="52">
        <f>J104-K104</f>
        <v>0</v>
      </c>
      <c r="M104" s="53" t="e">
        <f>L104/J104</f>
        <v>#DIV/0!</v>
      </c>
      <c r="N104" s="53">
        <v>0</v>
      </c>
      <c r="O104" s="53"/>
      <c r="P104" s="53"/>
      <c r="Q104" s="53"/>
      <c r="R104" s="52">
        <v>0</v>
      </c>
      <c r="S104" s="52">
        <v>0</v>
      </c>
      <c r="T104" s="52">
        <f>R104-S104</f>
        <v>0</v>
      </c>
      <c r="U104" s="53" t="e">
        <f>T104/R104</f>
        <v>#DIV/0!</v>
      </c>
      <c r="V104" s="54">
        <v>0</v>
      </c>
      <c r="W104" s="54">
        <v>0</v>
      </c>
      <c r="X104" s="54">
        <f>V104-W104</f>
        <v>0</v>
      </c>
      <c r="Y104" s="53" t="e">
        <f>X104/V104</f>
        <v>#DIV/0!</v>
      </c>
      <c r="Z104" s="53"/>
      <c r="AA104" s="55" t="e">
        <f>(E104-K104-S104)/W104</f>
        <v>#DIV/0!</v>
      </c>
      <c r="AB104" s="55" t="e">
        <f>(D104-J104-R104)/V104</f>
        <v>#DIV/0!</v>
      </c>
      <c r="AC104" s="53" t="e">
        <f>(E104-K104-S104)/E104</f>
        <v>#DIV/0!</v>
      </c>
      <c r="AD104" s="56" t="e">
        <f>SUM(D104-H104)/D104</f>
        <v>#DIV/0!</v>
      </c>
      <c r="AE104" s="57"/>
      <c r="AG104" s="35"/>
      <c r="AH104" s="35"/>
      <c r="AK104" s="19">
        <f>SUM(W105-W104)</f>
        <v>0</v>
      </c>
      <c r="AL104" s="58">
        <f>SUM(K105-K104)</f>
        <v>0</v>
      </c>
    </row>
    <row r="105" ht="15" customHeight="1" spans="1:38" x14ac:dyDescent="0.25">
      <c r="A105" s="19"/>
      <c r="B105" s="20"/>
      <c r="C105" s="51" t="s">
        <v>97</v>
      </c>
      <c r="D105" s="52">
        <v>0</v>
      </c>
      <c r="E105" s="67">
        <v>0</v>
      </c>
      <c r="F105" s="52">
        <f>D105-E105</f>
        <v>0</v>
      </c>
      <c r="G105" s="53" t="e">
        <f>F105/D105</f>
        <v>#DIV/0!</v>
      </c>
      <c r="H105" s="52">
        <v>0</v>
      </c>
      <c r="I105" s="52">
        <v>0</v>
      </c>
      <c r="J105" s="52">
        <f>SUM(H105-R105)</f>
        <v>0</v>
      </c>
      <c r="K105" s="52">
        <f>SUM(I105-S105)</f>
        <v>0</v>
      </c>
      <c r="L105" s="52">
        <f>J105-K105</f>
        <v>0</v>
      </c>
      <c r="M105" s="53" t="e">
        <f>L105/J105</f>
        <v>#DIV/0!</v>
      </c>
      <c r="N105" s="53">
        <v>0</v>
      </c>
      <c r="O105" s="53"/>
      <c r="P105" s="53"/>
      <c r="Q105" s="53"/>
      <c r="R105" s="52">
        <v>0</v>
      </c>
      <c r="S105" s="52">
        <v>0</v>
      </c>
      <c r="T105" s="52">
        <f>R105-S105</f>
        <v>0</v>
      </c>
      <c r="U105" s="53" t="e">
        <f>T105/R105</f>
        <v>#DIV/0!</v>
      </c>
      <c r="V105" s="54">
        <v>0</v>
      </c>
      <c r="W105" s="54">
        <v>0</v>
      </c>
      <c r="X105" s="54">
        <f>V105-W105</f>
        <v>0</v>
      </c>
      <c r="Y105" s="53" t="e">
        <f>X105/V105</f>
        <v>#DIV/0!</v>
      </c>
      <c r="Z105" s="53"/>
      <c r="AA105" s="55" t="e">
        <f>(E105-K105-S105)/W105</f>
        <v>#DIV/0!</v>
      </c>
      <c r="AB105" s="55" t="e">
        <f>(D105-J105-R105)/V105</f>
        <v>#DIV/0!</v>
      </c>
      <c r="AC105" s="53" t="e">
        <f>(E105-K105-S105)/E105</f>
        <v>#DIV/0!</v>
      </c>
      <c r="AD105" s="56" t="e">
        <f>SUM(D105-H105)/D105</f>
        <v>#DIV/0!</v>
      </c>
      <c r="AE105" s="57"/>
      <c r="AG105" s="35" t="s">
        <v>98</v>
      </c>
      <c r="AH105" s="36">
        <v>0</v>
      </c>
      <c r="AK105" s="19">
        <f>SUM(W106-W105)</f>
        <v>0</v>
      </c>
      <c r="AL105" s="58">
        <f>SUM(K106-K105)</f>
        <v>0</v>
      </c>
    </row>
    <row r="106" ht="15" customHeight="1" spans="1:38" x14ac:dyDescent="0.25">
      <c r="A106" s="19"/>
      <c r="B106" s="20"/>
      <c r="C106" s="51" t="s">
        <v>99</v>
      </c>
      <c r="D106" s="52">
        <v>0</v>
      </c>
      <c r="E106" s="67">
        <v>0</v>
      </c>
      <c r="F106" s="52">
        <f>D106-E106</f>
        <v>0</v>
      </c>
      <c r="G106" s="53" t="e">
        <f>F106/D106</f>
        <v>#DIV/0!</v>
      </c>
      <c r="H106" s="52">
        <v>0</v>
      </c>
      <c r="I106" s="52">
        <v>0</v>
      </c>
      <c r="J106" s="52">
        <f>SUM(H106-R106)</f>
        <v>0</v>
      </c>
      <c r="K106" s="52">
        <f>SUM(I106-S106)</f>
        <v>0</v>
      </c>
      <c r="L106" s="52">
        <f>J106-K106</f>
        <v>0</v>
      </c>
      <c r="M106" s="53" t="e">
        <f>L106/J106</f>
        <v>#DIV/0!</v>
      </c>
      <c r="N106" s="53">
        <v>0</v>
      </c>
      <c r="O106" s="53"/>
      <c r="P106" s="53"/>
      <c r="Q106" s="53"/>
      <c r="R106" s="52">
        <v>0</v>
      </c>
      <c r="S106" s="52">
        <v>0</v>
      </c>
      <c r="T106" s="52">
        <f>R106-S106</f>
        <v>0</v>
      </c>
      <c r="U106" s="53" t="e">
        <f>T106/R106</f>
        <v>#DIV/0!</v>
      </c>
      <c r="V106" s="54">
        <v>0</v>
      </c>
      <c r="W106" s="54">
        <v>0</v>
      </c>
      <c r="X106" s="54">
        <f>V106-W106</f>
        <v>0</v>
      </c>
      <c r="Y106" s="53" t="e">
        <f>X106/V106</f>
        <v>#DIV/0!</v>
      </c>
      <c r="Z106" s="53"/>
      <c r="AA106" s="55" t="e">
        <f>(E106-K106-S106)/W106</f>
        <v>#DIV/0!</v>
      </c>
      <c r="AB106" s="55" t="e">
        <f>(D106-J106-R106)/V106</f>
        <v>#DIV/0!</v>
      </c>
      <c r="AC106" s="53" t="e">
        <f>(E106-K106-S106)/E106</f>
        <v>#DIV/0!</v>
      </c>
      <c r="AD106" s="56" t="e">
        <f>SUM(D106-H106)/D106</f>
        <v>#DIV/0!</v>
      </c>
      <c r="AE106" s="57"/>
      <c r="AG106" s="35"/>
      <c r="AH106" s="35"/>
      <c r="AK106" s="19">
        <f>SUM(W107-W106)</f>
        <v>0</v>
      </c>
      <c r="AL106" s="58">
        <f>SUM(K107-K106)</f>
        <v>0</v>
      </c>
    </row>
    <row r="107" ht="15" customHeight="1" spans="1:38" x14ac:dyDescent="0.25">
      <c r="A107" s="19"/>
      <c r="B107" s="20"/>
      <c r="C107" s="51" t="s">
        <v>100</v>
      </c>
      <c r="D107" s="52">
        <v>0</v>
      </c>
      <c r="E107" s="67">
        <v>0</v>
      </c>
      <c r="F107" s="52">
        <f>D107-E107</f>
        <v>0</v>
      </c>
      <c r="G107" s="53" t="e">
        <f>F107/D107</f>
        <v>#DIV/0!</v>
      </c>
      <c r="H107" s="52">
        <v>0</v>
      </c>
      <c r="I107" s="52">
        <v>0</v>
      </c>
      <c r="J107" s="52">
        <f>SUM(H107-R107)</f>
        <v>0</v>
      </c>
      <c r="K107" s="52">
        <f>SUM(I107-S107)</f>
        <v>0</v>
      </c>
      <c r="L107" s="52">
        <f>J107-K107</f>
        <v>0</v>
      </c>
      <c r="M107" s="53" t="e">
        <f>L107/J107</f>
        <v>#DIV/0!</v>
      </c>
      <c r="N107" s="53">
        <v>0</v>
      </c>
      <c r="O107" s="53"/>
      <c r="P107" s="53"/>
      <c r="Q107" s="53"/>
      <c r="R107" s="52">
        <v>0</v>
      </c>
      <c r="S107" s="52">
        <v>0</v>
      </c>
      <c r="T107" s="52">
        <f>R107-S107</f>
        <v>0</v>
      </c>
      <c r="U107" s="53" t="e">
        <f>T107/R107</f>
        <v>#DIV/0!</v>
      </c>
      <c r="V107" s="54">
        <v>0</v>
      </c>
      <c r="W107" s="54">
        <v>0</v>
      </c>
      <c r="X107" s="54">
        <f>V107-W107</f>
        <v>0</v>
      </c>
      <c r="Y107" s="53" t="e">
        <f>X107/V107</f>
        <v>#DIV/0!</v>
      </c>
      <c r="Z107" s="53"/>
      <c r="AA107" s="55" t="e">
        <f>(E107-K107-S107)/W107</f>
        <v>#DIV/0!</v>
      </c>
      <c r="AB107" s="55" t="e">
        <f>(D107-J107-R107)/V107</f>
        <v>#DIV/0!</v>
      </c>
      <c r="AC107" s="53" t="e">
        <f>(E107-K107-S107)/E107</f>
        <v>#DIV/0!</v>
      </c>
      <c r="AD107" s="56" t="e">
        <f>SUM(D107-H107)/D107</f>
        <v>#DIV/0!</v>
      </c>
      <c r="AE107" s="57"/>
      <c r="AG107" s="35"/>
      <c r="AH107" s="35"/>
      <c r="AK107" s="59">
        <f>SUM(AK102,AK103,AK104,AK105,AK106)</f>
        <v>-7.75</v>
      </c>
      <c r="AL107" s="60">
        <f>SUM(AL102,AL103,AL104,AL105,AL106)</f>
        <v>-73.74</v>
      </c>
    </row>
    <row r="108" ht="9" customHeight="1" spans="1:38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G108" s="35"/>
      <c r="AH108" s="35"/>
      <c r="AK108" s="35"/>
      <c r="AL108" s="35"/>
    </row>
    <row r="109" ht="15" customHeight="1" spans="1:38" x14ac:dyDescent="0.25">
      <c r="A109" s="19">
        <f>'Main Sheet'!A34</f>
        <v>8840</v>
      </c>
      <c r="B109" s="20" t="str">
        <f>'Main Sheet'!B34</f>
        <v>Inline Architecture</v>
      </c>
      <c r="C109" s="51" t="s">
        <v>92</v>
      </c>
      <c r="D109" s="52">
        <v>21300.45</v>
      </c>
      <c r="E109" s="52">
        <v>5515.31</v>
      </c>
      <c r="F109" s="52">
        <f>D109-E109</f>
        <v>15785.14</v>
      </c>
      <c r="G109" s="53">
        <f>F109/D109</f>
        <v>0.741070728552683</v>
      </c>
      <c r="H109" s="52">
        <v>11275.69</v>
      </c>
      <c r="I109" s="52">
        <v>5128.09</v>
      </c>
      <c r="J109" s="52">
        <f>SUM(H109-R109)</f>
        <v>4165.39</v>
      </c>
      <c r="K109" s="52">
        <v>815.93</v>
      </c>
      <c r="L109" s="52">
        <f>J109-K109</f>
        <v>3349.46</v>
      </c>
      <c r="M109" s="53">
        <f>L109/J109</f>
        <v>0.804116781381815</v>
      </c>
      <c r="N109" s="53">
        <v>1</v>
      </c>
      <c r="O109" s="53"/>
      <c r="P109" s="53"/>
      <c r="Q109" s="53"/>
      <c r="R109" s="52">
        <v>7110.3</v>
      </c>
      <c r="S109" s="52">
        <v>1880.39</v>
      </c>
      <c r="T109" s="52">
        <f>R109-S109</f>
        <v>5229.91</v>
      </c>
      <c r="U109" s="53">
        <f>T109/R109</f>
        <v>0.735539991280255</v>
      </c>
      <c r="V109" s="54">
        <v>142.36</v>
      </c>
      <c r="W109" s="54">
        <v>42.25</v>
      </c>
      <c r="X109" s="54">
        <f>V109-W109</f>
        <v>100.11</v>
      </c>
      <c r="Y109" s="53">
        <f>X109/V109</f>
        <v>0.703217195841529</v>
      </c>
      <c r="Z109" s="53">
        <v>1</v>
      </c>
      <c r="AA109" s="55">
        <f>(E109-K109-S109)/W109</f>
        <v>66.7216568047337</v>
      </c>
      <c r="AB109" s="55">
        <f>(D109-J109-R109)/V109</f>
        <v>70.4183759483001</v>
      </c>
      <c r="AC109" s="53">
        <f>(E109-K109-S109)/E109</f>
        <v>0.511120861746665</v>
      </c>
      <c r="AD109" s="56">
        <f>SUM(D109-H109)/D109</f>
        <v>0.470636066374185</v>
      </c>
      <c r="AE109" s="57"/>
      <c r="AG109" s="35" t="s">
        <v>93</v>
      </c>
      <c r="AH109" s="35">
        <f>AK114</f>
        <v>-42.25</v>
      </c>
      <c r="AK109" s="19">
        <f>SUM(W110-W109)</f>
        <v>14.25</v>
      </c>
      <c r="AL109" s="58">
        <f>SUM(K110-K109)</f>
        <v>2844.83</v>
      </c>
    </row>
    <row r="110" ht="15" customHeight="1" spans="1:38" x14ac:dyDescent="0.25">
      <c r="A110" s="19"/>
      <c r="B110" s="20"/>
      <c r="C110" s="51" t="s">
        <v>94</v>
      </c>
      <c r="D110" s="52">
        <v>21300.45</v>
      </c>
      <c r="E110" s="52">
        <v>10143.09</v>
      </c>
      <c r="F110" s="52">
        <f>D110-E110</f>
        <v>11157.36</v>
      </c>
      <c r="G110" s="53">
        <f>F110/D110</f>
        <v>0.523808651929889</v>
      </c>
      <c r="H110" s="52">
        <v>11275.69</v>
      </c>
      <c r="I110" s="52">
        <v>6237.89</v>
      </c>
      <c r="J110" s="52">
        <f>SUM(H110-R110)</f>
        <v>4165.39</v>
      </c>
      <c r="K110" s="52">
        <f>SUM(I110-S110)</f>
        <v>3660.76</v>
      </c>
      <c r="L110" s="52">
        <f>J110-K110</f>
        <v>504.63</v>
      </c>
      <c r="M110" s="53">
        <f>L110/J110</f>
        <v>0.121148319845201</v>
      </c>
      <c r="N110" s="53">
        <v>1</v>
      </c>
      <c r="O110" s="53"/>
      <c r="P110" s="53"/>
      <c r="Q110" s="53"/>
      <c r="R110" s="52">
        <v>7110.3</v>
      </c>
      <c r="S110" s="52">
        <v>2577.13</v>
      </c>
      <c r="T110" s="52">
        <f>R110-S110</f>
        <v>4533.17</v>
      </c>
      <c r="U110" s="53">
        <f>T110/R110</f>
        <v>0.637549751768561</v>
      </c>
      <c r="V110" s="54">
        <v>142.36</v>
      </c>
      <c r="W110" s="54">
        <v>56.5</v>
      </c>
      <c r="X110" s="54">
        <f>V110-W110</f>
        <v>85.86</v>
      </c>
      <c r="Y110" s="53">
        <f>X110/V110</f>
        <v>0.603118853610565</v>
      </c>
      <c r="Z110" s="53">
        <v>1</v>
      </c>
      <c r="AA110" s="55">
        <f>(E110-K110-S110)/W110</f>
        <v>69.1185840707965</v>
      </c>
      <c r="AB110" s="55">
        <f>(D110-J110-R110)/V110</f>
        <v>70.4183759483001</v>
      </c>
      <c r="AC110" s="53">
        <f>(E110-K110-S110)/E110</f>
        <v>0.3850108793277</v>
      </c>
      <c r="AD110" s="56">
        <f>SUM(D110-H110)/D110</f>
        <v>0.470636066374185</v>
      </c>
      <c r="AE110" s="57"/>
      <c r="AG110" s="35" t="s">
        <v>95</v>
      </c>
      <c r="AH110" s="36">
        <f>AL114</f>
        <v>-815.93</v>
      </c>
      <c r="AK110" s="19">
        <f>SUM(W111-W110)</f>
        <v>-56.5</v>
      </c>
      <c r="AL110" s="58">
        <f>SUM(K111-K110)</f>
        <v>-3660.76</v>
      </c>
    </row>
    <row r="111" ht="15" customHeight="1" spans="1:38" x14ac:dyDescent="0.25">
      <c r="A111" s="19"/>
      <c r="B111" s="20"/>
      <c r="C111" s="51" t="s">
        <v>96</v>
      </c>
      <c r="D111" s="52">
        <v>0</v>
      </c>
      <c r="E111" s="52">
        <v>0</v>
      </c>
      <c r="F111" s="52">
        <f>D111-E111</f>
        <v>0</v>
      </c>
      <c r="G111" s="53" t="e">
        <f>F111/D111</f>
        <v>#DIV/0!</v>
      </c>
      <c r="H111" s="52">
        <v>0</v>
      </c>
      <c r="I111" s="52">
        <v>0</v>
      </c>
      <c r="J111" s="52">
        <f>SUM(H111-R111)</f>
        <v>0</v>
      </c>
      <c r="K111" s="52">
        <f>SUM(I111-S111)</f>
        <v>0</v>
      </c>
      <c r="L111" s="52">
        <f>J111-K111</f>
        <v>0</v>
      </c>
      <c r="M111" s="53" t="e">
        <f>L111/J111</f>
        <v>#DIV/0!</v>
      </c>
      <c r="N111" s="53">
        <v>1</v>
      </c>
      <c r="O111" s="53"/>
      <c r="P111" s="53"/>
      <c r="Q111" s="53"/>
      <c r="R111" s="52">
        <v>0</v>
      </c>
      <c r="S111" s="52">
        <v>0</v>
      </c>
      <c r="T111" s="52">
        <f>R111-S111</f>
        <v>0</v>
      </c>
      <c r="U111" s="53" t="e">
        <f>T111/R111</f>
        <v>#DIV/0!</v>
      </c>
      <c r="V111" s="54">
        <v>0</v>
      </c>
      <c r="W111" s="54">
        <v>0</v>
      </c>
      <c r="X111" s="54">
        <f>V111-W111</f>
        <v>0</v>
      </c>
      <c r="Y111" s="53" t="e">
        <f>X111/V111</f>
        <v>#DIV/0!</v>
      </c>
      <c r="Z111" s="53">
        <v>1</v>
      </c>
      <c r="AA111" s="55" t="e">
        <f>(E111-K111-S111)/W111</f>
        <v>#DIV/0!</v>
      </c>
      <c r="AB111" s="55" t="e">
        <f>(D111-J111-R111)/V111</f>
        <v>#DIV/0!</v>
      </c>
      <c r="AC111" s="53" t="e">
        <f>(E111-K111-S111)/E111</f>
        <v>#DIV/0!</v>
      </c>
      <c r="AD111" s="56" t="e">
        <f>SUM(D111-H111)/D111</f>
        <v>#DIV/0!</v>
      </c>
      <c r="AE111" s="57"/>
      <c r="AG111" s="35"/>
      <c r="AH111" s="35"/>
      <c r="AK111" s="19">
        <f>SUM(W112-W111)</f>
        <v>0</v>
      </c>
      <c r="AL111" s="58">
        <f>SUM(K112-K111)</f>
        <v>0</v>
      </c>
    </row>
    <row r="112" ht="15" customHeight="1" spans="1:38" x14ac:dyDescent="0.25">
      <c r="A112" s="19"/>
      <c r="B112" s="20"/>
      <c r="C112" s="51" t="s">
        <v>97</v>
      </c>
      <c r="D112" s="52">
        <v>0</v>
      </c>
      <c r="E112" s="52">
        <v>0</v>
      </c>
      <c r="F112" s="52">
        <f>D112-E112</f>
        <v>0</v>
      </c>
      <c r="G112" s="53" t="e">
        <f>F112/D112</f>
        <v>#DIV/0!</v>
      </c>
      <c r="H112" s="52">
        <v>0</v>
      </c>
      <c r="I112" s="52">
        <v>0</v>
      </c>
      <c r="J112" s="52">
        <f>SUM(H112-R112)</f>
        <v>0</v>
      </c>
      <c r="K112" s="52">
        <f>SUM(I112-S112)</f>
        <v>0</v>
      </c>
      <c r="L112" s="52">
        <f>J112-K112</f>
        <v>0</v>
      </c>
      <c r="M112" s="53" t="e">
        <f>L112/J112</f>
        <v>#DIV/0!</v>
      </c>
      <c r="N112" s="53">
        <v>0</v>
      </c>
      <c r="O112" s="53"/>
      <c r="P112" s="53"/>
      <c r="Q112" s="53"/>
      <c r="R112" s="52">
        <v>0</v>
      </c>
      <c r="S112" s="52">
        <v>0</v>
      </c>
      <c r="T112" s="52">
        <f>R112-S112</f>
        <v>0</v>
      </c>
      <c r="U112" s="53" t="e">
        <f>T112/R112</f>
        <v>#DIV/0!</v>
      </c>
      <c r="V112" s="54">
        <v>0</v>
      </c>
      <c r="W112" s="54">
        <v>0</v>
      </c>
      <c r="X112" s="54">
        <f>V112-W112</f>
        <v>0</v>
      </c>
      <c r="Y112" s="53" t="e">
        <f>X112/V112</f>
        <v>#DIV/0!</v>
      </c>
      <c r="Z112" s="53">
        <v>0</v>
      </c>
      <c r="AA112" s="55" t="e">
        <f>(E112-K112-S112)/W112</f>
        <v>#DIV/0!</v>
      </c>
      <c r="AB112" s="55" t="e">
        <f>(D112-J112-R112)/V112</f>
        <v>#DIV/0!</v>
      </c>
      <c r="AC112" s="53" t="e">
        <f>(E112-K112-S112)/E112</f>
        <v>#DIV/0!</v>
      </c>
      <c r="AD112" s="56" t="e">
        <f>SUM(D112-H112)/D112</f>
        <v>#DIV/0!</v>
      </c>
      <c r="AE112" s="57"/>
      <c r="AG112" s="35" t="s">
        <v>98</v>
      </c>
      <c r="AH112" s="36">
        <v>0</v>
      </c>
      <c r="AK112" s="19">
        <f>SUM(W113-W112)</f>
        <v>0</v>
      </c>
      <c r="AL112" s="58">
        <f>SUM(K113-K112)</f>
        <v>0</v>
      </c>
    </row>
    <row r="113" ht="15" customHeight="1" spans="1:38" x14ac:dyDescent="0.25">
      <c r="A113" s="19"/>
      <c r="B113" s="20"/>
      <c r="C113" s="51" t="s">
        <v>99</v>
      </c>
      <c r="D113" s="52">
        <v>0</v>
      </c>
      <c r="E113" s="52">
        <v>0</v>
      </c>
      <c r="F113" s="52">
        <f>D113-E113</f>
        <v>0</v>
      </c>
      <c r="G113" s="53" t="e">
        <f>F113/D113</f>
        <v>#DIV/0!</v>
      </c>
      <c r="H113" s="52">
        <v>0</v>
      </c>
      <c r="I113" s="52">
        <v>0</v>
      </c>
      <c r="J113" s="52">
        <f>SUM(H113-R113)</f>
        <v>0</v>
      </c>
      <c r="K113" s="52">
        <f>SUM(I113-S113)</f>
        <v>0</v>
      </c>
      <c r="L113" s="52">
        <f>J113-K113</f>
        <v>0</v>
      </c>
      <c r="M113" s="53" t="e">
        <f>L113/J113</f>
        <v>#DIV/0!</v>
      </c>
      <c r="N113" s="53">
        <v>0</v>
      </c>
      <c r="O113" s="53"/>
      <c r="P113" s="53"/>
      <c r="Q113" s="53"/>
      <c r="R113" s="52">
        <v>0</v>
      </c>
      <c r="S113" s="52">
        <v>0</v>
      </c>
      <c r="T113" s="52">
        <f>R113-S113</f>
        <v>0</v>
      </c>
      <c r="U113" s="53" t="e">
        <f>T113/R113</f>
        <v>#DIV/0!</v>
      </c>
      <c r="V113" s="54">
        <v>0</v>
      </c>
      <c r="W113" s="54">
        <v>0</v>
      </c>
      <c r="X113" s="54">
        <f>V113-W113</f>
        <v>0</v>
      </c>
      <c r="Y113" s="53" t="e">
        <f>X113/V113</f>
        <v>#DIV/0!</v>
      </c>
      <c r="Z113" s="53">
        <v>0</v>
      </c>
      <c r="AA113" s="55" t="e">
        <f>(E113-K113-S113)/W113</f>
        <v>#DIV/0!</v>
      </c>
      <c r="AB113" s="55" t="e">
        <f>(D113-J113-R113)/V113</f>
        <v>#DIV/0!</v>
      </c>
      <c r="AC113" s="53" t="e">
        <f>(E113-K113-S113)/E113</f>
        <v>#DIV/0!</v>
      </c>
      <c r="AD113" s="56" t="e">
        <f>SUM(D113-H113)/D113</f>
        <v>#DIV/0!</v>
      </c>
      <c r="AE113" s="57"/>
      <c r="AG113" s="35"/>
      <c r="AH113" s="35"/>
      <c r="AK113" s="19">
        <f>SUM(W114-W113)</f>
        <v>0</v>
      </c>
      <c r="AL113" s="58">
        <f>SUM(K114-K113)</f>
        <v>0</v>
      </c>
    </row>
    <row r="114" ht="15" customHeight="1" spans="1:38" x14ac:dyDescent="0.25">
      <c r="A114" s="19"/>
      <c r="B114" s="20"/>
      <c r="C114" s="51" t="s">
        <v>100</v>
      </c>
      <c r="D114" s="52">
        <v>0</v>
      </c>
      <c r="E114" s="52">
        <v>0</v>
      </c>
      <c r="F114" s="52">
        <f>D114-E114</f>
        <v>0</v>
      </c>
      <c r="G114" s="53" t="e">
        <f>F114/D114</f>
        <v>#DIV/0!</v>
      </c>
      <c r="H114" s="52">
        <v>0</v>
      </c>
      <c r="I114" s="52">
        <v>0</v>
      </c>
      <c r="J114" s="52">
        <f>SUM(H114-R114)</f>
        <v>0</v>
      </c>
      <c r="K114" s="52">
        <f>SUM(I114-S114)</f>
        <v>0</v>
      </c>
      <c r="L114" s="52">
        <f>J114-K114</f>
        <v>0</v>
      </c>
      <c r="M114" s="53" t="e">
        <f>L114/J114</f>
        <v>#DIV/0!</v>
      </c>
      <c r="N114" s="53">
        <v>0</v>
      </c>
      <c r="O114" s="53"/>
      <c r="P114" s="53"/>
      <c r="Q114" s="53"/>
      <c r="R114" s="52">
        <v>0</v>
      </c>
      <c r="S114" s="52">
        <v>0</v>
      </c>
      <c r="T114" s="52">
        <f>R114-S114</f>
        <v>0</v>
      </c>
      <c r="U114" s="53" t="e">
        <f>T114/R114</f>
        <v>#DIV/0!</v>
      </c>
      <c r="V114" s="54">
        <v>0</v>
      </c>
      <c r="W114" s="54">
        <v>0</v>
      </c>
      <c r="X114" s="54">
        <f>V114-W114</f>
        <v>0</v>
      </c>
      <c r="Y114" s="53" t="e">
        <f>X114/V114</f>
        <v>#DIV/0!</v>
      </c>
      <c r="Z114" s="53">
        <v>0</v>
      </c>
      <c r="AA114" s="55" t="e">
        <f>(E114-K114-S114)/W114</f>
        <v>#DIV/0!</v>
      </c>
      <c r="AB114" s="55" t="e">
        <f>(D114-J114-R114)/V114</f>
        <v>#DIV/0!</v>
      </c>
      <c r="AC114" s="53" t="e">
        <f>(E114-K114-S114)/E114</f>
        <v>#DIV/0!</v>
      </c>
      <c r="AD114" s="56" t="e">
        <f>SUM(D114-H114)/D114</f>
        <v>#DIV/0!</v>
      </c>
      <c r="AE114" s="57"/>
      <c r="AG114" s="35"/>
      <c r="AH114" s="35"/>
      <c r="AK114" s="59">
        <f>SUM(AK109,AK110,AK111,AK112,AK113)</f>
        <v>-42.25</v>
      </c>
      <c r="AL114" s="60">
        <f>SUM(AL109,AL110,AL111,AL112,AL113)</f>
        <v>-815.93</v>
      </c>
    </row>
    <row r="115" ht="9" customHeight="1" spans="1:38" x14ac:dyDescent="0.25">
      <c r="A115" s="6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2"/>
      <c r="AG115" s="35"/>
      <c r="AH115" s="35"/>
      <c r="AK115" s="35"/>
      <c r="AL115" s="35"/>
    </row>
    <row r="116" ht="15" customHeight="1" spans="1:38" x14ac:dyDescent="0.25">
      <c r="A116" s="19">
        <f>'Main Sheet'!A36</f>
        <v>8769</v>
      </c>
      <c r="B116" s="20" t="str">
        <f>'Main Sheet'!B36</f>
        <v>Percival Bach</v>
      </c>
      <c r="C116" s="51" t="s">
        <v>92</v>
      </c>
      <c r="D116" s="52">
        <v>63405.46</v>
      </c>
      <c r="E116" s="52">
        <v>0</v>
      </c>
      <c r="F116" s="52">
        <f>D116-E116</f>
        <v>63405.46</v>
      </c>
      <c r="G116" s="53">
        <f>F116/D116</f>
        <v>1</v>
      </c>
      <c r="H116" s="52">
        <v>43553.81</v>
      </c>
      <c r="I116" s="52">
        <v>9012.69</v>
      </c>
      <c r="J116" s="52">
        <f>SUM(H116-R116)</f>
        <v>29573.66</v>
      </c>
      <c r="K116" s="52">
        <f>SUM(I116-S116)</f>
        <v>8270.88</v>
      </c>
      <c r="L116" s="52">
        <f>J116-K116</f>
        <v>21302.78</v>
      </c>
      <c r="M116" s="53">
        <f>L116/J116</f>
        <v>0.720329509435085</v>
      </c>
      <c r="N116" s="53">
        <v>0</v>
      </c>
      <c r="O116" s="53"/>
      <c r="P116" s="53"/>
      <c r="Q116" s="53"/>
      <c r="R116" s="52">
        <v>13980.15</v>
      </c>
      <c r="S116" s="52">
        <v>741.81</v>
      </c>
      <c r="T116" s="52">
        <f>R116-S116</f>
        <v>13238.34</v>
      </c>
      <c r="U116" s="53">
        <f>T116/R116</f>
        <v>0.946938337571485</v>
      </c>
      <c r="V116" s="54">
        <v>279.87</v>
      </c>
      <c r="W116" s="54">
        <v>52</v>
      </c>
      <c r="X116" s="54">
        <f>V116-W116</f>
        <v>227.87</v>
      </c>
      <c r="Y116" s="53">
        <f>X116/V116</f>
        <v>0.814199449744524</v>
      </c>
      <c r="Z116" s="53">
        <v>0</v>
      </c>
      <c r="AA116" s="55">
        <f>(E116-K116-S116)/W116</f>
        <v>-173.320961538462</v>
      </c>
      <c r="AB116" s="55">
        <f>(D116-J116-R116)/V116</f>
        <v>70.9316825669061</v>
      </c>
      <c r="AC116" s="53" t="e">
        <f>(E116-K116-S116)/E116</f>
        <v>#DIV/0!</v>
      </c>
      <c r="AD116" s="56">
        <f>SUM(D116-H116)/D116</f>
        <v>0.313090544568244</v>
      </c>
      <c r="AE116" s="57"/>
      <c r="AG116" s="35" t="s">
        <v>93</v>
      </c>
      <c r="AH116" s="35">
        <f>AK121</f>
        <v>-52</v>
      </c>
      <c r="AK116" s="19">
        <f>SUM(W117-W116)</f>
        <v>36.5</v>
      </c>
      <c r="AL116" s="58">
        <f>SUM(K117-K116)</f>
        <v>3381.04</v>
      </c>
    </row>
    <row r="117" ht="15" customHeight="1" spans="1:38" x14ac:dyDescent="0.25">
      <c r="A117" s="19"/>
      <c r="B117" s="20"/>
      <c r="C117" s="51" t="s">
        <v>94</v>
      </c>
      <c r="D117" s="52">
        <v>63405.46</v>
      </c>
      <c r="E117" s="52">
        <v>23507.97</v>
      </c>
      <c r="F117" s="52">
        <f>D117-E117</f>
        <v>39897.49</v>
      </c>
      <c r="G117" s="53">
        <f>F117/D117</f>
        <v>0.629243759133677</v>
      </c>
      <c r="H117" s="52">
        <v>43553.81</v>
      </c>
      <c r="I117" s="52">
        <v>15599.26</v>
      </c>
      <c r="J117" s="52">
        <f>SUM(H117-R117)</f>
        <v>29573.66</v>
      </c>
      <c r="K117" s="52">
        <f>SUM(I117-S117)</f>
        <v>11651.92</v>
      </c>
      <c r="L117" s="52">
        <f>J117-K117</f>
        <v>17921.74</v>
      </c>
      <c r="M117" s="53">
        <f>L117/J117</f>
        <v>0.606003450367658</v>
      </c>
      <c r="N117" s="53">
        <v>0</v>
      </c>
      <c r="O117" s="53"/>
      <c r="P117" s="53"/>
      <c r="Q117" s="53"/>
      <c r="R117" s="52">
        <v>13980.15</v>
      </c>
      <c r="S117" s="52">
        <v>3947.34</v>
      </c>
      <c r="T117" s="52">
        <f>R117-S117</f>
        <v>10032.81</v>
      </c>
      <c r="U117" s="53">
        <f>T117/R117</f>
        <v>0.717646806364739</v>
      </c>
      <c r="V117" s="54">
        <v>279.87</v>
      </c>
      <c r="W117" s="54">
        <v>88.5</v>
      </c>
      <c r="X117" s="54">
        <f>V117-W117</f>
        <v>191.37</v>
      </c>
      <c r="Y117" s="53">
        <f>X117/V117</f>
        <v>0.6837817558152</v>
      </c>
      <c r="Z117" s="53">
        <v>0</v>
      </c>
      <c r="AA117" s="55">
        <f>(E117-K117-S117)/W117</f>
        <v>89.3639548022599</v>
      </c>
      <c r="AB117" s="55">
        <f>(D117-J117-R117)/V117</f>
        <v>70.9316825669061</v>
      </c>
      <c r="AC117" s="53">
        <f>(E117-K117-S117)/E117</f>
        <v>0.336426752288692</v>
      </c>
      <c r="AD117" s="56">
        <f>SUM(D117-H117)/D117</f>
        <v>0.313090544568244</v>
      </c>
      <c r="AE117" s="57"/>
      <c r="AG117" s="35" t="s">
        <v>95</v>
      </c>
      <c r="AH117" s="36">
        <f>AL121</f>
        <v>-8270.88</v>
      </c>
      <c r="AK117" s="19">
        <f>SUM(W118-W117)</f>
        <v>-88.5</v>
      </c>
      <c r="AL117" s="58">
        <f>SUM(K118-K117)</f>
        <v>-11651.92</v>
      </c>
    </row>
    <row r="118" ht="15" customHeight="1" spans="1:38" x14ac:dyDescent="0.25">
      <c r="A118" s="19"/>
      <c r="B118" s="20"/>
      <c r="C118" s="51" t="s">
        <v>96</v>
      </c>
      <c r="D118" s="52">
        <v>0</v>
      </c>
      <c r="E118" s="52">
        <v>0</v>
      </c>
      <c r="F118" s="52">
        <f>D118-E118</f>
        <v>0</v>
      </c>
      <c r="G118" s="53" t="e">
        <f>F118/D118</f>
        <v>#DIV/0!</v>
      </c>
      <c r="H118" s="52">
        <v>0</v>
      </c>
      <c r="I118" s="52">
        <v>0</v>
      </c>
      <c r="J118" s="52">
        <f>SUM(H118-R118)</f>
        <v>0</v>
      </c>
      <c r="K118" s="52">
        <f>SUM(I118-S118)</f>
        <v>0</v>
      </c>
      <c r="L118" s="52">
        <f>J118-K118</f>
        <v>0</v>
      </c>
      <c r="M118" s="53" t="e">
        <f>L118/J118</f>
        <v>#DIV/0!</v>
      </c>
      <c r="N118" s="53">
        <v>0</v>
      </c>
      <c r="O118" s="53"/>
      <c r="P118" s="53"/>
      <c r="Q118" s="53"/>
      <c r="R118" s="52">
        <v>0</v>
      </c>
      <c r="S118" s="52">
        <v>0</v>
      </c>
      <c r="T118" s="52">
        <f>R118-S118</f>
        <v>0</v>
      </c>
      <c r="U118" s="53" t="e">
        <f>T118/R118</f>
        <v>#DIV/0!</v>
      </c>
      <c r="V118" s="54">
        <v>0</v>
      </c>
      <c r="W118" s="54">
        <v>0</v>
      </c>
      <c r="X118" s="54">
        <f>V118-W118</f>
        <v>0</v>
      </c>
      <c r="Y118" s="53" t="e">
        <f>X118/V118</f>
        <v>#DIV/0!</v>
      </c>
      <c r="Z118" s="53">
        <v>0</v>
      </c>
      <c r="AA118" s="55" t="e">
        <f>(E118-K118-S118)/W118</f>
        <v>#DIV/0!</v>
      </c>
      <c r="AB118" s="55" t="e">
        <f>(D118-J118-R118)/V118</f>
        <v>#DIV/0!</v>
      </c>
      <c r="AC118" s="53" t="e">
        <f>(E118-K118-S118)/E118</f>
        <v>#DIV/0!</v>
      </c>
      <c r="AD118" s="56" t="e">
        <f>SUM(D118-H118)/D118</f>
        <v>#DIV/0!</v>
      </c>
      <c r="AE118" s="57"/>
      <c r="AG118" s="35"/>
      <c r="AH118" s="35"/>
      <c r="AK118" s="19">
        <f>SUM(W119-W118)</f>
        <v>0</v>
      </c>
      <c r="AL118" s="58">
        <f>SUM(K119-K118)</f>
        <v>0</v>
      </c>
    </row>
    <row r="119" ht="15" customHeight="1" spans="1:38" x14ac:dyDescent="0.25">
      <c r="A119" s="19"/>
      <c r="B119" s="20"/>
      <c r="C119" s="51" t="s">
        <v>97</v>
      </c>
      <c r="D119" s="52">
        <v>0</v>
      </c>
      <c r="E119" s="52">
        <v>0</v>
      </c>
      <c r="F119" s="52">
        <f>D119-E119</f>
        <v>0</v>
      </c>
      <c r="G119" s="53" t="e">
        <f>F119/D119</f>
        <v>#DIV/0!</v>
      </c>
      <c r="H119" s="52">
        <v>0</v>
      </c>
      <c r="I119" s="52">
        <v>0</v>
      </c>
      <c r="J119" s="52">
        <f>SUM(H119-R119)</f>
        <v>0</v>
      </c>
      <c r="K119" s="52">
        <f>SUM(I119-S119)</f>
        <v>0</v>
      </c>
      <c r="L119" s="52">
        <f>J119-K119</f>
        <v>0</v>
      </c>
      <c r="M119" s="53" t="e">
        <f>L119/J119</f>
        <v>#DIV/0!</v>
      </c>
      <c r="N119" s="53">
        <v>0</v>
      </c>
      <c r="O119" s="53"/>
      <c r="P119" s="53"/>
      <c r="Q119" s="53"/>
      <c r="R119" s="52">
        <v>0</v>
      </c>
      <c r="S119" s="52">
        <v>0</v>
      </c>
      <c r="T119" s="52">
        <f>R119-S119</f>
        <v>0</v>
      </c>
      <c r="U119" s="53" t="e">
        <f>T119/R119</f>
        <v>#DIV/0!</v>
      </c>
      <c r="V119" s="54">
        <v>0</v>
      </c>
      <c r="W119" s="54">
        <v>0</v>
      </c>
      <c r="X119" s="54">
        <f>V119-W119</f>
        <v>0</v>
      </c>
      <c r="Y119" s="53" t="e">
        <f>X119/V119</f>
        <v>#DIV/0!</v>
      </c>
      <c r="Z119" s="53">
        <v>0</v>
      </c>
      <c r="AA119" s="55" t="e">
        <f>(E119-K119-S119)/W119</f>
        <v>#DIV/0!</v>
      </c>
      <c r="AB119" s="55" t="e">
        <f>(D119-J119-R119)/V119</f>
        <v>#DIV/0!</v>
      </c>
      <c r="AC119" s="53" t="e">
        <f>(E119-K119-S119)/E119</f>
        <v>#DIV/0!</v>
      </c>
      <c r="AD119" s="56" t="e">
        <f>SUM(D119-H119)/D119</f>
        <v>#DIV/0!</v>
      </c>
      <c r="AE119" s="57"/>
      <c r="AG119" s="35" t="s">
        <v>98</v>
      </c>
      <c r="AH119" s="36">
        <v>0</v>
      </c>
      <c r="AK119" s="19">
        <f>SUM(W120-W119)</f>
        <v>0</v>
      </c>
      <c r="AL119" s="58">
        <f>SUM(K120-K119)</f>
        <v>0</v>
      </c>
    </row>
    <row r="120" ht="15" customHeight="1" spans="1:38" x14ac:dyDescent="0.25">
      <c r="A120" s="19"/>
      <c r="B120" s="20"/>
      <c r="C120" s="51" t="s">
        <v>99</v>
      </c>
      <c r="D120" s="52">
        <v>0</v>
      </c>
      <c r="E120" s="52">
        <v>0</v>
      </c>
      <c r="F120" s="52">
        <f>D120-E120</f>
        <v>0</v>
      </c>
      <c r="G120" s="53" t="e">
        <f>F120/D120</f>
        <v>#DIV/0!</v>
      </c>
      <c r="H120" s="52">
        <v>0</v>
      </c>
      <c r="I120" s="52">
        <v>0</v>
      </c>
      <c r="J120" s="52">
        <f>SUM(H120-R120)</f>
        <v>0</v>
      </c>
      <c r="K120" s="52">
        <f>SUM(I120-S120)</f>
        <v>0</v>
      </c>
      <c r="L120" s="52">
        <f>J120-K120</f>
        <v>0</v>
      </c>
      <c r="M120" s="53" t="e">
        <f>L120/J120</f>
        <v>#DIV/0!</v>
      </c>
      <c r="N120" s="53">
        <v>0</v>
      </c>
      <c r="O120" s="53"/>
      <c r="P120" s="53"/>
      <c r="Q120" s="53"/>
      <c r="R120" s="52">
        <v>0</v>
      </c>
      <c r="S120" s="52">
        <v>0</v>
      </c>
      <c r="T120" s="52">
        <f>R120-S120</f>
        <v>0</v>
      </c>
      <c r="U120" s="53" t="e">
        <f>T120/R120</f>
        <v>#DIV/0!</v>
      </c>
      <c r="V120" s="54">
        <v>0</v>
      </c>
      <c r="W120" s="54">
        <v>0</v>
      </c>
      <c r="X120" s="54">
        <f>V120-W120</f>
        <v>0</v>
      </c>
      <c r="Y120" s="53" t="e">
        <f>X120/V120</f>
        <v>#DIV/0!</v>
      </c>
      <c r="Z120" s="53">
        <v>0</v>
      </c>
      <c r="AA120" s="55" t="e">
        <f>(E120-K120-S120)/W120</f>
        <v>#DIV/0!</v>
      </c>
      <c r="AB120" s="55" t="e">
        <f>(D120-J120-R120)/V120</f>
        <v>#DIV/0!</v>
      </c>
      <c r="AC120" s="53" t="e">
        <f>(E120-K120-S120)/E120</f>
        <v>#DIV/0!</v>
      </c>
      <c r="AD120" s="56" t="e">
        <f>SUM(D120-H120)/D120</f>
        <v>#DIV/0!</v>
      </c>
      <c r="AE120" s="57"/>
      <c r="AG120" s="35"/>
      <c r="AH120" s="35"/>
      <c r="AK120" s="19">
        <f>SUM(W121-W120)</f>
        <v>0</v>
      </c>
      <c r="AL120" s="58">
        <f>SUM(K121-K120)</f>
        <v>0</v>
      </c>
    </row>
    <row r="121" ht="15" customHeight="1" spans="1:38" x14ac:dyDescent="0.25">
      <c r="A121" s="19"/>
      <c r="B121" s="20"/>
      <c r="C121" s="51" t="s">
        <v>100</v>
      </c>
      <c r="D121" s="52">
        <v>0</v>
      </c>
      <c r="E121" s="52">
        <v>0</v>
      </c>
      <c r="F121" s="52">
        <f>D121-E121</f>
        <v>0</v>
      </c>
      <c r="G121" s="53" t="e">
        <f>F121/D121</f>
        <v>#DIV/0!</v>
      </c>
      <c r="H121" s="52">
        <v>0</v>
      </c>
      <c r="I121" s="52">
        <v>0</v>
      </c>
      <c r="J121" s="52">
        <f>SUM(H121-R121)</f>
        <v>0</v>
      </c>
      <c r="K121" s="52">
        <f>SUM(I121-S121)</f>
        <v>0</v>
      </c>
      <c r="L121" s="52">
        <f>J121-K121</f>
        <v>0</v>
      </c>
      <c r="M121" s="53" t="e">
        <f>L121/J121</f>
        <v>#DIV/0!</v>
      </c>
      <c r="N121" s="53">
        <v>0</v>
      </c>
      <c r="O121" s="53"/>
      <c r="P121" s="53"/>
      <c r="Q121" s="53"/>
      <c r="R121" s="52">
        <v>0</v>
      </c>
      <c r="S121" s="52">
        <v>0</v>
      </c>
      <c r="T121" s="52">
        <f>R121-S121</f>
        <v>0</v>
      </c>
      <c r="U121" s="53" t="e">
        <f>T121/R121</f>
        <v>#DIV/0!</v>
      </c>
      <c r="V121" s="54">
        <v>0</v>
      </c>
      <c r="W121" s="54">
        <v>0</v>
      </c>
      <c r="X121" s="54">
        <f>V121-W121</f>
        <v>0</v>
      </c>
      <c r="Y121" s="53" t="e">
        <f>X121/V121</f>
        <v>#DIV/0!</v>
      </c>
      <c r="Z121" s="53">
        <v>0</v>
      </c>
      <c r="AA121" s="55" t="e">
        <f>(E121-K121-S121)/W121</f>
        <v>#DIV/0!</v>
      </c>
      <c r="AB121" s="55" t="e">
        <f>(D121-J121-R121)/V121</f>
        <v>#DIV/0!</v>
      </c>
      <c r="AC121" s="53" t="e">
        <f>(E121-K121-S121)/E121</f>
        <v>#DIV/0!</v>
      </c>
      <c r="AD121" s="56" t="e">
        <f>SUM(D121-H121)/D121</f>
        <v>#DIV/0!</v>
      </c>
      <c r="AE121" s="57"/>
      <c r="AG121" s="35"/>
      <c r="AH121" s="35"/>
      <c r="AK121" s="59">
        <f>SUM(AK116,AK117,AK118,AK119,AK120)</f>
        <v>-52</v>
      </c>
      <c r="AL121" s="60">
        <f>SUM(AL116,AL117,AL118,AL119,AL120)</f>
        <v>-8270.88</v>
      </c>
    </row>
    <row r="122" ht="9" customHeight="1" spans="1:38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G122" s="35"/>
      <c r="AH122" s="35"/>
      <c r="AK122" s="35"/>
      <c r="AL122" s="35"/>
    </row>
    <row r="123" ht="15" customHeight="1" spans="1:38" x14ac:dyDescent="0.25">
      <c r="A123" s="19">
        <f>'Main Sheet'!A38</f>
        <v>7901</v>
      </c>
      <c r="B123" s="20" t="str">
        <f>'Main Sheet'!B38</f>
        <v>St Albans Street</v>
      </c>
      <c r="C123" s="51" t="s">
        <v>92</v>
      </c>
      <c r="D123" s="52">
        <v>0</v>
      </c>
      <c r="E123" s="52">
        <v>0</v>
      </c>
      <c r="F123" s="52">
        <v>0</v>
      </c>
      <c r="G123" s="53" t="e">
        <f>F123/D123</f>
        <v>#DIV/0!</v>
      </c>
      <c r="H123" s="52">
        <v>0</v>
      </c>
      <c r="I123" s="52">
        <v>0</v>
      </c>
      <c r="J123" s="52">
        <f>SUM(H123-R123)</f>
        <v>0</v>
      </c>
      <c r="K123" s="52">
        <f>SUM(I123-S123)</f>
        <v>0</v>
      </c>
      <c r="L123" s="52">
        <f>J123-K123</f>
        <v>0</v>
      </c>
      <c r="M123" s="53" t="e">
        <f>L123/J123</f>
        <v>#DIV/0!</v>
      </c>
      <c r="N123" s="53">
        <v>0</v>
      </c>
      <c r="O123" s="53"/>
      <c r="P123" s="53"/>
      <c r="Q123" s="53"/>
      <c r="R123" s="52">
        <v>0</v>
      </c>
      <c r="S123" s="52">
        <v>0</v>
      </c>
      <c r="T123" s="52">
        <f>R123-S123</f>
        <v>0</v>
      </c>
      <c r="U123" s="53" t="e">
        <f>T123/R123</f>
        <v>#DIV/0!</v>
      </c>
      <c r="V123" s="54">
        <v>0</v>
      </c>
      <c r="W123" s="54">
        <v>0</v>
      </c>
      <c r="X123" s="54">
        <f>V123-W123</f>
        <v>0</v>
      </c>
      <c r="Y123" s="53" t="e">
        <f>X123/V123</f>
        <v>#DIV/0!</v>
      </c>
      <c r="Z123" s="53">
        <v>0</v>
      </c>
      <c r="AA123" s="55" t="e">
        <f>(E123-K123-S123)/W123</f>
        <v>#DIV/0!</v>
      </c>
      <c r="AB123" s="55" t="e">
        <f>(D123-J123-R123)/V123</f>
        <v>#DIV/0!</v>
      </c>
      <c r="AC123" s="53" t="e">
        <f>(E123-K123-S123)/E123</f>
        <v>#DIV/0!</v>
      </c>
      <c r="AD123" s="56" t="e">
        <f>SUM(D123-H123)/D123</f>
        <v>#DIV/0!</v>
      </c>
      <c r="AE123" s="57"/>
      <c r="AG123" s="35" t="s">
        <v>93</v>
      </c>
      <c r="AH123" s="35">
        <f>AK128</f>
        <v>0</v>
      </c>
      <c r="AK123" s="19">
        <f>SUM(W124-W123)</f>
        <v>0</v>
      </c>
      <c r="AL123" s="58">
        <f>SUM(K124-K123)</f>
        <v>0</v>
      </c>
    </row>
    <row r="124" ht="15" customHeight="1" spans="1:38" x14ac:dyDescent="0.25">
      <c r="A124" s="19"/>
      <c r="B124" s="20"/>
      <c r="C124" s="51" t="s">
        <v>94</v>
      </c>
      <c r="D124" s="52">
        <v>0</v>
      </c>
      <c r="E124" s="52">
        <v>0</v>
      </c>
      <c r="F124" s="52">
        <f>D124-E124</f>
        <v>0</v>
      </c>
      <c r="G124" s="53" t="e">
        <f>F124/D124</f>
        <v>#DIV/0!</v>
      </c>
      <c r="H124" s="52">
        <v>0</v>
      </c>
      <c r="I124" s="52">
        <v>0</v>
      </c>
      <c r="J124" s="52">
        <f>SUM(H124-R124)</f>
        <v>0</v>
      </c>
      <c r="K124" s="52">
        <f>SUM(I124-S124)</f>
        <v>0</v>
      </c>
      <c r="L124" s="52">
        <f>J124-K124</f>
        <v>0</v>
      </c>
      <c r="M124" s="53" t="e">
        <f>L124/J124</f>
        <v>#DIV/0!</v>
      </c>
      <c r="N124" s="53"/>
      <c r="O124" s="53"/>
      <c r="P124" s="53"/>
      <c r="Q124" s="53"/>
      <c r="R124" s="52">
        <v>0</v>
      </c>
      <c r="S124" s="52">
        <v>0</v>
      </c>
      <c r="T124" s="52">
        <f>R124-S124</f>
        <v>0</v>
      </c>
      <c r="U124" s="53" t="e">
        <f>T124/R124</f>
        <v>#DIV/0!</v>
      </c>
      <c r="V124" s="54">
        <v>0</v>
      </c>
      <c r="W124" s="54">
        <v>0</v>
      </c>
      <c r="X124" s="54">
        <f>V124-W124</f>
        <v>0</v>
      </c>
      <c r="Y124" s="53" t="e">
        <f>X124/V124</f>
        <v>#DIV/0!</v>
      </c>
      <c r="Z124" s="53"/>
      <c r="AA124" s="55" t="e">
        <f>(E124-K124-S124)/W124</f>
        <v>#DIV/0!</v>
      </c>
      <c r="AB124" s="55" t="e">
        <f>(D124-J124-R124)/V124</f>
        <v>#DIV/0!</v>
      </c>
      <c r="AC124" s="53" t="e">
        <f>(E124-K124-S124)/E124</f>
        <v>#DIV/0!</v>
      </c>
      <c r="AD124" s="56" t="e">
        <f>SUM(D124-H124)/D124</f>
        <v>#DIV/0!</v>
      </c>
      <c r="AE124" s="57"/>
      <c r="AG124" s="35" t="s">
        <v>95</v>
      </c>
      <c r="AH124" s="36">
        <f>AL128</f>
        <v>0</v>
      </c>
      <c r="AK124" s="19">
        <f>SUM(W125-W124)</f>
        <v>0</v>
      </c>
      <c r="AL124" s="58">
        <f>SUM(K125-K124)</f>
        <v>0</v>
      </c>
    </row>
    <row r="125" ht="15" customHeight="1" spans="1:38" x14ac:dyDescent="0.25">
      <c r="A125" s="19"/>
      <c r="B125" s="20"/>
      <c r="C125" s="51" t="s">
        <v>96</v>
      </c>
      <c r="D125" s="52">
        <v>0</v>
      </c>
      <c r="E125" s="52">
        <v>0</v>
      </c>
      <c r="F125" s="52">
        <f>D125-E125</f>
        <v>0</v>
      </c>
      <c r="G125" s="53" t="e">
        <f>F125/D125</f>
        <v>#DIV/0!</v>
      </c>
      <c r="H125" s="52">
        <v>0</v>
      </c>
      <c r="I125" s="52">
        <v>0</v>
      </c>
      <c r="J125" s="52">
        <f>SUM(H125-R125)</f>
        <v>0</v>
      </c>
      <c r="K125" s="52">
        <f>SUM(I125-S125)</f>
        <v>0</v>
      </c>
      <c r="L125" s="52">
        <f>J125-K125</f>
        <v>0</v>
      </c>
      <c r="M125" s="53" t="e">
        <f>L125/J125</f>
        <v>#DIV/0!</v>
      </c>
      <c r="N125" s="53"/>
      <c r="O125" s="53"/>
      <c r="P125" s="53"/>
      <c r="Q125" s="53"/>
      <c r="R125" s="52">
        <v>0</v>
      </c>
      <c r="S125" s="52">
        <v>0</v>
      </c>
      <c r="T125" s="52">
        <f>R125-S125</f>
        <v>0</v>
      </c>
      <c r="U125" s="53" t="e">
        <f>T125/R125</f>
        <v>#DIV/0!</v>
      </c>
      <c r="V125" s="54">
        <v>0</v>
      </c>
      <c r="W125" s="54">
        <v>0</v>
      </c>
      <c r="X125" s="54">
        <f>V125-W125</f>
        <v>0</v>
      </c>
      <c r="Y125" s="53" t="e">
        <f>X125/V125</f>
        <v>#DIV/0!</v>
      </c>
      <c r="Z125" s="53"/>
      <c r="AA125" s="55" t="e">
        <f>(E125-K125-S125)/W125</f>
        <v>#DIV/0!</v>
      </c>
      <c r="AB125" s="55" t="e">
        <f>(D125-J125-R125)/V125</f>
        <v>#DIV/0!</v>
      </c>
      <c r="AC125" s="53" t="e">
        <f>(E125-K125-S125)/E125</f>
        <v>#DIV/0!</v>
      </c>
      <c r="AD125" s="56" t="e">
        <f>SUM(D125-H125)/D125</f>
        <v>#DIV/0!</v>
      </c>
      <c r="AE125" s="57"/>
      <c r="AG125" s="35"/>
      <c r="AH125" s="35"/>
      <c r="AK125" s="19">
        <f>SUM(W126-W125)</f>
        <v>0</v>
      </c>
      <c r="AL125" s="58">
        <f>SUM(K126-K125)</f>
        <v>0</v>
      </c>
    </row>
    <row r="126" ht="15" customHeight="1" spans="1:38" x14ac:dyDescent="0.25">
      <c r="A126" s="19"/>
      <c r="B126" s="20"/>
      <c r="C126" s="51" t="s">
        <v>97</v>
      </c>
      <c r="D126" s="52">
        <v>0</v>
      </c>
      <c r="E126" s="52">
        <v>0</v>
      </c>
      <c r="F126" s="52">
        <f>D126-E126</f>
        <v>0</v>
      </c>
      <c r="G126" s="53" t="e">
        <f>F126/D126</f>
        <v>#DIV/0!</v>
      </c>
      <c r="H126" s="52">
        <v>0</v>
      </c>
      <c r="I126" s="52">
        <v>0</v>
      </c>
      <c r="J126" s="52">
        <f>SUM(H126-R126)</f>
        <v>0</v>
      </c>
      <c r="K126" s="52">
        <f>SUM(I126-S126)</f>
        <v>0</v>
      </c>
      <c r="L126" s="52">
        <f>J126-K126</f>
        <v>0</v>
      </c>
      <c r="M126" s="53" t="e">
        <f>L126/J126</f>
        <v>#DIV/0!</v>
      </c>
      <c r="N126" s="53"/>
      <c r="O126" s="53"/>
      <c r="P126" s="53"/>
      <c r="Q126" s="53"/>
      <c r="R126" s="52">
        <v>0</v>
      </c>
      <c r="S126" s="52">
        <v>0</v>
      </c>
      <c r="T126" s="52">
        <f>R126-S126</f>
        <v>0</v>
      </c>
      <c r="U126" s="53" t="e">
        <f>T126/R126</f>
        <v>#DIV/0!</v>
      </c>
      <c r="V126" s="54">
        <v>0</v>
      </c>
      <c r="W126" s="54">
        <v>0</v>
      </c>
      <c r="X126" s="54">
        <f>V126-W126</f>
        <v>0</v>
      </c>
      <c r="Y126" s="53" t="e">
        <f>X126/V126</f>
        <v>#DIV/0!</v>
      </c>
      <c r="Z126" s="53"/>
      <c r="AA126" s="55" t="e">
        <f>(E126-K126-S126)/W126</f>
        <v>#DIV/0!</v>
      </c>
      <c r="AB126" s="55" t="e">
        <f>(D126-J126-R126)/V126</f>
        <v>#DIV/0!</v>
      </c>
      <c r="AC126" s="53" t="e">
        <f>(E126-K126-S126)/E126</f>
        <v>#DIV/0!</v>
      </c>
      <c r="AD126" s="56" t="e">
        <f>SUM(D126-H126)/D126</f>
        <v>#DIV/0!</v>
      </c>
      <c r="AE126" s="57"/>
      <c r="AG126" s="35" t="s">
        <v>98</v>
      </c>
      <c r="AH126" s="36">
        <v>0</v>
      </c>
      <c r="AK126" s="19">
        <f>SUM(W127-W126)</f>
        <v>0</v>
      </c>
      <c r="AL126" s="58">
        <f>SUM(K127-K126)</f>
        <v>0</v>
      </c>
    </row>
    <row r="127" ht="15" customHeight="1" spans="1:38" x14ac:dyDescent="0.25">
      <c r="A127" s="19"/>
      <c r="B127" s="20"/>
      <c r="C127" s="51" t="s">
        <v>99</v>
      </c>
      <c r="D127" s="52">
        <v>0</v>
      </c>
      <c r="E127" s="52">
        <v>0</v>
      </c>
      <c r="F127" s="52">
        <f>D127-E127</f>
        <v>0</v>
      </c>
      <c r="G127" s="53" t="e">
        <f>F127/D127</f>
        <v>#DIV/0!</v>
      </c>
      <c r="H127" s="52">
        <v>0</v>
      </c>
      <c r="I127" s="52">
        <v>0</v>
      </c>
      <c r="J127" s="52">
        <f>SUM(H127-R127)</f>
        <v>0</v>
      </c>
      <c r="K127" s="52">
        <f>SUM(I127-S127)</f>
        <v>0</v>
      </c>
      <c r="L127" s="52">
        <f>J127-K127</f>
        <v>0</v>
      </c>
      <c r="M127" s="53" t="e">
        <f>L127/J127</f>
        <v>#DIV/0!</v>
      </c>
      <c r="N127" s="53"/>
      <c r="O127" s="53"/>
      <c r="P127" s="53"/>
      <c r="Q127" s="53"/>
      <c r="R127" s="52">
        <v>0</v>
      </c>
      <c r="S127" s="52">
        <v>0</v>
      </c>
      <c r="T127" s="52">
        <f>R127-S127</f>
        <v>0</v>
      </c>
      <c r="U127" s="53" t="e">
        <f>T127/R127</f>
        <v>#DIV/0!</v>
      </c>
      <c r="V127" s="54">
        <v>0</v>
      </c>
      <c r="W127" s="54">
        <v>0</v>
      </c>
      <c r="X127" s="54">
        <f>V127-W127</f>
        <v>0</v>
      </c>
      <c r="Y127" s="53" t="e">
        <f>X127/V127</f>
        <v>#DIV/0!</v>
      </c>
      <c r="Z127" s="53"/>
      <c r="AA127" s="55" t="e">
        <f>(E127-K127-S127)/W127</f>
        <v>#DIV/0!</v>
      </c>
      <c r="AB127" s="55" t="e">
        <f>(D127-J127-R127)/V127</f>
        <v>#DIV/0!</v>
      </c>
      <c r="AC127" s="53" t="e">
        <f>(E127-K127-S127)/E127</f>
        <v>#DIV/0!</v>
      </c>
      <c r="AD127" s="56" t="e">
        <f>SUM(D127-H127)/D127</f>
        <v>#DIV/0!</v>
      </c>
      <c r="AE127" s="57"/>
      <c r="AG127" s="35"/>
      <c r="AH127" s="35"/>
      <c r="AK127" s="19">
        <f>SUM(W128-W127)</f>
        <v>0</v>
      </c>
      <c r="AL127" s="58">
        <f>SUM(K128-K127)</f>
        <v>0</v>
      </c>
    </row>
    <row r="128" ht="15" customHeight="1" spans="1:38" x14ac:dyDescent="0.25">
      <c r="A128" s="19"/>
      <c r="B128" s="20"/>
      <c r="C128" s="51" t="s">
        <v>100</v>
      </c>
      <c r="D128" s="52">
        <v>0</v>
      </c>
      <c r="E128" s="52">
        <v>0</v>
      </c>
      <c r="F128" s="52">
        <f>D128-E128</f>
        <v>0</v>
      </c>
      <c r="G128" s="53" t="e">
        <f>F128/D128</f>
        <v>#DIV/0!</v>
      </c>
      <c r="H128" s="52">
        <v>0</v>
      </c>
      <c r="I128" s="52">
        <v>0</v>
      </c>
      <c r="J128" s="52">
        <f>SUM(H128-R128)</f>
        <v>0</v>
      </c>
      <c r="K128" s="52">
        <f>SUM(I128-S128)</f>
        <v>0</v>
      </c>
      <c r="L128" s="52">
        <f>J128-K128</f>
        <v>0</v>
      </c>
      <c r="M128" s="53" t="e">
        <f>L128/J128</f>
        <v>#DIV/0!</v>
      </c>
      <c r="N128" s="53"/>
      <c r="O128" s="53"/>
      <c r="P128" s="53"/>
      <c r="Q128" s="53"/>
      <c r="R128" s="52">
        <v>0</v>
      </c>
      <c r="S128" s="52">
        <v>0</v>
      </c>
      <c r="T128" s="52">
        <f>R128-S128</f>
        <v>0</v>
      </c>
      <c r="U128" s="53" t="e">
        <f>T128/R128</f>
        <v>#DIV/0!</v>
      </c>
      <c r="V128" s="54">
        <v>0</v>
      </c>
      <c r="W128" s="54">
        <v>0</v>
      </c>
      <c r="X128" s="54">
        <f>V128-W128</f>
        <v>0</v>
      </c>
      <c r="Y128" s="53" t="e">
        <f>X128/V128</f>
        <v>#DIV/0!</v>
      </c>
      <c r="Z128" s="53"/>
      <c r="AA128" s="55" t="e">
        <f>(E128-K128-S128)/W128</f>
        <v>#DIV/0!</v>
      </c>
      <c r="AB128" s="55" t="e">
        <f>(D128-J128-R128)/V128</f>
        <v>#DIV/0!</v>
      </c>
      <c r="AC128" s="53" t="e">
        <f>(E128-K128-S128)/E128</f>
        <v>#DIV/0!</v>
      </c>
      <c r="AD128" s="56" t="e">
        <f>SUM(D128-H128)/D128</f>
        <v>#DIV/0!</v>
      </c>
      <c r="AE128" s="57"/>
      <c r="AG128" s="35"/>
      <c r="AH128" s="35"/>
      <c r="AK128" s="59">
        <f>SUM(AK123,AK124,AK125,AK126,AK127)</f>
        <v>0</v>
      </c>
      <c r="AL128" s="60">
        <f>SUM(AL123,AL124,AL125,AL126,AL127)</f>
        <v>0</v>
      </c>
    </row>
    <row r="129" ht="9" customHeight="1" spans="1:38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  <c r="AG129" s="35"/>
      <c r="AH129" s="35"/>
      <c r="AK129" s="35"/>
      <c r="AL129" s="35"/>
    </row>
    <row r="130" ht="15" customHeight="1" spans="1:38" x14ac:dyDescent="0.25">
      <c r="A130" s="19">
        <f>'Main Sheet'!A40</f>
        <v>8923</v>
      </c>
      <c r="B130" s="20" t="str">
        <f>'Main Sheet'!B40</f>
        <v>4 Perry St</v>
      </c>
      <c r="C130" s="51" t="s">
        <v>92</v>
      </c>
      <c r="D130" s="52">
        <v>47191.69</v>
      </c>
      <c r="E130" s="52">
        <v>32679.16</v>
      </c>
      <c r="F130" s="52">
        <f>D130-E130</f>
        <v>14512.53</v>
      </c>
      <c r="G130" s="53">
        <f>F130/D130</f>
        <v>0.30752299822278</v>
      </c>
      <c r="H130" s="52">
        <v>30406.12</v>
      </c>
      <c r="I130" s="52">
        <v>21779.51</v>
      </c>
      <c r="J130" s="52">
        <f>SUM(H130-R130)</f>
        <v>15384</v>
      </c>
      <c r="K130" s="52">
        <f>SUM(I130-S130)</f>
        <v>8004.44</v>
      </c>
      <c r="L130" s="52">
        <f>J130-K130</f>
        <v>7379.56</v>
      </c>
      <c r="M130" s="53">
        <f>L130/J130</f>
        <v>0.479690587623505</v>
      </c>
      <c r="N130" s="53">
        <v>0</v>
      </c>
      <c r="O130" s="53"/>
      <c r="P130" s="53"/>
      <c r="Q130" s="53"/>
      <c r="R130" s="52">
        <v>15022.12</v>
      </c>
      <c r="S130" s="52">
        <v>13775.07</v>
      </c>
      <c r="T130" s="52">
        <f>R130-S130</f>
        <v>1247.05</v>
      </c>
      <c r="U130" s="53">
        <f>T130/R130</f>
        <v>0.0830142483218082</v>
      </c>
      <c r="V130" s="54">
        <v>301.53</v>
      </c>
      <c r="W130" s="54">
        <v>180.75</v>
      </c>
      <c r="X130" s="54">
        <f>V130-W130</f>
        <v>120.78</v>
      </c>
      <c r="Y130" s="53">
        <f>X130/V130</f>
        <v>0.400557158491692</v>
      </c>
      <c r="Z130" s="53">
        <v>0</v>
      </c>
      <c r="AA130" s="55">
        <f>(E130-K130-S130)/W130</f>
        <v>60.3023513139696</v>
      </c>
      <c r="AB130" s="55">
        <f>(D130-J130-R130)/V130</f>
        <v>55.667993234504</v>
      </c>
      <c r="AC130" s="53">
        <f>(E130-K130-S130)/E130</f>
        <v>0.333535194907091</v>
      </c>
      <c r="AD130" s="56">
        <f>SUM(D130-H130)/D130</f>
        <v>0.355689105433605</v>
      </c>
      <c r="AE130" s="57"/>
      <c r="AG130" s="35" t="s">
        <v>93</v>
      </c>
      <c r="AH130" s="35">
        <f>AK135</f>
        <v>-180.75</v>
      </c>
      <c r="AK130" s="19">
        <f>SUM(W131-W130)</f>
        <v>4.5</v>
      </c>
      <c r="AL130" s="58">
        <f>SUM(K131-K130)</f>
        <v>5821.52</v>
      </c>
    </row>
    <row r="131" ht="15" customHeight="1" spans="1:38" x14ac:dyDescent="0.25">
      <c r="A131" s="19"/>
      <c r="B131" s="20"/>
      <c r="C131" s="51" t="s">
        <v>94</v>
      </c>
      <c r="D131" s="52">
        <v>47191.69</v>
      </c>
      <c r="E131" s="52">
        <v>35940.5</v>
      </c>
      <c r="F131" s="52">
        <f>D131-E131</f>
        <v>11251.19</v>
      </c>
      <c r="G131" s="53">
        <f>F131/D131</f>
        <v>0.238414644612219</v>
      </c>
      <c r="H131" s="52">
        <v>30406.12</v>
      </c>
      <c r="I131" s="52">
        <v>22080.06</v>
      </c>
      <c r="J131" s="52">
        <f>SUM(H131-R131)</f>
        <v>15505.37</v>
      </c>
      <c r="K131" s="52">
        <f>SUM(I131-S131)</f>
        <v>13825.96</v>
      </c>
      <c r="L131" s="52">
        <f>J131-K131</f>
        <v>1679.41</v>
      </c>
      <c r="M131" s="53">
        <f>L131/J131</f>
        <v>0.108311507561574</v>
      </c>
      <c r="N131" s="53">
        <v>0</v>
      </c>
      <c r="O131" s="53"/>
      <c r="P131" s="53"/>
      <c r="Q131" s="53"/>
      <c r="R131" s="52">
        <v>14900.75</v>
      </c>
      <c r="S131" s="52">
        <v>8254.1</v>
      </c>
      <c r="T131" s="52">
        <f>R131-S131</f>
        <v>6646.65</v>
      </c>
      <c r="U131" s="53">
        <f>T131/R131</f>
        <v>0.44606143986041</v>
      </c>
      <c r="V131" s="54">
        <v>301.53</v>
      </c>
      <c r="W131" s="54">
        <v>185.25</v>
      </c>
      <c r="X131" s="54">
        <f>V131-W131</f>
        <v>116.28</v>
      </c>
      <c r="Y131" s="53">
        <f>X131/V131</f>
        <v>0.385633270321361</v>
      </c>
      <c r="Z131" s="53">
        <v>0</v>
      </c>
      <c r="AA131" s="55">
        <f>(E131-K131-S131)/W131</f>
        <v>74.8201889338731</v>
      </c>
      <c r="AB131" s="55">
        <f>(D131-J131-R131)/V131</f>
        <v>55.667993234504</v>
      </c>
      <c r="AC131" s="53">
        <f>(E131-K131-S131)/E131</f>
        <v>0.385649615336459</v>
      </c>
      <c r="AD131" s="56">
        <f>SUM(D131-H131)/D131</f>
        <v>0.355689105433605</v>
      </c>
      <c r="AE131" s="57"/>
      <c r="AG131" s="35" t="s">
        <v>95</v>
      </c>
      <c r="AH131" s="36">
        <f>AL135</f>
        <v>-8004.44</v>
      </c>
      <c r="AK131" s="19">
        <f>SUM(W132-W131)</f>
        <v>-185.25</v>
      </c>
      <c r="AL131" s="58">
        <f>SUM(K132-K131)</f>
        <v>-13825.96</v>
      </c>
    </row>
    <row r="132" ht="15" customHeight="1" spans="1:38" x14ac:dyDescent="0.25">
      <c r="A132" s="19"/>
      <c r="B132" s="20"/>
      <c r="C132" s="51" t="s">
        <v>96</v>
      </c>
      <c r="D132" s="52">
        <v>0</v>
      </c>
      <c r="E132" s="52">
        <v>0</v>
      </c>
      <c r="F132" s="52">
        <f>D132-E132</f>
        <v>0</v>
      </c>
      <c r="G132" s="53" t="e">
        <f>F132/D132</f>
        <v>#DIV/0!</v>
      </c>
      <c r="H132" s="52">
        <v>0</v>
      </c>
      <c r="I132" s="52">
        <v>0</v>
      </c>
      <c r="J132" s="52">
        <f>SUM(H132-R132)</f>
        <v>0</v>
      </c>
      <c r="K132" s="52">
        <f>SUM(I132-S132)</f>
        <v>0</v>
      </c>
      <c r="L132" s="52">
        <f>J132-K132</f>
        <v>0</v>
      </c>
      <c r="M132" s="53" t="e">
        <f>L132/J132</f>
        <v>#DIV/0!</v>
      </c>
      <c r="N132" s="53"/>
      <c r="O132" s="53"/>
      <c r="P132" s="53"/>
      <c r="Q132" s="53"/>
      <c r="R132" s="52">
        <v>0</v>
      </c>
      <c r="S132" s="52">
        <v>0</v>
      </c>
      <c r="T132" s="52">
        <f>R132-S132</f>
        <v>0</v>
      </c>
      <c r="U132" s="53" t="e">
        <f>T132/R132</f>
        <v>#DIV/0!</v>
      </c>
      <c r="V132" s="54">
        <v>0</v>
      </c>
      <c r="W132" s="54">
        <v>0</v>
      </c>
      <c r="X132" s="54">
        <f>V132-W132</f>
        <v>0</v>
      </c>
      <c r="Y132" s="53" t="e">
        <f>X132/V132</f>
        <v>#DIV/0!</v>
      </c>
      <c r="Z132" s="53">
        <v>0</v>
      </c>
      <c r="AA132" s="55" t="e">
        <f>(E132-K132-S132)/W132</f>
        <v>#DIV/0!</v>
      </c>
      <c r="AB132" s="55" t="e">
        <f>(D132-J132-R132)/V132</f>
        <v>#DIV/0!</v>
      </c>
      <c r="AC132" s="53" t="e">
        <f>(E132-K132-S132)/E132</f>
        <v>#DIV/0!</v>
      </c>
      <c r="AD132" s="56" t="e">
        <f>SUM(D132-H132)/D132</f>
        <v>#DIV/0!</v>
      </c>
      <c r="AE132" s="57"/>
      <c r="AG132" s="35"/>
      <c r="AH132" s="35"/>
      <c r="AK132" s="19">
        <f>SUM(W133-W132)</f>
        <v>0</v>
      </c>
      <c r="AL132" s="58">
        <f>SUM(K133-K132)</f>
        <v>0</v>
      </c>
    </row>
    <row r="133" ht="15" customHeight="1" spans="1:38" x14ac:dyDescent="0.25">
      <c r="A133" s="19"/>
      <c r="B133" s="20"/>
      <c r="C133" s="51" t="s">
        <v>97</v>
      </c>
      <c r="D133" s="52">
        <v>0</v>
      </c>
      <c r="E133" s="52">
        <v>0</v>
      </c>
      <c r="F133" s="52">
        <f>D133-E133</f>
        <v>0</v>
      </c>
      <c r="G133" s="53" t="e">
        <f>F133/D133</f>
        <v>#DIV/0!</v>
      </c>
      <c r="H133" s="52">
        <v>0</v>
      </c>
      <c r="I133" s="52">
        <v>0</v>
      </c>
      <c r="J133" s="52">
        <f>SUM(H133-R133)</f>
        <v>0</v>
      </c>
      <c r="K133" s="52">
        <f>SUM(I133-S133)</f>
        <v>0</v>
      </c>
      <c r="L133" s="52">
        <f>J133-K133</f>
        <v>0</v>
      </c>
      <c r="M133" s="53" t="e">
        <f>L133/J133</f>
        <v>#DIV/0!</v>
      </c>
      <c r="N133" s="53"/>
      <c r="O133" s="53"/>
      <c r="P133" s="53"/>
      <c r="Q133" s="53"/>
      <c r="R133" s="52">
        <v>0</v>
      </c>
      <c r="S133" s="52">
        <v>0</v>
      </c>
      <c r="T133" s="52">
        <f>R133-S133</f>
        <v>0</v>
      </c>
      <c r="U133" s="53" t="e">
        <f>T133/R133</f>
        <v>#DIV/0!</v>
      </c>
      <c r="V133" s="54">
        <v>0</v>
      </c>
      <c r="W133" s="54">
        <v>0</v>
      </c>
      <c r="X133" s="54">
        <f>V133-W133</f>
        <v>0</v>
      </c>
      <c r="Y133" s="53" t="e">
        <f>X133/V133</f>
        <v>#DIV/0!</v>
      </c>
      <c r="Z133" s="53">
        <v>0</v>
      </c>
      <c r="AA133" s="55" t="e">
        <f>(E133-K133-S133)/W133</f>
        <v>#DIV/0!</v>
      </c>
      <c r="AB133" s="55" t="e">
        <f>(D133-J133-R133)/V133</f>
        <v>#DIV/0!</v>
      </c>
      <c r="AC133" s="53" t="e">
        <f>(E133-K133-S133)/E133</f>
        <v>#DIV/0!</v>
      </c>
      <c r="AD133" s="56" t="e">
        <f>SUM(D133-H133)/D133</f>
        <v>#DIV/0!</v>
      </c>
      <c r="AE133" s="57"/>
      <c r="AG133" s="35" t="s">
        <v>98</v>
      </c>
      <c r="AH133" s="36">
        <v>0</v>
      </c>
      <c r="AK133" s="19">
        <f>SUM(W134-W133)</f>
        <v>0</v>
      </c>
      <c r="AL133" s="58">
        <f>SUM(K134-K133)</f>
        <v>0</v>
      </c>
    </row>
    <row r="134" ht="15" customHeight="1" spans="1:38" x14ac:dyDescent="0.25">
      <c r="A134" s="19"/>
      <c r="B134" s="20"/>
      <c r="C134" s="51" t="s">
        <v>99</v>
      </c>
      <c r="D134" s="52">
        <v>0</v>
      </c>
      <c r="E134" s="52">
        <v>0</v>
      </c>
      <c r="F134" s="52">
        <f>D134-E134</f>
        <v>0</v>
      </c>
      <c r="G134" s="53" t="e">
        <f>F134/D134</f>
        <v>#DIV/0!</v>
      </c>
      <c r="H134" s="52">
        <v>0</v>
      </c>
      <c r="I134" s="52">
        <v>0</v>
      </c>
      <c r="J134" s="52">
        <f>SUM(H134-R134)</f>
        <v>0</v>
      </c>
      <c r="K134" s="52">
        <f>SUM(I134-S134)</f>
        <v>0</v>
      </c>
      <c r="L134" s="52">
        <f>J134-K134</f>
        <v>0</v>
      </c>
      <c r="M134" s="53" t="e">
        <f>L134/J134</f>
        <v>#DIV/0!</v>
      </c>
      <c r="N134" s="53"/>
      <c r="O134" s="53"/>
      <c r="P134" s="53"/>
      <c r="Q134" s="53"/>
      <c r="R134" s="52">
        <v>0</v>
      </c>
      <c r="S134" s="52">
        <v>0</v>
      </c>
      <c r="T134" s="52">
        <f>R134-S134</f>
        <v>0</v>
      </c>
      <c r="U134" s="53" t="e">
        <f>T134/R134</f>
        <v>#DIV/0!</v>
      </c>
      <c r="V134" s="54">
        <v>0</v>
      </c>
      <c r="W134" s="54">
        <v>0</v>
      </c>
      <c r="X134" s="54">
        <f>V134-W134</f>
        <v>0</v>
      </c>
      <c r="Y134" s="53" t="e">
        <f>X134/V134</f>
        <v>#DIV/0!</v>
      </c>
      <c r="Z134" s="53">
        <v>0</v>
      </c>
      <c r="AA134" s="55" t="e">
        <f>(E134-K134-S134)/W134</f>
        <v>#DIV/0!</v>
      </c>
      <c r="AB134" s="55" t="e">
        <f>(D134-J134-R134)/V134</f>
        <v>#DIV/0!</v>
      </c>
      <c r="AC134" s="53" t="e">
        <f>(E134-K134-S134)/E134</f>
        <v>#DIV/0!</v>
      </c>
      <c r="AD134" s="56" t="e">
        <f>SUM(D134-H134)/D134</f>
        <v>#DIV/0!</v>
      </c>
      <c r="AE134" s="57"/>
      <c r="AG134" s="35"/>
      <c r="AH134" s="35"/>
      <c r="AK134" s="19">
        <f>SUM(W135-W134)</f>
        <v>0</v>
      </c>
      <c r="AL134" s="58">
        <f>SUM(K135-K134)</f>
        <v>0</v>
      </c>
    </row>
    <row r="135" ht="15" customHeight="1" spans="1:38" x14ac:dyDescent="0.25">
      <c r="A135" s="19"/>
      <c r="B135" s="20"/>
      <c r="C135" s="51" t="s">
        <v>100</v>
      </c>
      <c r="D135" s="52">
        <v>0</v>
      </c>
      <c r="E135" s="52">
        <v>0</v>
      </c>
      <c r="F135" s="52">
        <f>D135-E135</f>
        <v>0</v>
      </c>
      <c r="G135" s="53" t="e">
        <f>F135/D135</f>
        <v>#DIV/0!</v>
      </c>
      <c r="H135" s="52">
        <v>0</v>
      </c>
      <c r="I135" s="52">
        <v>0</v>
      </c>
      <c r="J135" s="52">
        <f>SUM(H135-R135)</f>
        <v>0</v>
      </c>
      <c r="K135" s="52">
        <f>SUM(I135-S135)</f>
        <v>0</v>
      </c>
      <c r="L135" s="52">
        <f>J135-K135</f>
        <v>0</v>
      </c>
      <c r="M135" s="53" t="e">
        <f>L135/J135</f>
        <v>#DIV/0!</v>
      </c>
      <c r="N135" s="53"/>
      <c r="O135" s="53"/>
      <c r="P135" s="53"/>
      <c r="Q135" s="53"/>
      <c r="R135" s="52">
        <v>0</v>
      </c>
      <c r="S135" s="52">
        <v>0</v>
      </c>
      <c r="T135" s="52">
        <f>R135-S135</f>
        <v>0</v>
      </c>
      <c r="U135" s="53" t="e">
        <f>T135/R135</f>
        <v>#DIV/0!</v>
      </c>
      <c r="V135" s="54">
        <v>0</v>
      </c>
      <c r="W135" s="54">
        <v>0</v>
      </c>
      <c r="X135" s="54">
        <f>V135-W135</f>
        <v>0</v>
      </c>
      <c r="Y135" s="53" t="e">
        <f>X135/V135</f>
        <v>#DIV/0!</v>
      </c>
      <c r="Z135" s="53">
        <v>0</v>
      </c>
      <c r="AA135" s="55" t="e">
        <f>(E135-K135-S135)/W135</f>
        <v>#DIV/0!</v>
      </c>
      <c r="AB135" s="55" t="e">
        <f>(D135-J135-R135)/V135</f>
        <v>#DIV/0!</v>
      </c>
      <c r="AC135" s="53" t="e">
        <f>(E135-K135-S135)/E135</f>
        <v>#DIV/0!</v>
      </c>
      <c r="AD135" s="56" t="e">
        <f>SUM(D135-H135)/D135</f>
        <v>#DIV/0!</v>
      </c>
      <c r="AE135" s="57"/>
      <c r="AG135" s="35"/>
      <c r="AH135" s="35"/>
      <c r="AK135" s="59">
        <f>SUM(AK130,AK131,AK132,AK133,AK134)</f>
        <v>-180.75</v>
      </c>
      <c r="AL135" s="60">
        <f>SUM(AL130,AL131,AL132,AL133,AL134)</f>
        <v>-8004.44</v>
      </c>
    </row>
    <row r="136" ht="9" customHeight="1" spans="1:38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G136" s="35"/>
      <c r="AH136" s="35"/>
      <c r="AK136" s="35"/>
      <c r="AL136" s="35"/>
    </row>
    <row r="137" ht="15" customHeight="1" spans="1:38" x14ac:dyDescent="0.25">
      <c r="A137" s="19">
        <f>'Main Sheet'!A42</f>
        <v>7864</v>
      </c>
      <c r="B137" s="20" t="str">
        <f>'Main Sheet'!B42</f>
        <v>Ryans House</v>
      </c>
      <c r="C137" s="51" t="s">
        <v>92</v>
      </c>
      <c r="D137" s="52">
        <v>0</v>
      </c>
      <c r="E137" s="52">
        <v>0</v>
      </c>
      <c r="F137" s="52">
        <f>D137-E137</f>
        <v>0</v>
      </c>
      <c r="G137" s="53" t="e">
        <f>F137/D137</f>
        <v>#DIV/0!</v>
      </c>
      <c r="H137" s="52">
        <v>0</v>
      </c>
      <c r="I137" s="52">
        <v>0</v>
      </c>
      <c r="J137" s="52">
        <f>SUM(H137-R137)</f>
        <v>0</v>
      </c>
      <c r="K137" s="52">
        <f>SUM(I137-S137)</f>
        <v>0</v>
      </c>
      <c r="L137" s="52">
        <f>J137-K137</f>
        <v>0</v>
      </c>
      <c r="M137" s="53" t="e">
        <f>L137/J137</f>
        <v>#DIV/0!</v>
      </c>
      <c r="N137" s="53">
        <v>0</v>
      </c>
      <c r="O137" s="53"/>
      <c r="P137" s="53"/>
      <c r="Q137" s="53"/>
      <c r="R137" s="52">
        <v>0</v>
      </c>
      <c r="S137" s="52">
        <v>0</v>
      </c>
      <c r="T137" s="52">
        <f>R137-S137</f>
        <v>0</v>
      </c>
      <c r="U137" s="53" t="e">
        <f>T137/R137</f>
        <v>#DIV/0!</v>
      </c>
      <c r="V137" s="54">
        <v>473</v>
      </c>
      <c r="W137" s="54">
        <v>0</v>
      </c>
      <c r="X137" s="54">
        <f>V137-W137</f>
        <v>473</v>
      </c>
      <c r="Y137" s="53">
        <f>X137/V137</f>
        <v>1</v>
      </c>
      <c r="Z137" s="53">
        <v>0</v>
      </c>
      <c r="AA137" s="55" t="e">
        <f>(E137-K137-S137)/W137</f>
        <v>#DIV/0!</v>
      </c>
      <c r="AB137" s="55">
        <f>(D137-J137-R137)/V137</f>
        <v>0</v>
      </c>
      <c r="AC137" s="53" t="e">
        <f>(E137-K137-S137)/E137</f>
        <v>#DIV/0!</v>
      </c>
      <c r="AD137" s="56" t="e">
        <f>SUM(D137-H137)/D137</f>
        <v>#DIV/0!</v>
      </c>
      <c r="AE137" s="57"/>
      <c r="AG137" s="35" t="s">
        <v>93</v>
      </c>
      <c r="AH137" s="35">
        <f>AK142</f>
        <v>0</v>
      </c>
      <c r="AK137" s="19">
        <f>SUM(W138-W137)</f>
        <v>0</v>
      </c>
      <c r="AL137" s="58">
        <f>SUM(K138-K137)</f>
        <v>0</v>
      </c>
    </row>
    <row r="138" ht="15" customHeight="1" spans="1:38" x14ac:dyDescent="0.25">
      <c r="A138" s="19"/>
      <c r="B138" s="20"/>
      <c r="C138" s="51" t="s">
        <v>94</v>
      </c>
      <c r="D138" s="52">
        <v>0</v>
      </c>
      <c r="E138" s="52">
        <v>0</v>
      </c>
      <c r="F138" s="52">
        <f>D138-E138</f>
        <v>0</v>
      </c>
      <c r="G138" s="53" t="e">
        <f>F138/D138</f>
        <v>#DIV/0!</v>
      </c>
      <c r="H138" s="52">
        <v>0</v>
      </c>
      <c r="I138" s="52">
        <v>0</v>
      </c>
      <c r="J138" s="52">
        <f>SUM(H138-R138)</f>
        <v>0</v>
      </c>
      <c r="K138" s="52">
        <f>SUM(I138-S138)</f>
        <v>0</v>
      </c>
      <c r="L138" s="52">
        <f>J138-K138</f>
        <v>0</v>
      </c>
      <c r="M138" s="53" t="e">
        <f>L138/J138</f>
        <v>#DIV/0!</v>
      </c>
      <c r="N138" s="53"/>
      <c r="O138" s="53"/>
      <c r="P138" s="53"/>
      <c r="Q138" s="53"/>
      <c r="R138" s="52">
        <v>0</v>
      </c>
      <c r="S138" s="52">
        <v>0</v>
      </c>
      <c r="T138" s="52">
        <f>R138-S138</f>
        <v>0</v>
      </c>
      <c r="U138" s="53" t="e">
        <f>T138/R138</f>
        <v>#DIV/0!</v>
      </c>
      <c r="V138" s="54"/>
      <c r="W138" s="54">
        <v>0</v>
      </c>
      <c r="X138" s="54">
        <f>V138-W138</f>
        <v>0</v>
      </c>
      <c r="Y138" s="53" t="e">
        <f>X138/V138</f>
        <v>#DIV/0!</v>
      </c>
      <c r="Z138" s="53"/>
      <c r="AA138" s="55" t="e">
        <f>(E138-K138-S138)/W138</f>
        <v>#DIV/0!</v>
      </c>
      <c r="AB138" s="55" t="e">
        <f>(D138-J138-R138)/V138</f>
        <v>#DIV/0!</v>
      </c>
      <c r="AC138" s="53" t="e">
        <f>(E138-K138-S138)/E138</f>
        <v>#DIV/0!</v>
      </c>
      <c r="AD138" s="56" t="e">
        <f>SUM(D138-H138)/D138</f>
        <v>#DIV/0!</v>
      </c>
      <c r="AE138" s="57"/>
      <c r="AG138" s="35" t="s">
        <v>95</v>
      </c>
      <c r="AH138" s="36">
        <f>AL142</f>
        <v>0</v>
      </c>
      <c r="AK138" s="19">
        <f>SUM(W139-W138)</f>
        <v>0</v>
      </c>
      <c r="AL138" s="58">
        <f>SUM(K139-K138)</f>
        <v>0</v>
      </c>
    </row>
    <row r="139" ht="15" customHeight="1" spans="1:38" x14ac:dyDescent="0.25">
      <c r="A139" s="19"/>
      <c r="B139" s="20"/>
      <c r="C139" s="51" t="s">
        <v>96</v>
      </c>
      <c r="D139" s="52">
        <v>0</v>
      </c>
      <c r="E139" s="52">
        <v>0</v>
      </c>
      <c r="F139" s="52">
        <f>D139-E139</f>
        <v>0</v>
      </c>
      <c r="G139" s="53" t="e">
        <f>F139/D139</f>
        <v>#DIV/0!</v>
      </c>
      <c r="H139" s="52">
        <v>0</v>
      </c>
      <c r="I139" s="52">
        <v>0</v>
      </c>
      <c r="J139" s="52">
        <f>SUM(H139-R139)</f>
        <v>0</v>
      </c>
      <c r="K139" s="52">
        <f>SUM(I139-S139)</f>
        <v>0</v>
      </c>
      <c r="L139" s="52">
        <f>J139-K139</f>
        <v>0</v>
      </c>
      <c r="M139" s="53" t="e">
        <f>L139/J139</f>
        <v>#DIV/0!</v>
      </c>
      <c r="N139" s="53"/>
      <c r="O139" s="53"/>
      <c r="P139" s="53"/>
      <c r="Q139" s="53"/>
      <c r="R139" s="52">
        <v>0</v>
      </c>
      <c r="S139" s="52">
        <v>0</v>
      </c>
      <c r="T139" s="52">
        <f>R139-S139</f>
        <v>0</v>
      </c>
      <c r="U139" s="53" t="e">
        <f>T139/R139</f>
        <v>#DIV/0!</v>
      </c>
      <c r="V139" s="54"/>
      <c r="W139" s="54">
        <v>0</v>
      </c>
      <c r="X139" s="54">
        <f>V139-W139</f>
        <v>0</v>
      </c>
      <c r="Y139" s="53" t="e">
        <f>X139/V139</f>
        <v>#DIV/0!</v>
      </c>
      <c r="Z139" s="53"/>
      <c r="AA139" s="55" t="e">
        <f>(E139-K139-S139)/W139</f>
        <v>#DIV/0!</v>
      </c>
      <c r="AB139" s="55" t="e">
        <f>(D139-J139-R139)/V139</f>
        <v>#DIV/0!</v>
      </c>
      <c r="AC139" s="53" t="e">
        <f>(E139-K139-S139)/E139</f>
        <v>#DIV/0!</v>
      </c>
      <c r="AD139" s="56" t="e">
        <f>SUM(D139-H139)/D139</f>
        <v>#DIV/0!</v>
      </c>
      <c r="AE139" s="57"/>
      <c r="AG139" s="35"/>
      <c r="AH139" s="35"/>
      <c r="AK139" s="19">
        <f>SUM(W140-W139)</f>
        <v>0</v>
      </c>
      <c r="AL139" s="58">
        <f>SUM(K140-K139)</f>
        <v>0</v>
      </c>
    </row>
    <row r="140" ht="15" customHeight="1" spans="1:38" x14ac:dyDescent="0.25">
      <c r="A140" s="19"/>
      <c r="B140" s="20"/>
      <c r="C140" s="51" t="s">
        <v>97</v>
      </c>
      <c r="D140" s="52">
        <v>0</v>
      </c>
      <c r="E140" s="52">
        <v>0</v>
      </c>
      <c r="F140" s="52">
        <f>D140-E140</f>
        <v>0</v>
      </c>
      <c r="G140" s="53" t="e">
        <f>F140/D140</f>
        <v>#DIV/0!</v>
      </c>
      <c r="H140" s="52">
        <v>0</v>
      </c>
      <c r="I140" s="52">
        <v>0</v>
      </c>
      <c r="J140" s="52">
        <f>SUM(H140-R140)</f>
        <v>0</v>
      </c>
      <c r="K140" s="52">
        <f>SUM(I140-S140)</f>
        <v>0</v>
      </c>
      <c r="L140" s="52">
        <f>J140-K140</f>
        <v>0</v>
      </c>
      <c r="M140" s="53" t="e">
        <f>L140/J140</f>
        <v>#DIV/0!</v>
      </c>
      <c r="N140" s="53"/>
      <c r="O140" s="53"/>
      <c r="P140" s="53"/>
      <c r="Q140" s="53"/>
      <c r="R140" s="52">
        <v>0</v>
      </c>
      <c r="S140" s="52">
        <v>0</v>
      </c>
      <c r="T140" s="52">
        <f>R140-S140</f>
        <v>0</v>
      </c>
      <c r="U140" s="53" t="e">
        <f>T140/R140</f>
        <v>#DIV/0!</v>
      </c>
      <c r="V140" s="54"/>
      <c r="W140" s="54"/>
      <c r="X140" s="54">
        <f>V140-W140</f>
        <v>0</v>
      </c>
      <c r="Y140" s="53" t="e">
        <f>X140/V140</f>
        <v>#DIV/0!</v>
      </c>
      <c r="Z140" s="53"/>
      <c r="AA140" s="55" t="e">
        <f>(E140-K140-S140)/W140</f>
        <v>#DIV/0!</v>
      </c>
      <c r="AB140" s="55" t="e">
        <f>(D140-J140-R140)/V140</f>
        <v>#DIV/0!</v>
      </c>
      <c r="AC140" s="53" t="e">
        <f>(E140-K140-S140)/E140</f>
        <v>#DIV/0!</v>
      </c>
      <c r="AD140" s="56" t="e">
        <f>SUM(D140-H140)/D140</f>
        <v>#DIV/0!</v>
      </c>
      <c r="AE140" s="57"/>
      <c r="AG140" s="35" t="s">
        <v>98</v>
      </c>
      <c r="AH140" s="36">
        <v>0</v>
      </c>
      <c r="AK140" s="19">
        <f>SUM(W141-W140)</f>
        <v>0</v>
      </c>
      <c r="AL140" s="58">
        <f>SUM(K141-K140)</f>
        <v>0</v>
      </c>
    </row>
    <row r="141" ht="15" customHeight="1" spans="1:38" x14ac:dyDescent="0.25">
      <c r="A141" s="19"/>
      <c r="B141" s="20"/>
      <c r="C141" s="51" t="s">
        <v>99</v>
      </c>
      <c r="D141" s="52">
        <v>0</v>
      </c>
      <c r="E141" s="52">
        <v>0</v>
      </c>
      <c r="F141" s="52">
        <f>D141-E141</f>
        <v>0</v>
      </c>
      <c r="G141" s="53" t="e">
        <f>F141/D141</f>
        <v>#DIV/0!</v>
      </c>
      <c r="H141" s="52">
        <v>0</v>
      </c>
      <c r="I141" s="52">
        <v>0</v>
      </c>
      <c r="J141" s="52">
        <f>SUM(H141-R141)</f>
        <v>0</v>
      </c>
      <c r="K141" s="52">
        <f>SUM(I141-S141)</f>
        <v>0</v>
      </c>
      <c r="L141" s="52">
        <f>J141-K141</f>
        <v>0</v>
      </c>
      <c r="M141" s="53" t="e">
        <f>L141/J141</f>
        <v>#DIV/0!</v>
      </c>
      <c r="N141" s="53"/>
      <c r="O141" s="53"/>
      <c r="P141" s="53"/>
      <c r="Q141" s="53"/>
      <c r="R141" s="52">
        <v>0</v>
      </c>
      <c r="S141" s="52">
        <v>0</v>
      </c>
      <c r="T141" s="52">
        <f>R141-S141</f>
        <v>0</v>
      </c>
      <c r="U141" s="53" t="e">
        <f>T141/R141</f>
        <v>#DIV/0!</v>
      </c>
      <c r="V141" s="54"/>
      <c r="W141" s="54"/>
      <c r="X141" s="54">
        <f>V141-W141</f>
        <v>0</v>
      </c>
      <c r="Y141" s="53" t="e">
        <f>X141/V141</f>
        <v>#DIV/0!</v>
      </c>
      <c r="Z141" s="53"/>
      <c r="AA141" s="55" t="e">
        <f>(E141-K141-S141)/W141</f>
        <v>#DIV/0!</v>
      </c>
      <c r="AB141" s="55" t="e">
        <f>(D141-J141-R141)/V141</f>
        <v>#DIV/0!</v>
      </c>
      <c r="AC141" s="53" t="e">
        <f>(E141-K141-S141)/E141</f>
        <v>#DIV/0!</v>
      </c>
      <c r="AD141" s="56" t="e">
        <f>SUM(D141-H141)/D141</f>
        <v>#DIV/0!</v>
      </c>
      <c r="AE141" s="57"/>
      <c r="AG141" s="35"/>
      <c r="AH141" s="35"/>
      <c r="AK141" s="19">
        <f>SUM(W142-W141)</f>
        <v>0</v>
      </c>
      <c r="AL141" s="58">
        <f>SUM(K142-K141)</f>
        <v>0</v>
      </c>
    </row>
    <row r="142" ht="15" customHeight="1" spans="1:38" x14ac:dyDescent="0.25">
      <c r="A142" s="19"/>
      <c r="B142" s="20"/>
      <c r="C142" s="51" t="s">
        <v>100</v>
      </c>
      <c r="D142" s="52">
        <v>0</v>
      </c>
      <c r="E142" s="52">
        <v>0</v>
      </c>
      <c r="F142" s="52">
        <f>D142-E142</f>
        <v>0</v>
      </c>
      <c r="G142" s="53" t="e">
        <f>F142/D142</f>
        <v>#DIV/0!</v>
      </c>
      <c r="H142" s="52">
        <v>0</v>
      </c>
      <c r="I142" s="52">
        <v>0</v>
      </c>
      <c r="J142" s="52">
        <f>SUM(H142-R142)</f>
        <v>0</v>
      </c>
      <c r="K142" s="52">
        <f>SUM(I142-S142)</f>
        <v>0</v>
      </c>
      <c r="L142" s="52">
        <f>J142-K142</f>
        <v>0</v>
      </c>
      <c r="M142" s="53" t="e">
        <f>L142/J142</f>
        <v>#DIV/0!</v>
      </c>
      <c r="N142" s="53"/>
      <c r="O142" s="53"/>
      <c r="P142" s="53"/>
      <c r="Q142" s="53"/>
      <c r="R142" s="52">
        <v>0</v>
      </c>
      <c r="S142" s="52">
        <v>0</v>
      </c>
      <c r="T142" s="52">
        <f>R142-S142</f>
        <v>0</v>
      </c>
      <c r="U142" s="53" t="e">
        <f>T142/R142</f>
        <v>#DIV/0!</v>
      </c>
      <c r="V142" s="54"/>
      <c r="W142" s="54"/>
      <c r="X142" s="54">
        <f>V142-W142</f>
        <v>0</v>
      </c>
      <c r="Y142" s="53" t="e">
        <f>X142/V142</f>
        <v>#DIV/0!</v>
      </c>
      <c r="Z142" s="53"/>
      <c r="AA142" s="55" t="e">
        <f>(E142-K142-S142)/W142</f>
        <v>#DIV/0!</v>
      </c>
      <c r="AB142" s="55" t="e">
        <f>(D142-J142-R142)/V142</f>
        <v>#DIV/0!</v>
      </c>
      <c r="AC142" s="53" t="e">
        <f>(E142-K142-S142)/E142</f>
        <v>#DIV/0!</v>
      </c>
      <c r="AD142" s="56" t="e">
        <f>SUM(D142-H142)/D142</f>
        <v>#DIV/0!</v>
      </c>
      <c r="AE142" s="57"/>
      <c r="AG142" s="35"/>
      <c r="AH142" s="35"/>
      <c r="AK142" s="59">
        <f>SUM(AK137,AK138,AK139,AK140,AK141)</f>
        <v>0</v>
      </c>
      <c r="AL142" s="60">
        <f>SUM(AL137,AL138,AL139,AL140,AL141)</f>
        <v>0</v>
      </c>
    </row>
    <row r="143" ht="9" customHeight="1" spans="1:38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  <c r="AG143" s="35"/>
      <c r="AH143" s="35"/>
      <c r="AK143" s="35"/>
      <c r="AL143" s="35"/>
    </row>
    <row r="144" ht="15" customHeight="1" spans="1:38" x14ac:dyDescent="0.25">
      <c r="A144" s="19">
        <f>'Main Sheet'!A44</f>
        <v>7912</v>
      </c>
      <c r="B144" s="20" t="str">
        <f>'Main Sheet'!B44</f>
        <v>71A Fendalton Road </v>
      </c>
      <c r="C144" s="51" t="s">
        <v>92</v>
      </c>
      <c r="D144" s="52">
        <v>23650.59</v>
      </c>
      <c r="E144" s="52">
        <v>0</v>
      </c>
      <c r="F144" s="52">
        <f>D144-E144</f>
        <v>23650.59</v>
      </c>
      <c r="G144" s="53">
        <f>F144/D144</f>
        <v>1</v>
      </c>
      <c r="H144" s="52">
        <v>15376.98</v>
      </c>
      <c r="I144" s="52">
        <v>1628.64</v>
      </c>
      <c r="J144" s="52">
        <f>SUM(H144-R144)</f>
        <v>8582.1</v>
      </c>
      <c r="K144" s="52">
        <f>SUM(I144-S144)</f>
        <v>53.0600000000002</v>
      </c>
      <c r="L144" s="52">
        <f>J144-K144</f>
        <v>8529.04</v>
      </c>
      <c r="M144" s="53">
        <f>L144/J144</f>
        <v>0.993817364048427</v>
      </c>
      <c r="N144" s="53"/>
      <c r="O144" s="53"/>
      <c r="P144" s="53"/>
      <c r="Q144" s="53"/>
      <c r="R144" s="52">
        <v>6794.88</v>
      </c>
      <c r="S144" s="52">
        <v>1575.58</v>
      </c>
      <c r="T144" s="52">
        <f>R144-S144</f>
        <v>5219.3</v>
      </c>
      <c r="U144" s="53">
        <f>T144/R144</f>
        <v>0.768122468682302</v>
      </c>
      <c r="V144" s="54">
        <v>135.9</v>
      </c>
      <c r="W144" s="54">
        <v>30.5</v>
      </c>
      <c r="X144" s="54">
        <f>V144-W144</f>
        <v>105.4</v>
      </c>
      <c r="Y144" s="53">
        <f>X144/V144</f>
        <v>0.775570272259014</v>
      </c>
      <c r="Z144" s="53"/>
      <c r="AA144" s="55">
        <f>(E144-K144-S144)/W144</f>
        <v>-53.3980327868853</v>
      </c>
      <c r="AB144" s="55">
        <f>(D144-J144-R144)/V144</f>
        <v>60.8801324503311</v>
      </c>
      <c r="AC144" s="53" t="e">
        <f>(E144-K144-S144)/E144</f>
        <v>#DIV/0!</v>
      </c>
      <c r="AD144" s="56">
        <f>SUM(D144-H144)/D144</f>
        <v>0.34982679079042</v>
      </c>
      <c r="AE144" s="57"/>
      <c r="AG144" s="35" t="s">
        <v>93</v>
      </c>
      <c r="AH144" s="35">
        <f>AK149</f>
        <v>73.75</v>
      </c>
      <c r="AK144" s="19">
        <f>SUM(W145-W144)</f>
        <v>32.25</v>
      </c>
      <c r="AL144" s="58">
        <f>SUM(K145-K144)</f>
        <v>377.73</v>
      </c>
    </row>
    <row r="145" ht="15" customHeight="1" spans="1:38" x14ac:dyDescent="0.25">
      <c r="A145" s="19"/>
      <c r="B145" s="20"/>
      <c r="C145" s="51" t="s">
        <v>94</v>
      </c>
      <c r="D145" s="52">
        <v>23650.59</v>
      </c>
      <c r="E145" s="52">
        <v>5602.1</v>
      </c>
      <c r="F145" s="52">
        <f>D145-E145</f>
        <v>18048.49</v>
      </c>
      <c r="G145" s="53">
        <f>F145/D145</f>
        <v>0.763130644943741</v>
      </c>
      <c r="H145" s="52">
        <v>15376.98</v>
      </c>
      <c r="I145" s="52">
        <v>3604.74</v>
      </c>
      <c r="J145" s="52">
        <f>SUM(H145-R145)</f>
        <v>8582.1</v>
      </c>
      <c r="K145" s="52">
        <f>SUM(I145-S145)</f>
        <v>430.79</v>
      </c>
      <c r="L145" s="52">
        <f>J145-K145</f>
        <v>8151.31</v>
      </c>
      <c r="M145" s="53">
        <f>L145/J145</f>
        <v>0.949803661108587</v>
      </c>
      <c r="N145" s="53"/>
      <c r="O145" s="53"/>
      <c r="P145" s="53"/>
      <c r="Q145" s="53"/>
      <c r="R145" s="52">
        <v>6794.88</v>
      </c>
      <c r="S145" s="52">
        <v>3173.95</v>
      </c>
      <c r="T145" s="52">
        <f>R145-S145</f>
        <v>3620.93</v>
      </c>
      <c r="U145" s="53">
        <f>T145/R145</f>
        <v>0.532890941414712</v>
      </c>
      <c r="V145" s="54">
        <v>135.9</v>
      </c>
      <c r="W145" s="54">
        <v>62.75</v>
      </c>
      <c r="X145" s="54">
        <f>V145-W145</f>
        <v>73.15</v>
      </c>
      <c r="Y145" s="53">
        <f>X145/V145</f>
        <v>0.538263428991906</v>
      </c>
      <c r="Z145" s="53"/>
      <c r="AA145" s="55">
        <f>(E145-K145-S145)/W145</f>
        <v>31.830438247012</v>
      </c>
      <c r="AB145" s="55">
        <f>(D145-J145-R145)/V145</f>
        <v>60.8801324503311</v>
      </c>
      <c r="AC145" s="53">
        <f>(E145-K145-S145)/E145</f>
        <v>0.356537726923832</v>
      </c>
      <c r="AD145" s="56">
        <f>SUM(D145-H145)/D145</f>
        <v>0.34982679079042</v>
      </c>
      <c r="AE145" s="57"/>
      <c r="AG145" s="35" t="s">
        <v>95</v>
      </c>
      <c r="AH145" s="36">
        <f>AL149</f>
        <v>3637.44</v>
      </c>
      <c r="AK145" s="19">
        <f>SUM(W146-W145)</f>
        <v>32</v>
      </c>
      <c r="AL145" s="58">
        <f>SUM(K146-K145)</f>
        <v>1239.42</v>
      </c>
    </row>
    <row r="146" ht="15" customHeight="1" spans="1:38" x14ac:dyDescent="0.25">
      <c r="A146" s="19"/>
      <c r="B146" s="20"/>
      <c r="C146" s="51" t="s">
        <v>96</v>
      </c>
      <c r="D146" s="52">
        <v>23650.59</v>
      </c>
      <c r="E146" s="52">
        <v>5602.1</v>
      </c>
      <c r="F146" s="52">
        <f>D146-E146</f>
        <v>18048.49</v>
      </c>
      <c r="G146" s="53">
        <f>F146/D146</f>
        <v>0.763130644943741</v>
      </c>
      <c r="H146" s="52">
        <v>15376.98</v>
      </c>
      <c r="I146" s="52">
        <v>6523.55</v>
      </c>
      <c r="J146" s="52">
        <f>SUM(H146-R146)</f>
        <v>8582.1</v>
      </c>
      <c r="K146" s="52">
        <f>SUM(I146-S146)</f>
        <v>1670.21</v>
      </c>
      <c r="L146" s="52">
        <f>J146-K146</f>
        <v>6911.89</v>
      </c>
      <c r="M146" s="53">
        <f>L146/J146</f>
        <v>0.805384463010219</v>
      </c>
      <c r="N146" s="53"/>
      <c r="O146" s="53"/>
      <c r="P146" s="53"/>
      <c r="Q146" s="53"/>
      <c r="R146" s="52">
        <v>6794.88</v>
      </c>
      <c r="S146" s="52">
        <v>4853.34</v>
      </c>
      <c r="T146" s="52">
        <f>R146-S146</f>
        <v>1941.54</v>
      </c>
      <c r="U146" s="53">
        <f>T146/R146</f>
        <v>0.285735730432326</v>
      </c>
      <c r="V146" s="54">
        <v>135.9</v>
      </c>
      <c r="W146" s="54">
        <v>94.75</v>
      </c>
      <c r="X146" s="54">
        <f>V146-W146</f>
        <v>41.15</v>
      </c>
      <c r="Y146" s="53">
        <f>X146/V146</f>
        <v>0.302796173657101</v>
      </c>
      <c r="Z146" s="53"/>
      <c r="AA146" s="55">
        <f>(E146-K146-S146)/W146</f>
        <v>-9.72506596306068</v>
      </c>
      <c r="AB146" s="55">
        <f>(D146-J146-R146)/V146</f>
        <v>60.8801324503311</v>
      </c>
      <c r="AC146" s="53">
        <f>(E146-K146-S146)/E146</f>
        <v>-0.164482961746488</v>
      </c>
      <c r="AD146" s="56">
        <f>SUM(D146-H146)/D146</f>
        <v>0.34982679079042</v>
      </c>
      <c r="AE146" s="57"/>
      <c r="AG146" s="35"/>
      <c r="AH146" s="35"/>
      <c r="AK146" s="19">
        <f>SUM(W147-W146)</f>
        <v>0.5</v>
      </c>
      <c r="AL146" s="58">
        <f>SUM(K147-K146)</f>
        <v>2020.29</v>
      </c>
    </row>
    <row r="147" ht="15" customHeight="1" spans="1:38" x14ac:dyDescent="0.25">
      <c r="A147" s="19"/>
      <c r="B147" s="20"/>
      <c r="C147" s="51" t="s">
        <v>97</v>
      </c>
      <c r="D147" s="52">
        <v>23650.59</v>
      </c>
      <c r="E147" s="52">
        <v>5602.1</v>
      </c>
      <c r="F147" s="52">
        <f>D147-E147</f>
        <v>18048.49</v>
      </c>
      <c r="G147" s="53">
        <f>F147/D147</f>
        <v>0.763130644943741</v>
      </c>
      <c r="H147" s="52">
        <v>15376.98</v>
      </c>
      <c r="I147" s="52">
        <v>8543.84</v>
      </c>
      <c r="J147" s="52">
        <f>SUM(H147-R147)</f>
        <v>8582.1</v>
      </c>
      <c r="K147" s="52">
        <f>SUM(I147-S147)</f>
        <v>3690.5</v>
      </c>
      <c r="L147" s="52">
        <f>J147-K147</f>
        <v>4891.6</v>
      </c>
      <c r="M147" s="53">
        <f>L147/J147</f>
        <v>0.569977045245336</v>
      </c>
      <c r="N147" s="53"/>
      <c r="O147" s="53"/>
      <c r="P147" s="53"/>
      <c r="Q147" s="53"/>
      <c r="R147" s="52">
        <v>6794.88</v>
      </c>
      <c r="S147" s="52">
        <v>4853.34</v>
      </c>
      <c r="T147" s="52">
        <f>R147-S147</f>
        <v>1941.54</v>
      </c>
      <c r="U147" s="53">
        <f>T147/R147</f>
        <v>0.285735730432326</v>
      </c>
      <c r="V147" s="54">
        <v>135.9</v>
      </c>
      <c r="W147" s="54">
        <v>95.25</v>
      </c>
      <c r="X147" s="54">
        <f>V147-W147</f>
        <v>40.65</v>
      </c>
      <c r="Y147" s="53">
        <f>X147/V147</f>
        <v>0.299116997792495</v>
      </c>
      <c r="Z147" s="53"/>
      <c r="AA147" s="55">
        <f>(E147-K147-S147)/W147</f>
        <v>-30.8844094488189</v>
      </c>
      <c r="AB147" s="55">
        <f>(D147-J147-R147)/V147</f>
        <v>60.8801324503311</v>
      </c>
      <c r="AC147" s="53">
        <f>(E147-K147-S147)/E147</f>
        <v>-0.525113796611985</v>
      </c>
      <c r="AD147" s="56">
        <f>SUM(D147-H147)/D147</f>
        <v>0.34982679079042</v>
      </c>
      <c r="AE147" s="57"/>
      <c r="AG147" s="35" t="s">
        <v>98</v>
      </c>
      <c r="AH147" s="36">
        <v>0</v>
      </c>
      <c r="AK147" s="19">
        <f>SUM(W148-W147)</f>
        <v>9</v>
      </c>
      <c r="AL147" s="58">
        <f>SUM(K148-K147)</f>
        <v>0</v>
      </c>
    </row>
    <row r="148" ht="15" customHeight="1" spans="1:38" x14ac:dyDescent="0.25">
      <c r="A148" s="19"/>
      <c r="B148" s="20"/>
      <c r="C148" s="51" t="s">
        <v>99</v>
      </c>
      <c r="D148" s="52">
        <v>23650.59</v>
      </c>
      <c r="E148" s="52">
        <v>5602.1</v>
      </c>
      <c r="F148" s="52">
        <f>D148-E148</f>
        <v>18048.49</v>
      </c>
      <c r="G148" s="53">
        <f>F148/D148</f>
        <v>0.763130644943741</v>
      </c>
      <c r="H148" s="52">
        <v>15376.98</v>
      </c>
      <c r="I148" s="52">
        <v>9041.54</v>
      </c>
      <c r="J148" s="52">
        <f>SUM(H148-R148)</f>
        <v>8582.1</v>
      </c>
      <c r="K148" s="52">
        <f>SUM(I148-S148)</f>
        <v>3690.5</v>
      </c>
      <c r="L148" s="52">
        <f>J148-K148</f>
        <v>4891.6</v>
      </c>
      <c r="M148" s="53">
        <f>L148/J148</f>
        <v>0.569977045245336</v>
      </c>
      <c r="N148" s="53"/>
      <c r="O148" s="53"/>
      <c r="P148" s="53"/>
      <c r="Q148" s="53"/>
      <c r="R148" s="52">
        <v>6794.88</v>
      </c>
      <c r="S148" s="52">
        <v>5351.04</v>
      </c>
      <c r="T148" s="52">
        <f>R148-S148</f>
        <v>1443.84</v>
      </c>
      <c r="U148" s="53">
        <f>T148/R148</f>
        <v>0.21248940378638</v>
      </c>
      <c r="V148" s="54">
        <v>135.9</v>
      </c>
      <c r="W148" s="54">
        <v>104.25</v>
      </c>
      <c r="X148" s="54">
        <f>V148-W148</f>
        <v>31.65</v>
      </c>
      <c r="Y148" s="53">
        <f>X148/V148</f>
        <v>0.232891832229581</v>
      </c>
      <c r="Z148" s="53"/>
      <c r="AA148" s="55">
        <f>(E148-K148-S148)/W148</f>
        <v>-32.9922302158273</v>
      </c>
      <c r="AB148" s="55">
        <f>(D148-J148-R148)/V148</f>
        <v>60.8801324503311</v>
      </c>
      <c r="AC148" s="53">
        <f>(E148-K148-S148)/E148</f>
        <v>-0.613955480980347</v>
      </c>
      <c r="AD148" s="56">
        <f>SUM(D148-H148)/D148</f>
        <v>0.34982679079042</v>
      </c>
      <c r="AE148" s="57"/>
      <c r="AG148" s="35"/>
      <c r="AH148" s="35"/>
      <c r="AK148" s="19">
        <f>SUM(W149-W148)</f>
        <v>0</v>
      </c>
      <c r="AL148" s="58">
        <f>SUM(K149-K148)</f>
        <v>0</v>
      </c>
    </row>
    <row r="149" ht="15" customHeight="1" spans="1:38" x14ac:dyDescent="0.25">
      <c r="A149" s="19"/>
      <c r="B149" s="20"/>
      <c r="C149" s="51" t="s">
        <v>100</v>
      </c>
      <c r="D149" s="52">
        <v>23650.59</v>
      </c>
      <c r="E149" s="52">
        <v>5602.1</v>
      </c>
      <c r="F149" s="52">
        <f>D149-E149</f>
        <v>18048.49</v>
      </c>
      <c r="G149" s="53">
        <f>F149/D149</f>
        <v>0.763130644943741</v>
      </c>
      <c r="H149" s="52">
        <v>15376.98</v>
      </c>
      <c r="I149" s="52">
        <v>9041.54</v>
      </c>
      <c r="J149" s="52">
        <f>SUM(H149-R149)</f>
        <v>8582.1</v>
      </c>
      <c r="K149" s="52">
        <f>SUM(I149-S149)</f>
        <v>3690.5</v>
      </c>
      <c r="L149" s="52">
        <f>J149-K149</f>
        <v>4891.6</v>
      </c>
      <c r="M149" s="53">
        <f>L149/J149</f>
        <v>0.569977045245336</v>
      </c>
      <c r="N149" s="53"/>
      <c r="O149" s="53"/>
      <c r="P149" s="53"/>
      <c r="Q149" s="53"/>
      <c r="R149" s="52">
        <v>6794.88</v>
      </c>
      <c r="S149" s="52">
        <v>5351.04</v>
      </c>
      <c r="T149" s="52">
        <f>R149-S149</f>
        <v>1443.84</v>
      </c>
      <c r="U149" s="53">
        <f>T149/R149</f>
        <v>0.21248940378638</v>
      </c>
      <c r="V149" s="54">
        <v>135.9</v>
      </c>
      <c r="W149" s="54">
        <v>104.25</v>
      </c>
      <c r="X149" s="54">
        <f>V149-W149</f>
        <v>31.65</v>
      </c>
      <c r="Y149" s="53">
        <f>X149/V149</f>
        <v>0.232891832229581</v>
      </c>
      <c r="Z149" s="53"/>
      <c r="AA149" s="55">
        <f>(E149-K149-S149)/W149</f>
        <v>-32.9922302158273</v>
      </c>
      <c r="AB149" s="55">
        <f>(D149-J149-R149)/V149</f>
        <v>60.8801324503311</v>
      </c>
      <c r="AC149" s="53">
        <f>(E149-K149-S149)/E149</f>
        <v>-0.613955480980347</v>
      </c>
      <c r="AD149" s="56">
        <f>SUM(D149-H149)/D149</f>
        <v>0.34982679079042</v>
      </c>
      <c r="AE149" s="57"/>
      <c r="AG149" s="35"/>
      <c r="AH149" s="35"/>
      <c r="AK149" s="59">
        <f>SUM(AK144,AK145,AK146,AK147,AK148)</f>
        <v>73.75</v>
      </c>
      <c r="AL149" s="60">
        <f>SUM(AL144,AL145,AL146,AL147,AL148)</f>
        <v>3637.44</v>
      </c>
    </row>
    <row r="150" ht="9" customHeight="1" spans="1:38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  <c r="AG150" s="35"/>
      <c r="AH150" s="35"/>
      <c r="AK150" s="35"/>
      <c r="AL150" s="35"/>
    </row>
    <row r="151" ht="15" customHeight="1" spans="1:38" x14ac:dyDescent="0.25">
      <c r="A151" s="19">
        <f>'Main Sheet'!A46</f>
        <v>8360</v>
      </c>
      <c r="B151" s="20" t="str">
        <f>'Main Sheet'!B46</f>
        <v>Dixon House</v>
      </c>
      <c r="C151" s="51" t="s">
        <v>92</v>
      </c>
      <c r="D151" s="52">
        <v>29188.19</v>
      </c>
      <c r="E151" s="52">
        <v>38245.41</v>
      </c>
      <c r="F151" s="52">
        <f>D151-E151</f>
        <v>-9057.22000000001</v>
      </c>
      <c r="G151" s="53">
        <f>F151/D151</f>
        <v>-0.310304270323032</v>
      </c>
      <c r="H151" s="52">
        <v>17590</v>
      </c>
      <c r="I151" s="52">
        <v>36039.07</v>
      </c>
      <c r="J151" s="52">
        <f>SUM(H151-R151)</f>
        <v>9253.76</v>
      </c>
      <c r="K151" s="52">
        <f>SUM(I151-S151)</f>
        <v>35607.58</v>
      </c>
      <c r="L151" s="52">
        <f>J151-K151</f>
        <v>-26353.82</v>
      </c>
      <c r="M151" s="53">
        <f>L151/J151</f>
        <v>-2.84790398713604</v>
      </c>
      <c r="N151" s="53"/>
      <c r="O151" s="53"/>
      <c r="P151" s="53"/>
      <c r="Q151" s="53"/>
      <c r="R151" s="52">
        <v>8336.24</v>
      </c>
      <c r="S151" s="52">
        <v>431.49</v>
      </c>
      <c r="T151" s="52">
        <f>R151-S151</f>
        <v>7904.75</v>
      </c>
      <c r="U151" s="53">
        <f>T151/R151</f>
        <v>0.948239254148153</v>
      </c>
      <c r="V151" s="54">
        <v>166.98</v>
      </c>
      <c r="W151" s="54">
        <v>9.75</v>
      </c>
      <c r="X151" s="54">
        <f>V151-W151</f>
        <v>157.23</v>
      </c>
      <c r="Y151" s="53">
        <f>X151/V151</f>
        <v>0.941609773625584</v>
      </c>
      <c r="Z151" s="53"/>
      <c r="AA151" s="55">
        <f>(E151-K151-S151)/W151</f>
        <v>226.291282051282</v>
      </c>
      <c r="AB151" s="55">
        <f>(D151-J151-R151)/V151</f>
        <v>69.4585579111271</v>
      </c>
      <c r="AC151" s="53">
        <f>(E151-K151-S151)/E151</f>
        <v>0.0576890141849702</v>
      </c>
      <c r="AD151" s="56">
        <f>SUM(D151-H151)/D151</f>
        <v>0.39735900033541</v>
      </c>
      <c r="AE151" s="57"/>
      <c r="AG151" s="35" t="s">
        <v>93</v>
      </c>
      <c r="AH151" s="35">
        <f>AK156</f>
        <v>-9.75</v>
      </c>
      <c r="AK151" s="19">
        <f>SUM(W152-W151)</f>
        <v>0</v>
      </c>
      <c r="AL151" s="58">
        <f>SUM(K152-K151)</f>
        <v>0</v>
      </c>
    </row>
    <row r="152" ht="15" customHeight="1" spans="1:38" x14ac:dyDescent="0.25">
      <c r="A152" s="19"/>
      <c r="B152" s="20"/>
      <c r="C152" s="51" t="s">
        <v>94</v>
      </c>
      <c r="D152" s="52">
        <v>29188.19</v>
      </c>
      <c r="E152" s="52">
        <v>38245.41</v>
      </c>
      <c r="F152" s="52">
        <f>D152-E152</f>
        <v>-9057.22000000001</v>
      </c>
      <c r="G152" s="53">
        <f>F152/D152</f>
        <v>-0.310304270323032</v>
      </c>
      <c r="H152" s="52">
        <v>17590</v>
      </c>
      <c r="I152" s="52">
        <v>36039.07</v>
      </c>
      <c r="J152" s="52">
        <f>SUM(H152-R152)</f>
        <v>9253.76</v>
      </c>
      <c r="K152" s="52">
        <f>SUM(I152-S152)</f>
        <v>35607.58</v>
      </c>
      <c r="L152" s="52">
        <f>J152-K152</f>
        <v>-26353.82</v>
      </c>
      <c r="M152" s="53">
        <f>L152/J152</f>
        <v>-2.84790398713604</v>
      </c>
      <c r="N152" s="53"/>
      <c r="O152" s="53"/>
      <c r="P152" s="53"/>
      <c r="Q152" s="53"/>
      <c r="R152" s="52">
        <v>8336.24</v>
      </c>
      <c r="S152" s="52">
        <v>431.49</v>
      </c>
      <c r="T152" s="52">
        <f>R152-S152</f>
        <v>7904.75</v>
      </c>
      <c r="U152" s="53">
        <f>T152/R152</f>
        <v>0.948239254148153</v>
      </c>
      <c r="V152" s="54">
        <v>166.98</v>
      </c>
      <c r="W152" s="54">
        <v>9.75</v>
      </c>
      <c r="X152" s="54">
        <f>V152-W152</f>
        <v>157.23</v>
      </c>
      <c r="Y152" s="53">
        <f>X152/V152</f>
        <v>0.941609773625584</v>
      </c>
      <c r="Z152" s="53"/>
      <c r="AA152" s="55">
        <f>(E152-K152-S152)/W152</f>
        <v>226.291282051282</v>
      </c>
      <c r="AB152" s="55">
        <f>(D152-J152-R152)/V152</f>
        <v>69.4585579111271</v>
      </c>
      <c r="AC152" s="53">
        <f>(E152-K152-S152)/E152</f>
        <v>0.0576890141849702</v>
      </c>
      <c r="AD152" s="56">
        <f>SUM(D152-H152)/D152</f>
        <v>0.39735900033541</v>
      </c>
      <c r="AE152" s="57"/>
      <c r="AG152" s="35" t="s">
        <v>95</v>
      </c>
      <c r="AH152" s="36">
        <f>AL156</f>
        <v>-35607.58</v>
      </c>
      <c r="AK152" s="19">
        <f>SUM(W153-W152)</f>
        <v>4.5</v>
      </c>
      <c r="AL152" s="58">
        <f>SUM(K153-K152)</f>
        <v>-197.560000000005</v>
      </c>
    </row>
    <row r="153" ht="15" customHeight="1" spans="1:38" x14ac:dyDescent="0.25">
      <c r="A153" s="19"/>
      <c r="B153" s="20"/>
      <c r="C153" s="51" t="s">
        <v>96</v>
      </c>
      <c r="D153" s="52">
        <v>29188.19</v>
      </c>
      <c r="E153" s="52">
        <v>38245.41</v>
      </c>
      <c r="F153" s="52">
        <f>D153-E153</f>
        <v>-9057.22000000001</v>
      </c>
      <c r="G153" s="53">
        <f>F153/D153</f>
        <v>-0.310304270323032</v>
      </c>
      <c r="H153" s="52">
        <v>17590</v>
      </c>
      <c r="I153" s="52">
        <v>36039.07</v>
      </c>
      <c r="J153" s="52">
        <f>SUM(H153-R153)</f>
        <v>9253.76</v>
      </c>
      <c r="K153" s="52">
        <f>SUM(I153-S153)</f>
        <v>35410.02</v>
      </c>
      <c r="L153" s="52">
        <f>J153-K153</f>
        <v>-26156.26</v>
      </c>
      <c r="M153" s="53">
        <f>L153/J153</f>
        <v>-2.82655482744311</v>
      </c>
      <c r="N153" s="53"/>
      <c r="O153" s="53"/>
      <c r="P153" s="53"/>
      <c r="Q153" s="53"/>
      <c r="R153" s="52">
        <v>8336.24</v>
      </c>
      <c r="S153" s="52">
        <v>629.05</v>
      </c>
      <c r="T153" s="52">
        <f>R153-S153</f>
        <v>7707.19</v>
      </c>
      <c r="U153" s="53">
        <f>T153/R153</f>
        <v>0.924540320336267</v>
      </c>
      <c r="V153" s="54">
        <v>166.98</v>
      </c>
      <c r="W153" s="54">
        <v>14.25</v>
      </c>
      <c r="X153" s="54">
        <f>V153-W153</f>
        <v>152.73</v>
      </c>
      <c r="Y153" s="53">
        <f>X153/V153</f>
        <v>0.914660438375853</v>
      </c>
      <c r="Z153" s="53"/>
      <c r="AA153" s="55">
        <f>(E153-K153-S153)/W153</f>
        <v>154.830877192983</v>
      </c>
      <c r="AB153" s="55">
        <f>(D153-J153-R153)/V153</f>
        <v>69.4585579111271</v>
      </c>
      <c r="AC153" s="53">
        <f>(E153-K153-S153)/E153</f>
        <v>0.0576890141849703</v>
      </c>
      <c r="AD153" s="56">
        <f>SUM(D153-H153)/D153</f>
        <v>0.39735900033541</v>
      </c>
      <c r="AE153" s="57"/>
      <c r="AG153" s="35"/>
      <c r="AH153" s="35"/>
      <c r="AK153" s="19">
        <f>SUM(W154-W153)</f>
        <v>7.25</v>
      </c>
      <c r="AL153" s="58">
        <f>SUM(K154-K153)</f>
        <v>646.810000000005</v>
      </c>
    </row>
    <row r="154" ht="15" customHeight="1" spans="1:38" x14ac:dyDescent="0.25">
      <c r="A154" s="19"/>
      <c r="B154" s="20"/>
      <c r="C154" s="51" t="s">
        <v>97</v>
      </c>
      <c r="D154" s="52">
        <v>29188.19</v>
      </c>
      <c r="E154" s="52">
        <v>38245.41</v>
      </c>
      <c r="F154" s="52">
        <f>D154-E154</f>
        <v>-9057.22000000001</v>
      </c>
      <c r="G154" s="53">
        <f>F154/D154</f>
        <v>-0.310304270323032</v>
      </c>
      <c r="H154" s="52">
        <v>17590</v>
      </c>
      <c r="I154" s="52">
        <v>37012.71</v>
      </c>
      <c r="J154" s="52">
        <f>SUM(H154-R154)</f>
        <v>9253.76</v>
      </c>
      <c r="K154" s="52">
        <f>SUM(I154-S154)</f>
        <v>36056.83</v>
      </c>
      <c r="L154" s="52">
        <f>J154-K154</f>
        <v>-26803.07</v>
      </c>
      <c r="M154" s="53">
        <f>L154/J154</f>
        <v>-2.89645182066533</v>
      </c>
      <c r="N154" s="53"/>
      <c r="O154" s="53"/>
      <c r="P154" s="53"/>
      <c r="Q154" s="53"/>
      <c r="R154" s="52">
        <v>8336.24</v>
      </c>
      <c r="S154" s="52">
        <v>955.88</v>
      </c>
      <c r="T154" s="52">
        <f>R154-S154</f>
        <v>7380.36</v>
      </c>
      <c r="U154" s="53">
        <f>T154/R154</f>
        <v>0.885334395362897</v>
      </c>
      <c r="V154" s="54">
        <v>166.98</v>
      </c>
      <c r="W154" s="54">
        <v>21.5</v>
      </c>
      <c r="X154" s="54">
        <f>V154-W154</f>
        <v>145.48</v>
      </c>
      <c r="Y154" s="53">
        <f>X154/V154</f>
        <v>0.871242064917954</v>
      </c>
      <c r="Z154" s="53"/>
      <c r="AA154" s="55">
        <f>(E154-K154-S154)/W154</f>
        <v>57.3348837209303</v>
      </c>
      <c r="AB154" s="55">
        <f>(D154-J154-R154)/V154</f>
        <v>69.4585579111271</v>
      </c>
      <c r="AC154" s="53">
        <f>(E154-K154-S154)/E154</f>
        <v>0.0322313187386408</v>
      </c>
      <c r="AD154" s="56">
        <f>SUM(D154-H154)/D154</f>
        <v>0.39735900033541</v>
      </c>
      <c r="AE154" s="57"/>
      <c r="AG154" s="35" t="s">
        <v>98</v>
      </c>
      <c r="AH154" s="36">
        <v>0</v>
      </c>
      <c r="AK154" s="19">
        <f>SUM(W155-W154)</f>
        <v>-21.5</v>
      </c>
      <c r="AL154" s="58">
        <f>SUM(K155-K154)</f>
        <v>-36056.83</v>
      </c>
    </row>
    <row r="155" ht="15" customHeight="1" spans="1:38" x14ac:dyDescent="0.25">
      <c r="A155" s="19"/>
      <c r="B155" s="20"/>
      <c r="C155" s="51" t="s">
        <v>99</v>
      </c>
      <c r="D155" s="52"/>
      <c r="E155" s="52"/>
      <c r="F155" s="52">
        <f>D155-E155</f>
        <v>0</v>
      </c>
      <c r="G155" s="53" t="e">
        <f>F155/D155</f>
        <v>#DIV/0!</v>
      </c>
      <c r="H155" s="52"/>
      <c r="I155" s="52"/>
      <c r="J155" s="52">
        <f>SUM(H155-R155)</f>
        <v>0</v>
      </c>
      <c r="K155" s="52">
        <f>SUM(I155-S155)</f>
        <v>0</v>
      </c>
      <c r="L155" s="52">
        <f>J155-K155</f>
        <v>0</v>
      </c>
      <c r="M155" s="53" t="e">
        <f>L155/J155</f>
        <v>#DIV/0!</v>
      </c>
      <c r="N155" s="53"/>
      <c r="O155" s="53"/>
      <c r="P155" s="53"/>
      <c r="Q155" s="53"/>
      <c r="R155" s="52"/>
      <c r="S155" s="52"/>
      <c r="T155" s="52">
        <f>R155-S155</f>
        <v>0</v>
      </c>
      <c r="U155" s="53" t="e">
        <f>T155/R155</f>
        <v>#DIV/0!</v>
      </c>
      <c r="V155" s="54"/>
      <c r="W155" s="54"/>
      <c r="X155" s="54">
        <f>V155-W155</f>
        <v>0</v>
      </c>
      <c r="Y155" s="53" t="e">
        <f>X155/V155</f>
        <v>#DIV/0!</v>
      </c>
      <c r="Z155" s="53"/>
      <c r="AA155" s="55" t="e">
        <f>(E155-K155-S155)/W155</f>
        <v>#DIV/0!</v>
      </c>
      <c r="AB155" s="55" t="e">
        <f>(D155-J155-R155)/V155</f>
        <v>#DIV/0!</v>
      </c>
      <c r="AC155" s="53" t="e">
        <f>(E155-K155-S155)/E155</f>
        <v>#DIV/0!</v>
      </c>
      <c r="AD155" s="56" t="e">
        <f>SUM(D155-H155)/D155</f>
        <v>#DIV/0!</v>
      </c>
      <c r="AE155" s="57"/>
      <c r="AG155" s="35"/>
      <c r="AH155" s="35"/>
      <c r="AK155" s="19">
        <f>SUM(W156-W155)</f>
        <v>0</v>
      </c>
      <c r="AL155" s="58">
        <f>SUM(K156-K155)</f>
        <v>0</v>
      </c>
    </row>
    <row r="156" ht="15" customHeight="1" spans="1:38" x14ac:dyDescent="0.25">
      <c r="A156" s="59"/>
      <c r="B156" s="75"/>
      <c r="C156" s="76" t="s">
        <v>100</v>
      </c>
      <c r="D156" s="52"/>
      <c r="E156" s="52"/>
      <c r="F156" s="52">
        <f>D156-E156</f>
        <v>0</v>
      </c>
      <c r="G156" s="53" t="e">
        <f>F156/D156</f>
        <v>#DIV/0!</v>
      </c>
      <c r="H156" s="52"/>
      <c r="I156" s="52"/>
      <c r="J156" s="52">
        <f>SUM(H156-R156)</f>
        <v>0</v>
      </c>
      <c r="K156" s="52">
        <f>SUM(I156-S156)</f>
        <v>0</v>
      </c>
      <c r="L156" s="52">
        <f>J156-K156</f>
        <v>0</v>
      </c>
      <c r="M156" s="53" t="e">
        <f>L156/J156</f>
        <v>#DIV/0!</v>
      </c>
      <c r="N156" s="53"/>
      <c r="O156" s="53"/>
      <c r="P156" s="53"/>
      <c r="Q156" s="53"/>
      <c r="R156" s="52"/>
      <c r="S156" s="52"/>
      <c r="T156" s="52">
        <f>R156-S156</f>
        <v>0</v>
      </c>
      <c r="U156" s="53" t="e">
        <f>T156/R156</f>
        <v>#DIV/0!</v>
      </c>
      <c r="V156" s="54"/>
      <c r="W156" s="54"/>
      <c r="X156" s="54">
        <f>V156-W156</f>
        <v>0</v>
      </c>
      <c r="Y156" s="53" t="e">
        <f>X156/V156</f>
        <v>#DIV/0!</v>
      </c>
      <c r="Z156" s="53"/>
      <c r="AA156" s="55" t="e">
        <f>(E156-K156-S156)/W156</f>
        <v>#DIV/0!</v>
      </c>
      <c r="AB156" s="55" t="e">
        <f>(D156-J156-R156)/V156</f>
        <v>#DIV/0!</v>
      </c>
      <c r="AC156" s="53" t="e">
        <f>(E156-K156-S156)/E156</f>
        <v>#DIV/0!</v>
      </c>
      <c r="AD156" s="56" t="e">
        <f>SUM(D156-H156)/D156</f>
        <v>#DIV/0!</v>
      </c>
      <c r="AE156" s="57"/>
      <c r="AG156" s="35"/>
      <c r="AH156" s="35"/>
      <c r="AK156" s="59">
        <f>SUM(AK151,AK152,AK153,AK154,AK155)</f>
        <v>-9.75</v>
      </c>
      <c r="AL156" s="60">
        <f>SUM(AL151,AL152,AL153,AL154,AL155)</f>
        <v>-35607.58</v>
      </c>
    </row>
    <row r="157" ht="26.25" customHeight="1" spans="1:38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G157" s="35"/>
      <c r="AH157" s="35"/>
      <c r="AK157" s="35"/>
      <c r="AL157" s="35"/>
    </row>
    <row r="158" ht="15" customHeight="1" spans="1:38" x14ac:dyDescent="0.25">
      <c r="A158" s="19">
        <f>'Main Sheet'!A48</f>
        <v>8337</v>
      </c>
      <c r="B158" s="20" t="str">
        <f>'Main Sheet'!B48</f>
        <v>Waimak Dairys </v>
      </c>
      <c r="C158" s="51" t="s">
        <v>92</v>
      </c>
      <c r="D158" s="52">
        <v>15025.89</v>
      </c>
      <c r="E158" s="52">
        <v>0</v>
      </c>
      <c r="F158" s="52">
        <f>D158-E158</f>
        <v>15025.89</v>
      </c>
      <c r="G158" s="53">
        <f>F158/D158</f>
        <v>1</v>
      </c>
      <c r="H158" s="52">
        <v>10929.18</v>
      </c>
      <c r="I158" s="52">
        <v>0</v>
      </c>
      <c r="J158" s="52">
        <v>0</v>
      </c>
      <c r="K158" s="52">
        <v>0</v>
      </c>
      <c r="L158" s="52">
        <f>J158-K158</f>
        <v>0</v>
      </c>
      <c r="M158" s="53" t="e">
        <f>L158/J158</f>
        <v>#DIV/0!</v>
      </c>
      <c r="N158" s="53"/>
      <c r="O158" s="53"/>
      <c r="P158" s="53"/>
      <c r="Q158" s="53"/>
      <c r="R158" s="52">
        <v>5126.09</v>
      </c>
      <c r="S158" s="52">
        <v>0</v>
      </c>
      <c r="T158" s="52">
        <f>R158-S158</f>
        <v>5126.09</v>
      </c>
      <c r="U158" s="53">
        <f>T158/R158</f>
        <v>1</v>
      </c>
      <c r="V158" s="54">
        <v>102.81</v>
      </c>
      <c r="W158" s="54">
        <v>0</v>
      </c>
      <c r="X158" s="54">
        <f>V158-W158</f>
        <v>102.81</v>
      </c>
      <c r="Y158" s="53">
        <f>X158/V158</f>
        <v>1</v>
      </c>
      <c r="Z158" s="53"/>
      <c r="AA158" s="55" t="e">
        <f>(E158-K158-S158)/W158</f>
        <v>#DIV/0!</v>
      </c>
      <c r="AB158" s="55">
        <f>(D158-J158-R158)/V158</f>
        <v>96.2921894757319</v>
      </c>
      <c r="AC158" s="53" t="e">
        <f>(E158-K158-S158)/E158</f>
        <v>#DIV/0!</v>
      </c>
      <c r="AD158" s="56">
        <f>SUM(D158-H158)/D158</f>
        <v>0.272643417461462</v>
      </c>
      <c r="AE158" s="57"/>
      <c r="AG158" s="35" t="s">
        <v>93</v>
      </c>
      <c r="AH158" s="35">
        <f>AK163</f>
        <v>0</v>
      </c>
      <c r="AK158" s="19">
        <f>SUM(W159-W158)</f>
        <v>0</v>
      </c>
      <c r="AL158" s="58">
        <f>SUM(K159-K158)</f>
        <v>0</v>
      </c>
    </row>
    <row r="159" ht="15" customHeight="1" spans="1:38" x14ac:dyDescent="0.25">
      <c r="A159" s="19"/>
      <c r="B159" s="20"/>
      <c r="C159" s="51" t="s">
        <v>94</v>
      </c>
      <c r="D159" s="52">
        <v>0</v>
      </c>
      <c r="E159" s="52">
        <v>0</v>
      </c>
      <c r="F159" s="52">
        <v>0</v>
      </c>
      <c r="G159" s="53" t="e">
        <f>F159/D159</f>
        <v>#DIV/0!</v>
      </c>
      <c r="H159" s="52">
        <v>0</v>
      </c>
      <c r="I159" s="52">
        <v>0</v>
      </c>
      <c r="J159" s="52">
        <v>0</v>
      </c>
      <c r="K159" s="52">
        <v>0</v>
      </c>
      <c r="L159" s="52">
        <f>J159-K159</f>
        <v>0</v>
      </c>
      <c r="M159" s="53" t="e">
        <f>L159/J159</f>
        <v>#DIV/0!</v>
      </c>
      <c r="N159" s="53"/>
      <c r="O159" s="53"/>
      <c r="P159" s="53"/>
      <c r="Q159" s="53"/>
      <c r="R159" s="52">
        <v>0</v>
      </c>
      <c r="S159" s="52">
        <v>0</v>
      </c>
      <c r="T159" s="52">
        <f>R159-S159</f>
        <v>0</v>
      </c>
      <c r="U159" s="53" t="e">
        <f>T159/R159</f>
        <v>#DIV/0!</v>
      </c>
      <c r="V159" s="54">
        <v>0</v>
      </c>
      <c r="W159" s="54">
        <v>0</v>
      </c>
      <c r="X159" s="54">
        <f>V159-W159</f>
        <v>0</v>
      </c>
      <c r="Y159" s="53" t="e">
        <f>X159/V159</f>
        <v>#DIV/0!</v>
      </c>
      <c r="Z159" s="53"/>
      <c r="AA159" s="55" t="e">
        <f>(E159-K159-S159)/W159</f>
        <v>#DIV/0!</v>
      </c>
      <c r="AB159" s="55" t="e">
        <f>(D159-J159-R159)/V159</f>
        <v>#DIV/0!</v>
      </c>
      <c r="AC159" s="53" t="e">
        <f>(E159-K159-S159)/E159</f>
        <v>#DIV/0!</v>
      </c>
      <c r="AD159" s="56" t="e">
        <f>SUM(D159-H159)/D159</f>
        <v>#DIV/0!</v>
      </c>
      <c r="AE159" s="57"/>
      <c r="AG159" s="35" t="s">
        <v>95</v>
      </c>
      <c r="AH159" s="36">
        <f>AL163</f>
        <v>0</v>
      </c>
      <c r="AK159" s="19">
        <f>SUM(W160-W159)</f>
        <v>0</v>
      </c>
      <c r="AL159" s="58">
        <f>SUM(K160-K159)</f>
        <v>0</v>
      </c>
    </row>
    <row r="160" ht="15" customHeight="1" spans="1:38" x14ac:dyDescent="0.25">
      <c r="A160" s="19"/>
      <c r="B160" s="20"/>
      <c r="C160" s="51" t="s">
        <v>96</v>
      </c>
      <c r="D160" s="52"/>
      <c r="E160" s="52"/>
      <c r="F160" s="52">
        <f>D160-E160</f>
        <v>0</v>
      </c>
      <c r="G160" s="53" t="e">
        <f>F160/D160</f>
        <v>#DIV/0!</v>
      </c>
      <c r="H160" s="52"/>
      <c r="I160" s="52"/>
      <c r="J160" s="52">
        <f>SUM(H160-R160)</f>
        <v>0</v>
      </c>
      <c r="K160" s="52">
        <f>SUM(I160-S160)</f>
        <v>0</v>
      </c>
      <c r="L160" s="52">
        <f>J160-K160</f>
        <v>0</v>
      </c>
      <c r="M160" s="53" t="e">
        <f>L160/J160</f>
        <v>#DIV/0!</v>
      </c>
      <c r="N160" s="53"/>
      <c r="O160" s="53"/>
      <c r="P160" s="53"/>
      <c r="Q160" s="53"/>
      <c r="R160" s="52"/>
      <c r="S160" s="52"/>
      <c r="T160" s="52">
        <f>R160-S160</f>
        <v>0</v>
      </c>
      <c r="U160" s="53" t="e">
        <f>T160/R160</f>
        <v>#DIV/0!</v>
      </c>
      <c r="V160" s="54"/>
      <c r="W160" s="54"/>
      <c r="X160" s="54">
        <f>V160-W160</f>
        <v>0</v>
      </c>
      <c r="Y160" s="53" t="e">
        <f>X160/V160</f>
        <v>#DIV/0!</v>
      </c>
      <c r="Z160" s="53"/>
      <c r="AA160" s="55" t="e">
        <f>(E160-K160-S160)/W160</f>
        <v>#DIV/0!</v>
      </c>
      <c r="AB160" s="55" t="e">
        <f>(D160-J160-R160)/V160</f>
        <v>#DIV/0!</v>
      </c>
      <c r="AC160" s="53" t="e">
        <f>(E160-K160-S160)/E160</f>
        <v>#DIV/0!</v>
      </c>
      <c r="AD160" s="56" t="e">
        <f>SUM(D160-H160)/D160</f>
        <v>#DIV/0!</v>
      </c>
      <c r="AE160" s="57"/>
      <c r="AG160" s="35"/>
      <c r="AH160" s="35"/>
      <c r="AK160" s="19">
        <f>SUM(W161-W160)</f>
        <v>0</v>
      </c>
      <c r="AL160" s="58">
        <f>SUM(K161-K160)</f>
        <v>0</v>
      </c>
    </row>
    <row r="161" ht="15" customHeight="1" spans="1:38" x14ac:dyDescent="0.25">
      <c r="A161" s="19"/>
      <c r="B161" s="20"/>
      <c r="C161" s="51" t="s">
        <v>97</v>
      </c>
      <c r="D161" s="52"/>
      <c r="E161" s="52"/>
      <c r="F161" s="52">
        <f>D161-E161</f>
        <v>0</v>
      </c>
      <c r="G161" s="53" t="e">
        <f>F161/D161</f>
        <v>#DIV/0!</v>
      </c>
      <c r="H161" s="52"/>
      <c r="I161" s="52"/>
      <c r="J161" s="52">
        <f>SUM(H161-R161)</f>
        <v>0</v>
      </c>
      <c r="K161" s="52">
        <f>SUM(I161-S161)</f>
        <v>0</v>
      </c>
      <c r="L161" s="52">
        <f>J161-K161</f>
        <v>0</v>
      </c>
      <c r="M161" s="53" t="e">
        <f>L161/J161</f>
        <v>#DIV/0!</v>
      </c>
      <c r="N161" s="53"/>
      <c r="O161" s="53"/>
      <c r="P161" s="53"/>
      <c r="Q161" s="53"/>
      <c r="R161" s="52"/>
      <c r="S161" s="52"/>
      <c r="T161" s="52">
        <f>R161-S161</f>
        <v>0</v>
      </c>
      <c r="U161" s="53" t="e">
        <f>T161/R161</f>
        <v>#DIV/0!</v>
      </c>
      <c r="V161" s="54"/>
      <c r="W161" s="54"/>
      <c r="X161" s="54">
        <f>V161-W161</f>
        <v>0</v>
      </c>
      <c r="Y161" s="53" t="e">
        <f>X161/V161</f>
        <v>#DIV/0!</v>
      </c>
      <c r="Z161" s="53"/>
      <c r="AA161" s="55" t="e">
        <f>(E161-K161-S161)/W161</f>
        <v>#DIV/0!</v>
      </c>
      <c r="AB161" s="55" t="e">
        <f>(D161-J161-R161)/V161</f>
        <v>#DIV/0!</v>
      </c>
      <c r="AC161" s="53" t="e">
        <f>(E161-K161-S161)/E161</f>
        <v>#DIV/0!</v>
      </c>
      <c r="AD161" s="56" t="e">
        <f>SUM(D161-H161)/D161</f>
        <v>#DIV/0!</v>
      </c>
      <c r="AE161" s="57"/>
      <c r="AG161" s="35" t="s">
        <v>98</v>
      </c>
      <c r="AH161" s="36">
        <v>0</v>
      </c>
      <c r="AK161" s="19">
        <f>SUM(W162-W161)</f>
        <v>0</v>
      </c>
      <c r="AL161" s="58">
        <f>SUM(K162-K161)</f>
        <v>0</v>
      </c>
    </row>
    <row r="162" ht="15" customHeight="1" spans="1:38" x14ac:dyDescent="0.25">
      <c r="A162" s="19"/>
      <c r="B162" s="20"/>
      <c r="C162" s="51" t="s">
        <v>99</v>
      </c>
      <c r="D162" s="52"/>
      <c r="E162" s="52"/>
      <c r="F162" s="52">
        <f>D162-E162</f>
        <v>0</v>
      </c>
      <c r="G162" s="53" t="e">
        <f>F162/D162</f>
        <v>#DIV/0!</v>
      </c>
      <c r="H162" s="52"/>
      <c r="I162" s="52"/>
      <c r="J162" s="52">
        <f>SUM(H162-R162)</f>
        <v>0</v>
      </c>
      <c r="K162" s="52">
        <f>SUM(I162-S162)</f>
        <v>0</v>
      </c>
      <c r="L162" s="52">
        <f>J162-K162</f>
        <v>0</v>
      </c>
      <c r="M162" s="53" t="e">
        <f>L162/J162</f>
        <v>#DIV/0!</v>
      </c>
      <c r="N162" s="53"/>
      <c r="O162" s="53"/>
      <c r="P162" s="53"/>
      <c r="Q162" s="53"/>
      <c r="R162" s="52"/>
      <c r="S162" s="52"/>
      <c r="T162" s="52">
        <f>R162-S162</f>
        <v>0</v>
      </c>
      <c r="U162" s="53" t="e">
        <f>T162/R162</f>
        <v>#DIV/0!</v>
      </c>
      <c r="V162" s="54"/>
      <c r="W162" s="54"/>
      <c r="X162" s="54">
        <f>V162-W162</f>
        <v>0</v>
      </c>
      <c r="Y162" s="53" t="e">
        <f>X162/V162</f>
        <v>#DIV/0!</v>
      </c>
      <c r="Z162" s="53"/>
      <c r="AA162" s="55" t="e">
        <f>(E162-K162-S162)/W162</f>
        <v>#DIV/0!</v>
      </c>
      <c r="AB162" s="55" t="e">
        <f>(D162-J162-R162)/V162</f>
        <v>#DIV/0!</v>
      </c>
      <c r="AC162" s="53" t="e">
        <f>(E162-K162-S162)/E162</f>
        <v>#DIV/0!</v>
      </c>
      <c r="AD162" s="56" t="e">
        <f>SUM(D162-H162)/D162</f>
        <v>#DIV/0!</v>
      </c>
      <c r="AE162" s="57"/>
      <c r="AG162" s="35"/>
      <c r="AH162" s="35"/>
      <c r="AK162" s="19">
        <f>SUM(W163-W162)</f>
        <v>0</v>
      </c>
      <c r="AL162" s="58">
        <f>SUM(K163-K162)</f>
        <v>0</v>
      </c>
    </row>
    <row r="163" ht="15" customHeight="1" spans="1:38" x14ac:dyDescent="0.25">
      <c r="A163" s="59"/>
      <c r="B163" s="75"/>
      <c r="C163" s="76" t="s">
        <v>100</v>
      </c>
      <c r="D163" s="52"/>
      <c r="E163" s="52"/>
      <c r="F163" s="52">
        <f>D163-E163</f>
        <v>0</v>
      </c>
      <c r="G163" s="53" t="e">
        <f>F163/D163</f>
        <v>#DIV/0!</v>
      </c>
      <c r="H163" s="52"/>
      <c r="I163" s="52"/>
      <c r="J163" s="52">
        <f>SUM(H163-R163)</f>
        <v>0</v>
      </c>
      <c r="K163" s="52">
        <f>SUM(I163-S163)</f>
        <v>0</v>
      </c>
      <c r="L163" s="52">
        <f>J163-K163</f>
        <v>0</v>
      </c>
      <c r="M163" s="53" t="e">
        <f>L163/J163</f>
        <v>#DIV/0!</v>
      </c>
      <c r="N163" s="53"/>
      <c r="O163" s="53"/>
      <c r="P163" s="53"/>
      <c r="Q163" s="53"/>
      <c r="R163" s="52"/>
      <c r="S163" s="52"/>
      <c r="T163" s="52">
        <f>R163-S163</f>
        <v>0</v>
      </c>
      <c r="U163" s="53" t="e">
        <f>T163/R163</f>
        <v>#DIV/0!</v>
      </c>
      <c r="V163" s="54"/>
      <c r="W163" s="54"/>
      <c r="X163" s="54">
        <f>V163-W163</f>
        <v>0</v>
      </c>
      <c r="Y163" s="53" t="e">
        <f>X163/V163</f>
        <v>#DIV/0!</v>
      </c>
      <c r="Z163" s="53"/>
      <c r="AA163" s="55" t="e">
        <f>(E163-K163-S163)/W163</f>
        <v>#DIV/0!</v>
      </c>
      <c r="AB163" s="55" t="e">
        <f>(D163-J163-R163)/V163</f>
        <v>#DIV/0!</v>
      </c>
      <c r="AC163" s="53" t="e">
        <f>(E163-K163-S163)/E163</f>
        <v>#DIV/0!</v>
      </c>
      <c r="AD163" s="56" t="e">
        <f>SUM(D163-H163)/D163</f>
        <v>#DIV/0!</v>
      </c>
      <c r="AE163" s="57"/>
      <c r="AG163" s="35"/>
      <c r="AH163" s="35"/>
      <c r="AK163" s="59">
        <f>SUM(AK158,AK159,AK160,AK161,AK162)</f>
        <v>0</v>
      </c>
      <c r="AL163" s="60">
        <f>SUM(AL158,AL159,AL160,AL161,AL162)</f>
        <v>0</v>
      </c>
    </row>
    <row r="164" ht="9" customHeight="1" spans="1:38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G164" s="35"/>
      <c r="AH164" s="35"/>
      <c r="AK164" s="35"/>
      <c r="AL164" s="35"/>
    </row>
    <row r="165" ht="15" customHeight="1" spans="1:38" x14ac:dyDescent="0.25">
      <c r="A165" s="19">
        <f>'Main Sheet'!A50</f>
        <v>9240</v>
      </c>
      <c r="B165" s="20" t="str">
        <f>'Main Sheet'!B50</f>
        <v>Daves Twizel Shack</v>
      </c>
      <c r="C165" s="51" t="s">
        <v>92</v>
      </c>
      <c r="D165" s="52">
        <v>300839.52</v>
      </c>
      <c r="E165" s="52">
        <v>0</v>
      </c>
      <c r="F165" s="52">
        <f>D165-E165</f>
        <v>300839.52</v>
      </c>
      <c r="G165" s="53">
        <f>F165/D165</f>
        <v>1</v>
      </c>
      <c r="H165" s="52">
        <v>243747.98</v>
      </c>
      <c r="I165" s="52">
        <v>70092.2</v>
      </c>
      <c r="J165" s="52">
        <f>SUM(H165-R165)</f>
        <v>183229.46</v>
      </c>
      <c r="K165" s="52">
        <f>SUM(I165-S165)</f>
        <v>69898.65</v>
      </c>
      <c r="L165" s="52">
        <f>J165-K165</f>
        <v>113330.81</v>
      </c>
      <c r="M165" s="53">
        <f>L165/J165</f>
        <v>0.618518495879429</v>
      </c>
      <c r="N165" s="53"/>
      <c r="O165" s="53"/>
      <c r="P165" s="53"/>
      <c r="Q165" s="53"/>
      <c r="R165" s="52">
        <v>60518.52</v>
      </c>
      <c r="S165" s="52">
        <v>193.55</v>
      </c>
      <c r="T165" s="52">
        <f>R165-S165</f>
        <v>60324.97</v>
      </c>
      <c r="U165" s="53">
        <f>T165/R165</f>
        <v>0.996801805463848</v>
      </c>
      <c r="V165" s="54">
        <v>1213</v>
      </c>
      <c r="W165" s="54">
        <v>0</v>
      </c>
      <c r="X165" s="54">
        <f>V165-W165</f>
        <v>1213</v>
      </c>
      <c r="Y165" s="53">
        <f>X165/V165</f>
        <v>1</v>
      </c>
      <c r="Z165" s="53"/>
      <c r="AA165" s="55" t="e">
        <f>(E165-K165-S165)/W165</f>
        <v>#DIV/0!</v>
      </c>
      <c r="AB165" s="55">
        <f>(D165-J165-R165)/V165</f>
        <v>47.0663973619126</v>
      </c>
      <c r="AC165" s="53" t="e">
        <f>(E165-K165-S165)/E165</f>
        <v>#DIV/0!</v>
      </c>
      <c r="AD165" s="56">
        <f>SUM(D165-H165)/D165</f>
        <v>0.189774069577029</v>
      </c>
      <c r="AE165" s="57"/>
      <c r="AG165" s="35" t="s">
        <v>93</v>
      </c>
      <c r="AH165" s="35">
        <f>AK170</f>
        <v>0</v>
      </c>
      <c r="AK165" s="19">
        <f>SUM(W166-W165)</f>
        <v>3.5</v>
      </c>
      <c r="AL165" s="58">
        <f>SUM(K166-K165)</f>
        <v>-10.8000000000029</v>
      </c>
    </row>
    <row r="166" ht="15" customHeight="1" spans="1:38" x14ac:dyDescent="0.25">
      <c r="A166" s="19"/>
      <c r="B166" s="20"/>
      <c r="C166" s="51" t="s">
        <v>94</v>
      </c>
      <c r="D166" s="52">
        <v>300839.52</v>
      </c>
      <c r="E166" s="52">
        <v>93431.66</v>
      </c>
      <c r="F166" s="52">
        <f>D166-E166</f>
        <v>207407.86</v>
      </c>
      <c r="G166" s="53">
        <f>F166/D166</f>
        <v>0.689430231772741</v>
      </c>
      <c r="H166" s="52">
        <v>243747.98</v>
      </c>
      <c r="I166" s="52">
        <v>70081.4</v>
      </c>
      <c r="J166" s="52">
        <f>SUM(H166-R166)</f>
        <v>183229.46</v>
      </c>
      <c r="K166" s="52">
        <f>SUM(I166-S166)</f>
        <v>69887.85</v>
      </c>
      <c r="L166" s="52">
        <f>J166-K166</f>
        <v>113341.61</v>
      </c>
      <c r="M166" s="53">
        <f>L166/J166</f>
        <v>0.61857743836608</v>
      </c>
      <c r="N166" s="53"/>
      <c r="O166" s="53"/>
      <c r="P166" s="53"/>
      <c r="Q166" s="53"/>
      <c r="R166" s="52">
        <v>60518.52</v>
      </c>
      <c r="S166" s="52">
        <v>193.55</v>
      </c>
      <c r="T166" s="52">
        <f>R166-S166</f>
        <v>60324.97</v>
      </c>
      <c r="U166" s="53">
        <f>T166/R166</f>
        <v>0.996801805463848</v>
      </c>
      <c r="V166" s="54">
        <v>1213.28</v>
      </c>
      <c r="W166" s="54">
        <v>3.5</v>
      </c>
      <c r="X166" s="54">
        <f>V166-W166</f>
        <v>1209.78</v>
      </c>
      <c r="Y166" s="53">
        <f>X166/V166</f>
        <v>0.99711525781353</v>
      </c>
      <c r="Z166" s="53"/>
      <c r="AA166" s="55">
        <f>(E166-K166-S166)/W166</f>
        <v>6671.50285714286</v>
      </c>
      <c r="AB166" s="55">
        <f>(D166-J166-R166)/V166</f>
        <v>47.0555354081498</v>
      </c>
      <c r="AC166" s="53">
        <f>(E166-K166-S166)/E166</f>
        <v>0.249918068457737</v>
      </c>
      <c r="AD166" s="56">
        <f>SUM(D166-H166)/D166</f>
        <v>0.189774069577029</v>
      </c>
      <c r="AE166" s="57"/>
      <c r="AG166" s="35" t="s">
        <v>95</v>
      </c>
      <c r="AH166" s="36">
        <f>AL170</f>
        <v>-69898.65</v>
      </c>
      <c r="AK166" s="19">
        <f>SUM(W167-W166)</f>
        <v>-3.5</v>
      </c>
      <c r="AL166" s="58">
        <f>SUM(K167-K166)</f>
        <v>-69887.85</v>
      </c>
    </row>
    <row r="167" ht="15" customHeight="1" spans="1:38" x14ac:dyDescent="0.25">
      <c r="A167" s="19"/>
      <c r="B167" s="20"/>
      <c r="C167" s="51" t="s">
        <v>96</v>
      </c>
      <c r="D167" s="52">
        <v>0</v>
      </c>
      <c r="E167" s="52">
        <v>0</v>
      </c>
      <c r="F167" s="52">
        <f>D167-E167</f>
        <v>0</v>
      </c>
      <c r="G167" s="53" t="e">
        <f>F167/D167</f>
        <v>#DIV/0!</v>
      </c>
      <c r="H167" s="52">
        <v>0</v>
      </c>
      <c r="I167" s="52">
        <v>0</v>
      </c>
      <c r="J167" s="52">
        <f>SUM(H167-R167)</f>
        <v>0</v>
      </c>
      <c r="K167" s="52">
        <f>SUM(I167-S167)</f>
        <v>0</v>
      </c>
      <c r="L167" s="52">
        <f>J167-K167</f>
        <v>0</v>
      </c>
      <c r="M167" s="53" t="e">
        <f>L167/J167</f>
        <v>#DIV/0!</v>
      </c>
      <c r="N167" s="53"/>
      <c r="O167" s="53"/>
      <c r="P167" s="53"/>
      <c r="Q167" s="53"/>
      <c r="R167" s="52">
        <v>0</v>
      </c>
      <c r="S167" s="52">
        <v>0</v>
      </c>
      <c r="T167" s="52">
        <f>R167-S167</f>
        <v>0</v>
      </c>
      <c r="U167" s="53" t="e">
        <f>T167/R167</f>
        <v>#DIV/0!</v>
      </c>
      <c r="V167" s="54">
        <v>0</v>
      </c>
      <c r="W167" s="54">
        <v>0</v>
      </c>
      <c r="X167" s="54">
        <f>V167-W167</f>
        <v>0</v>
      </c>
      <c r="Y167" s="53" t="e">
        <f>X167/V167</f>
        <v>#DIV/0!</v>
      </c>
      <c r="Z167" s="53"/>
      <c r="AA167" s="55" t="e">
        <f>(E167-K167-S167)/W167</f>
        <v>#DIV/0!</v>
      </c>
      <c r="AB167" s="55" t="e">
        <f>(D167-J167-R167)/V167</f>
        <v>#DIV/0!</v>
      </c>
      <c r="AC167" s="53" t="e">
        <f>(E167-K167-S167)/E167</f>
        <v>#DIV/0!</v>
      </c>
      <c r="AD167" s="56" t="e">
        <f>SUM(D167-H167)/D167</f>
        <v>#DIV/0!</v>
      </c>
      <c r="AE167" s="57"/>
      <c r="AG167" s="35"/>
      <c r="AH167" s="35"/>
      <c r="AK167" s="19">
        <f>SUM(W168-W167)</f>
        <v>0</v>
      </c>
      <c r="AL167" s="58">
        <f>SUM(K168-K167)</f>
        <v>0</v>
      </c>
    </row>
    <row r="168" ht="15" customHeight="1" spans="1:38" x14ac:dyDescent="0.25">
      <c r="A168" s="19"/>
      <c r="B168" s="20"/>
      <c r="C168" s="51" t="s">
        <v>97</v>
      </c>
      <c r="D168" s="52">
        <v>0</v>
      </c>
      <c r="E168" s="52">
        <v>0</v>
      </c>
      <c r="F168" s="52">
        <f>D168-E168</f>
        <v>0</v>
      </c>
      <c r="G168" s="53" t="e">
        <f>F168/D168</f>
        <v>#DIV/0!</v>
      </c>
      <c r="H168" s="52">
        <v>0</v>
      </c>
      <c r="I168" s="52">
        <v>0</v>
      </c>
      <c r="J168" s="52">
        <f>SUM(H168-R168)</f>
        <v>0</v>
      </c>
      <c r="K168" s="52">
        <f>SUM(I168-S168)</f>
        <v>0</v>
      </c>
      <c r="L168" s="52">
        <f>J168-K168</f>
        <v>0</v>
      </c>
      <c r="M168" s="53" t="e">
        <f>L168/J168</f>
        <v>#DIV/0!</v>
      </c>
      <c r="N168" s="53"/>
      <c r="O168" s="53"/>
      <c r="P168" s="53"/>
      <c r="Q168" s="53"/>
      <c r="R168" s="52">
        <v>0</v>
      </c>
      <c r="S168" s="52">
        <v>0</v>
      </c>
      <c r="T168" s="52">
        <f>R168-S168</f>
        <v>0</v>
      </c>
      <c r="U168" s="53" t="e">
        <f>T168/R168</f>
        <v>#DIV/0!</v>
      </c>
      <c r="V168" s="54">
        <v>0</v>
      </c>
      <c r="W168" s="54">
        <v>0</v>
      </c>
      <c r="X168" s="54">
        <f>V168-W168</f>
        <v>0</v>
      </c>
      <c r="Y168" s="53" t="e">
        <f>X168/V168</f>
        <v>#DIV/0!</v>
      </c>
      <c r="Z168" s="53"/>
      <c r="AA168" s="55" t="e">
        <f>(E168-K168-S168)/W168</f>
        <v>#DIV/0!</v>
      </c>
      <c r="AB168" s="55" t="e">
        <f>(D168-J168-R168)/V168</f>
        <v>#DIV/0!</v>
      </c>
      <c r="AC168" s="53" t="e">
        <f>(E168-K168-S168)/E168</f>
        <v>#DIV/0!</v>
      </c>
      <c r="AD168" s="56" t="e">
        <f>SUM(D168-H168)/D168</f>
        <v>#DIV/0!</v>
      </c>
      <c r="AE168" s="57"/>
      <c r="AG168" s="35" t="s">
        <v>98</v>
      </c>
      <c r="AH168" s="36">
        <v>0</v>
      </c>
      <c r="AK168" s="19">
        <f>SUM(W169-W168)</f>
        <v>0</v>
      </c>
      <c r="AL168" s="58">
        <f>SUM(K169-K168)</f>
        <v>0</v>
      </c>
    </row>
    <row r="169" ht="15" customHeight="1" spans="1:38" x14ac:dyDescent="0.25">
      <c r="A169" s="19"/>
      <c r="B169" s="20"/>
      <c r="C169" s="51" t="s">
        <v>99</v>
      </c>
      <c r="D169" s="52">
        <v>0</v>
      </c>
      <c r="E169" s="52">
        <v>0</v>
      </c>
      <c r="F169" s="52">
        <f>D169-E169</f>
        <v>0</v>
      </c>
      <c r="G169" s="53" t="e">
        <f>F169/D169</f>
        <v>#DIV/0!</v>
      </c>
      <c r="H169" s="52">
        <v>0</v>
      </c>
      <c r="I169" s="52">
        <v>0</v>
      </c>
      <c r="J169" s="52">
        <f>SUM(H169-R169)</f>
        <v>0</v>
      </c>
      <c r="K169" s="52">
        <f>SUM(I169-S169)</f>
        <v>0</v>
      </c>
      <c r="L169" s="52">
        <f>J169-K169</f>
        <v>0</v>
      </c>
      <c r="M169" s="53" t="e">
        <f>L169/J169</f>
        <v>#DIV/0!</v>
      </c>
      <c r="N169" s="53"/>
      <c r="O169" s="53"/>
      <c r="P169" s="53"/>
      <c r="Q169" s="53"/>
      <c r="R169" s="52">
        <v>0</v>
      </c>
      <c r="S169" s="52">
        <v>0</v>
      </c>
      <c r="T169" s="52">
        <f>R169-S169</f>
        <v>0</v>
      </c>
      <c r="U169" s="53" t="e">
        <f>T169/R169</f>
        <v>#DIV/0!</v>
      </c>
      <c r="V169" s="54">
        <v>0</v>
      </c>
      <c r="W169" s="54">
        <v>0</v>
      </c>
      <c r="X169" s="54">
        <f>V169-W169</f>
        <v>0</v>
      </c>
      <c r="Y169" s="53" t="e">
        <f>X169/V169</f>
        <v>#DIV/0!</v>
      </c>
      <c r="Z169" s="53"/>
      <c r="AA169" s="55" t="e">
        <f>(E169-K169-S169)/W169</f>
        <v>#DIV/0!</v>
      </c>
      <c r="AB169" s="55" t="e">
        <f>(D169-J169-R169)/V169</f>
        <v>#DIV/0!</v>
      </c>
      <c r="AC169" s="53" t="e">
        <f>(E169-K169-S169)/E169</f>
        <v>#DIV/0!</v>
      </c>
      <c r="AD169" s="56" t="e">
        <f>SUM(D169-H169)/D169</f>
        <v>#DIV/0!</v>
      </c>
      <c r="AE169" s="57"/>
      <c r="AG169" s="35"/>
      <c r="AH169" s="35"/>
      <c r="AK169" s="19">
        <f>SUM(W170-W169)</f>
        <v>0</v>
      </c>
      <c r="AL169" s="58">
        <f>SUM(K170-K169)</f>
        <v>0</v>
      </c>
    </row>
    <row r="170" ht="15" customHeight="1" spans="1:38" x14ac:dyDescent="0.25">
      <c r="A170" s="59"/>
      <c r="B170" s="75"/>
      <c r="C170" s="76" t="s">
        <v>100</v>
      </c>
      <c r="D170" s="52">
        <v>0</v>
      </c>
      <c r="E170" s="52">
        <v>0</v>
      </c>
      <c r="F170" s="52">
        <f>D170-E170</f>
        <v>0</v>
      </c>
      <c r="G170" s="53" t="e">
        <f>F170/D170</f>
        <v>#DIV/0!</v>
      </c>
      <c r="H170" s="52">
        <v>0</v>
      </c>
      <c r="I170" s="52">
        <v>0</v>
      </c>
      <c r="J170" s="52">
        <f>SUM(H170-R170)</f>
        <v>0</v>
      </c>
      <c r="K170" s="52">
        <f>SUM(I170-S170)</f>
        <v>0</v>
      </c>
      <c r="L170" s="52">
        <f>J170-K170</f>
        <v>0</v>
      </c>
      <c r="M170" s="53" t="e">
        <f>L170/J170</f>
        <v>#DIV/0!</v>
      </c>
      <c r="N170" s="53"/>
      <c r="O170" s="53"/>
      <c r="P170" s="53"/>
      <c r="Q170" s="53"/>
      <c r="R170" s="52">
        <v>0</v>
      </c>
      <c r="S170" s="52">
        <v>0</v>
      </c>
      <c r="T170" s="52">
        <f>R170-S170</f>
        <v>0</v>
      </c>
      <c r="U170" s="53" t="e">
        <f>T170/R170</f>
        <v>#DIV/0!</v>
      </c>
      <c r="V170" s="54">
        <v>0</v>
      </c>
      <c r="W170" s="54">
        <v>0</v>
      </c>
      <c r="X170" s="54">
        <f>V170-W170</f>
        <v>0</v>
      </c>
      <c r="Y170" s="53" t="e">
        <f>X170/V170</f>
        <v>#DIV/0!</v>
      </c>
      <c r="Z170" s="53"/>
      <c r="AA170" s="55" t="e">
        <f>(E170-K170-S170)/W170</f>
        <v>#DIV/0!</v>
      </c>
      <c r="AB170" s="55" t="e">
        <f>(D170-J170-R170)/V170</f>
        <v>#DIV/0!</v>
      </c>
      <c r="AC170" s="53" t="e">
        <f>(E170-K170-S170)/E170</f>
        <v>#DIV/0!</v>
      </c>
      <c r="AD170" s="56" t="e">
        <f>SUM(D170-H170)/D170</f>
        <v>#DIV/0!</v>
      </c>
      <c r="AE170" s="57"/>
      <c r="AG170" s="35"/>
      <c r="AH170" s="35"/>
      <c r="AK170" s="59">
        <f>SUM(AK165,AK166,AK167,AK168,AK169)</f>
        <v>0</v>
      </c>
      <c r="AL170" s="60">
        <f>SUM(AL165,AL166,AL167,AL168,AL169)</f>
        <v>-69898.65</v>
      </c>
    </row>
    <row r="171" ht="9" customHeight="1" spans="1:38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G171" s="35"/>
      <c r="AH171" s="35"/>
      <c r="AK171" s="35"/>
      <c r="AL171" s="35"/>
    </row>
    <row r="172" ht="15" customHeight="1" spans="1:38" x14ac:dyDescent="0.25">
      <c r="A172" s="19">
        <f>'Main Sheet'!A52</f>
        <v>7428</v>
      </c>
      <c r="B172" s="19" t="str">
        <f>'Main Sheet'!B52</f>
        <v>FAB Pegasus Lakeside</v>
      </c>
      <c r="C172" s="51" t="s">
        <v>92</v>
      </c>
      <c r="D172" s="52">
        <v>58426.32</v>
      </c>
      <c r="E172" s="52">
        <v>0</v>
      </c>
      <c r="F172" s="52">
        <f>D172-E172</f>
        <v>58426.32</v>
      </c>
      <c r="G172" s="53">
        <f>F172/D172</f>
        <v>1</v>
      </c>
      <c r="H172" s="52">
        <v>44815.36</v>
      </c>
      <c r="I172" s="52">
        <v>0</v>
      </c>
      <c r="J172" s="52">
        <v>0</v>
      </c>
      <c r="K172" s="52">
        <v>0</v>
      </c>
      <c r="L172" s="52">
        <f>J172-K172</f>
        <v>0</v>
      </c>
      <c r="M172" s="53" t="e">
        <f>L172/J172</f>
        <v>#DIV/0!</v>
      </c>
      <c r="N172" s="53"/>
      <c r="O172" s="53"/>
      <c r="P172" s="53"/>
      <c r="Q172" s="53"/>
      <c r="R172" s="52">
        <v>19242.55</v>
      </c>
      <c r="S172" s="52">
        <v>0</v>
      </c>
      <c r="T172" s="52">
        <f>R172-S172</f>
        <v>19242.55</v>
      </c>
      <c r="U172" s="53">
        <f>T172/R172</f>
        <v>1</v>
      </c>
      <c r="V172" s="54">
        <v>385.7</v>
      </c>
      <c r="W172" s="54">
        <v>0</v>
      </c>
      <c r="X172" s="54">
        <f>V172-W172</f>
        <v>385.7</v>
      </c>
      <c r="Y172" s="53">
        <f>X172/V172</f>
        <v>1</v>
      </c>
      <c r="Z172" s="53"/>
      <c r="AA172" s="55" t="e">
        <f>(E172-K172-S172)/W172</f>
        <v>#DIV/0!</v>
      </c>
      <c r="AB172" s="55">
        <f>(D172-J172-R172)/V172</f>
        <v>101.591314493129</v>
      </c>
      <c r="AC172" s="53" t="e">
        <f>(E172-K172-S172)/E172</f>
        <v>#DIV/0!</v>
      </c>
      <c r="AD172" s="56">
        <f>SUM(D172-H172)/D172</f>
        <v>0.232959392273893</v>
      </c>
      <c r="AE172" s="57"/>
      <c r="AG172" s="35" t="s">
        <v>93</v>
      </c>
      <c r="AH172" s="35">
        <f>AK177</f>
        <v>0</v>
      </c>
      <c r="AK172" s="19">
        <f>SUM(W173-W172)</f>
        <v>0</v>
      </c>
      <c r="AL172" s="58">
        <f>SUM(K173-K172)</f>
        <v>0</v>
      </c>
    </row>
    <row r="173" ht="15" customHeight="1" spans="1:38" x14ac:dyDescent="0.25">
      <c r="A173" s="19"/>
      <c r="B173" s="20"/>
      <c r="C173" s="51" t="s">
        <v>94</v>
      </c>
      <c r="D173" s="52">
        <v>58426.32</v>
      </c>
      <c r="E173" s="52">
        <v>0</v>
      </c>
      <c r="F173" s="52">
        <v>0</v>
      </c>
      <c r="G173" s="53">
        <f>F173/D173</f>
        <v>0</v>
      </c>
      <c r="H173" s="52">
        <v>44815.36</v>
      </c>
      <c r="I173" s="52">
        <v>0</v>
      </c>
      <c r="J173" s="52">
        <v>0</v>
      </c>
      <c r="K173" s="52">
        <v>0</v>
      </c>
      <c r="L173" s="52">
        <f>J173-K173</f>
        <v>0</v>
      </c>
      <c r="M173" s="53" t="e">
        <f>L173/J173</f>
        <v>#DIV/0!</v>
      </c>
      <c r="N173" s="53"/>
      <c r="O173" s="53"/>
      <c r="P173" s="53"/>
      <c r="Q173" s="53"/>
      <c r="R173" s="52">
        <v>19242.55</v>
      </c>
      <c r="S173" s="52">
        <v>0</v>
      </c>
      <c r="T173" s="52">
        <f>R173-S173</f>
        <v>19242.55</v>
      </c>
      <c r="U173" s="53">
        <f>T173/R173</f>
        <v>1</v>
      </c>
      <c r="V173" s="54">
        <v>385.7</v>
      </c>
      <c r="W173" s="54">
        <v>0</v>
      </c>
      <c r="X173" s="54">
        <f>V173-W173</f>
        <v>385.7</v>
      </c>
      <c r="Y173" s="53">
        <f>X173/V173</f>
        <v>1</v>
      </c>
      <c r="Z173" s="53"/>
      <c r="AA173" s="55" t="e">
        <f>(E173-K173-S173)/W173</f>
        <v>#DIV/0!</v>
      </c>
      <c r="AB173" s="55">
        <f>(D173-J173-R173)/V173</f>
        <v>101.591314493129</v>
      </c>
      <c r="AC173" s="53" t="e">
        <f>(E173-K173-S173)/E173</f>
        <v>#DIV/0!</v>
      </c>
      <c r="AD173" s="56">
        <f>SUM(D173-H173)/D173</f>
        <v>0.232959392273893</v>
      </c>
      <c r="AE173" s="57"/>
      <c r="AG173" s="35" t="s">
        <v>95</v>
      </c>
      <c r="AH173" s="36">
        <f>AL177</f>
        <v>0</v>
      </c>
      <c r="AK173" s="19">
        <f>SUM(W174-W173)</f>
        <v>0</v>
      </c>
      <c r="AL173" s="58">
        <f>SUM(K174-K173)</f>
        <v>0</v>
      </c>
    </row>
    <row r="174" ht="15" customHeight="1" spans="1:38" x14ac:dyDescent="0.25">
      <c r="A174" s="19"/>
      <c r="B174" s="20"/>
      <c r="C174" s="51" t="s">
        <v>96</v>
      </c>
      <c r="D174" s="52">
        <v>0</v>
      </c>
      <c r="E174" s="52">
        <v>0</v>
      </c>
      <c r="F174" s="52">
        <f>D174-E174</f>
        <v>0</v>
      </c>
      <c r="G174" s="53" t="e">
        <f>F174/D174</f>
        <v>#DIV/0!</v>
      </c>
      <c r="H174" s="52">
        <v>0</v>
      </c>
      <c r="I174" s="52">
        <v>0</v>
      </c>
      <c r="J174" s="52">
        <f>SUM(H174-R174)</f>
        <v>0</v>
      </c>
      <c r="K174" s="52">
        <f>SUM(I174-S174)</f>
        <v>0</v>
      </c>
      <c r="L174" s="52">
        <f>J174-K174</f>
        <v>0</v>
      </c>
      <c r="M174" s="53" t="e">
        <f>L174/J174</f>
        <v>#DIV/0!</v>
      </c>
      <c r="N174" s="53"/>
      <c r="O174" s="53"/>
      <c r="P174" s="53"/>
      <c r="Q174" s="53"/>
      <c r="R174" s="52">
        <v>0</v>
      </c>
      <c r="S174" s="52">
        <v>0</v>
      </c>
      <c r="T174" s="52">
        <f>R174-S174</f>
        <v>0</v>
      </c>
      <c r="U174" s="53" t="e">
        <f>T174/R174</f>
        <v>#DIV/0!</v>
      </c>
      <c r="V174" s="54">
        <v>0</v>
      </c>
      <c r="W174" s="54">
        <v>0</v>
      </c>
      <c r="X174" s="54">
        <f>V174-W174</f>
        <v>0</v>
      </c>
      <c r="Y174" s="53" t="e">
        <f>X174/V174</f>
        <v>#DIV/0!</v>
      </c>
      <c r="Z174" s="53"/>
      <c r="AA174" s="55" t="e">
        <f>(E174-K174-S174)/W174</f>
        <v>#DIV/0!</v>
      </c>
      <c r="AB174" s="55" t="e">
        <f>(D174-J174-R174)/V174</f>
        <v>#DIV/0!</v>
      </c>
      <c r="AC174" s="53" t="e">
        <f>(E174-K174-S174)/E174</f>
        <v>#DIV/0!</v>
      </c>
      <c r="AD174" s="56" t="e">
        <f>SUM(D174-H174)/D174</f>
        <v>#DIV/0!</v>
      </c>
      <c r="AE174" s="57"/>
      <c r="AG174" s="35"/>
      <c r="AH174" s="35"/>
      <c r="AK174" s="19">
        <f>SUM(W175-W174)</f>
        <v>0</v>
      </c>
      <c r="AL174" s="58">
        <f>SUM(K175-K174)</f>
        <v>0</v>
      </c>
    </row>
    <row r="175" ht="15" customHeight="1" spans="1:38" x14ac:dyDescent="0.25">
      <c r="A175" s="19"/>
      <c r="B175" s="20"/>
      <c r="C175" s="51" t="s">
        <v>97</v>
      </c>
      <c r="D175" s="52">
        <v>0</v>
      </c>
      <c r="E175" s="52">
        <v>0</v>
      </c>
      <c r="F175" s="52">
        <f>D175-E175</f>
        <v>0</v>
      </c>
      <c r="G175" s="53" t="e">
        <f>F175/D175</f>
        <v>#DIV/0!</v>
      </c>
      <c r="H175" s="52">
        <v>0</v>
      </c>
      <c r="I175" s="52">
        <v>0</v>
      </c>
      <c r="J175" s="52">
        <f>SUM(H175-R175)</f>
        <v>0</v>
      </c>
      <c r="K175" s="52">
        <f>SUM(I175-S175)</f>
        <v>0</v>
      </c>
      <c r="L175" s="52">
        <f>J175-K175</f>
        <v>0</v>
      </c>
      <c r="M175" s="53" t="e">
        <f>L175/J175</f>
        <v>#DIV/0!</v>
      </c>
      <c r="N175" s="53"/>
      <c r="O175" s="53"/>
      <c r="P175" s="53"/>
      <c r="Q175" s="53"/>
      <c r="R175" s="52">
        <v>0</v>
      </c>
      <c r="S175" s="52">
        <v>0</v>
      </c>
      <c r="T175" s="52">
        <f>R175-S175</f>
        <v>0</v>
      </c>
      <c r="U175" s="53" t="e">
        <f>T175/R175</f>
        <v>#DIV/0!</v>
      </c>
      <c r="V175" s="54">
        <v>0</v>
      </c>
      <c r="W175" s="54">
        <v>0</v>
      </c>
      <c r="X175" s="54">
        <f>V175-W175</f>
        <v>0</v>
      </c>
      <c r="Y175" s="53" t="e">
        <f>X175/V175</f>
        <v>#DIV/0!</v>
      </c>
      <c r="Z175" s="53"/>
      <c r="AA175" s="55" t="e">
        <f>(E175-K175-S175)/W175</f>
        <v>#DIV/0!</v>
      </c>
      <c r="AB175" s="55" t="e">
        <f>(D175-J175-R175)/V175</f>
        <v>#DIV/0!</v>
      </c>
      <c r="AC175" s="53" t="e">
        <f>(E175-K175-S175)/E175</f>
        <v>#DIV/0!</v>
      </c>
      <c r="AD175" s="56" t="e">
        <f>SUM(D175-H175)/D175</f>
        <v>#DIV/0!</v>
      </c>
      <c r="AE175" s="57"/>
      <c r="AG175" s="35" t="s">
        <v>98</v>
      </c>
      <c r="AH175" s="36">
        <v>0</v>
      </c>
      <c r="AK175" s="19">
        <f>SUM(W176-W175)</f>
        <v>0</v>
      </c>
      <c r="AL175" s="58">
        <f>SUM(K176-K175)</f>
        <v>0</v>
      </c>
    </row>
    <row r="176" ht="15" customHeight="1" spans="1:38" x14ac:dyDescent="0.25">
      <c r="A176" s="19"/>
      <c r="B176" s="20"/>
      <c r="C176" s="51" t="s">
        <v>99</v>
      </c>
      <c r="D176" s="52">
        <v>0</v>
      </c>
      <c r="E176" s="52">
        <v>0</v>
      </c>
      <c r="F176" s="52">
        <f>D176-E176</f>
        <v>0</v>
      </c>
      <c r="G176" s="53" t="e">
        <f>F176/D176</f>
        <v>#DIV/0!</v>
      </c>
      <c r="H176" s="52">
        <v>0</v>
      </c>
      <c r="I176" s="52">
        <v>0</v>
      </c>
      <c r="J176" s="52">
        <f>SUM(H176-R176)</f>
        <v>0</v>
      </c>
      <c r="K176" s="52">
        <f>SUM(I176-S176)</f>
        <v>0</v>
      </c>
      <c r="L176" s="52">
        <f>J176-K176</f>
        <v>0</v>
      </c>
      <c r="M176" s="53" t="e">
        <f>L176/J176</f>
        <v>#DIV/0!</v>
      </c>
      <c r="N176" s="53"/>
      <c r="O176" s="53"/>
      <c r="P176" s="53"/>
      <c r="Q176" s="53"/>
      <c r="R176" s="52">
        <v>0</v>
      </c>
      <c r="S176" s="52">
        <v>0</v>
      </c>
      <c r="T176" s="52">
        <f>R176-S176</f>
        <v>0</v>
      </c>
      <c r="U176" s="53" t="e">
        <f>T176/R176</f>
        <v>#DIV/0!</v>
      </c>
      <c r="V176" s="54">
        <v>0</v>
      </c>
      <c r="W176" s="54">
        <v>0</v>
      </c>
      <c r="X176" s="54">
        <f>V176-W176</f>
        <v>0</v>
      </c>
      <c r="Y176" s="53" t="e">
        <f>X176/V176</f>
        <v>#DIV/0!</v>
      </c>
      <c r="Z176" s="53"/>
      <c r="AA176" s="55" t="e">
        <f>(E176-K176-S176)/W176</f>
        <v>#DIV/0!</v>
      </c>
      <c r="AB176" s="55" t="e">
        <f>(D176-J176-R176)/V176</f>
        <v>#DIV/0!</v>
      </c>
      <c r="AC176" s="53" t="e">
        <f>(E176-K176-S176)/E176</f>
        <v>#DIV/0!</v>
      </c>
      <c r="AD176" s="56" t="e">
        <f>SUM(D176-H176)/D176</f>
        <v>#DIV/0!</v>
      </c>
      <c r="AE176" s="57"/>
      <c r="AG176" s="35"/>
      <c r="AH176" s="35"/>
      <c r="AK176" s="19">
        <f>SUM(W177-W176)</f>
        <v>0</v>
      </c>
      <c r="AL176" s="58">
        <f>SUM(K177-K176)</f>
        <v>0</v>
      </c>
    </row>
    <row r="177" ht="15" customHeight="1" spans="1:38" x14ac:dyDescent="0.25">
      <c r="A177" s="59"/>
      <c r="B177" s="75"/>
      <c r="C177" s="76" t="s">
        <v>100</v>
      </c>
      <c r="D177" s="52">
        <v>0</v>
      </c>
      <c r="E177" s="52">
        <v>0</v>
      </c>
      <c r="F177" s="52">
        <f>D177-E177</f>
        <v>0</v>
      </c>
      <c r="G177" s="53" t="e">
        <f>F177/D177</f>
        <v>#DIV/0!</v>
      </c>
      <c r="H177" s="52">
        <v>0</v>
      </c>
      <c r="I177" s="52">
        <v>0</v>
      </c>
      <c r="J177" s="52">
        <f>SUM(H177-R177)</f>
        <v>0</v>
      </c>
      <c r="K177" s="52">
        <f>SUM(I177-S177)</f>
        <v>0</v>
      </c>
      <c r="L177" s="52">
        <f>J177-K177</f>
        <v>0</v>
      </c>
      <c r="M177" s="53" t="e">
        <f>L177/J177</f>
        <v>#DIV/0!</v>
      </c>
      <c r="N177" s="53"/>
      <c r="O177" s="53"/>
      <c r="P177" s="53"/>
      <c r="Q177" s="53"/>
      <c r="R177" s="52">
        <v>0</v>
      </c>
      <c r="S177" s="52">
        <v>0</v>
      </c>
      <c r="T177" s="52">
        <f>R177-S177</f>
        <v>0</v>
      </c>
      <c r="U177" s="53" t="e">
        <f>T177/R177</f>
        <v>#DIV/0!</v>
      </c>
      <c r="V177" s="54">
        <v>0</v>
      </c>
      <c r="W177" s="54">
        <v>0</v>
      </c>
      <c r="X177" s="54">
        <f>V177-W177</f>
        <v>0</v>
      </c>
      <c r="Y177" s="53" t="e">
        <f>X177/V177</f>
        <v>#DIV/0!</v>
      </c>
      <c r="Z177" s="53"/>
      <c r="AA177" s="55" t="e">
        <f>(E177-K177-S177)/W177</f>
        <v>#DIV/0!</v>
      </c>
      <c r="AB177" s="55" t="e">
        <f>(D177-J177-R177)/V177</f>
        <v>#DIV/0!</v>
      </c>
      <c r="AC177" s="53" t="e">
        <f>(E177-K177-S177)/E177</f>
        <v>#DIV/0!</v>
      </c>
      <c r="AD177" s="56" t="e">
        <f>SUM(D177-H177)/D177</f>
        <v>#DIV/0!</v>
      </c>
      <c r="AE177" s="57"/>
      <c r="AG177" s="35"/>
      <c r="AH177" s="35"/>
      <c r="AK177" s="59">
        <f>SUM(AK172,AK173,AK174,AK175,AK176)</f>
        <v>0</v>
      </c>
      <c r="AL177" s="60">
        <f>SUM(AL172,AL173,AL174,AL175,AL176)</f>
        <v>0</v>
      </c>
    </row>
    <row r="178" ht="9" customHeight="1" spans="1:38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G178" s="35"/>
      <c r="AH178" s="35"/>
      <c r="AK178" s="35"/>
      <c r="AL178" s="35"/>
    </row>
    <row r="179" ht="15" customHeight="1" spans="1:38" x14ac:dyDescent="0.25">
      <c r="A179" s="19">
        <f>'Main Sheet'!A54</f>
        <v>9351</v>
      </c>
      <c r="B179" s="19" t="str">
        <f>'Main Sheet'!B54</f>
        <v>Harewood Golf Club</v>
      </c>
      <c r="C179" s="51" t="s">
        <v>92</v>
      </c>
      <c r="D179" s="52">
        <v>18080.64</v>
      </c>
      <c r="E179" s="52">
        <v>0</v>
      </c>
      <c r="F179" s="52">
        <f>D179-E179</f>
        <v>18080.64</v>
      </c>
      <c r="G179" s="53">
        <f>F179/D179</f>
        <v>1</v>
      </c>
      <c r="H179" s="52">
        <v>13540.24</v>
      </c>
      <c r="I179" s="52">
        <v>0</v>
      </c>
      <c r="J179" s="52">
        <v>0</v>
      </c>
      <c r="K179" s="52">
        <v>0</v>
      </c>
      <c r="L179" s="52">
        <f>J179-K179</f>
        <v>0</v>
      </c>
      <c r="M179" s="53" t="e">
        <f>L179/J179</f>
        <v>#DIV/0!</v>
      </c>
      <c r="N179" s="53"/>
      <c r="O179" s="53"/>
      <c r="P179" s="53"/>
      <c r="Q179" s="53"/>
      <c r="R179" s="52">
        <v>5455.24</v>
      </c>
      <c r="S179" s="52">
        <v>0</v>
      </c>
      <c r="T179" s="52">
        <f>R179-S179</f>
        <v>5455.24</v>
      </c>
      <c r="U179" s="53">
        <f>T179/R179</f>
        <v>1</v>
      </c>
      <c r="V179" s="54">
        <v>109.34</v>
      </c>
      <c r="W179" s="54">
        <v>0</v>
      </c>
      <c r="X179" s="54">
        <f>V179-W179</f>
        <v>109.34</v>
      </c>
      <c r="Y179" s="53">
        <f>X179/V179</f>
        <v>1</v>
      </c>
      <c r="Z179" s="53"/>
      <c r="AA179" s="55" t="e">
        <f>(E179-K179-S179)/W179</f>
        <v>#DIV/0!</v>
      </c>
      <c r="AB179" s="55">
        <f>(D179-J179-R179)/V179</f>
        <v>115.469178708615</v>
      </c>
      <c r="AC179" s="53" t="e">
        <f>(E179-K179-S179)/E179</f>
        <v>#DIV/0!</v>
      </c>
      <c r="AD179" s="56">
        <f>SUM(D179-H179)/D179</f>
        <v>0.251119429400729</v>
      </c>
      <c r="AE179" s="57"/>
      <c r="AG179" s="35" t="s">
        <v>93</v>
      </c>
      <c r="AH179" s="35">
        <f>AK184</f>
        <v>0</v>
      </c>
      <c r="AK179" s="19">
        <f>SUM(W180-W179)</f>
        <v>0</v>
      </c>
      <c r="AL179" s="58">
        <f>SUM(K180-K179)</f>
        <v>0</v>
      </c>
    </row>
    <row r="180" ht="15" customHeight="1" spans="1:38" x14ac:dyDescent="0.25">
      <c r="A180" s="19"/>
      <c r="B180" s="20"/>
      <c r="C180" s="51" t="s">
        <v>94</v>
      </c>
      <c r="D180" s="52">
        <v>18080.64</v>
      </c>
      <c r="E180" s="52">
        <v>0</v>
      </c>
      <c r="F180" s="52">
        <v>0</v>
      </c>
      <c r="G180" s="53">
        <f>F180/D180</f>
        <v>0</v>
      </c>
      <c r="H180" s="52">
        <v>13540.24</v>
      </c>
      <c r="I180" s="52">
        <v>0</v>
      </c>
      <c r="J180" s="52">
        <v>0</v>
      </c>
      <c r="K180" s="52">
        <v>0</v>
      </c>
      <c r="L180" s="52">
        <f>J180-K180</f>
        <v>0</v>
      </c>
      <c r="M180" s="53" t="e">
        <f>L180/J180</f>
        <v>#DIV/0!</v>
      </c>
      <c r="N180" s="53"/>
      <c r="O180" s="53"/>
      <c r="P180" s="53"/>
      <c r="Q180" s="53"/>
      <c r="R180" s="52">
        <v>5455.24</v>
      </c>
      <c r="S180" s="52">
        <v>0</v>
      </c>
      <c r="T180" s="52">
        <f>R180-S180</f>
        <v>5455.24</v>
      </c>
      <c r="U180" s="53">
        <f>T180/R180</f>
        <v>1</v>
      </c>
      <c r="V180" s="54">
        <v>109.34</v>
      </c>
      <c r="W180" s="54">
        <v>0</v>
      </c>
      <c r="X180" s="54">
        <f>V180-W180</f>
        <v>109.34</v>
      </c>
      <c r="Y180" s="53">
        <f>X180/V180</f>
        <v>1</v>
      </c>
      <c r="Z180" s="53"/>
      <c r="AA180" s="55" t="e">
        <f>(E180-K180-S180)/W180</f>
        <v>#DIV/0!</v>
      </c>
      <c r="AB180" s="55">
        <f>(D180-J180-R180)/V180</f>
        <v>115.469178708615</v>
      </c>
      <c r="AC180" s="53" t="e">
        <f>(E180-K180-S180)/E180</f>
        <v>#DIV/0!</v>
      </c>
      <c r="AD180" s="56">
        <f>SUM(D180-H180)/D180</f>
        <v>0.251119429400729</v>
      </c>
      <c r="AE180" s="57"/>
      <c r="AG180" s="35" t="s">
        <v>95</v>
      </c>
      <c r="AH180" s="36">
        <f>AL184</f>
        <v>0</v>
      </c>
      <c r="AK180" s="19">
        <f>SUM(W181-W180)</f>
        <v>0</v>
      </c>
      <c r="AL180" s="58">
        <f>SUM(K181-K180)</f>
        <v>0</v>
      </c>
    </row>
    <row r="181" ht="15" customHeight="1" spans="1:38" x14ac:dyDescent="0.25">
      <c r="A181" s="19"/>
      <c r="B181" s="20"/>
      <c r="C181" s="51" t="s">
        <v>96</v>
      </c>
      <c r="D181" s="52">
        <v>0</v>
      </c>
      <c r="E181" s="52">
        <v>0</v>
      </c>
      <c r="F181" s="52">
        <f>D181-E181</f>
        <v>0</v>
      </c>
      <c r="G181" s="53" t="e">
        <f>F181/D181</f>
        <v>#DIV/0!</v>
      </c>
      <c r="H181" s="52">
        <v>0</v>
      </c>
      <c r="I181" s="52">
        <v>0</v>
      </c>
      <c r="J181" s="52">
        <f>SUM(H181-R181)</f>
        <v>0</v>
      </c>
      <c r="K181" s="52">
        <f>SUM(I181-S181)</f>
        <v>0</v>
      </c>
      <c r="L181" s="52">
        <f>J181-K181</f>
        <v>0</v>
      </c>
      <c r="M181" s="53" t="e">
        <f>L181/J181</f>
        <v>#DIV/0!</v>
      </c>
      <c r="N181" s="53"/>
      <c r="O181" s="53"/>
      <c r="P181" s="53"/>
      <c r="Q181" s="53"/>
      <c r="R181" s="52">
        <v>0</v>
      </c>
      <c r="S181" s="52">
        <v>0</v>
      </c>
      <c r="T181" s="52">
        <f>R181-S181</f>
        <v>0</v>
      </c>
      <c r="U181" s="53" t="e">
        <f>T181/R181</f>
        <v>#DIV/0!</v>
      </c>
      <c r="V181" s="54">
        <v>0</v>
      </c>
      <c r="W181" s="54">
        <v>0</v>
      </c>
      <c r="X181" s="54">
        <f>V181-W181</f>
        <v>0</v>
      </c>
      <c r="Y181" s="53" t="e">
        <f>X181/V181</f>
        <v>#DIV/0!</v>
      </c>
      <c r="Z181" s="53"/>
      <c r="AA181" s="55" t="e">
        <f>(E181-K181-S181)/W181</f>
        <v>#DIV/0!</v>
      </c>
      <c r="AB181" s="55" t="e">
        <f>(D181-J181-R181)/V181</f>
        <v>#DIV/0!</v>
      </c>
      <c r="AC181" s="53" t="e">
        <f>(E181-K181-S181)/E181</f>
        <v>#DIV/0!</v>
      </c>
      <c r="AD181" s="56" t="e">
        <f>SUM(D181-H181)/D181</f>
        <v>#DIV/0!</v>
      </c>
      <c r="AE181" s="57"/>
      <c r="AG181" s="35"/>
      <c r="AH181" s="35"/>
      <c r="AK181" s="19">
        <f>SUM(W182-W181)</f>
        <v>0</v>
      </c>
      <c r="AL181" s="58">
        <f>SUM(K182-K181)</f>
        <v>0</v>
      </c>
    </row>
    <row r="182" ht="15" customHeight="1" spans="1:38" x14ac:dyDescent="0.25">
      <c r="A182" s="19"/>
      <c r="B182" s="20"/>
      <c r="C182" s="51" t="s">
        <v>97</v>
      </c>
      <c r="D182" s="52">
        <v>0</v>
      </c>
      <c r="E182" s="52">
        <v>0</v>
      </c>
      <c r="F182" s="52">
        <f>D182-E182</f>
        <v>0</v>
      </c>
      <c r="G182" s="53" t="e">
        <f>F182/D182</f>
        <v>#DIV/0!</v>
      </c>
      <c r="H182" s="52">
        <v>0</v>
      </c>
      <c r="I182" s="52">
        <v>0</v>
      </c>
      <c r="J182" s="52">
        <f>SUM(H182-R182)</f>
        <v>0</v>
      </c>
      <c r="K182" s="52">
        <f>SUM(I182-S182)</f>
        <v>0</v>
      </c>
      <c r="L182" s="52">
        <f>J182-K182</f>
        <v>0</v>
      </c>
      <c r="M182" s="53" t="e">
        <f>L182/J182</f>
        <v>#DIV/0!</v>
      </c>
      <c r="N182" s="53"/>
      <c r="O182" s="53"/>
      <c r="P182" s="53"/>
      <c r="Q182" s="53"/>
      <c r="R182" s="52">
        <v>0</v>
      </c>
      <c r="S182" s="52">
        <v>0</v>
      </c>
      <c r="T182" s="52">
        <f>R182-S182</f>
        <v>0</v>
      </c>
      <c r="U182" s="53" t="e">
        <f>T182/R182</f>
        <v>#DIV/0!</v>
      </c>
      <c r="V182" s="54">
        <v>0</v>
      </c>
      <c r="W182" s="54">
        <v>0</v>
      </c>
      <c r="X182" s="54">
        <f>V182-W182</f>
        <v>0</v>
      </c>
      <c r="Y182" s="53" t="e">
        <f>X182/V182</f>
        <v>#DIV/0!</v>
      </c>
      <c r="Z182" s="53"/>
      <c r="AA182" s="55" t="e">
        <f>(E182-K182-S182)/W182</f>
        <v>#DIV/0!</v>
      </c>
      <c r="AB182" s="55" t="e">
        <f>(D182-J182-R182)/V182</f>
        <v>#DIV/0!</v>
      </c>
      <c r="AC182" s="53" t="e">
        <f>(E182-K182-S182)/E182</f>
        <v>#DIV/0!</v>
      </c>
      <c r="AD182" s="56" t="e">
        <f>SUM(D182-H182)/D182</f>
        <v>#DIV/0!</v>
      </c>
      <c r="AE182" s="57"/>
      <c r="AG182" s="35" t="s">
        <v>98</v>
      </c>
      <c r="AH182" s="36">
        <v>0</v>
      </c>
      <c r="AK182" s="19">
        <f>SUM(W183-W182)</f>
        <v>0</v>
      </c>
      <c r="AL182" s="58">
        <f>SUM(K183-K182)</f>
        <v>0</v>
      </c>
    </row>
    <row r="183" ht="15" customHeight="1" spans="1:38" x14ac:dyDescent="0.25">
      <c r="A183" s="19"/>
      <c r="B183" s="20"/>
      <c r="C183" s="51" t="s">
        <v>99</v>
      </c>
      <c r="D183" s="52">
        <v>0</v>
      </c>
      <c r="E183" s="52">
        <v>0</v>
      </c>
      <c r="F183" s="52">
        <f>D183-E183</f>
        <v>0</v>
      </c>
      <c r="G183" s="53" t="e">
        <f>F183/D183</f>
        <v>#DIV/0!</v>
      </c>
      <c r="H183" s="52">
        <v>0</v>
      </c>
      <c r="I183" s="52">
        <v>0</v>
      </c>
      <c r="J183" s="52">
        <f>SUM(H183-R183)</f>
        <v>0</v>
      </c>
      <c r="K183" s="52">
        <f>SUM(I183-S183)</f>
        <v>0</v>
      </c>
      <c r="L183" s="52">
        <f>J183-K183</f>
        <v>0</v>
      </c>
      <c r="M183" s="53" t="e">
        <f>L183/J183</f>
        <v>#DIV/0!</v>
      </c>
      <c r="N183" s="53"/>
      <c r="O183" s="53"/>
      <c r="P183" s="53"/>
      <c r="Q183" s="53"/>
      <c r="R183" s="52">
        <v>0</v>
      </c>
      <c r="S183" s="52">
        <v>0</v>
      </c>
      <c r="T183" s="52">
        <f>R183-S183</f>
        <v>0</v>
      </c>
      <c r="U183" s="53" t="e">
        <f>T183/R183</f>
        <v>#DIV/0!</v>
      </c>
      <c r="V183" s="54">
        <v>0</v>
      </c>
      <c r="W183" s="54">
        <v>0</v>
      </c>
      <c r="X183" s="54">
        <f>V183-W183</f>
        <v>0</v>
      </c>
      <c r="Y183" s="53" t="e">
        <f>X183/V183</f>
        <v>#DIV/0!</v>
      </c>
      <c r="Z183" s="53"/>
      <c r="AA183" s="55" t="e">
        <f>(E183-K183-S183)/W183</f>
        <v>#DIV/0!</v>
      </c>
      <c r="AB183" s="55" t="e">
        <f>(D183-J183-R183)/V183</f>
        <v>#DIV/0!</v>
      </c>
      <c r="AC183" s="53" t="e">
        <f>(E183-K183-S183)/E183</f>
        <v>#DIV/0!</v>
      </c>
      <c r="AD183" s="56" t="e">
        <f>SUM(D183-H183)/D183</f>
        <v>#DIV/0!</v>
      </c>
      <c r="AE183" s="57"/>
      <c r="AG183" s="35"/>
      <c r="AH183" s="35"/>
      <c r="AK183" s="19">
        <f>SUM(W184-W183)</f>
        <v>0</v>
      </c>
      <c r="AL183" s="58">
        <f>SUM(K184-K183)</f>
        <v>0</v>
      </c>
    </row>
    <row r="184" ht="15" customHeight="1" spans="1:38" x14ac:dyDescent="0.25">
      <c r="A184" s="59"/>
      <c r="B184" s="75"/>
      <c r="C184" s="76" t="s">
        <v>100</v>
      </c>
      <c r="D184" s="52">
        <v>0</v>
      </c>
      <c r="E184" s="52">
        <v>0</v>
      </c>
      <c r="F184" s="52">
        <f>D184-E184</f>
        <v>0</v>
      </c>
      <c r="G184" s="53" t="e">
        <f>F184/D184</f>
        <v>#DIV/0!</v>
      </c>
      <c r="H184" s="52">
        <v>0</v>
      </c>
      <c r="I184" s="52">
        <v>0</v>
      </c>
      <c r="J184" s="52">
        <f>SUM(H184-R184)</f>
        <v>0</v>
      </c>
      <c r="K184" s="52">
        <f>SUM(I184-S184)</f>
        <v>0</v>
      </c>
      <c r="L184" s="52">
        <f>J184-K184</f>
        <v>0</v>
      </c>
      <c r="M184" s="53" t="e">
        <f>L184/J184</f>
        <v>#DIV/0!</v>
      </c>
      <c r="N184" s="53"/>
      <c r="O184" s="53"/>
      <c r="P184" s="53"/>
      <c r="Q184" s="53"/>
      <c r="R184" s="52">
        <v>0</v>
      </c>
      <c r="S184" s="52">
        <v>0</v>
      </c>
      <c r="T184" s="52">
        <f>R184-S184</f>
        <v>0</v>
      </c>
      <c r="U184" s="53" t="e">
        <f>T184/R184</f>
        <v>#DIV/0!</v>
      </c>
      <c r="V184" s="54">
        <v>0</v>
      </c>
      <c r="W184" s="54">
        <v>0</v>
      </c>
      <c r="X184" s="54">
        <f>V184-W184</f>
        <v>0</v>
      </c>
      <c r="Y184" s="53" t="e">
        <f>X184/V184</f>
        <v>#DIV/0!</v>
      </c>
      <c r="Z184" s="53"/>
      <c r="AA184" s="55" t="e">
        <f>(E184-K184-S184)/W184</f>
        <v>#DIV/0!</v>
      </c>
      <c r="AB184" s="55" t="e">
        <f>(D184-J184-R184)/V184</f>
        <v>#DIV/0!</v>
      </c>
      <c r="AC184" s="53" t="e">
        <f>(E184-K184-S184)/E184</f>
        <v>#DIV/0!</v>
      </c>
      <c r="AD184" s="56" t="e">
        <f>SUM(D184-H184)/D184</f>
        <v>#DIV/0!</v>
      </c>
      <c r="AE184" s="57"/>
      <c r="AG184" s="35"/>
      <c r="AH184" s="35"/>
      <c r="AK184" s="59">
        <f>SUM(AK179,AK180,AK181,AK182,AK183)</f>
        <v>0</v>
      </c>
      <c r="AL184" s="60">
        <f>SUM(AL179,AL180,AL181,AL182,AL183)</f>
        <v>0</v>
      </c>
    </row>
    <row r="185" ht="9" customHeight="1" spans="1:38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G185" s="35"/>
      <c r="AH185" s="35"/>
      <c r="AK185" s="35"/>
      <c r="AL185" s="35"/>
    </row>
    <row r="186" ht="15" customHeight="1" spans="1:38" x14ac:dyDescent="0.25">
      <c r="A186" s="19">
        <f>'Main Sheet'!A56</f>
        <v>7429</v>
      </c>
      <c r="B186" s="19" t="str">
        <f>'Main Sheet'!B56</f>
        <v>Taggart House</v>
      </c>
      <c r="C186" s="51" t="s">
        <v>92</v>
      </c>
      <c r="D186" s="52">
        <v>17608.26</v>
      </c>
      <c r="E186" s="52">
        <v>0</v>
      </c>
      <c r="F186" s="52">
        <f>D186-E186</f>
        <v>17608.26</v>
      </c>
      <c r="G186" s="53">
        <f>F186/D186</f>
        <v>1</v>
      </c>
      <c r="H186" s="52">
        <v>14076.97</v>
      </c>
      <c r="I186" s="52">
        <v>0</v>
      </c>
      <c r="J186" s="52">
        <v>0</v>
      </c>
      <c r="K186" s="52">
        <v>0</v>
      </c>
      <c r="L186" s="52">
        <f>J186-K186</f>
        <v>0</v>
      </c>
      <c r="M186" s="53" t="e">
        <f>L186/J186</f>
        <v>#DIV/0!</v>
      </c>
      <c r="N186" s="53"/>
      <c r="O186" s="53"/>
      <c r="P186" s="53"/>
      <c r="Q186" s="53"/>
      <c r="R186" s="52">
        <v>5790.51</v>
      </c>
      <c r="S186" s="52">
        <v>0</v>
      </c>
      <c r="T186" s="52">
        <f>R186-S186</f>
        <v>5790.51</v>
      </c>
      <c r="U186" s="53">
        <f>T186/R186</f>
        <v>1</v>
      </c>
      <c r="V186" s="54">
        <v>116.13</v>
      </c>
      <c r="W186" s="54">
        <v>0</v>
      </c>
      <c r="X186" s="54">
        <f>V186-W186</f>
        <v>116.13</v>
      </c>
      <c r="Y186" s="53">
        <f>X186/V186</f>
        <v>1</v>
      </c>
      <c r="Z186" s="53"/>
      <c r="AA186" s="55" t="e">
        <f>(E186-K186-S186)/W186</f>
        <v>#DIV/0!</v>
      </c>
      <c r="AB186" s="55">
        <f>(D186-J186-R186)/V186</f>
        <v>101.763110307414</v>
      </c>
      <c r="AC186" s="53" t="e">
        <f>(E186-K186-S186)/E186</f>
        <v>#DIV/0!</v>
      </c>
      <c r="AD186" s="56">
        <f>SUM(D186-H186)/D186</f>
        <v>0.200547356751888</v>
      </c>
      <c r="AE186" s="57"/>
      <c r="AG186" s="35" t="s">
        <v>93</v>
      </c>
      <c r="AH186" s="35">
        <f>AK191</f>
        <v>0</v>
      </c>
      <c r="AK186" s="19">
        <f>SUM(W187-W186)</f>
        <v>0</v>
      </c>
      <c r="AL186" s="58">
        <f>SUM(K187-K186)</f>
        <v>0</v>
      </c>
    </row>
    <row r="187" ht="15" customHeight="1" spans="1:38" x14ac:dyDescent="0.25">
      <c r="A187" s="19"/>
      <c r="B187" s="20"/>
      <c r="C187" s="51" t="s">
        <v>94</v>
      </c>
      <c r="D187" s="52">
        <v>17608.26</v>
      </c>
      <c r="E187" s="52">
        <v>0</v>
      </c>
      <c r="F187" s="52">
        <v>0</v>
      </c>
      <c r="G187" s="53">
        <f>F187/D187</f>
        <v>0</v>
      </c>
      <c r="H187" s="52">
        <v>14076.97</v>
      </c>
      <c r="I187" s="52">
        <v>0</v>
      </c>
      <c r="J187" s="52">
        <v>0</v>
      </c>
      <c r="K187" s="52">
        <v>0</v>
      </c>
      <c r="L187" s="52">
        <f>J187-K187</f>
        <v>0</v>
      </c>
      <c r="M187" s="53" t="e">
        <f>L187/J187</f>
        <v>#DIV/0!</v>
      </c>
      <c r="N187" s="53"/>
      <c r="O187" s="53"/>
      <c r="P187" s="53"/>
      <c r="Q187" s="53"/>
      <c r="R187" s="52">
        <v>5790.51</v>
      </c>
      <c r="S187" s="52">
        <v>0</v>
      </c>
      <c r="T187" s="52">
        <f>R187-S187</f>
        <v>5790.51</v>
      </c>
      <c r="U187" s="53">
        <f>T187/R187</f>
        <v>1</v>
      </c>
      <c r="V187" s="54">
        <v>116.13</v>
      </c>
      <c r="W187" s="54">
        <v>0</v>
      </c>
      <c r="X187" s="54">
        <f>V187-W187</f>
        <v>116.13</v>
      </c>
      <c r="Y187" s="53">
        <f>X187/V187</f>
        <v>1</v>
      </c>
      <c r="Z187" s="53"/>
      <c r="AA187" s="55" t="e">
        <f>(E187-K187-S187)/W187</f>
        <v>#DIV/0!</v>
      </c>
      <c r="AB187" s="55">
        <f>(D187-J187-R187)/V187</f>
        <v>101.763110307414</v>
      </c>
      <c r="AC187" s="53" t="e">
        <f>(E187-K187-S187)/E187</f>
        <v>#DIV/0!</v>
      </c>
      <c r="AD187" s="56">
        <f>SUM(D187-H187)/D187</f>
        <v>0.200547356751888</v>
      </c>
      <c r="AE187" s="57"/>
      <c r="AG187" s="35" t="s">
        <v>95</v>
      </c>
      <c r="AH187" s="36">
        <f>AL191</f>
        <v>0</v>
      </c>
      <c r="AK187" s="19">
        <f>SUM(W188-W187)</f>
        <v>0</v>
      </c>
      <c r="AL187" s="58">
        <f>SUM(K188-K187)</f>
        <v>0</v>
      </c>
    </row>
    <row r="188" ht="15" customHeight="1" spans="1:38" x14ac:dyDescent="0.25">
      <c r="A188" s="19"/>
      <c r="B188" s="20"/>
      <c r="C188" s="51" t="s">
        <v>96</v>
      </c>
      <c r="D188" s="52">
        <v>0</v>
      </c>
      <c r="E188" s="52">
        <v>0</v>
      </c>
      <c r="F188" s="52">
        <f>D188-E188</f>
        <v>0</v>
      </c>
      <c r="G188" s="53" t="e">
        <f>F188/D188</f>
        <v>#DIV/0!</v>
      </c>
      <c r="H188" s="52">
        <v>0</v>
      </c>
      <c r="I188" s="52">
        <v>0</v>
      </c>
      <c r="J188" s="52">
        <f>SUM(H188-R188)</f>
        <v>0</v>
      </c>
      <c r="K188" s="52">
        <f>SUM(I188-S188)</f>
        <v>0</v>
      </c>
      <c r="L188" s="52">
        <f>J188-K188</f>
        <v>0</v>
      </c>
      <c r="M188" s="53" t="e">
        <f>L188/J188</f>
        <v>#DIV/0!</v>
      </c>
      <c r="N188" s="53"/>
      <c r="O188" s="53"/>
      <c r="P188" s="53"/>
      <c r="Q188" s="53"/>
      <c r="R188" s="52">
        <v>0</v>
      </c>
      <c r="S188" s="52">
        <v>0</v>
      </c>
      <c r="T188" s="52">
        <f>R188-S188</f>
        <v>0</v>
      </c>
      <c r="U188" s="53" t="e">
        <f>T188/R188</f>
        <v>#DIV/0!</v>
      </c>
      <c r="V188" s="54">
        <v>0</v>
      </c>
      <c r="W188" s="54">
        <v>0</v>
      </c>
      <c r="X188" s="54">
        <f>V188-W188</f>
        <v>0</v>
      </c>
      <c r="Y188" s="53" t="e">
        <f>X188/V188</f>
        <v>#DIV/0!</v>
      </c>
      <c r="Z188" s="53"/>
      <c r="AA188" s="55" t="e">
        <f>(E188-K188-S188)/W188</f>
        <v>#DIV/0!</v>
      </c>
      <c r="AB188" s="55" t="e">
        <f>(D188-J188-R188)/V188</f>
        <v>#DIV/0!</v>
      </c>
      <c r="AC188" s="53" t="e">
        <f>(E188-K188-S188)/E188</f>
        <v>#DIV/0!</v>
      </c>
      <c r="AD188" s="56" t="e">
        <f>SUM(D188-H188)/D188</f>
        <v>#DIV/0!</v>
      </c>
      <c r="AE188" s="57"/>
      <c r="AG188" s="35"/>
      <c r="AH188" s="35"/>
      <c r="AK188" s="19">
        <f>SUM(W189-W188)</f>
        <v>0</v>
      </c>
      <c r="AL188" s="58">
        <f>SUM(K189-K188)</f>
        <v>0</v>
      </c>
    </row>
    <row r="189" ht="15" customHeight="1" spans="1:38" x14ac:dyDescent="0.25">
      <c r="A189" s="19"/>
      <c r="B189" s="20"/>
      <c r="C189" s="51" t="s">
        <v>97</v>
      </c>
      <c r="D189" s="52">
        <v>0</v>
      </c>
      <c r="E189" s="52">
        <v>0</v>
      </c>
      <c r="F189" s="52">
        <f>D189-E189</f>
        <v>0</v>
      </c>
      <c r="G189" s="53" t="e">
        <f>F189/D189</f>
        <v>#DIV/0!</v>
      </c>
      <c r="H189" s="52">
        <v>0</v>
      </c>
      <c r="I189" s="52">
        <v>0</v>
      </c>
      <c r="J189" s="52">
        <f>SUM(H189-R189)</f>
        <v>0</v>
      </c>
      <c r="K189" s="52">
        <f>SUM(I189-S189)</f>
        <v>0</v>
      </c>
      <c r="L189" s="52">
        <f>J189-K189</f>
        <v>0</v>
      </c>
      <c r="M189" s="53" t="e">
        <f>L189/J189</f>
        <v>#DIV/0!</v>
      </c>
      <c r="N189" s="53"/>
      <c r="O189" s="53"/>
      <c r="P189" s="53"/>
      <c r="Q189" s="53"/>
      <c r="R189" s="52">
        <v>0</v>
      </c>
      <c r="S189" s="52">
        <v>0</v>
      </c>
      <c r="T189" s="52">
        <f>R189-S189</f>
        <v>0</v>
      </c>
      <c r="U189" s="53" t="e">
        <f>T189/R189</f>
        <v>#DIV/0!</v>
      </c>
      <c r="V189" s="54">
        <v>0</v>
      </c>
      <c r="W189" s="54">
        <v>0</v>
      </c>
      <c r="X189" s="54">
        <f>V189-W189</f>
        <v>0</v>
      </c>
      <c r="Y189" s="53" t="e">
        <f>X189/V189</f>
        <v>#DIV/0!</v>
      </c>
      <c r="Z189" s="53"/>
      <c r="AA189" s="55" t="e">
        <f>(E189-K189-S189)/W189</f>
        <v>#DIV/0!</v>
      </c>
      <c r="AB189" s="55" t="e">
        <f>(D189-J189-R189)/V189</f>
        <v>#DIV/0!</v>
      </c>
      <c r="AC189" s="53" t="e">
        <f>(E189-K189-S189)/E189</f>
        <v>#DIV/0!</v>
      </c>
      <c r="AD189" s="56" t="e">
        <f>SUM(D189-H189)/D189</f>
        <v>#DIV/0!</v>
      </c>
      <c r="AE189" s="57"/>
      <c r="AG189" s="35" t="s">
        <v>98</v>
      </c>
      <c r="AH189" s="36">
        <v>0</v>
      </c>
      <c r="AK189" s="19">
        <f>SUM(W190-W189)</f>
        <v>0</v>
      </c>
      <c r="AL189" s="58">
        <f>SUM(K190-K189)</f>
        <v>0</v>
      </c>
    </row>
    <row r="190" ht="15" customHeight="1" spans="1:38" x14ac:dyDescent="0.25">
      <c r="A190" s="19"/>
      <c r="B190" s="20"/>
      <c r="C190" s="51" t="s">
        <v>99</v>
      </c>
      <c r="D190" s="52">
        <v>0</v>
      </c>
      <c r="E190" s="52">
        <v>0</v>
      </c>
      <c r="F190" s="52">
        <f>D190-E190</f>
        <v>0</v>
      </c>
      <c r="G190" s="53" t="e">
        <f>F190/D190</f>
        <v>#DIV/0!</v>
      </c>
      <c r="H190" s="52">
        <v>0</v>
      </c>
      <c r="I190" s="52">
        <v>0</v>
      </c>
      <c r="J190" s="52">
        <f>SUM(H190-R190)</f>
        <v>0</v>
      </c>
      <c r="K190" s="52">
        <f>SUM(I190-S190)</f>
        <v>0</v>
      </c>
      <c r="L190" s="52">
        <f>J190-K190</f>
        <v>0</v>
      </c>
      <c r="M190" s="53" t="e">
        <f>L190/J190</f>
        <v>#DIV/0!</v>
      </c>
      <c r="N190" s="53"/>
      <c r="O190" s="53"/>
      <c r="P190" s="53"/>
      <c r="Q190" s="53"/>
      <c r="R190" s="52">
        <v>0</v>
      </c>
      <c r="S190" s="52">
        <v>0</v>
      </c>
      <c r="T190" s="52">
        <f>R190-S190</f>
        <v>0</v>
      </c>
      <c r="U190" s="53" t="e">
        <f>T190/R190</f>
        <v>#DIV/0!</v>
      </c>
      <c r="V190" s="54">
        <v>0</v>
      </c>
      <c r="W190" s="54">
        <v>0</v>
      </c>
      <c r="X190" s="54">
        <f>V190-W190</f>
        <v>0</v>
      </c>
      <c r="Y190" s="53" t="e">
        <f>X190/V190</f>
        <v>#DIV/0!</v>
      </c>
      <c r="Z190" s="53"/>
      <c r="AA190" s="55" t="e">
        <f>(E190-K190-S190)/W190</f>
        <v>#DIV/0!</v>
      </c>
      <c r="AB190" s="55" t="e">
        <f>(D190-J190-R190)/V190</f>
        <v>#DIV/0!</v>
      </c>
      <c r="AC190" s="53" t="e">
        <f>(E190-K190-S190)/E190</f>
        <v>#DIV/0!</v>
      </c>
      <c r="AD190" s="56" t="e">
        <f>SUM(D190-H190)/D190</f>
        <v>#DIV/0!</v>
      </c>
      <c r="AE190" s="57"/>
      <c r="AG190" s="35"/>
      <c r="AH190" s="35"/>
      <c r="AK190" s="19">
        <f>SUM(W191-W190)</f>
        <v>0</v>
      </c>
      <c r="AL190" s="58">
        <f>SUM(K191-K190)</f>
        <v>0</v>
      </c>
    </row>
    <row r="191" ht="15" customHeight="1" spans="1:38" x14ac:dyDescent="0.25">
      <c r="A191" s="59"/>
      <c r="B191" s="75"/>
      <c r="C191" s="76" t="s">
        <v>100</v>
      </c>
      <c r="D191" s="52">
        <v>0</v>
      </c>
      <c r="E191" s="52">
        <v>0</v>
      </c>
      <c r="F191" s="52">
        <f>D191-E191</f>
        <v>0</v>
      </c>
      <c r="G191" s="53" t="e">
        <f>F191/D191</f>
        <v>#DIV/0!</v>
      </c>
      <c r="H191" s="52">
        <v>0</v>
      </c>
      <c r="I191" s="52">
        <v>0</v>
      </c>
      <c r="J191" s="52">
        <f>SUM(H191-R191)</f>
        <v>0</v>
      </c>
      <c r="K191" s="52">
        <f>SUM(I191-S191)</f>
        <v>0</v>
      </c>
      <c r="L191" s="52">
        <f>J191-K191</f>
        <v>0</v>
      </c>
      <c r="M191" s="53" t="e">
        <f>L191/J191</f>
        <v>#DIV/0!</v>
      </c>
      <c r="N191" s="53"/>
      <c r="O191" s="53"/>
      <c r="P191" s="53"/>
      <c r="Q191" s="53"/>
      <c r="R191" s="52">
        <v>0</v>
      </c>
      <c r="S191" s="52">
        <v>0</v>
      </c>
      <c r="T191" s="52">
        <f>R191-S191</f>
        <v>0</v>
      </c>
      <c r="U191" s="53" t="e">
        <f>T191/R191</f>
        <v>#DIV/0!</v>
      </c>
      <c r="V191" s="54">
        <v>0</v>
      </c>
      <c r="W191" s="54">
        <v>0</v>
      </c>
      <c r="X191" s="54">
        <f>V191-W191</f>
        <v>0</v>
      </c>
      <c r="Y191" s="53" t="e">
        <f>X191/V191</f>
        <v>#DIV/0!</v>
      </c>
      <c r="Z191" s="53"/>
      <c r="AA191" s="55" t="e">
        <f>(E191-K191-S191)/W191</f>
        <v>#DIV/0!</v>
      </c>
      <c r="AB191" s="55" t="e">
        <f>(D191-J191-R191)/V191</f>
        <v>#DIV/0!</v>
      </c>
      <c r="AC191" s="53" t="e">
        <f>(E191-K191-S191)/E191</f>
        <v>#DIV/0!</v>
      </c>
      <c r="AD191" s="56" t="e">
        <f>SUM(D191-H191)/D191</f>
        <v>#DIV/0!</v>
      </c>
      <c r="AE191" s="57"/>
      <c r="AG191" s="35"/>
      <c r="AH191" s="35"/>
      <c r="AK191" s="59">
        <f>SUM(AK186,AK187,AK188,AK189,AK190)</f>
        <v>0</v>
      </c>
      <c r="AL191" s="60">
        <f>SUM(AL186,AL187,AL188,AL189,AL190)</f>
        <v>0</v>
      </c>
    </row>
    <row r="192" ht="9" customHeight="1" spans="1:38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G192" s="35"/>
      <c r="AH192" s="35"/>
      <c r="AK192" s="35"/>
      <c r="AL192" s="35"/>
    </row>
    <row r="193" ht="15" customHeight="1" spans="1:38" x14ac:dyDescent="0.25">
      <c r="A193" s="19">
        <f>'Main Sheet'!A58</f>
        <v>9508</v>
      </c>
      <c r="B193" s="20" t="str">
        <f>'Main Sheet'!B58</f>
        <v>St Barnabas Church</v>
      </c>
      <c r="C193" s="51" t="s">
        <v>92</v>
      </c>
      <c r="D193" s="52">
        <v>19572.81</v>
      </c>
      <c r="E193" s="52">
        <v>0</v>
      </c>
      <c r="F193" s="52">
        <f>D193-E193</f>
        <v>19572.81</v>
      </c>
      <c r="G193" s="53">
        <f>F193/D193</f>
        <v>1</v>
      </c>
      <c r="H193" s="52">
        <v>11314.42</v>
      </c>
      <c r="I193" s="52">
        <v>0</v>
      </c>
      <c r="J193" s="52">
        <v>0</v>
      </c>
      <c r="K193" s="52">
        <v>0</v>
      </c>
      <c r="L193" s="52">
        <f>J193-K193</f>
        <v>0</v>
      </c>
      <c r="M193" s="53" t="e">
        <f>L193/J193</f>
        <v>#DIV/0!</v>
      </c>
      <c r="N193" s="53">
        <v>0</v>
      </c>
      <c r="O193" s="53"/>
      <c r="P193" s="53"/>
      <c r="Q193" s="53"/>
      <c r="R193" s="52">
        <v>5290.42</v>
      </c>
      <c r="S193" s="52">
        <v>0</v>
      </c>
      <c r="T193" s="52">
        <f>R193-S193</f>
        <v>5290.42</v>
      </c>
      <c r="U193" s="53">
        <f>T193/R193</f>
        <v>1</v>
      </c>
      <c r="V193" s="54">
        <v>105</v>
      </c>
      <c r="W193" s="54">
        <v>0</v>
      </c>
      <c r="X193" s="54">
        <f>V193-W193</f>
        <v>105</v>
      </c>
      <c r="Y193" s="53">
        <f>X193/V193</f>
        <v>1</v>
      </c>
      <c r="Z193" s="53">
        <v>0</v>
      </c>
      <c r="AA193" s="55" t="e">
        <f>(E193-K193-S193)/W193</f>
        <v>#DIV/0!</v>
      </c>
      <c r="AB193" s="55">
        <f>(D193-J193-R193)/V193</f>
        <v>136.022761904762</v>
      </c>
      <c r="AC193" s="53" t="e">
        <f>(E193-K193-S193)/E193</f>
        <v>#DIV/0!</v>
      </c>
      <c r="AD193" s="56">
        <f>SUM(D193-H193)/D193</f>
        <v>0.421931751240624</v>
      </c>
      <c r="AE193" s="57"/>
      <c r="AG193" s="35" t="s">
        <v>93</v>
      </c>
      <c r="AH193" s="35">
        <f>AK198</f>
        <v>0</v>
      </c>
      <c r="AK193" s="19">
        <f>SUM(W194-W193)</f>
        <v>0</v>
      </c>
      <c r="AL193" s="58">
        <f>SUM(K194-K193)</f>
        <v>0</v>
      </c>
    </row>
    <row r="194" ht="15" customHeight="1" spans="1:38" x14ac:dyDescent="0.25">
      <c r="A194" s="19"/>
      <c r="B194" s="20"/>
      <c r="C194" s="51" t="s">
        <v>94</v>
      </c>
      <c r="D194" s="52">
        <v>0</v>
      </c>
      <c r="E194" s="52">
        <v>0</v>
      </c>
      <c r="F194" s="52">
        <v>0</v>
      </c>
      <c r="G194" s="53" t="e">
        <f>F194/D194</f>
        <v>#DIV/0!</v>
      </c>
      <c r="H194" s="52">
        <v>0</v>
      </c>
      <c r="I194" s="52">
        <v>0</v>
      </c>
      <c r="J194" s="52">
        <v>0</v>
      </c>
      <c r="K194" s="52">
        <v>0</v>
      </c>
      <c r="L194" s="52">
        <f>J194-K194</f>
        <v>0</v>
      </c>
      <c r="M194" s="53" t="e">
        <f>L194/J194</f>
        <v>#DIV/0!</v>
      </c>
      <c r="N194" s="53"/>
      <c r="O194" s="53"/>
      <c r="P194" s="53"/>
      <c r="Q194" s="53"/>
      <c r="R194" s="52">
        <v>0</v>
      </c>
      <c r="S194" s="52">
        <v>0</v>
      </c>
      <c r="T194" s="52">
        <f>R194-S194</f>
        <v>0</v>
      </c>
      <c r="U194" s="53" t="e">
        <f>T194/R194</f>
        <v>#DIV/0!</v>
      </c>
      <c r="V194" s="54">
        <v>0</v>
      </c>
      <c r="W194" s="54">
        <v>0</v>
      </c>
      <c r="X194" s="54">
        <f>V194-W194</f>
        <v>0</v>
      </c>
      <c r="Y194" s="53" t="e">
        <f>X194/V194</f>
        <v>#DIV/0!</v>
      </c>
      <c r="Z194" s="53"/>
      <c r="AA194" s="55" t="e">
        <f>(E194-K194-S194)/W194</f>
        <v>#DIV/0!</v>
      </c>
      <c r="AB194" s="55" t="e">
        <f>(D194-J194-R194)/V194</f>
        <v>#DIV/0!</v>
      </c>
      <c r="AC194" s="53" t="e">
        <f>(E194-K194-S194)/E194</f>
        <v>#DIV/0!</v>
      </c>
      <c r="AD194" s="56" t="e">
        <f>SUM(D194-H194)/D194</f>
        <v>#DIV/0!</v>
      </c>
      <c r="AE194" s="57"/>
      <c r="AG194" s="35" t="s">
        <v>95</v>
      </c>
      <c r="AH194" s="36">
        <f>AL198</f>
        <v>0</v>
      </c>
      <c r="AK194" s="19">
        <f>SUM(W195-W194)</f>
        <v>0</v>
      </c>
      <c r="AL194" s="58">
        <f>SUM(K195-K194)</f>
        <v>0</v>
      </c>
    </row>
    <row r="195" ht="15" customHeight="1" spans="1:38" x14ac:dyDescent="0.25">
      <c r="A195" s="19"/>
      <c r="B195" s="20"/>
      <c r="C195" s="51" t="s">
        <v>96</v>
      </c>
      <c r="D195" s="52">
        <v>0</v>
      </c>
      <c r="E195" s="52">
        <v>0</v>
      </c>
      <c r="F195" s="52">
        <f>D195-E195</f>
        <v>0</v>
      </c>
      <c r="G195" s="53" t="e">
        <f>F195/D195</f>
        <v>#DIV/0!</v>
      </c>
      <c r="H195" s="52">
        <v>0</v>
      </c>
      <c r="I195" s="52">
        <v>0</v>
      </c>
      <c r="J195" s="52">
        <f>SUM(H195-R195)</f>
        <v>0</v>
      </c>
      <c r="K195" s="52">
        <f>SUM(I195-S195)</f>
        <v>0</v>
      </c>
      <c r="L195" s="52">
        <f>J195-K195</f>
        <v>0</v>
      </c>
      <c r="M195" s="53" t="e">
        <f>L195/J195</f>
        <v>#DIV/0!</v>
      </c>
      <c r="N195" s="53"/>
      <c r="O195" s="53"/>
      <c r="P195" s="53"/>
      <c r="Q195" s="53"/>
      <c r="R195" s="52">
        <v>0</v>
      </c>
      <c r="S195" s="52">
        <v>0</v>
      </c>
      <c r="T195" s="52">
        <f>R195-S195</f>
        <v>0</v>
      </c>
      <c r="U195" s="53" t="e">
        <f>T195/R195</f>
        <v>#DIV/0!</v>
      </c>
      <c r="V195" s="54">
        <v>0</v>
      </c>
      <c r="W195" s="54">
        <v>0</v>
      </c>
      <c r="X195" s="54">
        <f>V195-W195</f>
        <v>0</v>
      </c>
      <c r="Y195" s="53" t="e">
        <f>X195/V195</f>
        <v>#DIV/0!</v>
      </c>
      <c r="Z195" s="53"/>
      <c r="AA195" s="55" t="e">
        <f>(E195-K195-S195)/W195</f>
        <v>#DIV/0!</v>
      </c>
      <c r="AB195" s="55" t="e">
        <f>(D195-J195-R195)/V195</f>
        <v>#DIV/0!</v>
      </c>
      <c r="AC195" s="53" t="e">
        <f>(E195-K195-S195)/E195</f>
        <v>#DIV/0!</v>
      </c>
      <c r="AD195" s="56" t="e">
        <f>SUM(D195-H195)/D195</f>
        <v>#DIV/0!</v>
      </c>
      <c r="AE195" s="57"/>
      <c r="AG195" s="35"/>
      <c r="AH195" s="35"/>
      <c r="AK195" s="19">
        <f>SUM(W196-W195)</f>
        <v>0</v>
      </c>
      <c r="AL195" s="58">
        <f>SUM(K196-K195)</f>
        <v>0</v>
      </c>
    </row>
    <row r="196" ht="15" customHeight="1" spans="1:38" x14ac:dyDescent="0.25">
      <c r="A196" s="19"/>
      <c r="B196" s="20"/>
      <c r="C196" s="51" t="s">
        <v>97</v>
      </c>
      <c r="D196" s="52">
        <v>0</v>
      </c>
      <c r="E196" s="52">
        <v>0</v>
      </c>
      <c r="F196" s="52">
        <f>D196-E196</f>
        <v>0</v>
      </c>
      <c r="G196" s="53" t="e">
        <f>F196/D196</f>
        <v>#DIV/0!</v>
      </c>
      <c r="H196" s="52">
        <v>0</v>
      </c>
      <c r="I196" s="52">
        <v>0</v>
      </c>
      <c r="J196" s="52">
        <f>SUM(H196-R196)</f>
        <v>0</v>
      </c>
      <c r="K196" s="52">
        <f>SUM(I196-S196)</f>
        <v>0</v>
      </c>
      <c r="L196" s="52">
        <f>J196-K196</f>
        <v>0</v>
      </c>
      <c r="M196" s="53" t="e">
        <f>L196/J196</f>
        <v>#DIV/0!</v>
      </c>
      <c r="N196" s="53"/>
      <c r="O196" s="53"/>
      <c r="P196" s="53"/>
      <c r="Q196" s="53"/>
      <c r="R196" s="52">
        <v>0</v>
      </c>
      <c r="S196" s="52">
        <v>0</v>
      </c>
      <c r="T196" s="52">
        <f>R196-S196</f>
        <v>0</v>
      </c>
      <c r="U196" s="53" t="e">
        <f>T196/R196</f>
        <v>#DIV/0!</v>
      </c>
      <c r="V196" s="54">
        <v>0</v>
      </c>
      <c r="W196" s="54">
        <v>0</v>
      </c>
      <c r="X196" s="54">
        <f>V196-W196</f>
        <v>0</v>
      </c>
      <c r="Y196" s="53" t="e">
        <f>X196/V196</f>
        <v>#DIV/0!</v>
      </c>
      <c r="Z196" s="53"/>
      <c r="AA196" s="55" t="e">
        <f>(E196-K196-S196)/W196</f>
        <v>#DIV/0!</v>
      </c>
      <c r="AB196" s="55" t="e">
        <f>(D196-J196-R196)/V196</f>
        <v>#DIV/0!</v>
      </c>
      <c r="AC196" s="53" t="e">
        <f>(E196-K196-S196)/E196</f>
        <v>#DIV/0!</v>
      </c>
      <c r="AD196" s="56" t="e">
        <f>SUM(D196-H196)/D196</f>
        <v>#DIV/0!</v>
      </c>
      <c r="AE196" s="57"/>
      <c r="AG196" s="35" t="s">
        <v>98</v>
      </c>
      <c r="AH196" s="36">
        <v>0</v>
      </c>
      <c r="AK196" s="19">
        <f>SUM(W197-W196)</f>
        <v>0</v>
      </c>
      <c r="AL196" s="58">
        <f>SUM(K197-K196)</f>
        <v>0</v>
      </c>
    </row>
    <row r="197" ht="15" customHeight="1" spans="1:38" x14ac:dyDescent="0.25">
      <c r="A197" s="19"/>
      <c r="B197" s="20"/>
      <c r="C197" s="51" t="s">
        <v>99</v>
      </c>
      <c r="D197" s="52">
        <v>0</v>
      </c>
      <c r="E197" s="52">
        <v>0</v>
      </c>
      <c r="F197" s="52">
        <f>D197-E197</f>
        <v>0</v>
      </c>
      <c r="G197" s="53" t="e">
        <f>F197/D197</f>
        <v>#DIV/0!</v>
      </c>
      <c r="H197" s="52">
        <v>0</v>
      </c>
      <c r="I197" s="52">
        <v>0</v>
      </c>
      <c r="J197" s="52">
        <f>SUM(H197-R197)</f>
        <v>0</v>
      </c>
      <c r="K197" s="52">
        <f>SUM(I197-S197)</f>
        <v>0</v>
      </c>
      <c r="L197" s="52">
        <f>J197-K197</f>
        <v>0</v>
      </c>
      <c r="M197" s="53" t="e">
        <f>L197/J197</f>
        <v>#DIV/0!</v>
      </c>
      <c r="N197" s="53"/>
      <c r="O197" s="53"/>
      <c r="P197" s="53"/>
      <c r="Q197" s="53"/>
      <c r="R197" s="52">
        <v>0</v>
      </c>
      <c r="S197" s="52">
        <v>0</v>
      </c>
      <c r="T197" s="52">
        <f>R197-S197</f>
        <v>0</v>
      </c>
      <c r="U197" s="53" t="e">
        <f>T197/R197</f>
        <v>#DIV/0!</v>
      </c>
      <c r="V197" s="54">
        <v>0</v>
      </c>
      <c r="W197" s="54">
        <v>0</v>
      </c>
      <c r="X197" s="54">
        <f>V197-W197</f>
        <v>0</v>
      </c>
      <c r="Y197" s="53" t="e">
        <f>X197/V197</f>
        <v>#DIV/0!</v>
      </c>
      <c r="Z197" s="53"/>
      <c r="AA197" s="55" t="e">
        <f>(E197-K197-S197)/W197</f>
        <v>#DIV/0!</v>
      </c>
      <c r="AB197" s="55" t="e">
        <f>(D197-J197-R197)/V197</f>
        <v>#DIV/0!</v>
      </c>
      <c r="AC197" s="53" t="e">
        <f>(E197-K197-S197)/E197</f>
        <v>#DIV/0!</v>
      </c>
      <c r="AD197" s="56" t="e">
        <f>SUM(D197-H197)/D197</f>
        <v>#DIV/0!</v>
      </c>
      <c r="AE197" s="57"/>
      <c r="AG197" s="35"/>
      <c r="AH197" s="35"/>
      <c r="AK197" s="19">
        <f>SUM(W198-W197)</f>
        <v>0</v>
      </c>
      <c r="AL197" s="58">
        <f>SUM(K198-K197)</f>
        <v>0</v>
      </c>
    </row>
    <row r="198" ht="15" customHeight="1" spans="1:38" x14ac:dyDescent="0.25">
      <c r="A198" s="59"/>
      <c r="B198" s="75"/>
      <c r="C198" s="76" t="s">
        <v>100</v>
      </c>
      <c r="D198" s="52">
        <v>0</v>
      </c>
      <c r="E198" s="52">
        <v>0</v>
      </c>
      <c r="F198" s="52">
        <f>D198-E198</f>
        <v>0</v>
      </c>
      <c r="G198" s="53" t="e">
        <f>F198/D198</f>
        <v>#DIV/0!</v>
      </c>
      <c r="H198" s="52">
        <v>0</v>
      </c>
      <c r="I198" s="52">
        <v>0</v>
      </c>
      <c r="J198" s="52">
        <f>SUM(H198-R198)</f>
        <v>0</v>
      </c>
      <c r="K198" s="52">
        <f>SUM(I198-S198)</f>
        <v>0</v>
      </c>
      <c r="L198" s="52">
        <f>J198-K198</f>
        <v>0</v>
      </c>
      <c r="M198" s="53" t="e">
        <f>L198/J198</f>
        <v>#DIV/0!</v>
      </c>
      <c r="N198" s="53"/>
      <c r="O198" s="53"/>
      <c r="P198" s="53"/>
      <c r="Q198" s="53"/>
      <c r="R198" s="52">
        <v>0</v>
      </c>
      <c r="S198" s="52">
        <v>0</v>
      </c>
      <c r="T198" s="52">
        <f>R198-S198</f>
        <v>0</v>
      </c>
      <c r="U198" s="53" t="e">
        <f>T198/R198</f>
        <v>#DIV/0!</v>
      </c>
      <c r="V198" s="54">
        <v>0</v>
      </c>
      <c r="W198" s="54">
        <v>0</v>
      </c>
      <c r="X198" s="54">
        <f>V198-W198</f>
        <v>0</v>
      </c>
      <c r="Y198" s="53" t="e">
        <f>X198/V198</f>
        <v>#DIV/0!</v>
      </c>
      <c r="Z198" s="53"/>
      <c r="AA198" s="55" t="e">
        <f>(E198-K198-S198)/W198</f>
        <v>#DIV/0!</v>
      </c>
      <c r="AB198" s="55" t="e">
        <f>(D198-J198-R198)/V198</f>
        <v>#DIV/0!</v>
      </c>
      <c r="AC198" s="53" t="e">
        <f>(E198-K198-S198)/E198</f>
        <v>#DIV/0!</v>
      </c>
      <c r="AD198" s="56" t="e">
        <f>SUM(D198-H198)/D198</f>
        <v>#DIV/0!</v>
      </c>
      <c r="AE198" s="57"/>
      <c r="AG198" s="35"/>
      <c r="AH198" s="35"/>
      <c r="AK198" s="59">
        <f>SUM(AK193,AK194,AK195,AK196,AK197)</f>
        <v>0</v>
      </c>
      <c r="AL198" s="60">
        <f>SUM(AL193,AL194,AL195,AL196,AL197)</f>
        <v>0</v>
      </c>
    </row>
    <row r="199" ht="9" customHeight="1" spans="1:38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G199" s="35"/>
      <c r="AH199" s="35"/>
      <c r="AK199" s="35"/>
      <c r="AL199" s="35"/>
    </row>
    <row r="200" ht="15" customHeight="1" spans="1:38" x14ac:dyDescent="0.25">
      <c r="A200" s="19">
        <f>'Main Sheet'!A60</f>
        <v>0</v>
      </c>
      <c r="B200" s="19">
        <f>'Main Sheet'!B60</f>
        <v>0</v>
      </c>
      <c r="C200" s="51" t="s">
        <v>92</v>
      </c>
      <c r="D200" s="52">
        <v>0</v>
      </c>
      <c r="E200" s="52">
        <v>0</v>
      </c>
      <c r="F200" s="52">
        <f>D200-E200</f>
        <v>0</v>
      </c>
      <c r="G200" s="53" t="e">
        <f>F200/D200</f>
        <v>#DIV/0!</v>
      </c>
      <c r="H200" s="52">
        <v>0</v>
      </c>
      <c r="I200" s="52">
        <v>0</v>
      </c>
      <c r="J200" s="52">
        <v>0</v>
      </c>
      <c r="K200" s="52">
        <v>0</v>
      </c>
      <c r="L200" s="52">
        <f>J200-K200</f>
        <v>0</v>
      </c>
      <c r="M200" s="53" t="e">
        <f>L200/J200</f>
        <v>#DIV/0!</v>
      </c>
      <c r="N200" s="53"/>
      <c r="O200" s="53"/>
      <c r="P200" s="53"/>
      <c r="Q200" s="53"/>
      <c r="R200" s="52">
        <v>0</v>
      </c>
      <c r="S200" s="52">
        <v>0</v>
      </c>
      <c r="T200" s="52">
        <f>R200-S200</f>
        <v>0</v>
      </c>
      <c r="U200" s="53" t="e">
        <f>T200/R200</f>
        <v>#DIV/0!</v>
      </c>
      <c r="V200" s="54">
        <v>346</v>
      </c>
      <c r="W200" s="54">
        <v>0</v>
      </c>
      <c r="X200" s="54">
        <f>V200-W200</f>
        <v>346</v>
      </c>
      <c r="Y200" s="53">
        <f>X200/V200</f>
        <v>1</v>
      </c>
      <c r="Z200" s="53"/>
      <c r="AA200" s="55" t="e">
        <f>(E200-K200-S200)/W200</f>
        <v>#DIV/0!</v>
      </c>
      <c r="AB200" s="55">
        <f>(D200-J200-R200)/V200</f>
        <v>0</v>
      </c>
      <c r="AC200" s="53" t="e">
        <f>(E200-K200-S200)/E200</f>
        <v>#DIV/0!</v>
      </c>
      <c r="AD200" s="56" t="e">
        <f>SUM(D200-H200)/D200</f>
        <v>#DIV/0!</v>
      </c>
      <c r="AE200" s="57"/>
      <c r="AG200" s="35" t="s">
        <v>93</v>
      </c>
      <c r="AH200" s="35">
        <f>AK205</f>
        <v>0</v>
      </c>
      <c r="AK200" s="19">
        <f>SUM(W201-W200)</f>
        <v>0</v>
      </c>
      <c r="AL200" s="58">
        <f>SUM(K201-K200)</f>
        <v>0</v>
      </c>
    </row>
    <row r="201" ht="15" customHeight="1" spans="1:38" x14ac:dyDescent="0.25">
      <c r="A201" s="19"/>
      <c r="B201" s="20"/>
      <c r="C201" s="51" t="s">
        <v>94</v>
      </c>
      <c r="D201" s="52">
        <v>0</v>
      </c>
      <c r="E201" s="52">
        <v>0</v>
      </c>
      <c r="F201" s="52">
        <v>0</v>
      </c>
      <c r="G201" s="53" t="e">
        <f>F201/D201</f>
        <v>#DIV/0!</v>
      </c>
      <c r="H201" s="52">
        <v>0</v>
      </c>
      <c r="I201" s="52">
        <v>0</v>
      </c>
      <c r="J201" s="52">
        <v>0</v>
      </c>
      <c r="K201" s="52">
        <v>0</v>
      </c>
      <c r="L201" s="52">
        <f>J201-K201</f>
        <v>0</v>
      </c>
      <c r="M201" s="53" t="e">
        <f>L201/J201</f>
        <v>#DIV/0!</v>
      </c>
      <c r="N201" s="53"/>
      <c r="O201" s="53"/>
      <c r="P201" s="53"/>
      <c r="Q201" s="53"/>
      <c r="R201" s="52">
        <v>0</v>
      </c>
      <c r="S201" s="52">
        <v>0</v>
      </c>
      <c r="T201" s="52">
        <f>R201-S201</f>
        <v>0</v>
      </c>
      <c r="U201" s="53" t="e">
        <f>T201/R201</f>
        <v>#DIV/0!</v>
      </c>
      <c r="V201" s="54">
        <v>0</v>
      </c>
      <c r="W201" s="54">
        <v>0</v>
      </c>
      <c r="X201" s="54">
        <f>V201-W201</f>
        <v>0</v>
      </c>
      <c r="Y201" s="53" t="e">
        <f>X201/V201</f>
        <v>#DIV/0!</v>
      </c>
      <c r="Z201" s="53"/>
      <c r="AA201" s="55" t="e">
        <f>(E201-K201-S201)/W201</f>
        <v>#DIV/0!</v>
      </c>
      <c r="AB201" s="55" t="e">
        <f>(D201-J201-R201)/V201</f>
        <v>#DIV/0!</v>
      </c>
      <c r="AC201" s="53" t="e">
        <f>(E201-K201-S201)/E201</f>
        <v>#DIV/0!</v>
      </c>
      <c r="AD201" s="56" t="e">
        <f>SUM(D201-H201)/D201</f>
        <v>#DIV/0!</v>
      </c>
      <c r="AE201" s="57"/>
      <c r="AG201" s="35" t="s">
        <v>95</v>
      </c>
      <c r="AH201" s="36">
        <f>AL205</f>
        <v>0</v>
      </c>
      <c r="AK201" s="19">
        <f>SUM(W202-W201)</f>
        <v>0</v>
      </c>
      <c r="AL201" s="58">
        <f>SUM(K202-K201)</f>
        <v>0</v>
      </c>
    </row>
    <row r="202" ht="15" customHeight="1" spans="1:38" x14ac:dyDescent="0.25">
      <c r="A202" s="19"/>
      <c r="B202" s="20"/>
      <c r="C202" s="51" t="s">
        <v>96</v>
      </c>
      <c r="D202" s="52"/>
      <c r="E202" s="52"/>
      <c r="F202" s="52">
        <f>D202-E202</f>
        <v>0</v>
      </c>
      <c r="G202" s="53" t="e">
        <f>F202/D202</f>
        <v>#DIV/0!</v>
      </c>
      <c r="H202" s="52"/>
      <c r="I202" s="52"/>
      <c r="J202" s="52">
        <f>SUM(H202-R202)</f>
        <v>0</v>
      </c>
      <c r="K202" s="52">
        <f>SUM(I202-S202)</f>
        <v>0</v>
      </c>
      <c r="L202" s="52">
        <f>J202-K202</f>
        <v>0</v>
      </c>
      <c r="M202" s="53" t="e">
        <f>L202/J202</f>
        <v>#DIV/0!</v>
      </c>
      <c r="N202" s="53"/>
      <c r="O202" s="53"/>
      <c r="P202" s="53"/>
      <c r="Q202" s="53"/>
      <c r="R202" s="52"/>
      <c r="S202" s="52"/>
      <c r="T202" s="52">
        <f>R202-S202</f>
        <v>0</v>
      </c>
      <c r="U202" s="53" t="e">
        <f>T202/R202</f>
        <v>#DIV/0!</v>
      </c>
      <c r="V202" s="54"/>
      <c r="W202" s="54"/>
      <c r="X202" s="54">
        <f>V202-W202</f>
        <v>0</v>
      </c>
      <c r="Y202" s="53" t="e">
        <f>X202/V202</f>
        <v>#DIV/0!</v>
      </c>
      <c r="Z202" s="53"/>
      <c r="AA202" s="55" t="e">
        <f>(E202-K202-S202)/W202</f>
        <v>#DIV/0!</v>
      </c>
      <c r="AB202" s="55" t="e">
        <f>(D202-J202-R202)/V202</f>
        <v>#DIV/0!</v>
      </c>
      <c r="AC202" s="53" t="e">
        <f>(E202-K202-S202)/E202</f>
        <v>#DIV/0!</v>
      </c>
      <c r="AD202" s="56" t="e">
        <f>SUM(D202-H202)/D202</f>
        <v>#DIV/0!</v>
      </c>
      <c r="AE202" s="57"/>
      <c r="AG202" s="35"/>
      <c r="AH202" s="35"/>
      <c r="AK202" s="19">
        <f>SUM(W203-W202)</f>
        <v>0</v>
      </c>
      <c r="AL202" s="58">
        <f>SUM(K203-K202)</f>
        <v>0</v>
      </c>
    </row>
    <row r="203" ht="15" customHeight="1" spans="1:38" x14ac:dyDescent="0.25">
      <c r="A203" s="19"/>
      <c r="B203" s="20"/>
      <c r="C203" s="51" t="s">
        <v>97</v>
      </c>
      <c r="D203" s="52"/>
      <c r="E203" s="52"/>
      <c r="F203" s="52">
        <f>D203-E203</f>
        <v>0</v>
      </c>
      <c r="G203" s="53" t="e">
        <f>F203/D203</f>
        <v>#DIV/0!</v>
      </c>
      <c r="H203" s="52"/>
      <c r="I203" s="52"/>
      <c r="J203" s="52">
        <f>SUM(H203-R203)</f>
        <v>0</v>
      </c>
      <c r="K203" s="52">
        <f>SUM(I203-S203)</f>
        <v>0</v>
      </c>
      <c r="L203" s="52">
        <f>J203-K203</f>
        <v>0</v>
      </c>
      <c r="M203" s="53" t="e">
        <f>L203/J203</f>
        <v>#DIV/0!</v>
      </c>
      <c r="N203" s="53"/>
      <c r="O203" s="53"/>
      <c r="P203" s="53"/>
      <c r="Q203" s="53"/>
      <c r="R203" s="52"/>
      <c r="S203" s="52"/>
      <c r="T203" s="52">
        <f>R203-S203</f>
        <v>0</v>
      </c>
      <c r="U203" s="53" t="e">
        <f>T203/R203</f>
        <v>#DIV/0!</v>
      </c>
      <c r="V203" s="54"/>
      <c r="W203" s="54"/>
      <c r="X203" s="54">
        <f>V203-W203</f>
        <v>0</v>
      </c>
      <c r="Y203" s="53" t="e">
        <f>X203/V203</f>
        <v>#DIV/0!</v>
      </c>
      <c r="Z203" s="53"/>
      <c r="AA203" s="55" t="e">
        <f>(E203-K203-S203)/W203</f>
        <v>#DIV/0!</v>
      </c>
      <c r="AB203" s="55" t="e">
        <f>(D203-J203-R203)/V203</f>
        <v>#DIV/0!</v>
      </c>
      <c r="AC203" s="53" t="e">
        <f>(E203-K203-S203)/E203</f>
        <v>#DIV/0!</v>
      </c>
      <c r="AD203" s="56" t="e">
        <f>SUM(D203-H203)/D203</f>
        <v>#DIV/0!</v>
      </c>
      <c r="AE203" s="57"/>
      <c r="AG203" s="35" t="s">
        <v>98</v>
      </c>
      <c r="AH203" s="36">
        <v>0</v>
      </c>
      <c r="AK203" s="19">
        <f>SUM(W204-W203)</f>
        <v>0</v>
      </c>
      <c r="AL203" s="58">
        <f>SUM(K204-K203)</f>
        <v>0</v>
      </c>
    </row>
    <row r="204" ht="15" customHeight="1" spans="1:38" x14ac:dyDescent="0.25">
      <c r="A204" s="19"/>
      <c r="B204" s="20"/>
      <c r="C204" s="51" t="s">
        <v>99</v>
      </c>
      <c r="D204" s="52"/>
      <c r="E204" s="52"/>
      <c r="F204" s="52">
        <f>D204-E204</f>
        <v>0</v>
      </c>
      <c r="G204" s="53" t="e">
        <f>F204/D204</f>
        <v>#DIV/0!</v>
      </c>
      <c r="H204" s="52"/>
      <c r="I204" s="52"/>
      <c r="J204" s="52">
        <f>SUM(H204-R204)</f>
        <v>0</v>
      </c>
      <c r="K204" s="52">
        <f>SUM(I204-S204)</f>
        <v>0</v>
      </c>
      <c r="L204" s="52">
        <f>J204-K204</f>
        <v>0</v>
      </c>
      <c r="M204" s="53" t="e">
        <f>L204/J204</f>
        <v>#DIV/0!</v>
      </c>
      <c r="N204" s="53"/>
      <c r="O204" s="53"/>
      <c r="P204" s="53"/>
      <c r="Q204" s="53"/>
      <c r="R204" s="52"/>
      <c r="S204" s="52"/>
      <c r="T204" s="52">
        <f>R204-S204</f>
        <v>0</v>
      </c>
      <c r="U204" s="53" t="e">
        <f>T204/R204</f>
        <v>#DIV/0!</v>
      </c>
      <c r="V204" s="54"/>
      <c r="W204" s="54"/>
      <c r="X204" s="54">
        <f>V204-W204</f>
        <v>0</v>
      </c>
      <c r="Y204" s="53" t="e">
        <f>X204/V204</f>
        <v>#DIV/0!</v>
      </c>
      <c r="Z204" s="53"/>
      <c r="AA204" s="55" t="e">
        <f>(E204-K204-S204)/W204</f>
        <v>#DIV/0!</v>
      </c>
      <c r="AB204" s="55" t="e">
        <f>(D204-J204-R204)/V204</f>
        <v>#DIV/0!</v>
      </c>
      <c r="AC204" s="53" t="e">
        <f>(E204-K204-S204)/E204</f>
        <v>#DIV/0!</v>
      </c>
      <c r="AD204" s="56" t="e">
        <f>SUM(D204-H204)/D204</f>
        <v>#DIV/0!</v>
      </c>
      <c r="AE204" s="57"/>
      <c r="AG204" s="35"/>
      <c r="AH204" s="35"/>
      <c r="AK204" s="19">
        <f>SUM(W205-W204)</f>
        <v>0</v>
      </c>
      <c r="AL204" s="58">
        <f>SUM(K205-K204)</f>
        <v>0</v>
      </c>
    </row>
    <row r="205" ht="15" customHeight="1" spans="1:38" x14ac:dyDescent="0.25">
      <c r="A205" s="59"/>
      <c r="B205" s="75"/>
      <c r="C205" s="76" t="s">
        <v>100</v>
      </c>
      <c r="D205" s="52"/>
      <c r="E205" s="52"/>
      <c r="F205" s="52">
        <f>D205-E205</f>
        <v>0</v>
      </c>
      <c r="G205" s="53" t="e">
        <f>F205/D205</f>
        <v>#DIV/0!</v>
      </c>
      <c r="H205" s="52"/>
      <c r="I205" s="52"/>
      <c r="J205" s="52">
        <f>SUM(H205-R205)</f>
        <v>0</v>
      </c>
      <c r="K205" s="52">
        <f>SUM(I205-S205)</f>
        <v>0</v>
      </c>
      <c r="L205" s="52">
        <f>J205-K205</f>
        <v>0</v>
      </c>
      <c r="M205" s="53" t="e">
        <f>L205/J205</f>
        <v>#DIV/0!</v>
      </c>
      <c r="N205" s="53"/>
      <c r="O205" s="53"/>
      <c r="P205" s="53"/>
      <c r="Q205" s="53"/>
      <c r="R205" s="52"/>
      <c r="S205" s="52"/>
      <c r="T205" s="52">
        <f>R205-S205</f>
        <v>0</v>
      </c>
      <c r="U205" s="53" t="e">
        <f>T205/R205</f>
        <v>#DIV/0!</v>
      </c>
      <c r="V205" s="54"/>
      <c r="W205" s="54"/>
      <c r="X205" s="54">
        <f>V205-W205</f>
        <v>0</v>
      </c>
      <c r="Y205" s="53" t="e">
        <f>X205/V205</f>
        <v>#DIV/0!</v>
      </c>
      <c r="Z205" s="53"/>
      <c r="AA205" s="55" t="e">
        <f>(E205-K205-S205)/W205</f>
        <v>#DIV/0!</v>
      </c>
      <c r="AB205" s="55" t="e">
        <f>(D205-J205-R205)/V205</f>
        <v>#DIV/0!</v>
      </c>
      <c r="AC205" s="53" t="e">
        <f>(E205-K205-S205)/E205</f>
        <v>#DIV/0!</v>
      </c>
      <c r="AD205" s="56" t="e">
        <f>SUM(D205-H205)/D205</f>
        <v>#DIV/0!</v>
      </c>
      <c r="AE205" s="57"/>
      <c r="AG205" s="35"/>
      <c r="AH205" s="35"/>
      <c r="AK205" s="59">
        <f>SUM(AK200,AK201,AK202,AK203,AK204)</f>
        <v>0</v>
      </c>
      <c r="AL205" s="60">
        <f>SUM(AL200,AL201,AL202,AL203,AL204)</f>
        <v>0</v>
      </c>
    </row>
    <row r="206" ht="9" customHeight="1" spans="1:38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G206" s="35"/>
      <c r="AH206" s="35"/>
      <c r="AK206" s="35"/>
      <c r="AL206" s="35"/>
    </row>
    <row r="207" ht="15" customHeight="1" spans="1:38" x14ac:dyDescent="0.25">
      <c r="A207" s="19">
        <f>'Main Sheet'!A62</f>
        <v>0</v>
      </c>
      <c r="B207" s="19" t="str">
        <f>'Main Sheet'!B62</f>
        <v>Contracting</v>
      </c>
      <c r="C207" s="51" t="s">
        <v>92</v>
      </c>
      <c r="D207" s="52">
        <v>0</v>
      </c>
      <c r="E207" s="52">
        <v>0</v>
      </c>
      <c r="F207" s="52">
        <f>D207-E207</f>
        <v>0</v>
      </c>
      <c r="G207" s="53" t="e">
        <f>F207/D207</f>
        <v>#DIV/0!</v>
      </c>
      <c r="H207" s="52">
        <v>0</v>
      </c>
      <c r="I207" s="52">
        <v>0</v>
      </c>
      <c r="J207" s="52">
        <v>0</v>
      </c>
      <c r="K207" s="52">
        <v>0</v>
      </c>
      <c r="L207" s="52">
        <f>J207-K207</f>
        <v>0</v>
      </c>
      <c r="M207" s="53" t="e">
        <f>L207/J207</f>
        <v>#DIV/0!</v>
      </c>
      <c r="N207" s="53"/>
      <c r="O207" s="53"/>
      <c r="P207" s="53"/>
      <c r="Q207" s="53"/>
      <c r="R207" s="52">
        <v>0</v>
      </c>
      <c r="S207" s="52">
        <v>0</v>
      </c>
      <c r="T207" s="52">
        <f>R207-S207</f>
        <v>0</v>
      </c>
      <c r="U207" s="53" t="e">
        <f>T207/R207</f>
        <v>#DIV/0!</v>
      </c>
      <c r="V207" s="54">
        <v>0</v>
      </c>
      <c r="W207" s="54">
        <v>0</v>
      </c>
      <c r="X207" s="54">
        <f>V207-W207</f>
        <v>0</v>
      </c>
      <c r="Y207" s="53" t="e">
        <f>X207/V207</f>
        <v>#DIV/0!</v>
      </c>
      <c r="Z207" s="53"/>
      <c r="AA207" s="55" t="e">
        <f>(E207-K207-S207)/W207</f>
        <v>#DIV/0!</v>
      </c>
      <c r="AB207" s="55" t="e">
        <f>(D207-J207-R207)/V207</f>
        <v>#DIV/0!</v>
      </c>
      <c r="AC207" s="53" t="e">
        <f>(E207-K207-S207)/E207</f>
        <v>#DIV/0!</v>
      </c>
      <c r="AD207" s="56" t="e">
        <f>SUM(D207-H207)/D207</f>
        <v>#DIV/0!</v>
      </c>
      <c r="AE207" s="57"/>
      <c r="AG207" s="35" t="s">
        <v>93</v>
      </c>
      <c r="AH207" s="35">
        <f>AK212</f>
        <v>0</v>
      </c>
      <c r="AK207" s="19">
        <f>SUM(W208-W207)</f>
        <v>0</v>
      </c>
      <c r="AL207" s="58">
        <f>SUM(K208-K207)</f>
        <v>0</v>
      </c>
    </row>
    <row r="208" ht="15" customHeight="1" spans="1:38" x14ac:dyDescent="0.25">
      <c r="A208" s="19"/>
      <c r="B208" s="20"/>
      <c r="C208" s="51" t="s">
        <v>94</v>
      </c>
      <c r="D208" s="52">
        <v>0</v>
      </c>
      <c r="E208" s="52">
        <v>0</v>
      </c>
      <c r="F208" s="52">
        <v>0</v>
      </c>
      <c r="G208" s="53" t="e">
        <f>F208/D208</f>
        <v>#DIV/0!</v>
      </c>
      <c r="H208" s="52">
        <v>0</v>
      </c>
      <c r="I208" s="52">
        <v>0</v>
      </c>
      <c r="J208" s="52">
        <v>0</v>
      </c>
      <c r="K208" s="52">
        <v>0</v>
      </c>
      <c r="L208" s="52">
        <f>J208-K208</f>
        <v>0</v>
      </c>
      <c r="M208" s="53" t="e">
        <f>L208/J208</f>
        <v>#DIV/0!</v>
      </c>
      <c r="N208" s="53"/>
      <c r="O208" s="53"/>
      <c r="P208" s="53"/>
      <c r="Q208" s="53"/>
      <c r="R208" s="52">
        <v>0</v>
      </c>
      <c r="S208" s="52">
        <v>0</v>
      </c>
      <c r="T208" s="52">
        <f>R208-S208</f>
        <v>0</v>
      </c>
      <c r="U208" s="53" t="e">
        <f>T208/R208</f>
        <v>#DIV/0!</v>
      </c>
      <c r="V208" s="54">
        <v>0</v>
      </c>
      <c r="W208" s="54">
        <v>0</v>
      </c>
      <c r="X208" s="54">
        <f>V208-W208</f>
        <v>0</v>
      </c>
      <c r="Y208" s="53" t="e">
        <f>X208/V208</f>
        <v>#DIV/0!</v>
      </c>
      <c r="Z208" s="53"/>
      <c r="AA208" s="55" t="e">
        <f>(E208-K208-S208)/W208</f>
        <v>#DIV/0!</v>
      </c>
      <c r="AB208" s="55" t="e">
        <f>(D208-J208-R208)/V208</f>
        <v>#DIV/0!</v>
      </c>
      <c r="AC208" s="53" t="e">
        <f>(E208-K208-S208)/E208</f>
        <v>#DIV/0!</v>
      </c>
      <c r="AD208" s="56" t="e">
        <f>SUM(D208-H208)/D208</f>
        <v>#DIV/0!</v>
      </c>
      <c r="AE208" s="57"/>
      <c r="AG208" s="35" t="s">
        <v>95</v>
      </c>
      <c r="AH208" s="36">
        <f>AL212</f>
        <v>0</v>
      </c>
      <c r="AK208" s="19">
        <f>SUM(W209-W208)</f>
        <v>0</v>
      </c>
      <c r="AL208" s="58">
        <f>SUM(K209-K208)</f>
        <v>0</v>
      </c>
    </row>
    <row r="209" ht="15" customHeight="1" spans="1:38" x14ac:dyDescent="0.25">
      <c r="A209" s="19"/>
      <c r="B209" s="20"/>
      <c r="C209" s="51" t="s">
        <v>96</v>
      </c>
      <c r="D209" s="52"/>
      <c r="E209" s="52"/>
      <c r="F209" s="52">
        <f>D209-E209</f>
        <v>0</v>
      </c>
      <c r="G209" s="53" t="e">
        <f>F209/D209</f>
        <v>#DIV/0!</v>
      </c>
      <c r="H209" s="52"/>
      <c r="I209" s="52"/>
      <c r="J209" s="52">
        <f>SUM(H209-R209)</f>
        <v>0</v>
      </c>
      <c r="K209" s="52">
        <f>SUM(I209-S209)</f>
        <v>0</v>
      </c>
      <c r="L209" s="52">
        <f>J209-K209</f>
        <v>0</v>
      </c>
      <c r="M209" s="53" t="e">
        <f>L209/J209</f>
        <v>#DIV/0!</v>
      </c>
      <c r="N209" s="53"/>
      <c r="O209" s="53"/>
      <c r="P209" s="53"/>
      <c r="Q209" s="53"/>
      <c r="R209" s="52"/>
      <c r="S209" s="52"/>
      <c r="T209" s="52">
        <f>R209-S209</f>
        <v>0</v>
      </c>
      <c r="U209" s="53" t="e">
        <f>T209/R209</f>
        <v>#DIV/0!</v>
      </c>
      <c r="V209" s="54"/>
      <c r="W209" s="54"/>
      <c r="X209" s="54">
        <f>V209-W209</f>
        <v>0</v>
      </c>
      <c r="Y209" s="53" t="e">
        <f>X209/V209</f>
        <v>#DIV/0!</v>
      </c>
      <c r="Z209" s="53"/>
      <c r="AA209" s="55" t="e">
        <f>(E209-K209-S209)/W209</f>
        <v>#DIV/0!</v>
      </c>
      <c r="AB209" s="55" t="e">
        <f>(D209-J209-R209)/V209</f>
        <v>#DIV/0!</v>
      </c>
      <c r="AC209" s="53" t="e">
        <f>(E209-K209-S209)/E209</f>
        <v>#DIV/0!</v>
      </c>
      <c r="AD209" s="56" t="e">
        <f>SUM(D209-H209)/D209</f>
        <v>#DIV/0!</v>
      </c>
      <c r="AE209" s="57"/>
      <c r="AG209" s="35"/>
      <c r="AH209" s="35"/>
      <c r="AK209" s="19">
        <f>SUM(W210-W209)</f>
        <v>0</v>
      </c>
      <c r="AL209" s="58">
        <f>SUM(K210-K209)</f>
        <v>0</v>
      </c>
    </row>
    <row r="210" ht="15" customHeight="1" spans="1:38" x14ac:dyDescent="0.25">
      <c r="A210" s="19"/>
      <c r="B210" s="20"/>
      <c r="C210" s="51" t="s">
        <v>97</v>
      </c>
      <c r="D210" s="52"/>
      <c r="E210" s="52"/>
      <c r="F210" s="52">
        <f>D210-E210</f>
        <v>0</v>
      </c>
      <c r="G210" s="53" t="e">
        <f>F210/D210</f>
        <v>#DIV/0!</v>
      </c>
      <c r="H210" s="52"/>
      <c r="I210" s="52"/>
      <c r="J210" s="52">
        <f>SUM(H210-R210)</f>
        <v>0</v>
      </c>
      <c r="K210" s="52">
        <f>SUM(I210-S210)</f>
        <v>0</v>
      </c>
      <c r="L210" s="52">
        <f>J210-K210</f>
        <v>0</v>
      </c>
      <c r="M210" s="53" t="e">
        <f>L210/J210</f>
        <v>#DIV/0!</v>
      </c>
      <c r="N210" s="53"/>
      <c r="O210" s="53"/>
      <c r="P210" s="53"/>
      <c r="Q210" s="53"/>
      <c r="R210" s="52"/>
      <c r="S210" s="52"/>
      <c r="T210" s="52">
        <f>R210-S210</f>
        <v>0</v>
      </c>
      <c r="U210" s="53" t="e">
        <f>T210/R210</f>
        <v>#DIV/0!</v>
      </c>
      <c r="V210" s="54"/>
      <c r="W210" s="54"/>
      <c r="X210" s="54">
        <f>V210-W210</f>
        <v>0</v>
      </c>
      <c r="Y210" s="53" t="e">
        <f>X210/V210</f>
        <v>#DIV/0!</v>
      </c>
      <c r="Z210" s="53"/>
      <c r="AA210" s="55" t="e">
        <f>(E210-K210-S210)/W210</f>
        <v>#DIV/0!</v>
      </c>
      <c r="AB210" s="55" t="e">
        <f>(D210-J210-R210)/V210</f>
        <v>#DIV/0!</v>
      </c>
      <c r="AC210" s="53" t="e">
        <f>(E210-K210-S210)/E210</f>
        <v>#DIV/0!</v>
      </c>
      <c r="AD210" s="56" t="e">
        <f>SUM(D210-H210)/D210</f>
        <v>#DIV/0!</v>
      </c>
      <c r="AE210" s="57"/>
      <c r="AG210" s="35" t="s">
        <v>98</v>
      </c>
      <c r="AH210" s="36">
        <v>0</v>
      </c>
      <c r="AK210" s="19">
        <f>SUM(W211-W210)</f>
        <v>0</v>
      </c>
      <c r="AL210" s="58">
        <f>SUM(K211-K210)</f>
        <v>0</v>
      </c>
    </row>
    <row r="211" ht="15" customHeight="1" spans="1:38" x14ac:dyDescent="0.25">
      <c r="A211" s="19"/>
      <c r="B211" s="20"/>
      <c r="C211" s="51" t="s">
        <v>99</v>
      </c>
      <c r="D211" s="52"/>
      <c r="E211" s="52"/>
      <c r="F211" s="52">
        <f>D211-E211</f>
        <v>0</v>
      </c>
      <c r="G211" s="53" t="e">
        <f>F211/D211</f>
        <v>#DIV/0!</v>
      </c>
      <c r="H211" s="52"/>
      <c r="I211" s="52"/>
      <c r="J211" s="52">
        <f>SUM(H211-R211)</f>
        <v>0</v>
      </c>
      <c r="K211" s="52">
        <f>SUM(I211-S211)</f>
        <v>0</v>
      </c>
      <c r="L211" s="52">
        <f>J211-K211</f>
        <v>0</v>
      </c>
      <c r="M211" s="53" t="e">
        <f>L211/J211</f>
        <v>#DIV/0!</v>
      </c>
      <c r="N211" s="53"/>
      <c r="O211" s="53"/>
      <c r="P211" s="53"/>
      <c r="Q211" s="53"/>
      <c r="R211" s="52"/>
      <c r="S211" s="52"/>
      <c r="T211" s="52">
        <f>R211-S211</f>
        <v>0</v>
      </c>
      <c r="U211" s="53" t="e">
        <f>T211/R211</f>
        <v>#DIV/0!</v>
      </c>
      <c r="V211" s="54"/>
      <c r="W211" s="54"/>
      <c r="X211" s="54">
        <f>V211-W211</f>
        <v>0</v>
      </c>
      <c r="Y211" s="53" t="e">
        <f>X211/V211</f>
        <v>#DIV/0!</v>
      </c>
      <c r="Z211" s="53"/>
      <c r="AA211" s="55" t="e">
        <f>(E211-K211-S211)/W211</f>
        <v>#DIV/0!</v>
      </c>
      <c r="AB211" s="55" t="e">
        <f>(D211-J211-R211)/V211</f>
        <v>#DIV/0!</v>
      </c>
      <c r="AC211" s="53" t="e">
        <f>(E211-K211-S211)/E211</f>
        <v>#DIV/0!</v>
      </c>
      <c r="AD211" s="56" t="e">
        <f>SUM(D211-H211)/D211</f>
        <v>#DIV/0!</v>
      </c>
      <c r="AE211" s="57"/>
      <c r="AG211" s="35"/>
      <c r="AH211" s="35"/>
      <c r="AK211" s="19">
        <f>SUM(W212-W211)</f>
        <v>0</v>
      </c>
      <c r="AL211" s="58">
        <f>SUM(K212-K211)</f>
        <v>0</v>
      </c>
    </row>
    <row r="212" ht="15" customHeight="1" spans="1:38" x14ac:dyDescent="0.25">
      <c r="A212" s="59"/>
      <c r="B212" s="75"/>
      <c r="C212" s="76" t="s">
        <v>100</v>
      </c>
      <c r="D212" s="52"/>
      <c r="E212" s="52"/>
      <c r="F212" s="52">
        <f>D212-E212</f>
        <v>0</v>
      </c>
      <c r="G212" s="53" t="e">
        <f>F212/D212</f>
        <v>#DIV/0!</v>
      </c>
      <c r="H212" s="52"/>
      <c r="I212" s="52"/>
      <c r="J212" s="52">
        <f>SUM(H212-R212)</f>
        <v>0</v>
      </c>
      <c r="K212" s="52">
        <f>SUM(I212-S212)</f>
        <v>0</v>
      </c>
      <c r="L212" s="52">
        <f>J212-K212</f>
        <v>0</v>
      </c>
      <c r="M212" s="53" t="e">
        <f>L212/J212</f>
        <v>#DIV/0!</v>
      </c>
      <c r="N212" s="53"/>
      <c r="O212" s="53"/>
      <c r="P212" s="53"/>
      <c r="Q212" s="53"/>
      <c r="R212" s="52"/>
      <c r="S212" s="52"/>
      <c r="T212" s="52">
        <f>R212-S212</f>
        <v>0</v>
      </c>
      <c r="U212" s="53" t="e">
        <f>T212/R212</f>
        <v>#DIV/0!</v>
      </c>
      <c r="V212" s="54"/>
      <c r="W212" s="54"/>
      <c r="X212" s="54">
        <f>V212-W212</f>
        <v>0</v>
      </c>
      <c r="Y212" s="53" t="e">
        <f>X212/V212</f>
        <v>#DIV/0!</v>
      </c>
      <c r="Z212" s="53"/>
      <c r="AA212" s="55" t="e">
        <f>(E212-K212-S212)/W212</f>
        <v>#DIV/0!</v>
      </c>
      <c r="AB212" s="55" t="e">
        <f>(D212-J212-R212)/V212</f>
        <v>#DIV/0!</v>
      </c>
      <c r="AC212" s="53" t="e">
        <f>(E212-K212-S212)/E212</f>
        <v>#DIV/0!</v>
      </c>
      <c r="AD212" s="56" t="e">
        <f>SUM(D212-H212)/D212</f>
        <v>#DIV/0!</v>
      </c>
      <c r="AE212" s="57"/>
      <c r="AG212" s="35"/>
      <c r="AH212" s="35"/>
      <c r="AK212" s="59">
        <f>SUM(AK207,AK208,AK209,AK210,AK211)</f>
        <v>0</v>
      </c>
      <c r="AL212" s="60">
        <f>SUM(AL207,AL208,AL209,AL210,AL211)</f>
        <v>0</v>
      </c>
    </row>
    <row r="213" ht="9" customHeight="1" spans="1:38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G213" s="35"/>
      <c r="AH213" s="35"/>
      <c r="AK213" s="35"/>
      <c r="AL213" s="35"/>
    </row>
    <row r="214" ht="15" customHeight="1" spans="1:38" x14ac:dyDescent="0.25">
      <c r="A214" s="19">
        <f>'Main Sheet'!A64</f>
        <v>8946</v>
      </c>
      <c r="B214" s="19" t="str">
        <f>'Main Sheet'!B64</f>
        <v>Westcoast Vaults</v>
      </c>
      <c r="C214" s="51" t="s">
        <v>92</v>
      </c>
      <c r="D214" s="52">
        <v>0</v>
      </c>
      <c r="E214" s="52">
        <v>0</v>
      </c>
      <c r="F214" s="52">
        <f>D214-E214</f>
        <v>0</v>
      </c>
      <c r="G214" s="53" t="e">
        <f>F214/D214</f>
        <v>#DIV/0!</v>
      </c>
      <c r="H214" s="52">
        <v>0</v>
      </c>
      <c r="I214" s="52">
        <v>0</v>
      </c>
      <c r="J214" s="52">
        <v>0</v>
      </c>
      <c r="K214" s="52">
        <v>0</v>
      </c>
      <c r="L214" s="52">
        <f>J214-K214</f>
        <v>0</v>
      </c>
      <c r="M214" s="53" t="e">
        <f>L214/J214</f>
        <v>#DIV/0!</v>
      </c>
      <c r="N214" s="53"/>
      <c r="O214" s="53"/>
      <c r="P214" s="53"/>
      <c r="Q214" s="53"/>
      <c r="R214" s="52">
        <v>0</v>
      </c>
      <c r="S214" s="52">
        <v>0</v>
      </c>
      <c r="T214" s="52">
        <f>R214-S214</f>
        <v>0</v>
      </c>
      <c r="U214" s="53" t="e">
        <f>T214/R214</f>
        <v>#DIV/0!</v>
      </c>
      <c r="V214" s="54">
        <v>0</v>
      </c>
      <c r="W214" s="54">
        <v>0</v>
      </c>
      <c r="X214" s="54">
        <f>V214-W214</f>
        <v>0</v>
      </c>
      <c r="Y214" s="53" t="e">
        <f>X214/V214</f>
        <v>#DIV/0!</v>
      </c>
      <c r="Z214" s="53"/>
      <c r="AA214" s="55" t="e">
        <f>(E214-K214-S214)/W214</f>
        <v>#DIV/0!</v>
      </c>
      <c r="AB214" s="55" t="e">
        <f>(D214-J214-R214)/V214</f>
        <v>#DIV/0!</v>
      </c>
      <c r="AC214" s="53" t="e">
        <f>(E214-K214-S214)/E214</f>
        <v>#DIV/0!</v>
      </c>
      <c r="AD214" s="56" t="e">
        <f>SUM(D214-H214)/D214</f>
        <v>#DIV/0!</v>
      </c>
      <c r="AE214" s="57"/>
      <c r="AG214" s="35" t="s">
        <v>93</v>
      </c>
      <c r="AH214" s="35">
        <f>AK219</f>
        <v>0</v>
      </c>
      <c r="AK214" s="19">
        <f>SUM(W215-W214)</f>
        <v>0</v>
      </c>
      <c r="AL214" s="58">
        <f>SUM(K215-K214)</f>
        <v>0</v>
      </c>
    </row>
    <row r="215" ht="15" customHeight="1" spans="1:38" x14ac:dyDescent="0.25">
      <c r="A215" s="19"/>
      <c r="B215" s="20"/>
      <c r="C215" s="51" t="s">
        <v>94</v>
      </c>
      <c r="D215" s="52">
        <v>0</v>
      </c>
      <c r="E215" s="52">
        <v>0</v>
      </c>
      <c r="F215" s="52">
        <v>0</v>
      </c>
      <c r="G215" s="53" t="e">
        <f>F215/D215</f>
        <v>#DIV/0!</v>
      </c>
      <c r="H215" s="52">
        <v>0</v>
      </c>
      <c r="I215" s="52">
        <v>0</v>
      </c>
      <c r="J215" s="52">
        <v>0</v>
      </c>
      <c r="K215" s="52">
        <v>0</v>
      </c>
      <c r="L215" s="52">
        <f>J215-K215</f>
        <v>0</v>
      </c>
      <c r="M215" s="53" t="e">
        <f>L215/J215</f>
        <v>#DIV/0!</v>
      </c>
      <c r="N215" s="53"/>
      <c r="O215" s="53"/>
      <c r="P215" s="53"/>
      <c r="Q215" s="53"/>
      <c r="R215" s="52">
        <v>0</v>
      </c>
      <c r="S215" s="52">
        <v>0</v>
      </c>
      <c r="T215" s="52">
        <f>R215-S215</f>
        <v>0</v>
      </c>
      <c r="U215" s="53" t="e">
        <f>T215/R215</f>
        <v>#DIV/0!</v>
      </c>
      <c r="V215" s="54">
        <v>0</v>
      </c>
      <c r="W215" s="54">
        <v>0</v>
      </c>
      <c r="X215" s="54">
        <f>V215-W215</f>
        <v>0</v>
      </c>
      <c r="Y215" s="53" t="e">
        <f>X215/V215</f>
        <v>#DIV/0!</v>
      </c>
      <c r="Z215" s="53"/>
      <c r="AA215" s="55" t="e">
        <f>(E215-K215-S215)/W215</f>
        <v>#DIV/0!</v>
      </c>
      <c r="AB215" s="55" t="e">
        <f>(D215-J215-R215)/V215</f>
        <v>#DIV/0!</v>
      </c>
      <c r="AC215" s="53" t="e">
        <f>(E215-K215-S215)/E215</f>
        <v>#DIV/0!</v>
      </c>
      <c r="AD215" s="56" t="e">
        <f>SUM(D215-H215)/D215</f>
        <v>#DIV/0!</v>
      </c>
      <c r="AE215" s="57"/>
      <c r="AG215" s="35" t="s">
        <v>95</v>
      </c>
      <c r="AH215" s="36">
        <f>AL219</f>
        <v>0</v>
      </c>
      <c r="AK215" s="19">
        <f>SUM(W216-W215)</f>
        <v>0</v>
      </c>
      <c r="AL215" s="58">
        <f>SUM(K216-K215)</f>
        <v>0</v>
      </c>
    </row>
    <row r="216" ht="15" customHeight="1" spans="1:38" x14ac:dyDescent="0.25">
      <c r="A216" s="19"/>
      <c r="B216" s="20"/>
      <c r="C216" s="51" t="s">
        <v>96</v>
      </c>
      <c r="D216" s="52"/>
      <c r="E216" s="52"/>
      <c r="F216" s="52">
        <f>D216-E216</f>
        <v>0</v>
      </c>
      <c r="G216" s="53" t="e">
        <f>F216/D216</f>
        <v>#DIV/0!</v>
      </c>
      <c r="H216" s="52"/>
      <c r="I216" s="52"/>
      <c r="J216" s="52">
        <f>SUM(H216-R216)</f>
        <v>0</v>
      </c>
      <c r="K216" s="52">
        <f>SUM(I216-S216)</f>
        <v>0</v>
      </c>
      <c r="L216" s="52">
        <f>J216-K216</f>
        <v>0</v>
      </c>
      <c r="M216" s="53" t="e">
        <f>L216/J216</f>
        <v>#DIV/0!</v>
      </c>
      <c r="N216" s="53"/>
      <c r="O216" s="53"/>
      <c r="P216" s="53"/>
      <c r="Q216" s="53"/>
      <c r="R216" s="52"/>
      <c r="S216" s="52"/>
      <c r="T216" s="52">
        <f>R216-S216</f>
        <v>0</v>
      </c>
      <c r="U216" s="53" t="e">
        <f>T216/R216</f>
        <v>#DIV/0!</v>
      </c>
      <c r="V216" s="54"/>
      <c r="W216" s="54"/>
      <c r="X216" s="54">
        <f>V216-W216</f>
        <v>0</v>
      </c>
      <c r="Y216" s="53" t="e">
        <f>X216/V216</f>
        <v>#DIV/0!</v>
      </c>
      <c r="Z216" s="53"/>
      <c r="AA216" s="55" t="e">
        <f>(E216-K216-S216)/W216</f>
        <v>#DIV/0!</v>
      </c>
      <c r="AB216" s="55" t="e">
        <f>(D216-J216-R216)/V216</f>
        <v>#DIV/0!</v>
      </c>
      <c r="AC216" s="53" t="e">
        <f>(E216-K216-S216)/E216</f>
        <v>#DIV/0!</v>
      </c>
      <c r="AD216" s="56" t="e">
        <f>SUM(D216-H216)/D216</f>
        <v>#DIV/0!</v>
      </c>
      <c r="AE216" s="57"/>
      <c r="AG216" s="35"/>
      <c r="AH216" s="35"/>
      <c r="AK216" s="19">
        <f>SUM(W217-W216)</f>
        <v>0</v>
      </c>
      <c r="AL216" s="58">
        <f>SUM(K217-K216)</f>
        <v>0</v>
      </c>
    </row>
    <row r="217" ht="15" customHeight="1" spans="1:38" x14ac:dyDescent="0.25">
      <c r="A217" s="19"/>
      <c r="B217" s="20"/>
      <c r="C217" s="51" t="s">
        <v>97</v>
      </c>
      <c r="D217" s="52"/>
      <c r="E217" s="52"/>
      <c r="F217" s="52">
        <f>D217-E217</f>
        <v>0</v>
      </c>
      <c r="G217" s="53" t="e">
        <f>F217/D217</f>
        <v>#DIV/0!</v>
      </c>
      <c r="H217" s="52"/>
      <c r="I217" s="52"/>
      <c r="J217" s="52">
        <f>SUM(H217-R217)</f>
        <v>0</v>
      </c>
      <c r="K217" s="52">
        <f>SUM(I217-S217)</f>
        <v>0</v>
      </c>
      <c r="L217" s="52">
        <f>J217-K217</f>
        <v>0</v>
      </c>
      <c r="M217" s="53" t="e">
        <f>L217/J217</f>
        <v>#DIV/0!</v>
      </c>
      <c r="N217" s="53"/>
      <c r="O217" s="53"/>
      <c r="P217" s="53"/>
      <c r="Q217" s="53"/>
      <c r="R217" s="52"/>
      <c r="S217" s="52"/>
      <c r="T217" s="52">
        <f>R217-S217</f>
        <v>0</v>
      </c>
      <c r="U217" s="53" t="e">
        <f>T217/R217</f>
        <v>#DIV/0!</v>
      </c>
      <c r="V217" s="54"/>
      <c r="W217" s="54"/>
      <c r="X217" s="54">
        <f>V217-W217</f>
        <v>0</v>
      </c>
      <c r="Y217" s="53" t="e">
        <f>X217/V217</f>
        <v>#DIV/0!</v>
      </c>
      <c r="Z217" s="53"/>
      <c r="AA217" s="55" t="e">
        <f>(E217-K217-S217)/W217</f>
        <v>#DIV/0!</v>
      </c>
      <c r="AB217" s="55" t="e">
        <f>(D217-J217-R217)/V217</f>
        <v>#DIV/0!</v>
      </c>
      <c r="AC217" s="53" t="e">
        <f>(E217-K217-S217)/E217</f>
        <v>#DIV/0!</v>
      </c>
      <c r="AD217" s="56" t="e">
        <f>SUM(D217-H217)/D217</f>
        <v>#DIV/0!</v>
      </c>
      <c r="AE217" s="57"/>
      <c r="AG217" s="35" t="s">
        <v>98</v>
      </c>
      <c r="AH217" s="36">
        <v>0</v>
      </c>
      <c r="AK217" s="19">
        <f>SUM(W218-W217)</f>
        <v>0</v>
      </c>
      <c r="AL217" s="58">
        <f>SUM(K218-K217)</f>
        <v>0</v>
      </c>
    </row>
    <row r="218" ht="15" customHeight="1" spans="1:38" x14ac:dyDescent="0.25">
      <c r="A218" s="19"/>
      <c r="B218" s="20"/>
      <c r="C218" s="51" t="s">
        <v>99</v>
      </c>
      <c r="D218" s="52"/>
      <c r="E218" s="52"/>
      <c r="F218" s="52">
        <f>D218-E218</f>
        <v>0</v>
      </c>
      <c r="G218" s="53" t="e">
        <f>F218/D218</f>
        <v>#DIV/0!</v>
      </c>
      <c r="H218" s="52"/>
      <c r="I218" s="52"/>
      <c r="J218" s="52">
        <f>SUM(H218-R218)</f>
        <v>0</v>
      </c>
      <c r="K218" s="52">
        <f>SUM(I218-S218)</f>
        <v>0</v>
      </c>
      <c r="L218" s="52">
        <f>J218-K218</f>
        <v>0</v>
      </c>
      <c r="M218" s="53" t="e">
        <f>L218/J218</f>
        <v>#DIV/0!</v>
      </c>
      <c r="N218" s="53"/>
      <c r="O218" s="53"/>
      <c r="P218" s="53"/>
      <c r="Q218" s="53"/>
      <c r="R218" s="52"/>
      <c r="S218" s="52"/>
      <c r="T218" s="52">
        <f>R218-S218</f>
        <v>0</v>
      </c>
      <c r="U218" s="53" t="e">
        <f>T218/R218</f>
        <v>#DIV/0!</v>
      </c>
      <c r="V218" s="54"/>
      <c r="W218" s="54"/>
      <c r="X218" s="54">
        <f>V218-W218</f>
        <v>0</v>
      </c>
      <c r="Y218" s="53" t="e">
        <f>X218/V218</f>
        <v>#DIV/0!</v>
      </c>
      <c r="Z218" s="53"/>
      <c r="AA218" s="55" t="e">
        <f>(E218-K218-S218)/W218</f>
        <v>#DIV/0!</v>
      </c>
      <c r="AB218" s="55" t="e">
        <f>(D218-J218-R218)/V218</f>
        <v>#DIV/0!</v>
      </c>
      <c r="AC218" s="53" t="e">
        <f>(E218-K218-S218)/E218</f>
        <v>#DIV/0!</v>
      </c>
      <c r="AD218" s="56" t="e">
        <f>SUM(D218-H218)/D218</f>
        <v>#DIV/0!</v>
      </c>
      <c r="AE218" s="57"/>
      <c r="AG218" s="35"/>
      <c r="AH218" s="35"/>
      <c r="AK218" s="19">
        <f>SUM(W219-W218)</f>
        <v>0</v>
      </c>
      <c r="AL218" s="58">
        <f>SUM(K219-K218)</f>
        <v>0</v>
      </c>
    </row>
    <row r="219" ht="15" customHeight="1" spans="1:38" x14ac:dyDescent="0.25">
      <c r="A219" s="59"/>
      <c r="B219" s="75"/>
      <c r="C219" s="76" t="s">
        <v>100</v>
      </c>
      <c r="D219" s="52"/>
      <c r="E219" s="52"/>
      <c r="F219" s="52">
        <f>D219-E219</f>
        <v>0</v>
      </c>
      <c r="G219" s="53" t="e">
        <f>F219/D219</f>
        <v>#DIV/0!</v>
      </c>
      <c r="H219" s="52"/>
      <c r="I219" s="52"/>
      <c r="J219" s="52">
        <f>SUM(H219-R219)</f>
        <v>0</v>
      </c>
      <c r="K219" s="52">
        <f>SUM(I219-S219)</f>
        <v>0</v>
      </c>
      <c r="L219" s="52">
        <f>J219-K219</f>
        <v>0</v>
      </c>
      <c r="M219" s="53" t="e">
        <f>L219/J219</f>
        <v>#DIV/0!</v>
      </c>
      <c r="N219" s="53"/>
      <c r="O219" s="53"/>
      <c r="P219" s="53"/>
      <c r="Q219" s="53"/>
      <c r="R219" s="52"/>
      <c r="S219" s="52"/>
      <c r="T219" s="52">
        <f>R219-S219</f>
        <v>0</v>
      </c>
      <c r="U219" s="53" t="e">
        <f>T219/R219</f>
        <v>#DIV/0!</v>
      </c>
      <c r="V219" s="54"/>
      <c r="W219" s="54"/>
      <c r="X219" s="54">
        <f>V219-W219</f>
        <v>0</v>
      </c>
      <c r="Y219" s="53" t="e">
        <f>X219/V219</f>
        <v>#DIV/0!</v>
      </c>
      <c r="Z219" s="53"/>
      <c r="AA219" s="55" t="e">
        <f>(E219-K219-S219)/W219</f>
        <v>#DIV/0!</v>
      </c>
      <c r="AB219" s="55" t="e">
        <f>(D219-J219-R219)/V219</f>
        <v>#DIV/0!</v>
      </c>
      <c r="AC219" s="53" t="e">
        <f>(E219-K219-S219)/E219</f>
        <v>#DIV/0!</v>
      </c>
      <c r="AD219" s="56" t="e">
        <f>SUM(D219-H219)/D219</f>
        <v>#DIV/0!</v>
      </c>
      <c r="AE219" s="57"/>
      <c r="AG219" s="35"/>
      <c r="AH219" s="35"/>
      <c r="AK219" s="59">
        <f>SUM(AK214,AK215,AK216,AK217,AK218)</f>
        <v>0</v>
      </c>
      <c r="AL219" s="60">
        <f>SUM(AL214,AL215,AL216,AL217,AL218)</f>
        <v>0</v>
      </c>
    </row>
    <row r="220" ht="9" customHeight="1" spans="1:38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G220" s="35"/>
      <c r="AH220" s="35"/>
      <c r="AK220" s="35"/>
      <c r="AL220" s="35"/>
    </row>
    <row r="221" ht="15" customHeight="1" spans="1:38" x14ac:dyDescent="0.25">
      <c r="A221" s="19">
        <f>'Main Sheet'!A66</f>
        <v>8308</v>
      </c>
      <c r="B221" s="19" t="str">
        <f>'Main Sheet'!B66</f>
        <v>Roydvale</v>
      </c>
      <c r="C221" s="51" t="s">
        <v>92</v>
      </c>
      <c r="D221" s="52">
        <v>0</v>
      </c>
      <c r="E221" s="52">
        <v>0</v>
      </c>
      <c r="F221" s="52">
        <f>D221-E221</f>
        <v>0</v>
      </c>
      <c r="G221" s="53" t="e">
        <f>F221/D221</f>
        <v>#DIV/0!</v>
      </c>
      <c r="H221" s="52">
        <v>0</v>
      </c>
      <c r="I221" s="52">
        <v>0</v>
      </c>
      <c r="J221" s="52">
        <v>0</v>
      </c>
      <c r="K221" s="52">
        <v>0</v>
      </c>
      <c r="L221" s="52">
        <f>J221-K221</f>
        <v>0</v>
      </c>
      <c r="M221" s="53" t="e">
        <f>L221/J221</f>
        <v>#DIV/0!</v>
      </c>
      <c r="N221" s="53"/>
      <c r="O221" s="53"/>
      <c r="P221" s="53"/>
      <c r="Q221" s="53"/>
      <c r="R221" s="52">
        <v>0</v>
      </c>
      <c r="S221" s="52">
        <v>0</v>
      </c>
      <c r="T221" s="52">
        <f>R221-S221</f>
        <v>0</v>
      </c>
      <c r="U221" s="53" t="e">
        <f>T221/R221</f>
        <v>#DIV/0!</v>
      </c>
      <c r="V221" s="54">
        <v>0</v>
      </c>
      <c r="W221" s="54">
        <v>0</v>
      </c>
      <c r="X221" s="54">
        <f>V221-W221</f>
        <v>0</v>
      </c>
      <c r="Y221" s="53" t="e">
        <f>X221/V221</f>
        <v>#DIV/0!</v>
      </c>
      <c r="Z221" s="53"/>
      <c r="AA221" s="55" t="e">
        <f>(E221-K221-S221)/W221</f>
        <v>#DIV/0!</v>
      </c>
      <c r="AB221" s="55" t="e">
        <f>(D221-J221-R221)/V221</f>
        <v>#DIV/0!</v>
      </c>
      <c r="AC221" s="53" t="e">
        <f>(E221-K221-S221)/E221</f>
        <v>#DIV/0!</v>
      </c>
      <c r="AD221" s="56" t="e">
        <f>SUM(D221-H221)/D221</f>
        <v>#DIV/0!</v>
      </c>
      <c r="AE221" s="57"/>
      <c r="AG221" s="35" t="s">
        <v>93</v>
      </c>
      <c r="AH221" s="35">
        <f>AK226</f>
        <v>0</v>
      </c>
      <c r="AK221" s="19">
        <f>SUM(W222-W221)</f>
        <v>0</v>
      </c>
      <c r="AL221" s="58">
        <f>SUM(K222-K221)</f>
        <v>0</v>
      </c>
    </row>
    <row r="222" ht="15" customHeight="1" spans="1:38" x14ac:dyDescent="0.25">
      <c r="A222" s="19"/>
      <c r="B222" s="20"/>
      <c r="C222" s="51" t="s">
        <v>94</v>
      </c>
      <c r="D222" s="52">
        <v>0</v>
      </c>
      <c r="E222" s="52">
        <v>0</v>
      </c>
      <c r="F222" s="52">
        <v>0</v>
      </c>
      <c r="G222" s="53" t="e">
        <f>F222/D222</f>
        <v>#DIV/0!</v>
      </c>
      <c r="H222" s="52">
        <v>0</v>
      </c>
      <c r="I222" s="52">
        <v>0</v>
      </c>
      <c r="J222" s="52">
        <v>0</v>
      </c>
      <c r="K222" s="52">
        <v>0</v>
      </c>
      <c r="L222" s="52">
        <f>J222-K222</f>
        <v>0</v>
      </c>
      <c r="M222" s="53" t="e">
        <f>L222/J222</f>
        <v>#DIV/0!</v>
      </c>
      <c r="N222" s="53"/>
      <c r="O222" s="53"/>
      <c r="P222" s="53"/>
      <c r="Q222" s="53"/>
      <c r="R222" s="52">
        <v>0</v>
      </c>
      <c r="S222" s="52">
        <v>0</v>
      </c>
      <c r="T222" s="52">
        <f>R222-S222</f>
        <v>0</v>
      </c>
      <c r="U222" s="53" t="e">
        <f>T222/R222</f>
        <v>#DIV/0!</v>
      </c>
      <c r="V222" s="54">
        <v>0</v>
      </c>
      <c r="W222" s="54">
        <v>0</v>
      </c>
      <c r="X222" s="54">
        <f>V222-W222</f>
        <v>0</v>
      </c>
      <c r="Y222" s="53" t="e">
        <f>X222/V222</f>
        <v>#DIV/0!</v>
      </c>
      <c r="Z222" s="53"/>
      <c r="AA222" s="55" t="e">
        <f>(E222-K222-S222)/W222</f>
        <v>#DIV/0!</v>
      </c>
      <c r="AB222" s="55" t="e">
        <f>(D222-J222-R222)/V222</f>
        <v>#DIV/0!</v>
      </c>
      <c r="AC222" s="53" t="e">
        <f>(E222-K222-S222)/E222</f>
        <v>#DIV/0!</v>
      </c>
      <c r="AD222" s="56" t="e">
        <f>SUM(D222-H222)/D222</f>
        <v>#DIV/0!</v>
      </c>
      <c r="AE222" s="57"/>
      <c r="AG222" s="35" t="s">
        <v>95</v>
      </c>
      <c r="AH222" s="36">
        <f>AL226</f>
        <v>0</v>
      </c>
      <c r="AK222" s="19">
        <f>SUM(W223-W222)</f>
        <v>0</v>
      </c>
      <c r="AL222" s="58">
        <f>SUM(K223-K222)</f>
        <v>0</v>
      </c>
    </row>
    <row r="223" ht="15" customHeight="1" spans="1:38" x14ac:dyDescent="0.25">
      <c r="A223" s="19"/>
      <c r="B223" s="20"/>
      <c r="C223" s="51" t="s">
        <v>96</v>
      </c>
      <c r="D223" s="52"/>
      <c r="E223" s="52"/>
      <c r="F223" s="52">
        <f>D223-E223</f>
        <v>0</v>
      </c>
      <c r="G223" s="53" t="e">
        <f>F223/D223</f>
        <v>#DIV/0!</v>
      </c>
      <c r="H223" s="52"/>
      <c r="I223" s="52"/>
      <c r="J223" s="52">
        <f>SUM(H223-R223)</f>
        <v>0</v>
      </c>
      <c r="K223" s="52">
        <f>SUM(I223-S223)</f>
        <v>0</v>
      </c>
      <c r="L223" s="52">
        <f>J223-K223</f>
        <v>0</v>
      </c>
      <c r="M223" s="53" t="e">
        <f>L223/J223</f>
        <v>#DIV/0!</v>
      </c>
      <c r="N223" s="53"/>
      <c r="O223" s="53"/>
      <c r="P223" s="53"/>
      <c r="Q223" s="53"/>
      <c r="R223" s="52"/>
      <c r="S223" s="52"/>
      <c r="T223" s="52">
        <f>R223-S223</f>
        <v>0</v>
      </c>
      <c r="U223" s="53" t="e">
        <f>T223/R223</f>
        <v>#DIV/0!</v>
      </c>
      <c r="V223" s="54"/>
      <c r="W223" s="54"/>
      <c r="X223" s="54">
        <f>V223-W223</f>
        <v>0</v>
      </c>
      <c r="Y223" s="53" t="e">
        <f>X223/V223</f>
        <v>#DIV/0!</v>
      </c>
      <c r="Z223" s="53"/>
      <c r="AA223" s="55" t="e">
        <f>(E223-K223-S223)/W223</f>
        <v>#DIV/0!</v>
      </c>
      <c r="AB223" s="55" t="e">
        <f>(D223-J223-R223)/V223</f>
        <v>#DIV/0!</v>
      </c>
      <c r="AC223" s="53" t="e">
        <f>(E223-K223-S223)/E223</f>
        <v>#DIV/0!</v>
      </c>
      <c r="AD223" s="56" t="e">
        <f>SUM(D223-H223)/D223</f>
        <v>#DIV/0!</v>
      </c>
      <c r="AE223" s="57"/>
      <c r="AG223" s="35"/>
      <c r="AH223" s="35"/>
      <c r="AK223" s="19">
        <f>SUM(W224-W223)</f>
        <v>0</v>
      </c>
      <c r="AL223" s="58">
        <f>SUM(K224-K223)</f>
        <v>0</v>
      </c>
    </row>
    <row r="224" ht="15" customHeight="1" spans="1:38" x14ac:dyDescent="0.25">
      <c r="A224" s="19"/>
      <c r="B224" s="20"/>
      <c r="C224" s="51" t="s">
        <v>97</v>
      </c>
      <c r="D224" s="52"/>
      <c r="E224" s="52"/>
      <c r="F224" s="52">
        <f>D224-E224</f>
        <v>0</v>
      </c>
      <c r="G224" s="53" t="e">
        <f>F224/D224</f>
        <v>#DIV/0!</v>
      </c>
      <c r="H224" s="52"/>
      <c r="I224" s="52"/>
      <c r="J224" s="52">
        <f>SUM(H224-R224)</f>
        <v>0</v>
      </c>
      <c r="K224" s="52">
        <f>SUM(I224-S224)</f>
        <v>0</v>
      </c>
      <c r="L224" s="52">
        <f>J224-K224</f>
        <v>0</v>
      </c>
      <c r="M224" s="53" t="e">
        <f>L224/J224</f>
        <v>#DIV/0!</v>
      </c>
      <c r="N224" s="53"/>
      <c r="O224" s="53"/>
      <c r="P224" s="53"/>
      <c r="Q224" s="53"/>
      <c r="R224" s="52"/>
      <c r="S224" s="52"/>
      <c r="T224" s="52">
        <f>R224-S224</f>
        <v>0</v>
      </c>
      <c r="U224" s="53" t="e">
        <f>T224/R224</f>
        <v>#DIV/0!</v>
      </c>
      <c r="V224" s="54"/>
      <c r="W224" s="54"/>
      <c r="X224" s="54">
        <f>V224-W224</f>
        <v>0</v>
      </c>
      <c r="Y224" s="53" t="e">
        <f>X224/V224</f>
        <v>#DIV/0!</v>
      </c>
      <c r="Z224" s="53"/>
      <c r="AA224" s="55" t="e">
        <f>(E224-K224-S224)/W224</f>
        <v>#DIV/0!</v>
      </c>
      <c r="AB224" s="55" t="e">
        <f>(D224-J224-R224)/V224</f>
        <v>#DIV/0!</v>
      </c>
      <c r="AC224" s="53" t="e">
        <f>(E224-K224-S224)/E224</f>
        <v>#DIV/0!</v>
      </c>
      <c r="AD224" s="56" t="e">
        <f>SUM(D224-H224)/D224</f>
        <v>#DIV/0!</v>
      </c>
      <c r="AE224" s="57"/>
      <c r="AG224" s="35" t="s">
        <v>98</v>
      </c>
      <c r="AH224" s="36">
        <v>0</v>
      </c>
      <c r="AK224" s="19">
        <f>SUM(W225-W224)</f>
        <v>0</v>
      </c>
      <c r="AL224" s="58">
        <f>SUM(K225-K224)</f>
        <v>0</v>
      </c>
    </row>
    <row r="225" ht="15" customHeight="1" spans="1:38" x14ac:dyDescent="0.25">
      <c r="A225" s="19"/>
      <c r="B225" s="20"/>
      <c r="C225" s="51" t="s">
        <v>99</v>
      </c>
      <c r="D225" s="52"/>
      <c r="E225" s="52"/>
      <c r="F225" s="52">
        <f>D225-E225</f>
        <v>0</v>
      </c>
      <c r="G225" s="53" t="e">
        <f>F225/D225</f>
        <v>#DIV/0!</v>
      </c>
      <c r="H225" s="52"/>
      <c r="I225" s="52"/>
      <c r="J225" s="52">
        <f>SUM(H225-R225)</f>
        <v>0</v>
      </c>
      <c r="K225" s="52">
        <f>SUM(I225-S225)</f>
        <v>0</v>
      </c>
      <c r="L225" s="52">
        <f>J225-K225</f>
        <v>0</v>
      </c>
      <c r="M225" s="53" t="e">
        <f>L225/J225</f>
        <v>#DIV/0!</v>
      </c>
      <c r="N225" s="53"/>
      <c r="O225" s="53"/>
      <c r="P225" s="53"/>
      <c r="Q225" s="53"/>
      <c r="R225" s="52"/>
      <c r="S225" s="52"/>
      <c r="T225" s="52">
        <f>R225-S225</f>
        <v>0</v>
      </c>
      <c r="U225" s="53" t="e">
        <f>T225/R225</f>
        <v>#DIV/0!</v>
      </c>
      <c r="V225" s="54"/>
      <c r="W225" s="54"/>
      <c r="X225" s="54">
        <f>V225-W225</f>
        <v>0</v>
      </c>
      <c r="Y225" s="53" t="e">
        <f>X225/V225</f>
        <v>#DIV/0!</v>
      </c>
      <c r="Z225" s="53"/>
      <c r="AA225" s="55" t="e">
        <f>(E225-K225-S225)/W225</f>
        <v>#DIV/0!</v>
      </c>
      <c r="AB225" s="55" t="e">
        <f>(D225-J225-R225)/V225</f>
        <v>#DIV/0!</v>
      </c>
      <c r="AC225" s="53" t="e">
        <f>(E225-K225-S225)/E225</f>
        <v>#DIV/0!</v>
      </c>
      <c r="AD225" s="56" t="e">
        <f>SUM(D225-H225)/D225</f>
        <v>#DIV/0!</v>
      </c>
      <c r="AE225" s="57"/>
      <c r="AG225" s="35"/>
      <c r="AH225" s="35"/>
      <c r="AK225" s="19">
        <f>SUM(W226-W225)</f>
        <v>0</v>
      </c>
      <c r="AL225" s="58">
        <f>SUM(K226-K225)</f>
        <v>0</v>
      </c>
    </row>
    <row r="226" ht="15" customHeight="1" spans="1:38" x14ac:dyDescent="0.25">
      <c r="A226" s="59"/>
      <c r="B226" s="75"/>
      <c r="C226" s="76" t="s">
        <v>100</v>
      </c>
      <c r="D226" s="52"/>
      <c r="E226" s="52"/>
      <c r="F226" s="52">
        <f>D226-E226</f>
        <v>0</v>
      </c>
      <c r="G226" s="53" t="e">
        <f>F226/D226</f>
        <v>#DIV/0!</v>
      </c>
      <c r="H226" s="52"/>
      <c r="I226" s="52"/>
      <c r="J226" s="52">
        <f>SUM(H226-R226)</f>
        <v>0</v>
      </c>
      <c r="K226" s="52">
        <f>SUM(I226-S226)</f>
        <v>0</v>
      </c>
      <c r="L226" s="52">
        <f>J226-K226</f>
        <v>0</v>
      </c>
      <c r="M226" s="53" t="e">
        <f>L226/J226</f>
        <v>#DIV/0!</v>
      </c>
      <c r="N226" s="53"/>
      <c r="O226" s="53"/>
      <c r="P226" s="53"/>
      <c r="Q226" s="53"/>
      <c r="R226" s="52"/>
      <c r="S226" s="52"/>
      <c r="T226" s="52">
        <f>R226-S226</f>
        <v>0</v>
      </c>
      <c r="U226" s="53" t="e">
        <f>T226/R226</f>
        <v>#DIV/0!</v>
      </c>
      <c r="V226" s="54"/>
      <c r="W226" s="54"/>
      <c r="X226" s="54">
        <f>V226-W226</f>
        <v>0</v>
      </c>
      <c r="Y226" s="53" t="e">
        <f>X226/V226</f>
        <v>#DIV/0!</v>
      </c>
      <c r="Z226" s="53"/>
      <c r="AA226" s="55" t="e">
        <f>(E226-K226-S226)/W226</f>
        <v>#DIV/0!</v>
      </c>
      <c r="AB226" s="55" t="e">
        <f>(D226-J226-R226)/V226</f>
        <v>#DIV/0!</v>
      </c>
      <c r="AC226" s="53" t="e">
        <f>(E226-K226-S226)/E226</f>
        <v>#DIV/0!</v>
      </c>
      <c r="AD226" s="56" t="e">
        <f>SUM(D226-H226)/D226</f>
        <v>#DIV/0!</v>
      </c>
      <c r="AE226" s="57"/>
      <c r="AG226" s="35"/>
      <c r="AH226" s="35"/>
      <c r="AK226" s="59">
        <f>SUM(AK221,AK222,AK223,AK224,AK225)</f>
        <v>0</v>
      </c>
      <c r="AL226" s="60">
        <f>SUM(AL221,AL222,AL223,AL224,AL225)</f>
        <v>0</v>
      </c>
    </row>
  </sheetData>
  <mergeCells count="61"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10:AD10"/>
    <mergeCell ref="A17:AD17"/>
    <mergeCell ref="A24:AD24"/>
    <mergeCell ref="A31:AD31"/>
    <mergeCell ref="A38:AD38"/>
    <mergeCell ref="A45:AD45"/>
    <mergeCell ref="A52:AD52"/>
    <mergeCell ref="A59:AD59"/>
    <mergeCell ref="A66:AD66"/>
    <mergeCell ref="A73:AD73"/>
    <mergeCell ref="A80:AD80"/>
    <mergeCell ref="A87:AD87"/>
    <mergeCell ref="A94:AD94"/>
    <mergeCell ref="A101:AD101"/>
    <mergeCell ref="A108:AD108"/>
    <mergeCell ref="A122:AD122"/>
    <mergeCell ref="A129:AD129"/>
    <mergeCell ref="A136:AD136"/>
    <mergeCell ref="A143:AD143"/>
    <mergeCell ref="A150:AD150"/>
    <mergeCell ref="A157:AD157"/>
    <mergeCell ref="A164:AD164"/>
    <mergeCell ref="A171:AD171"/>
    <mergeCell ref="A178:AD178"/>
    <mergeCell ref="A185:AD185"/>
    <mergeCell ref="A192:AD192"/>
    <mergeCell ref="A199:AD199"/>
    <mergeCell ref="A206:AD206"/>
    <mergeCell ref="A213:AD213"/>
    <mergeCell ref="A220:AD220"/>
  </mergeCells>
  <conditionalFormatting sqref="AA76">
    <cfRule type="expression" dxfId="231" priority="2">
      <formula>$AA$4&lt;$AB$4</formula>
    </cfRule>
  </conditionalFormatting>
  <conditionalFormatting sqref="AC76">
    <cfRule type="expression" dxfId="232" priority="3">
      <formula>$AC$4&lt;AD76</formula>
    </cfRule>
  </conditionalFormatting>
  <conditionalFormatting sqref="AA69">
    <cfRule type="expression" dxfId="233" priority="4">
      <formula>$AA$4&lt;$AB$4</formula>
    </cfRule>
  </conditionalFormatting>
  <conditionalFormatting sqref="AC69">
    <cfRule type="expression" dxfId="234" priority="5">
      <formula>$AC$4&lt;AD69</formula>
    </cfRule>
  </conditionalFormatting>
  <conditionalFormatting sqref="AA62">
    <cfRule type="expression" dxfId="235" priority="6">
      <formula>$AA$4&lt;$AB$4</formula>
    </cfRule>
  </conditionalFormatting>
  <conditionalFormatting sqref="AC62">
    <cfRule type="expression" dxfId="236" priority="7">
      <formula>$AC$4&lt;AD62</formula>
    </cfRule>
  </conditionalFormatting>
  <conditionalFormatting sqref="AA55">
    <cfRule type="expression" dxfId="237" priority="8">
      <formula>$AA$4&lt;$AB$4</formula>
    </cfRule>
  </conditionalFormatting>
  <conditionalFormatting sqref="AC55">
    <cfRule type="expression" dxfId="238" priority="9">
      <formula>$AC$4&lt;AD55</formula>
    </cfRule>
  </conditionalFormatting>
  <conditionalFormatting sqref="AA48">
    <cfRule type="expression" dxfId="239" priority="10">
      <formula>$AA$4&lt;$AB$4</formula>
    </cfRule>
  </conditionalFormatting>
  <conditionalFormatting sqref="AC48">
    <cfRule type="expression" dxfId="240" priority="11">
      <formula>$AC$4&lt;AD48</formula>
    </cfRule>
  </conditionalFormatting>
  <conditionalFormatting sqref="AA27">
    <cfRule type="expression" dxfId="241" priority="12">
      <formula>$AA$4&lt;$AB$4</formula>
    </cfRule>
  </conditionalFormatting>
  <conditionalFormatting sqref="AC27">
    <cfRule type="expression" dxfId="242" priority="13">
      <formula>$AC$4&lt;AD27</formula>
    </cfRule>
  </conditionalFormatting>
  <conditionalFormatting sqref="AA20">
    <cfRule type="expression" dxfId="243" priority="14">
      <formula>$AA$4&lt;$AB$4</formula>
    </cfRule>
  </conditionalFormatting>
  <conditionalFormatting sqref="AC20">
    <cfRule type="expression" dxfId="244" priority="15">
      <formula>$AC$4&lt;AD20</formula>
    </cfRule>
  </conditionalFormatting>
  <conditionalFormatting sqref="AA13">
    <cfRule type="expression" dxfId="245" priority="16">
      <formula>$AA$4&lt;$AB$4</formula>
    </cfRule>
  </conditionalFormatting>
  <conditionalFormatting sqref="AC13">
    <cfRule type="expression" dxfId="246" priority="17">
      <formula>$AC$4&lt;AD13</formula>
    </cfRule>
  </conditionalFormatting>
  <conditionalFormatting sqref="AA6">
    <cfRule type="expression" dxfId="247" priority="18">
      <formula>$AA$4&lt;$AB$4</formula>
    </cfRule>
  </conditionalFormatting>
  <conditionalFormatting sqref="AC6">
    <cfRule type="expression" dxfId="248" priority="19">
      <formula>$AC$4&lt;AD6</formula>
    </cfRule>
  </conditionalFormatting>
  <conditionalFormatting sqref="AA153">
    <cfRule type="expression" dxfId="249" priority="20">
      <formula>$AA$4&lt;$AB$4</formula>
    </cfRule>
  </conditionalFormatting>
  <conditionalFormatting sqref="AC153">
    <cfRule type="expression" dxfId="250" priority="21">
      <formula>$AC$4&lt;AD153</formula>
    </cfRule>
  </conditionalFormatting>
  <conditionalFormatting sqref="AA146">
    <cfRule type="expression" dxfId="251" priority="22">
      <formula>$AA$4&lt;$AB$4</formula>
    </cfRule>
  </conditionalFormatting>
  <conditionalFormatting sqref="AC146">
    <cfRule type="expression" dxfId="252" priority="23">
      <formula>$AC$4&lt;AD146</formula>
    </cfRule>
  </conditionalFormatting>
  <conditionalFormatting sqref="AA132">
    <cfRule type="expression" dxfId="253" priority="24">
      <formula>$AA$4&lt;$AB$4</formula>
    </cfRule>
  </conditionalFormatting>
  <conditionalFormatting sqref="AC132">
    <cfRule type="expression" dxfId="254" priority="25">
      <formula>$AC$4&lt;AD132</formula>
    </cfRule>
  </conditionalFormatting>
  <conditionalFormatting sqref="AA125">
    <cfRule type="expression" dxfId="255" priority="26">
      <formula>$AA$4&lt;$AB$4</formula>
    </cfRule>
  </conditionalFormatting>
  <conditionalFormatting sqref="AC125">
    <cfRule type="expression" dxfId="256" priority="27">
      <formula>$AC$4&lt;AD125</formula>
    </cfRule>
  </conditionalFormatting>
  <conditionalFormatting sqref="AA111">
    <cfRule type="expression" dxfId="257" priority="28">
      <formula>$AA$4&lt;$AB$4</formula>
    </cfRule>
  </conditionalFormatting>
  <conditionalFormatting sqref="AC111">
    <cfRule type="expression" dxfId="258" priority="29">
      <formula>$AC$4&lt;AD111</formula>
    </cfRule>
  </conditionalFormatting>
  <conditionalFormatting sqref="AA104">
    <cfRule type="expression" dxfId="259" priority="30">
      <formula>$AA$4&lt;$AB$4</formula>
    </cfRule>
  </conditionalFormatting>
  <conditionalFormatting sqref="AC104">
    <cfRule type="expression" dxfId="260" priority="31">
      <formula>$AC$4&lt;AD104</formula>
    </cfRule>
  </conditionalFormatting>
  <conditionalFormatting sqref="AA97">
    <cfRule type="expression" dxfId="261" priority="32">
      <formula>$AA$4&lt;$AB$4</formula>
    </cfRule>
  </conditionalFormatting>
  <conditionalFormatting sqref="AC97">
    <cfRule type="expression" dxfId="262" priority="33">
      <formula>$AC$4&lt;AD97</formula>
    </cfRule>
  </conditionalFormatting>
  <conditionalFormatting sqref="AA83">
    <cfRule type="expression" dxfId="263" priority="34">
      <formula>$AA$4&lt;$AB$4</formula>
    </cfRule>
  </conditionalFormatting>
  <conditionalFormatting sqref="AC83">
    <cfRule type="expression" dxfId="264" priority="35">
      <formula>$AC$4&lt;AD83</formula>
    </cfRule>
  </conditionalFormatting>
  <conditionalFormatting sqref="AA90">
    <cfRule type="expression" dxfId="265" priority="36">
      <formula>$AA$4&lt;$AB$4</formula>
    </cfRule>
  </conditionalFormatting>
  <conditionalFormatting sqref="AC90">
    <cfRule type="expression" dxfId="266" priority="37">
      <formula>$AC$4&lt;AD90</formula>
    </cfRule>
  </conditionalFormatting>
  <conditionalFormatting sqref="AA221:AA226">
    <cfRule type="expression" dxfId="267" priority="38">
      <formula>$AA$4&lt;$AB$4</formula>
    </cfRule>
  </conditionalFormatting>
  <conditionalFormatting sqref="AC221:AC226">
    <cfRule type="expression" dxfId="268" priority="39">
      <formula>$AC$4&lt;AD221</formula>
    </cfRule>
  </conditionalFormatting>
  <conditionalFormatting sqref="AA214:AA219">
    <cfRule type="expression" dxfId="269" priority="40">
      <formula>$AA$4&lt;$AB$4</formula>
    </cfRule>
  </conditionalFormatting>
  <conditionalFormatting sqref="AC214:AC219">
    <cfRule type="expression" dxfId="270" priority="41">
      <formula>$AC$4&lt;AD214</formula>
    </cfRule>
  </conditionalFormatting>
  <conditionalFormatting sqref="AA207:AA212">
    <cfRule type="expression" dxfId="271" priority="42">
      <formula>$AA$4&lt;$AB$4</formula>
    </cfRule>
  </conditionalFormatting>
  <conditionalFormatting sqref="AC207:AC212">
    <cfRule type="expression" dxfId="272" priority="43">
      <formula>$AC$4&lt;AD207</formula>
    </cfRule>
  </conditionalFormatting>
  <conditionalFormatting sqref="AA200:AA205">
    <cfRule type="expression" dxfId="273" priority="44">
      <formula>$AA$4&lt;$AB$4</formula>
    </cfRule>
  </conditionalFormatting>
  <conditionalFormatting sqref="AC200:AC205">
    <cfRule type="expression" dxfId="274" priority="45">
      <formula>$AC$4&lt;AD200</formula>
    </cfRule>
  </conditionalFormatting>
  <conditionalFormatting sqref="AA193:AA198">
    <cfRule type="expression" dxfId="275" priority="46">
      <formula>$AA$4&lt;$AB$4</formula>
    </cfRule>
  </conditionalFormatting>
  <conditionalFormatting sqref="AC193:AC198">
    <cfRule type="expression" dxfId="276" priority="47">
      <formula>$AC$4&lt;AD193</formula>
    </cfRule>
  </conditionalFormatting>
  <conditionalFormatting sqref="AA186:AA191">
    <cfRule type="expression" dxfId="277" priority="48">
      <formula>$AA$4&lt;$AB$4</formula>
    </cfRule>
  </conditionalFormatting>
  <conditionalFormatting sqref="AC186:AC191">
    <cfRule type="expression" dxfId="278" priority="49">
      <formula>$AC$4&lt;AD186</formula>
    </cfRule>
  </conditionalFormatting>
  <conditionalFormatting sqref="AA179:AA184">
    <cfRule type="expression" dxfId="279" priority="50">
      <formula>$AA$4&lt;$AB$4</formula>
    </cfRule>
  </conditionalFormatting>
  <conditionalFormatting sqref="AC179:AC184">
    <cfRule type="expression" dxfId="280" priority="51">
      <formula>$AC$4&lt;AD179</formula>
    </cfRule>
  </conditionalFormatting>
  <conditionalFormatting sqref="AA172:AA177">
    <cfRule type="expression" dxfId="281" priority="52">
      <formula>$AA$4&lt;$AB$4</formula>
    </cfRule>
  </conditionalFormatting>
  <conditionalFormatting sqref="AC172:AC177">
    <cfRule type="expression" dxfId="282" priority="53">
      <formula>$AC$4&lt;AD172</formula>
    </cfRule>
  </conditionalFormatting>
  <conditionalFormatting sqref="AA165:AA170">
    <cfRule type="expression" dxfId="283" priority="54">
      <formula>$AA$4&lt;$AB$4</formula>
    </cfRule>
  </conditionalFormatting>
  <conditionalFormatting sqref="AC165:AC170">
    <cfRule type="expression" dxfId="284" priority="55">
      <formula>$AC$4&lt;AD165</formula>
    </cfRule>
  </conditionalFormatting>
  <conditionalFormatting sqref="AA158:AA163">
    <cfRule type="expression" dxfId="285" priority="56">
      <formula>$AA$4&lt;$AB$4</formula>
    </cfRule>
  </conditionalFormatting>
  <conditionalFormatting sqref="AC158:AC163">
    <cfRule type="expression" dxfId="286" priority="57">
      <formula>$AC$4&lt;AD158</formula>
    </cfRule>
  </conditionalFormatting>
  <conditionalFormatting sqref="AA151:AA152">
    <cfRule type="expression" dxfId="287" priority="58">
      <formula>$AA$4&lt;$AB$4</formula>
    </cfRule>
  </conditionalFormatting>
  <conditionalFormatting sqref="AC151:AC152">
    <cfRule type="expression" dxfId="288" priority="59">
      <formula>$AC$4&lt;AD151</formula>
    </cfRule>
  </conditionalFormatting>
  <conditionalFormatting sqref="AA144:AA145">
    <cfRule type="expression" dxfId="289" priority="60">
      <formula>$AA$4&lt;$AB$4</formula>
    </cfRule>
  </conditionalFormatting>
  <conditionalFormatting sqref="AC144:AC145">
    <cfRule type="expression" dxfId="290" priority="61">
      <formula>$AC$4&lt;AD144</formula>
    </cfRule>
  </conditionalFormatting>
  <conditionalFormatting sqref="AA137:AA142">
    <cfRule type="expression" dxfId="291" priority="62">
      <formula>$AA$4&lt;$AB$4</formula>
    </cfRule>
  </conditionalFormatting>
  <conditionalFormatting sqref="AC137:AC142">
    <cfRule type="expression" dxfId="292" priority="63">
      <formula>$AC$4&lt;AD137</formula>
    </cfRule>
  </conditionalFormatting>
  <conditionalFormatting sqref="AA130:AA131">
    <cfRule type="expression" dxfId="293" priority="64">
      <formula>$AA$4&lt;$AB$4</formula>
    </cfRule>
  </conditionalFormatting>
  <conditionalFormatting sqref="AC130:AC131">
    <cfRule type="expression" dxfId="294" priority="65">
      <formula>$AC$4&lt;AD130</formula>
    </cfRule>
  </conditionalFormatting>
  <conditionalFormatting sqref="AA123:AA124">
    <cfRule type="expression" dxfId="295" priority="66">
      <formula>$AA$4&lt;$AB$4</formula>
    </cfRule>
  </conditionalFormatting>
  <conditionalFormatting sqref="AC123:AC124">
    <cfRule type="expression" dxfId="296" priority="67">
      <formula>$AC$4&lt;AD123</formula>
    </cfRule>
  </conditionalFormatting>
  <conditionalFormatting sqref="AA116:AA121">
    <cfRule type="expression" dxfId="297" priority="68">
      <formula>$AA$4&lt;$AB$4</formula>
    </cfRule>
  </conditionalFormatting>
  <conditionalFormatting sqref="AC116:AC121">
    <cfRule type="expression" dxfId="298" priority="69">
      <formula>$AC$4&lt;AD116</formula>
    </cfRule>
  </conditionalFormatting>
  <conditionalFormatting sqref="AA109:AA110">
    <cfRule type="expression" dxfId="299" priority="70">
      <formula>$AA$4&lt;$AB$4</formula>
    </cfRule>
  </conditionalFormatting>
  <conditionalFormatting sqref="AC109:AC110">
    <cfRule type="expression" dxfId="300" priority="71">
      <formula>$AC$4&lt;AD109</formula>
    </cfRule>
  </conditionalFormatting>
  <conditionalFormatting sqref="AA102:AA103">
    <cfRule type="expression" dxfId="301" priority="72">
      <formula>$AA$4&lt;$AB$4</formula>
    </cfRule>
  </conditionalFormatting>
  <conditionalFormatting sqref="AC102:AC103">
    <cfRule type="expression" dxfId="302" priority="73">
      <formula>$AC$4&lt;AD102</formula>
    </cfRule>
  </conditionalFormatting>
  <conditionalFormatting sqref="AA95:AA96">
    <cfRule type="expression" dxfId="303" priority="74">
      <formula>$AA$4&lt;$AB$4</formula>
    </cfRule>
  </conditionalFormatting>
  <conditionalFormatting sqref="AC95:AC96">
    <cfRule type="expression" dxfId="304" priority="75">
      <formula>$AC$4&lt;AD95</formula>
    </cfRule>
  </conditionalFormatting>
  <conditionalFormatting sqref="AA88:AA89">
    <cfRule type="expression" dxfId="305" priority="76">
      <formula>$AA$4&lt;$AB$4</formula>
    </cfRule>
  </conditionalFormatting>
  <conditionalFormatting sqref="AC88:AC89">
    <cfRule type="expression" dxfId="306" priority="77">
      <formula>$AC$4&lt;AD88</formula>
    </cfRule>
  </conditionalFormatting>
  <conditionalFormatting sqref="AA81:AA82">
    <cfRule type="expression" dxfId="307" priority="78">
      <formula>$AA$4&lt;$AB$4</formula>
    </cfRule>
  </conditionalFormatting>
  <conditionalFormatting sqref="AC81:AC82">
    <cfRule type="expression" dxfId="308" priority="79">
      <formula>$AC$4&lt;AD81</formula>
    </cfRule>
  </conditionalFormatting>
  <conditionalFormatting sqref="AA74:AA75">
    <cfRule type="expression" dxfId="309" priority="80">
      <formula>$AA$4&lt;$AB$4</formula>
    </cfRule>
  </conditionalFormatting>
  <conditionalFormatting sqref="AC74:AC75">
    <cfRule type="expression" dxfId="310" priority="81">
      <formula>$AC$4&lt;AD74</formula>
    </cfRule>
  </conditionalFormatting>
  <conditionalFormatting sqref="AA53:AA54">
    <cfRule type="expression" dxfId="311" priority="82">
      <formula>$AA$4&lt;$AB$4</formula>
    </cfRule>
  </conditionalFormatting>
  <conditionalFormatting sqref="AC53:AC54">
    <cfRule type="expression" dxfId="312" priority="83">
      <formula>$AC$4&lt;AD53</formula>
    </cfRule>
  </conditionalFormatting>
  <conditionalFormatting sqref="AA46:AA47">
    <cfRule type="expression" dxfId="313" priority="84">
      <formula>$AA$4&lt;$AB$4</formula>
    </cfRule>
  </conditionalFormatting>
  <conditionalFormatting sqref="AC46:AC47">
    <cfRule type="expression" dxfId="314" priority="85">
      <formula>$AC$4&lt;AD46</formula>
    </cfRule>
  </conditionalFormatting>
  <conditionalFormatting sqref="AA32:AA37">
    <cfRule type="expression" dxfId="315" priority="86">
      <formula>$AA$4&lt;$AB$4</formula>
    </cfRule>
  </conditionalFormatting>
  <conditionalFormatting sqref="AC32:AC37">
    <cfRule type="expression" dxfId="316" priority="87">
      <formula>$AC$4&lt;AD32</formula>
    </cfRule>
  </conditionalFormatting>
  <conditionalFormatting sqref="AA25:AA26">
    <cfRule type="expression" dxfId="317" priority="88">
      <formula>$AA$4&lt;$AB$4</formula>
    </cfRule>
  </conditionalFormatting>
  <conditionalFormatting sqref="AC25:AC26">
    <cfRule type="expression" dxfId="318" priority="89">
      <formula>$AC$4&lt;AD25</formula>
    </cfRule>
  </conditionalFormatting>
  <conditionalFormatting sqref="AA67:AA68">
    <cfRule type="expression" dxfId="319" priority="90">
      <formula>$AA$4&lt;$AB$4</formula>
    </cfRule>
  </conditionalFormatting>
  <conditionalFormatting sqref="AC67:AC68">
    <cfRule type="expression" dxfId="320" priority="91">
      <formula>$AC$4&lt;AD67</formula>
    </cfRule>
  </conditionalFormatting>
  <conditionalFormatting sqref="AA60:AA61">
    <cfRule type="expression" dxfId="321" priority="92">
      <formula>$AA$4&lt;$AB$4</formula>
    </cfRule>
  </conditionalFormatting>
  <conditionalFormatting sqref="AC60:AC61">
    <cfRule type="expression" dxfId="322" priority="93">
      <formula>$AC$4&lt;AD60</formula>
    </cfRule>
  </conditionalFormatting>
  <conditionalFormatting sqref="AA39:AA44">
    <cfRule type="expression" dxfId="323" priority="94">
      <formula>$AA$4&lt;$AB$4</formula>
    </cfRule>
  </conditionalFormatting>
  <conditionalFormatting sqref="AC39:AC44">
    <cfRule type="expression" dxfId="324" priority="95">
      <formula>$AC$4&lt;AD39</formula>
    </cfRule>
  </conditionalFormatting>
  <conditionalFormatting sqref="AA18:AA19">
    <cfRule type="expression" dxfId="325" priority="96">
      <formula>$AA$4&lt;$AB$4</formula>
    </cfRule>
  </conditionalFormatting>
  <conditionalFormatting sqref="AC18:AC19">
    <cfRule type="expression" dxfId="326" priority="97">
      <formula>$AC$4&lt;AD18</formula>
    </cfRule>
  </conditionalFormatting>
  <conditionalFormatting sqref="AA11:AA12">
    <cfRule type="expression" dxfId="327" priority="98">
      <formula>$AA$4&lt;$AB$4</formula>
    </cfRule>
  </conditionalFormatting>
  <conditionalFormatting sqref="AC11:AC12">
    <cfRule type="expression" dxfId="328" priority="99">
      <formula>$AC$4&lt;AD11</formula>
    </cfRule>
  </conditionalFormatting>
  <conditionalFormatting sqref="AA4:AA5 AA7:AA9 AA14:AA16 AA21:AA23 AA28:AA30 AA49:AA51 AA56:AA58 AA63:AA65 AA70:AA72 AA77:AA79 AA84:AA86 AA91:AA93 AA98:AA100 AA105:AA107 AA112:AA114 AA126:AA128 AA133:AA135 AA147:AA149 AA154:AA156">
    <cfRule type="expression" dxfId="329" priority="100">
      <formula>$AA$4&lt;$AB$4</formula>
    </cfRule>
  </conditionalFormatting>
  <conditionalFormatting sqref="AC4:AC5 AC7:AC9 AC14:AC16 AC21:AC23 AC28:AC30 AC49:AC51 AC56:AC58 AC63:AC65 AC70:AC72 AC77:AC79 AC84:AC86 AC91:AC93 AC98:AC100 AC105:AC107 AC112:AC114 AC126:AC128 AC133:AC135 AC147:AC149 AC154:AC156">
    <cfRule type="expression" dxfId="330" priority="101">
      <formula>$AC$4&lt;AD4</formula>
    </cfRule>
  </conditionalFormatting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 zoomScale="100" zoomScaleNormal="100" view="normal">
      <selection activeCell="P9" sqref="P9"/>
    </sheetView>
  </sheetViews>
  <sheetFormatPr defaultRowHeight="15" outlineLevelRow="0" outlineLevelCol="0" x14ac:dyDescent="0" defaultColWidth="8.5390625"/>
  <cols>
    <col min="1" max="1" width="10.29" style="35" customWidth="1"/>
  </cols>
  <sheetData>
    <row r="1" spans="1:1" x14ac:dyDescent="0.25">
      <c r="A1" s="35"/>
    </row>
    <row r="2" spans="1:1" x14ac:dyDescent="0.25">
      <c r="A2" s="35"/>
    </row>
    <row r="3" ht="15" customHeight="1" spans="1:4" x14ac:dyDescent="0.25">
      <c r="A3" s="35">
        <v>340</v>
      </c>
      <c r="B3" s="35" t="s">
        <v>220</v>
      </c>
      <c r="C3" s="35" t="s">
        <v>221</v>
      </c>
      <c r="D3" s="35" t="s">
        <v>222</v>
      </c>
    </row>
    <row r="4" ht="15" customHeight="1" spans="1:4" x14ac:dyDescent="0.25">
      <c r="A4" s="35" t="s">
        <v>223</v>
      </c>
      <c r="B4" s="35">
        <v>30</v>
      </c>
      <c r="D4" s="37">
        <f>SUM(B4/A3)</f>
        <v>0.0882352941176471</v>
      </c>
    </row>
    <row r="5" ht="15" customHeight="1" spans="1:16" x14ac:dyDescent="0.25">
      <c r="A5" s="35" t="s">
        <v>224</v>
      </c>
      <c r="B5" s="35">
        <v>60</v>
      </c>
      <c r="P5" s="35">
        <v>95.35</v>
      </c>
    </row>
    <row r="6" ht="15" customHeight="1" spans="1:16" x14ac:dyDescent="0.25">
      <c r="A6" s="35" t="s">
        <v>225</v>
      </c>
      <c r="B6" s="35">
        <v>100</v>
      </c>
      <c r="P6" s="35">
        <v>102.69</v>
      </c>
    </row>
    <row r="7" ht="15" customHeight="1" spans="1:16" x14ac:dyDescent="0.25">
      <c r="A7" s="35" t="s">
        <v>226</v>
      </c>
      <c r="B7" s="35">
        <v>150</v>
      </c>
      <c r="P7" s="35">
        <v>134.82</v>
      </c>
    </row>
    <row r="8" ht="15" customHeight="1" spans="1:16" x14ac:dyDescent="0.25">
      <c r="A8" s="35"/>
      <c r="P8" s="35">
        <v>324.19</v>
      </c>
    </row>
    <row r="9" ht="15" customHeight="1" spans="1:16" x14ac:dyDescent="0.25">
      <c r="A9" s="35"/>
      <c r="P9" s="35">
        <v>415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 Sheet</vt:lpstr>
      <vt:lpstr>Deliverables Sheet</vt:lpstr>
      <vt:lpstr>Claim Calculator By Month</vt:lpstr>
      <vt:lpstr>Upcoming Work Calculator</vt:lpstr>
      <vt:lpstr>Note Cam (To Do)</vt:lpstr>
      <vt:lpstr>Note Tom (To Do) </vt:lpstr>
      <vt:lpstr>Deliverables_RR_Test_Sheet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Davies</dc:creator>
  <dc:title/>
  <dc:subject/>
  <dc:description/>
  <dc:language>en-US</dc:language>
  <cp:lastModifiedBy>Cameron</cp:lastModifiedBy>
  <dcterms:created xsi:type="dcterms:W3CDTF">2024-06-05T18:39:39Z</dcterms:created>
  <dcterms:modified xsi:type="dcterms:W3CDTF">2026-08-12T22:56:21Z</dcterms:modified>
</cp:coreProperties>
</file>