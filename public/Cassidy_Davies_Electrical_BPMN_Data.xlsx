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<sst xmlns="http://schemas.openxmlformats.org/spreadsheetml/2006/main" count="1191" uniqueCount="231">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</sst>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95219.95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14717.64</v>
      </c>
      <c r="Q16" s="52">
        <v>3432.458999999999</v>
      </c>
      <c r="R16" s="53">
        <v>0.1891151668098339</v>
      </c>
      <c r="S16" s="54">
        <v>363.57</v>
      </c>
      <c r="T16" s="54">
        <v>331.25</v>
      </c>
      <c r="U16" s="54">
        <v>32.31999999999999</v>
      </c>
      <c r="V16" s="53">
        <v>0.08889622356079983</v>
      </c>
      <c r="W16" s="53"/>
      <c r="X16" s="55">
        <v>98.60839245283019</v>
      </c>
      <c r="Y16" s="55">
        <v>77.71024646458726</v>
      </c>
      <c r="Z16" s="53">
        <v>0.2554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279095.37</v>
      </c>
      <c r="J37" s="52">
        <v>271925.57216000004</v>
      </c>
      <c r="K37" s="52">
        <v>243619.32</v>
      </c>
      <c r="L37" s="52">
        <v>28306.252160000033</v>
      </c>
      <c r="M37" s="53">
        <v>0.10409558738868713</v>
      </c>
      <c r="N37" s="53"/>
      <c r="O37" s="52">
        <v>56121.36</v>
      </c>
      <c r="P37" s="52">
        <v>35476.05</v>
      </c>
      <c r="Q37" s="52">
        <v>20645.309999999998</v>
      </c>
      <c r="R37" s="53">
        <v>0.367869025269523</v>
      </c>
      <c r="S37" s="54">
        <v>1124.47</v>
      </c>
      <c r="T37" s="54">
        <v>821.5</v>
      </c>
      <c r="U37" s="54">
        <v>302.97</v>
      </c>
      <c r="V37" s="53">
        <v>0.2694335998292529</v>
      </c>
      <c r="W37" s="53"/>
      <c r="X37" s="55">
        <v>89.50507608034084</v>
      </c>
      <c r="Y37" s="55">
        <v>61.532703026350184</v>
      </c>
      <c r="Z37" s="53">
        <v>0.20850000000000002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57104.57</v>
      </c>
      <c r="J44" s="52">
        <v>69042.08885</v>
      </c>
      <c r="K44" s="52">
        <v>40878.83</v>
      </c>
      <c r="L44" s="52">
        <v>28163.25885</v>
      </c>
      <c r="M44" s="53">
        <v>0.40791435078372484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158.93509897610923</v>
      </c>
      <c r="Y44" s="55">
        <v>68.07122423898531</v>
      </c>
      <c r="Z44" s="53">
        <v>0.5047999999999999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113859.52</v>
      </c>
      <c r="J58" s="52">
        <v>75135.0159</v>
      </c>
      <c r="K58" s="52">
        <v>80491.32</v>
      </c>
      <c r="L58" s="52">
        <v>-5356.3041000000085</v>
      </c>
      <c r="M58" s="53">
        <v>-0.07128905259205527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59.2172633083244</v>
      </c>
      <c r="Y58" s="55">
        <v>67.00679527854935</v>
      </c>
      <c r="Z58" s="53">
        <v>0.2668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24880.27</v>
      </c>
      <c r="J72" s="52">
        <v>29537.289750000004</v>
      </c>
      <c r="K72" s="52">
        <v>20998.84</v>
      </c>
      <c r="L72" s="52">
        <v>8538.449750000003</v>
      </c>
      <c r="M72" s="53">
        <v>0.28907356843733445</v>
      </c>
      <c r="N72" s="53"/>
      <c r="O72" s="52">
        <v>9518.4885</v>
      </c>
      <c r="P72" s="52">
        <v>3881.43</v>
      </c>
      <c r="Q72" s="52">
        <v>5637.058499999999</v>
      </c>
      <c r="R72" s="53">
        <v>0.5922220213850129</v>
      </c>
      <c r="S72" s="54">
        <v>193.32</v>
      </c>
      <c r="T72" s="54">
        <v>83.5</v>
      </c>
      <c r="U72" s="54">
        <v>109.82</v>
      </c>
      <c r="V72" s="53">
        <v>0.5680736602524312</v>
      </c>
      <c r="W72" s="53"/>
      <c r="X72" s="55">
        <v>57.90898203592814</v>
      </c>
      <c r="Y72" s="55">
        <v>72.28396616733912</v>
      </c>
      <c r="Z72" s="53">
        <v>0.16269999999999998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44814.24</v>
      </c>
      <c r="J79" s="52">
        <v>32594.7534</v>
      </c>
      <c r="K79" s="52">
        <v>34770.899999999994</v>
      </c>
      <c r="L79" s="52">
        <v>-2176.1465999999928</v>
      </c>
      <c r="M79" s="53">
        <v>-0.06676370805124707</v>
      </c>
      <c r="N79" s="53"/>
      <c r="O79" s="52">
        <v>22995.0288</v>
      </c>
      <c r="P79" s="52">
        <v>10043.34</v>
      </c>
      <c r="Q79" s="52">
        <v>12951.6888</v>
      </c>
      <c r="R79" s="53">
        <v>0.563238642258191</v>
      </c>
      <c r="S79" s="54">
        <v>472.14</v>
      </c>
      <c r="T79" s="54">
        <v>202</v>
      </c>
      <c r="U79" s="54">
        <v>270.14</v>
      </c>
      <c r="V79" s="53">
        <v>0.5721607997627822</v>
      </c>
      <c r="W79" s="53"/>
      <c r="X79" s="55">
        <v>83.91376237623763</v>
      </c>
      <c r="Y79" s="55">
        <v>49.060202993773025</v>
      </c>
      <c r="Z79" s="53">
        <v>0.27440000000000003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64275.8</v>
      </c>
      <c r="J128" s="52">
        <v>70065.71561479999</v>
      </c>
      <c r="K128" s="52">
        <v>59394.21000000001</v>
      </c>
      <c r="L128" s="52">
        <v>10671.505614799986</v>
      </c>
      <c r="M128" s="53">
        <v>0.15230709514862703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143.22575471698113</v>
      </c>
      <c r="Y128" s="55">
        <v>62.79176131227983</v>
      </c>
      <c r="Z128" s="53">
        <v>0.1911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19505.5188968</v>
      </c>
      <c r="E163" s="52">
        <v>19505.52</v>
      </c>
      <c r="F163" s="52">
        <v>-0.0011032000002160203</v>
      </c>
      <c r="G163" s="53">
        <v>-5.655835182098165e-8</v>
      </c>
      <c r="H163" s="52">
        <v>14923.5903884</v>
      </c>
      <c r="I163" s="52">
        <v>14052.73</v>
      </c>
      <c r="J163" s="52">
        <v>8915.0763884</v>
      </c>
      <c r="K163" s="52">
        <v>8190.78</v>
      </c>
      <c r="L163" s="52">
        <v>724.296388400001</v>
      </c>
      <c r="M163" s="53">
        <v>0.08124399128452015</v>
      </c>
      <c r="N163" s="53"/>
      <c r="O163" s="52">
        <v>6008.514</v>
      </c>
      <c r="P163" s="52">
        <v>5861.95</v>
      </c>
      <c r="Q163" s="52">
        <v>146.5640000000003</v>
      </c>
      <c r="R163" s="53">
        <v>0.02439272006356319</v>
      </c>
      <c r="S163" s="54">
        <v>120.44</v>
      </c>
      <c r="T163" s="54">
        <v>116.25</v>
      </c>
      <c r="U163" s="54">
        <v>4.189999999999998</v>
      </c>
      <c r="V163" s="53">
        <v>0.03478910660909995</v>
      </c>
      <c r="W163" s="53"/>
      <c r="X163" s="55">
        <v>46.90572043010753</v>
      </c>
      <c r="Y163" s="55">
        <v>38.04324566921289</v>
      </c>
      <c r="Z163" s="53">
        <v>0.2796</v>
      </c>
      <c r="AA163" s="56">
        <v>0.2349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2116.21</v>
      </c>
      <c r="J170" s="52">
        <v>4437.133697</v>
      </c>
      <c r="K170" s="52">
        <v>1029.51</v>
      </c>
      <c r="L170" s="52">
        <v>3407.623697</v>
      </c>
      <c r="M170" s="53">
        <v>0.7679785937719064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-86.97944923962187</v>
      </c>
      <c r="Y170" s="55">
        <v>48.202633430830645</v>
      </c>
      <c r="Z170" s="53">
        <v>0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105507.56</v>
      </c>
      <c r="J177" s="52">
        <v>82888.0783946</v>
      </c>
      <c r="K177" s="52">
        <v>77881.66</v>
      </c>
      <c r="L177" s="52">
        <v>5006.418394599998</v>
      </c>
      <c r="M177" s="53">
        <v>0.060399740126273166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36.093781207444394</v>
      </c>
      <c r="Y177" s="55">
        <v>47.87601261940491</v>
      </c>
      <c r="Z177" s="53">
        <v>0.1585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5491.7</v>
      </c>
      <c r="F184" s="52">
        <v>11405.829820039999</v>
      </c>
      <c r="G184" s="53">
        <v>0.6749998337930436</v>
      </c>
      <c r="H184" s="52">
        <v>9226.2731</v>
      </c>
      <c r="I184" s="52">
        <v>5812.29</v>
      </c>
      <c r="J184" s="52">
        <v>2977.1135000000004</v>
      </c>
      <c r="K184" s="52">
        <v>2773.14</v>
      </c>
      <c r="L184" s="52">
        <v>203.9735000000005</v>
      </c>
      <c r="M184" s="53">
        <v>0.0685138473894262</v>
      </c>
      <c r="N184" s="53"/>
      <c r="O184" s="52">
        <v>6249.1596</v>
      </c>
      <c r="P184" s="52">
        <v>3039.15</v>
      </c>
      <c r="Q184" s="52">
        <v>3210.0096</v>
      </c>
      <c r="R184" s="53">
        <v>0.5136706062043926</v>
      </c>
      <c r="S184" s="54">
        <v>125.17</v>
      </c>
      <c r="T184" s="54">
        <v>57.25</v>
      </c>
      <c r="U184" s="54">
        <v>67.92</v>
      </c>
      <c r="V184" s="53">
        <v>0.5426220340337141</v>
      </c>
      <c r="W184" s="53"/>
      <c r="X184" s="55">
        <v>-5.599825327510916</v>
      </c>
      <c r="Y184" s="55">
        <v>61.286703843093385</v>
      </c>
      <c r="Z184" s="53">
        <v>-0.0584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252680.7</v>
      </c>
      <c r="J226" s="52">
        <v>186357.488872</v>
      </c>
      <c r="K226" s="52">
        <v>180716.68</v>
      </c>
      <c r="L226" s="52">
        <v>5640.808871999994</v>
      </c>
      <c r="M226" s="53">
        <v>0.03026875338438583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65.75027996249804</v>
      </c>
      <c r="Y226" s="55">
        <v>43.91570973337064</v>
      </c>
      <c r="Z226" s="53">
        <v>0.28550000000000003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239.55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0</v>
      </c>
      <c r="Q233" s="52">
        <v>1841.2278</v>
      </c>
      <c r="R233" s="53">
        <v>1</v>
      </c>
      <c r="S233" s="54">
        <v>36.92</v>
      </c>
      <c r="T233" s="54">
        <v>0</v>
      </c>
      <c r="U233" s="54">
        <v>36.92</v>
      </c>
      <c r="V233" s="53">
        <v>1</v>
      </c>
      <c r="W233" s="53"/>
      <c r="X233" s="55">
        <v>0</v>
      </c>
      <c r="Y233" s="55">
        <v>65.70711175027087</v>
      </c>
      <c r="Z233" s="53">
        <v>0.8623000000000001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21082.62999999999</v>
      </c>
      <c r="E6" s="52">
        <v>20937.270000000004</v>
      </c>
      <c r="F6" s="52">
        <v>7</v>
      </c>
      <c r="G6" s="53">
        <v>0.4984369310731346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0.01598456921601445</v>
      </c>
      <c r="M6" s="52">
        <v>671.6700000000055</v>
      </c>
      <c r="N6" s="54">
        <v>-52.5</v>
      </c>
      <c r="O6" s="58">
        <v>1.500938547486046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62750.76999999999</v>
      </c>
      <c r="E12" s="52">
        <v>30525.309999999998</v>
      </c>
      <c r="F12" s="52">
        <v>3</v>
      </c>
      <c r="G12" s="53">
        <v>0.327289804631584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0.2989867284302685</v>
      </c>
      <c r="M12" s="52">
        <v>27888.309999999998</v>
      </c>
      <c r="N12" s="54">
        <v>53</v>
      </c>
      <c r="O12" s="58">
        <v>404.1784057971014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14830.879999999997</v>
      </c>
      <c r="E14" s="52">
        <v>46538.840000000004</v>
      </c>
      <c r="F14" s="52">
        <v>0</v>
      </c>
      <c r="G14" s="53">
        <v>0.7583355439783659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0.7094515014896597</v>
      </c>
      <c r="M14" s="52">
        <v>43538.840000000004</v>
      </c>
      <c r="N14" s="54">
        <v>-112</v>
      </c>
      <c r="O14" s="58">
        <v>-388.7396428571429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18539.01000000001</v>
      </c>
      <c r="E18" s="52">
        <v>8943.309999999983</v>
      </c>
      <c r="F18" s="52">
        <v>0</v>
      </c>
      <c r="G18" s="53">
        <v>0.32542048851770833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0.027046843206832004</v>
      </c>
      <c r="M18" s="52">
        <v>743.3099999999831</v>
      </c>
      <c r="N18" s="54">
        <v>-269</v>
      </c>
      <c r="O18" s="58">
        <v>-3.9328571428570536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14898.84</v>
      </c>
      <c r="E22" s="52">
        <v>4166.399999999998</v>
      </c>
      <c r="F22" s="52">
        <v>3</v>
      </c>
      <c r="G22" s="53">
        <v>0.21869118878125837</v>
      </c>
      <c r="H22" s="53">
        <v>0.252488256827238</v>
      </c>
      <c r="I22" s="54"/>
      <c r="J22" s="52"/>
      <c r="K22" s="52">
        <v>0</v>
      </c>
      <c r="L22" s="53">
        <v>0.21869118878125837</v>
      </c>
      <c r="M22" s="52">
        <v>4169.399999999998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12895.309999999998</v>
      </c>
      <c r="E24" s="52">
        <v>4104.520000000004</v>
      </c>
      <c r="F24" s="52">
        <v>3</v>
      </c>
      <c r="G24" s="53">
        <v>0.2416212397418094</v>
      </c>
      <c r="H24" s="53"/>
      <c r="I24" s="54"/>
      <c r="J24" s="52"/>
      <c r="K24" s="52">
        <v>0</v>
      </c>
      <c r="L24" s="53">
        <v>0.2416212397418094</v>
      </c>
      <c r="M24" s="52">
        <v>4107.520000000004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8038.550000000003</v>
      </c>
      <c r="E38" s="52">
        <v>56052.439999999995</v>
      </c>
      <c r="F38" s="52">
        <v>0</v>
      </c>
      <c r="G38" s="53">
        <v>0.8745759739395506</v>
      </c>
      <c r="H38" s="53">
        <v>0.1750921737769</v>
      </c>
      <c r="I38" s="54"/>
      <c r="J38" s="52"/>
      <c r="K38" s="52">
        <v>0</v>
      </c>
      <c r="L38" s="53">
        <v>0.8745759739395506</v>
      </c>
      <c r="M38" s="52">
        <v>56052.439999999995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6081.02</v>
      </c>
      <c r="D48" s="99">
        <v>3650.3599999999988</v>
      </c>
      <c r="E48" s="99">
        <v>2430.6600000000017</v>
      </c>
      <c r="F48" s="99"/>
      <c r="G48" s="100">
        <v>0.39971254822381797</v>
      </c>
      <c r="H48" s="100">
        <v>0.222350780727547</v>
      </c>
      <c r="I48" s="98"/>
      <c r="J48" s="99">
        <v>2530</v>
      </c>
      <c r="K48" s="99">
        <v>2530</v>
      </c>
      <c r="L48" s="100">
        <v>-0.0163360751979106</v>
      </c>
      <c r="M48" s="99">
        <v>-99.33999999999833</v>
      </c>
      <c r="N48" s="98">
        <v>-44.75</v>
      </c>
      <c r="O48" s="60">
        <v>2.2198882681563874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2625.4400000000023</v>
      </c>
      <c r="E52" s="99">
        <v>-2625.4400000000023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-3905.4400000000023</v>
      </c>
      <c r="N52" s="98">
        <v>-304.75</v>
      </c>
      <c r="O52" s="60">
        <v>14.318753437213575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2109.5099999999998</v>
      </c>
      <c r="E54" s="99">
        <v>-2109.5099999999998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-2749.5099999999998</v>
      </c>
      <c r="N54" s="98">
        <v>-11.25</v>
      </c>
      <c r="O54" s="60">
        <v>-578.8442105263157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18357.890000000014</v>
      </c>
      <c r="E66" s="99">
        <v>63921.82999999996</v>
      </c>
      <c r="F66" s="99"/>
      <c r="G66" s="100">
        <v>0.7768843890086158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0.7379926669658086</v>
      </c>
      <c r="M66" s="99">
        <v>60721.82999999996</v>
      </c>
      <c r="N66" s="98">
        <v>-1014.25</v>
      </c>
      <c r="O66" s="60">
        <v>-64.99526893229859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239.55</v>
      </c>
      <c r="E71" s="99">
        <v>1500.65</v>
      </c>
      <c r="F71" s="99"/>
      <c r="G71" s="100">
        <v>0.8623434088035858</v>
      </c>
      <c r="H71" s="100">
        <f>'Deliverables Sheet'!AA228</f>
      </c>
      <c r="I71" s="98"/>
      <c r="J71" s="99"/>
      <c r="K71" s="99">
        <v>0</v>
      </c>
      <c r="L71" s="100">
        <v>0.8623434088035858</v>
      </c>
      <c r="M71" s="99">
        <v>1500.65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498037.94</v>
      </c>
      <c r="D74" s="104">
        <v>244100.50999999995</v>
      </c>
      <c r="E74" s="105">
        <v>253937.43</v>
      </c>
      <c r="F74" s="106" t="s">
        <v>128</v>
      </c>
      <c r="G74" s="107">
        <v>0.5098756733272167</v>
      </c>
      <c r="H74" s="108" t="s">
        <v>129</v>
      </c>
      <c r="I74" s="109">
        <v>0.3688570995213738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83.5</v>
      </c>
      <c r="E22" s="54">
        <v>109.82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202</v>
      </c>
      <c r="E24" s="54">
        <v>270.14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57.25</v>
      </c>
      <c r="E54" s="54">
        <v>67.92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