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<sst xmlns="http://schemas.openxmlformats.org/spreadsheetml/2006/main" count="1189" uniqueCount="231">
  <si>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</si>
  <si>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</si>
  <si>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</si>
  <si>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</si>
  <si>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</si>
  <si>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</si>
  <si>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</si>
  <si>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</si>
  <si>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</si>
  <si>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</si>
  <si>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</si>
  <si>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</si>
  <si>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</si>
  <si>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</si>
  <si>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</si>
  <si>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</si>
  <si>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</si>
  <si>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</si>
  <si>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</si>
  <si>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</si>
  <si>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</si>
  <si>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</si>
  <si>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</si>
  <si>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</si>
  <si>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</si>
  <si>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</si>
  <si>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 Skilton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</si>
  <si>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</si>
  <si>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</si>
  <si>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</si>
  <si>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</si>
  <si>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</si>
  <si>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</si>
  <si>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</si>
  <si>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</si>
  <si>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</si>
  <si>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</si>
  <si>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</si>
  <si>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</si>
  <si>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</si>
  <si>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</si>
  <si>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</si>
  <si>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 Price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</si>
  <si>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</si>
  <si>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</si>
  <si>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</si>
  <si>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</si>
  <si>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</si>
  <si>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</si>
  <si>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</si>
  <si>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</si>
  <si>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</si>
  <si>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</si>
  <si>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</si>
  <si>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</si>
  <si>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</si>
  <si>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</si>
  <si>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</si>
  <si>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</si>
  <si>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</si>
  <si>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</si>
  <si>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</si>
  <si>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</si>
  <si>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</si>
  <si>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Charles Roselier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</si>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</sst>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 t="s">
        <v>42</v>
      </c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 t="s">
        <v>42</v>
      </c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65</v>
      </c>
      <c r="C70" s="29" t="s">
        <v>42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66</v>
      </c>
      <c r="C72" s="29" t="s">
        <v>30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67</v>
      </c>
      <c r="C74" s="29" t="s">
        <v>42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68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69</v>
      </c>
      <c r="D2" s="38" t="s">
        <v>70</v>
      </c>
      <c r="E2" s="38" t="s">
        <v>71</v>
      </c>
      <c r="F2" s="39" t="s">
        <v>72</v>
      </c>
      <c r="G2" s="40" t="s">
        <v>73</v>
      </c>
      <c r="H2" s="38" t="s">
        <v>74</v>
      </c>
      <c r="I2" s="38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3" t="s">
        <v>81</v>
      </c>
      <c r="P2" s="43" t="s">
        <v>82</v>
      </c>
      <c r="Q2" s="39" t="s">
        <v>83</v>
      </c>
      <c r="R2" s="40" t="s">
        <v>84</v>
      </c>
      <c r="S2" s="44" t="s">
        <v>85</v>
      </c>
      <c r="T2" s="44" t="s">
        <v>86</v>
      </c>
      <c r="U2" s="45" t="s">
        <v>87</v>
      </c>
      <c r="V2" s="40" t="s">
        <v>88</v>
      </c>
      <c r="W2" s="42" t="s">
        <v>89</v>
      </c>
      <c r="X2" s="46" t="s">
        <v>90</v>
      </c>
      <c r="Y2" s="47" t="s">
        <v>91</v>
      </c>
      <c r="Z2" s="46" t="s">
        <v>92</v>
      </c>
      <c r="AA2" s="48" t="s">
        <v>93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94</v>
      </c>
      <c r="AI3" s="50" t="s">
        <v>95</v>
      </c>
    </row>
    <row r="4" ht="15" customHeight="1" spans="1:35" x14ac:dyDescent="0.25">
      <c r="A4" s="19">
        <v>7658</v>
      </c>
      <c r="B4" s="20" t="s">
        <v>25</v>
      </c>
      <c r="C4" s="51" t="s">
        <v>96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97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98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99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100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101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102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103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104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96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97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98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99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100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101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102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103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104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96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97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98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99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100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101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102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103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104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96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97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98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99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100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101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102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103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104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96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97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98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99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100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101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102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103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104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96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97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98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99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100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101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102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103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104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96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97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98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99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100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101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102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103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104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96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97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98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99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100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101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102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103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104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96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97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98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99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100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101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102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103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104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96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97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98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99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100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101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102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103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104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96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97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98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99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100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101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102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103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104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96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97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98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99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100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101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102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103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104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96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97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98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99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100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101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102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103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104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96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97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98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99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100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101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102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103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104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96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97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98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99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100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101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102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103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104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96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97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98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99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100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101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102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103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104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96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97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98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99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100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101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102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103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104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96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97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98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99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100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101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102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103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104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96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97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98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99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100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101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102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103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104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96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97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98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99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100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101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102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103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104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96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97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98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99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100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101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102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103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104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96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97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98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99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100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101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102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103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104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96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97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98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99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100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101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102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103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104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96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105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97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98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99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100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101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102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103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104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96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97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98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99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100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101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102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103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104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96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97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98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99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100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101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102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103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104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96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97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98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99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100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101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102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103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104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96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97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98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99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100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101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102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103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104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96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97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98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99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100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101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102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103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104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96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97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98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99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100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101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102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103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104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96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97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98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99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100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101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102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103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104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96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97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98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99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100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101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102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103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104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96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98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100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101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103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104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65</v>
      </c>
      <c r="C235" s="51" t="s">
        <v>96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98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100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101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103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104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66</v>
      </c>
      <c r="C242" s="51" t="s">
        <v>96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98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100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101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103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104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67</v>
      </c>
      <c r="C249" s="51" t="s">
        <v>96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98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100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101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103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104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68</v>
      </c>
      <c r="C256" s="51" t="s">
        <v>96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98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100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101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103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104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106</v>
      </c>
      <c r="B2" s="81" t="s">
        <v>107</v>
      </c>
      <c r="C2" s="82" t="s">
        <v>108</v>
      </c>
      <c r="D2" s="82" t="s">
        <v>109</v>
      </c>
      <c r="E2" s="82" t="s">
        <v>110</v>
      </c>
      <c r="F2" s="82" t="s">
        <v>111</v>
      </c>
      <c r="G2" s="83" t="s">
        <v>112</v>
      </c>
      <c r="H2" s="83" t="s">
        <v>113</v>
      </c>
      <c r="I2" s="81" t="s">
        <v>114</v>
      </c>
      <c r="J2" s="82" t="s">
        <v>115</v>
      </c>
      <c r="K2" s="82" t="s">
        <v>116</v>
      </c>
      <c r="L2" s="83" t="s">
        <v>117</v>
      </c>
      <c r="M2" s="83" t="s">
        <v>118</v>
      </c>
      <c r="N2" s="81" t="s">
        <v>119</v>
      </c>
      <c r="O2" s="84" t="s">
        <v>120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35.10000000000582</v>
      </c>
      <c r="E4" s="52">
        <v>-35.10000000000582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-7035.100000000006</v>
      </c>
      <c r="N4" s="54">
        <v>20</v>
      </c>
      <c r="O4" s="58">
        <v>-100.50142857142866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3846.6199999999953</v>
      </c>
      <c r="E6" s="52">
        <v>-3846.6199999999953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-24112.219999999994</v>
      </c>
      <c r="N6" s="54">
        <v>-52.5</v>
      </c>
      <c r="O6" s="58">
        <v>-53.88205586592177</v>
      </c>
      <c r="Q6" s="35" t="s">
        <v>121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122</v>
      </c>
      <c r="C12" s="52">
        <v>0</v>
      </c>
      <c r="D12" s="52">
        <v>11748.359999999986</v>
      </c>
      <c r="E12" s="52">
        <v>-11748.359999999986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-14385.359999999986</v>
      </c>
      <c r="N12" s="54">
        <v>53</v>
      </c>
      <c r="O12" s="58">
        <v>-208.48347826086936</v>
      </c>
      <c r="Q12" s="35" t="s">
        <v>123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9389.019999999997</v>
      </c>
      <c r="E14" s="52">
        <v>-9389.019999999997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-12389.019999999997</v>
      </c>
      <c r="N14" s="54">
        <v>-112</v>
      </c>
      <c r="O14" s="58">
        <v>110.61624999999997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552.5999999999985</v>
      </c>
      <c r="E16" s="52">
        <v>-552.5999999999985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-3552.5999999999985</v>
      </c>
      <c r="N16" s="54">
        <v>-86.75</v>
      </c>
      <c r="O16" s="58">
        <v>40.952161383285286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5440.75</v>
      </c>
      <c r="E18" s="52">
        <v>-5440.75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-13640.75</v>
      </c>
      <c r="N18" s="54">
        <v>-269</v>
      </c>
      <c r="O18" s="58">
        <v>72.17328042328042</v>
      </c>
      <c r="Q18" s="35" t="s">
        <v>124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7755.09</v>
      </c>
      <c r="E22" s="52">
        <v>-7755.09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-7752.09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499.0499999999993</v>
      </c>
      <c r="E24" s="52">
        <v>-499.0499999999993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-496.0499999999993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-440.2600000000002</v>
      </c>
      <c r="E26" s="52">
        <v>440.2600000000002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440.2600000000002</v>
      </c>
      <c r="N26" s="54">
        <v>-143.25</v>
      </c>
      <c r="O26" s="58">
        <v>-3.0733682373472964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577.7200000000012</v>
      </c>
      <c r="E38" s="52">
        <v>51462.840000000004</v>
      </c>
      <c r="F38" s="52">
        <v>0</v>
      </c>
      <c r="G38" s="53">
        <v>0.9888986590459441</v>
      </c>
      <c r="H38" s="53">
        <v>0.1750921737769</v>
      </c>
      <c r="I38" s="54"/>
      <c r="J38" s="52"/>
      <c r="K38" s="52">
        <v>0</v>
      </c>
      <c r="L38" s="53">
        <v>0.9888986590459441</v>
      </c>
      <c r="M38" s="52">
        <v>51462.840000000004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1728.0999999999985</v>
      </c>
      <c r="E48" s="99">
        <v>-1728.0999999999985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-4258.0999999999985</v>
      </c>
      <c r="N48" s="98">
        <v>-44.75</v>
      </c>
      <c r="O48" s="60">
        <v>95.15307262569829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125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2775.6800000000076</v>
      </c>
      <c r="E52" s="99">
        <v>-2775.6800000000076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-4055.6800000000076</v>
      </c>
      <c r="N52" s="98">
        <v>-304.75</v>
      </c>
      <c r="O52" s="60">
        <v>14.869587534372164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16579.28</v>
      </c>
      <c r="E66" s="99">
        <v>18071.119999999966</v>
      </c>
      <c r="F66" s="99"/>
      <c r="G66" s="100">
        <v>0.5215270242190562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0.4291759979682769</v>
      </c>
      <c r="M66" s="99">
        <v>14871.119999999966</v>
      </c>
      <c r="N66" s="98">
        <v>-1014.25</v>
      </c>
      <c r="O66" s="60">
        <v>-15.917709392560841</v>
      </c>
    </row>
    <row r="67" ht="15" customHeight="1" spans="1:15" x14ac:dyDescent="0.25">
      <c r="A67" s="102">
        <v>9437</v>
      </c>
      <c r="B67" s="98" t="s">
        <v>68</v>
      </c>
      <c r="C67" s="99">
        <v>10598.48</v>
      </c>
      <c r="D67" s="99">
        <v>18229.7</v>
      </c>
      <c r="E67" s="99">
        <v>-7631.220000000001</v>
      </c>
      <c r="F67" s="99"/>
      <c r="G67" s="100">
        <v>-0.7200296646311548</v>
      </c>
      <c r="H67" s="100">
        <f>'Deliverables Sheet'!AA256</f>
      </c>
      <c r="I67" s="98"/>
      <c r="J67" s="99"/>
      <c r="K67" s="99">
        <v>0</v>
      </c>
      <c r="L67" s="100">
        <v>-0.7200296646311548</v>
      </c>
      <c r="M67" s="99">
        <v>-7631.220000000001</v>
      </c>
      <c r="N67" s="98"/>
      <c r="O67" s="60">
        <v>0</v>
      </c>
    </row>
    <row r="68" ht="15" customHeight="1" spans="1:15" x14ac:dyDescent="0.25">
      <c r="A68" s="102">
        <v>7480</v>
      </c>
      <c r="B68" s="98" t="s">
        <v>67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15" x14ac:dyDescent="0.25">
      <c r="A69" s="102">
        <v>8829</v>
      </c>
      <c r="B69" s="98" t="s">
        <v>66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15" x14ac:dyDescent="0.25">
      <c r="A70" s="102">
        <v>8386</v>
      </c>
      <c r="B70" s="98" t="s">
        <v>65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15" x14ac:dyDescent="0.25">
      <c r="A71" s="102">
        <v>8530</v>
      </c>
      <c r="B71" s="98" t="s">
        <v>63</v>
      </c>
      <c r="C71" s="99">
        <v>0</v>
      </c>
      <c r="D71" s="99">
        <v>0</v>
      </c>
      <c r="E71" s="99">
        <v>0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0</v>
      </c>
      <c r="N71" s="98"/>
      <c r="O71" s="60">
        <v>0</v>
      </c>
    </row>
    <row r="72" ht="15" customHeight="1" spans="1:15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15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15" x14ac:dyDescent="0.25">
      <c r="A74" s="49" t="s">
        <v>126</v>
      </c>
      <c r="B74" s="103" t="s">
        <v>127</v>
      </c>
      <c r="C74" s="104">
        <v>98702.24999999996</v>
      </c>
      <c r="D74" s="104">
        <v>90534.78999999996</v>
      </c>
      <c r="E74" s="105">
        <v>8167.459999999994</v>
      </c>
      <c r="F74" s="106" t="s">
        <v>128</v>
      </c>
      <c r="G74" s="107">
        <v>0.08274846824667115</v>
      </c>
      <c r="H74" s="108" t="s">
        <v>129</v>
      </c>
      <c r="I74" s="109">
        <v>-0.6288118052020095</v>
      </c>
      <c r="J74" s="36"/>
      <c r="K74" s="36"/>
      <c r="L74" s="37"/>
      <c r="M74" s="37"/>
      <c r="N74" s="35"/>
      <c r="O74" s="35"/>
    </row>
    <row r="75" ht="15" customHeight="1" spans="1:15" x14ac:dyDescent="0.25">
      <c r="A75" s="59"/>
      <c r="B75" s="98" t="s">
        <v>130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129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131</v>
      </c>
      <c r="C2" s="117" t="s">
        <v>132</v>
      </c>
      <c r="D2" s="117" t="s">
        <v>133</v>
      </c>
      <c r="E2" s="117" t="s">
        <v>134</v>
      </c>
      <c r="F2" s="117" t="s">
        <v>135</v>
      </c>
      <c r="G2" s="117" t="s">
        <v>136</v>
      </c>
      <c r="H2" s="117" t="s">
        <v>137</v>
      </c>
      <c r="I2" s="117" t="s">
        <v>138</v>
      </c>
      <c r="J2" s="117" t="s">
        <v>139</v>
      </c>
      <c r="K2" s="117" t="s">
        <v>140</v>
      </c>
      <c r="L2" s="117" t="s">
        <v>141</v>
      </c>
      <c r="M2" s="117" t="s">
        <v>142</v>
      </c>
      <c r="N2" s="117" t="s">
        <v>143</v>
      </c>
      <c r="O2" s="117" t="s">
        <v>144</v>
      </c>
      <c r="P2" s="117" t="s">
        <v>145</v>
      </c>
      <c r="Q2" s="118" t="s">
        <v>146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147</v>
      </c>
      <c r="B3" s="123" t="s">
        <v>148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638.02</v>
      </c>
      <c r="D4" s="54">
        <v>600.25</v>
      </c>
      <c r="E4" s="54">
        <v>37.76999999999998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149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150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149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149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122</v>
      </c>
      <c r="C12" s="54">
        <v>1124.47</v>
      </c>
      <c r="D12" s="54">
        <v>667.75</v>
      </c>
      <c r="E12" s="54">
        <v>456.72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354.75</v>
      </c>
      <c r="E14" s="54">
        <v>147.07999999999998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149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129</v>
      </c>
      <c r="E16" s="54">
        <v>94.22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610</v>
      </c>
      <c r="E18" s="54">
        <v>75.48000000000002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167.25</v>
      </c>
      <c r="E24" s="54">
        <v>304.89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87</v>
      </c>
      <c r="E48" s="54">
        <v>23.439999999999998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2412.45</v>
      </c>
      <c r="D66" s="54">
        <v>1444.92</v>
      </c>
      <c r="E66" s="54">
        <v>967.5299999999997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17" x14ac:dyDescent="0.25">
      <c r="A67" s="19">
        <v>9437</v>
      </c>
      <c r="B67" s="20" t="s">
        <v>68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17" x14ac:dyDescent="0.25">
      <c r="A68" s="19">
        <v>7480</v>
      </c>
      <c r="B68" s="20" t="s">
        <v>67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17" x14ac:dyDescent="0.25">
      <c r="A69" s="19">
        <v>8829</v>
      </c>
      <c r="B69" s="20" t="s">
        <v>66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17" x14ac:dyDescent="0.25">
      <c r="A70" s="19">
        <v>8386</v>
      </c>
      <c r="B70" s="20" t="s">
        <v>65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17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17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17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17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17" x14ac:dyDescent="0.25">
      <c r="A75" s="142"/>
      <c r="B75" s="146" t="s">
        <v>151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17" x14ac:dyDescent="0.25">
      <c r="A76" s="142"/>
      <c r="B76" s="77" t="s">
        <v>152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17" x14ac:dyDescent="0.25">
      <c r="A77" s="142"/>
      <c r="B77" s="77" t="s">
        <v>153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17" x14ac:dyDescent="0.25">
      <c r="A78" s="142"/>
      <c r="B78" s="148" t="s">
        <v>154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17" x14ac:dyDescent="0.25">
      <c r="A79" s="142"/>
      <c r="B79" s="151" t="s">
        <v>155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17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17" x14ac:dyDescent="0.25">
      <c r="A81" s="142"/>
      <c r="B81" s="156" t="s">
        <v>156</v>
      </c>
      <c r="C81" s="157" t="s">
        <v>157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17" x14ac:dyDescent="0.25">
      <c r="A82" s="161"/>
      <c r="B82" s="162" t="s">
        <v>158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17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64" t="s">
        <v>159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160</v>
      </c>
      <c r="M84" s="166"/>
      <c r="N84" s="35"/>
      <c r="O84" s="35"/>
      <c r="P84" s="35"/>
      <c r="Q84" s="35"/>
    </row>
    <row r="85" ht="15" customHeight="1" spans="1:17" x14ac:dyDescent="0.25">
      <c r="A85" s="35"/>
      <c r="B85" s="167" t="s">
        <v>161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162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166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 t="s">
        <v>168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 t="s">
        <v>169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 t="s">
        <v>170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 t="s">
        <v>171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 t="s">
        <v>175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 t="s">
        <v>176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 t="s">
        <v>177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9" t="s">
        <v>178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17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17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17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17" x14ac:dyDescent="0.25">
      <c r="A114" s="35"/>
      <c r="B114" s="164" t="s">
        <v>179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180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181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182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183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184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185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186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187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188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189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190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191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192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193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194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195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196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197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198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199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200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201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202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203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204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205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206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207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208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209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210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211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212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213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214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215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216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217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218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219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220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218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219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69</v>
      </c>
      <c r="D2" s="43" t="s">
        <v>70</v>
      </c>
      <c r="E2" s="43" t="s">
        <v>71</v>
      </c>
      <c r="F2" s="39" t="s">
        <v>72</v>
      </c>
      <c r="G2" s="40" t="s">
        <v>73</v>
      </c>
      <c r="H2" s="43" t="s">
        <v>74</v>
      </c>
      <c r="I2" s="43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2" t="s">
        <v>221</v>
      </c>
      <c r="P2" s="42" t="s">
        <v>222</v>
      </c>
      <c r="Q2" s="42" t="s">
        <v>223</v>
      </c>
      <c r="R2" s="43" t="s">
        <v>81</v>
      </c>
      <c r="S2" s="43" t="s">
        <v>82</v>
      </c>
      <c r="T2" s="39" t="s">
        <v>83</v>
      </c>
      <c r="U2" s="40" t="s">
        <v>84</v>
      </c>
      <c r="V2" s="214" t="s">
        <v>85</v>
      </c>
      <c r="W2" s="214" t="s">
        <v>86</v>
      </c>
      <c r="X2" s="45" t="s">
        <v>87</v>
      </c>
      <c r="Y2" s="40" t="s">
        <v>88</v>
      </c>
      <c r="Z2" s="42" t="s">
        <v>89</v>
      </c>
      <c r="AA2" s="46" t="s">
        <v>90</v>
      </c>
      <c r="AB2" s="47" t="s">
        <v>91</v>
      </c>
      <c r="AC2" s="46" t="s">
        <v>92</v>
      </c>
      <c r="AD2" s="48" t="s">
        <v>93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94</v>
      </c>
      <c r="AL3" s="50" t="s">
        <v>95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96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97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98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99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100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101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102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103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104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96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97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98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99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100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101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102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103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104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96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97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98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99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100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101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102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103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104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96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97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98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99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100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101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102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103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104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96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97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98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99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100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101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102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103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104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96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97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98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99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100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101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102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103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104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96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97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98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99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100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101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102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103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104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96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97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98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99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100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101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102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103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104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96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97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98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99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100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101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102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103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104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96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97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98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99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100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101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102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103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104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96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97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98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99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100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101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102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103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104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96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97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98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99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100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101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102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103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104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96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97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98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99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100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101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102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103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104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96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97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98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99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100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101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102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103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104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96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97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98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99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100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101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102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103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104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96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97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98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99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100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101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102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103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104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96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97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98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99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100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101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102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103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104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96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97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98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99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100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101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102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103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104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96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97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98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99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100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101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102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103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104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96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97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98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99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100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101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102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103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104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96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97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98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99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100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101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102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103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104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96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97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98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99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100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101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102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103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104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96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97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98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99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100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101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102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103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104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96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97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98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99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100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101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102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103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104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96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97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98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99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100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101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102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103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104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96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97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98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99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100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101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102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103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104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96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97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98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99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100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101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102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103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104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96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97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98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99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100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101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102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103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104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96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97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98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99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100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101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102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103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104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96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97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98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99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100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101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102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103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104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96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97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98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99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100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101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102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103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104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96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97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98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99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100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101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102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103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104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224</v>
      </c>
      <c r="C3" s="35" t="s">
        <v>225</v>
      </c>
      <c r="D3" s="35" t="s">
        <v>226</v>
      </c>
    </row>
    <row r="4" ht="15" customHeight="1" spans="1:4" x14ac:dyDescent="0.25">
      <c r="A4" s="35" t="s">
        <v>227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228</v>
      </c>
      <c r="B5" s="35">
        <v>60</v>
      </c>
      <c r="P5" s="35">
        <v>95.35</v>
      </c>
    </row>
    <row r="6" ht="15" customHeight="1" spans="1:16" x14ac:dyDescent="0.25">
      <c r="A6" s="35" t="s">
        <v>229</v>
      </c>
      <c r="B6" s="35">
        <v>100</v>
      </c>
      <c r="P6" s="35">
        <v>102.69</v>
      </c>
    </row>
    <row r="7" ht="15" customHeight="1" spans="1:16" x14ac:dyDescent="0.25">
      <c r="A7" s="35" t="s">
        <v>230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