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<sst xmlns="http://schemas.openxmlformats.org/spreadsheetml/2006/main" count="1139" uniqueCount="226">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</sst>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8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33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64</v>
      </c>
      <c r="D2" s="38" t="s">
        <v>65</v>
      </c>
      <c r="E2" s="38" t="s">
        <v>66</v>
      </c>
      <c r="F2" s="39" t="s">
        <v>67</v>
      </c>
      <c r="G2" s="40" t="s">
        <v>68</v>
      </c>
      <c r="H2" s="38" t="s">
        <v>69</v>
      </c>
      <c r="I2" s="38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3" t="s">
        <v>76</v>
      </c>
      <c r="P2" s="43" t="s">
        <v>77</v>
      </c>
      <c r="Q2" s="39" t="s">
        <v>78</v>
      </c>
      <c r="R2" s="40" t="s">
        <v>79</v>
      </c>
      <c r="S2" s="44" t="s">
        <v>80</v>
      </c>
      <c r="T2" s="44" t="s">
        <v>81</v>
      </c>
      <c r="U2" s="45" t="s">
        <v>82</v>
      </c>
      <c r="V2" s="40" t="s">
        <v>83</v>
      </c>
      <c r="W2" s="42" t="s">
        <v>84</v>
      </c>
      <c r="X2" s="46" t="s">
        <v>85</v>
      </c>
      <c r="Y2" s="47" t="s">
        <v>86</v>
      </c>
      <c r="Z2" s="46" t="s">
        <v>87</v>
      </c>
      <c r="AA2" s="48" t="s">
        <v>88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89</v>
      </c>
      <c r="AI3" s="50" t="s">
        <v>90</v>
      </c>
    </row>
    <row r="4" ht="15" customHeight="1" spans="1:35" x14ac:dyDescent="0.25">
      <c r="A4" s="19">
        <v>7658</v>
      </c>
      <c r="B4" s="20" t="s">
        <v>25</v>
      </c>
      <c r="C4" s="51" t="s">
        <v>91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92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93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94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95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96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97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98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99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91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92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93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94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95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96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97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98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99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91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92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93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94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95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96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97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98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99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91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92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93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94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95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96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97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98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99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91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92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93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94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95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96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97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98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99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91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92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93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94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95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96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97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98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99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91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92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93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94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95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96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97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98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99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91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92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93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94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95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96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97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98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99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91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92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93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94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95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96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97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98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99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91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92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93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94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95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96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97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98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99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91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92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93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94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95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96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97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98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99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91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92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93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94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95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96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97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98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99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91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92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93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94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95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96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97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98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99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91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92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93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94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95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96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97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98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99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91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92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93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94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95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96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97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98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99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91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92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93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94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95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96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97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98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99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91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92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93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94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95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96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97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98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99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91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92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93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94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95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96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97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98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99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91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92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93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94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95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96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97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98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99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91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92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93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94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95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96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97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98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99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91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92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93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94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95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96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97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98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99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91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92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93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94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95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96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97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98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99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91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92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93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94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95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96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97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98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99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91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100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92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93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94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95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96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97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98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99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91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92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93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94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95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96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97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98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99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91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92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93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94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95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96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97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98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99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91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92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93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94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95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96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97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98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99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91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92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93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94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95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96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97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98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99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91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92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93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94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95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96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97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98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99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91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92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93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94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95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96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97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98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99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91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92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93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94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95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96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97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98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99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91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92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93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94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95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96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97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98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99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91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93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95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96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98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99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1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101</v>
      </c>
      <c r="B2" s="81" t="s">
        <v>102</v>
      </c>
      <c r="C2" s="82" t="s">
        <v>103</v>
      </c>
      <c r="D2" s="82" t="s">
        <v>104</v>
      </c>
      <c r="E2" s="82" t="s">
        <v>105</v>
      </c>
      <c r="F2" s="82" t="s">
        <v>106</v>
      </c>
      <c r="G2" s="83" t="s">
        <v>107</v>
      </c>
      <c r="H2" s="83" t="s">
        <v>108</v>
      </c>
      <c r="I2" s="81" t="s">
        <v>109</v>
      </c>
      <c r="J2" s="82" t="s">
        <v>110</v>
      </c>
      <c r="K2" s="82" t="s">
        <v>111</v>
      </c>
      <c r="L2" s="83" t="s">
        <v>112</v>
      </c>
      <c r="M2" s="83" t="s">
        <v>113</v>
      </c>
      <c r="N2" s="81" t="s">
        <v>114</v>
      </c>
      <c r="O2" s="84" t="s">
        <v>115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403.9200000000128</v>
      </c>
      <c r="E4" s="52">
        <v>-403.9200000000128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-7403.920000000013</v>
      </c>
      <c r="N4" s="54">
        <v>20</v>
      </c>
      <c r="O4" s="58">
        <v>-105.77028571428589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5716.309999999998</v>
      </c>
      <c r="E6" s="52">
        <v>-5716.309999999998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-25981.909999999996</v>
      </c>
      <c r="N6" s="54">
        <v>-52.5</v>
      </c>
      <c r="O6" s="58">
        <v>-58.06013407821228</v>
      </c>
      <c r="Q6" s="35" t="s">
        <v>116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117</v>
      </c>
      <c r="C12" s="52">
        <v>0</v>
      </c>
      <c r="D12" s="52">
        <v>8195.619999999995</v>
      </c>
      <c r="E12" s="52">
        <v>-8195.619999999995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-10832.619999999995</v>
      </c>
      <c r="N12" s="54">
        <v>53</v>
      </c>
      <c r="O12" s="58">
        <v>-156.99449275362312</v>
      </c>
      <c r="Q12" s="35" t="s">
        <v>118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7982.0899999999965</v>
      </c>
      <c r="E14" s="52">
        <v>-7982.0899999999965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-10982.089999999997</v>
      </c>
      <c r="N14" s="54">
        <v>-112</v>
      </c>
      <c r="O14" s="58">
        <v>98.05437499999996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-15.220000000001164</v>
      </c>
      <c r="E16" s="52">
        <v>15.220000000001164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-2984.779999999999</v>
      </c>
      <c r="N16" s="54">
        <v>-86.75</v>
      </c>
      <c r="O16" s="58">
        <v>34.40668587896252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3516.810000000012</v>
      </c>
      <c r="E18" s="52">
        <v>-3516.810000000012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-11716.810000000012</v>
      </c>
      <c r="N18" s="54">
        <v>-269</v>
      </c>
      <c r="O18" s="58">
        <v>61.993703703703765</v>
      </c>
      <c r="Q18" s="35" t="s">
        <v>119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6826.489999999998</v>
      </c>
      <c r="E22" s="52">
        <v>-6826.489999999998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-6823.489999999998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-249.79000000000087</v>
      </c>
      <c r="E24" s="52">
        <v>249.79000000000087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252.79000000000087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-1125.8799999999992</v>
      </c>
      <c r="E26" s="52">
        <v>1125.8799999999992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1125.8799999999992</v>
      </c>
      <c r="N26" s="54">
        <v>-143.25</v>
      </c>
      <c r="O26" s="58">
        <v>-7.859546247818494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576.9800000000032</v>
      </c>
      <c r="E38" s="52">
        <v>51463.58</v>
      </c>
      <c r="F38" s="52">
        <v>0</v>
      </c>
      <c r="G38" s="53">
        <v>0.9889128787238262</v>
      </c>
      <c r="H38" s="53">
        <v>0.1750921737769</v>
      </c>
      <c r="I38" s="54"/>
      <c r="J38" s="52"/>
      <c r="K38" s="52">
        <v>0</v>
      </c>
      <c r="L38" s="53">
        <v>0.9889128787238262</v>
      </c>
      <c r="M38" s="52">
        <v>51463.58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120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2773.090000000011</v>
      </c>
      <c r="E52" s="99">
        <v>-2773.090000000011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-4053.090000000011</v>
      </c>
      <c r="N52" s="98">
        <v>-304.75</v>
      </c>
      <c r="O52" s="60">
        <v>14.860091659028456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178.1800000000003</v>
      </c>
      <c r="E58" s="99">
        <v>-178.1800000000003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-178.1800000000003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14857.690000000002</v>
      </c>
      <c r="E66" s="99">
        <v>19792.709999999963</v>
      </c>
      <c r="F66" s="99"/>
      <c r="G66" s="100">
        <v>0.5712115877450183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0.478860561494239</v>
      </c>
      <c r="M66" s="99">
        <v>16592.709999999963</v>
      </c>
      <c r="N66" s="98">
        <v>-1014.25</v>
      </c>
      <c r="O66" s="60">
        <v>-17.7604602622424</v>
      </c>
    </row>
    <row r="67" ht="15" customHeight="1" spans="1:15" x14ac:dyDescent="0.25">
      <c r="A67" s="102">
        <f>'Main Sheet'!A68</f>
      </c>
      <c r="B67" s="98">
        <f>'Main Sheet'!B68</f>
      </c>
      <c r="C67" s="99"/>
      <c r="D67" s="99"/>
      <c r="E67" s="99">
        <f>C67-D67</f>
      </c>
      <c r="F67" s="99"/>
      <c r="G67" s="100">
        <f>(E67+F67)/C67</f>
      </c>
      <c r="H67" s="100">
        <f>'Deliverables Sheet'!AA228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6"/>
      <c r="N68" s="35"/>
      <c r="O68" s="36"/>
    </row>
    <row r="69" spans="1:15" x14ac:dyDescent="0.25">
      <c r="A69" s="35"/>
      <c r="B69" s="35"/>
      <c r="C69" s="36"/>
      <c r="D69" s="36"/>
      <c r="E69" s="36"/>
      <c r="F69" s="36"/>
      <c r="G69" s="37"/>
      <c r="H69" s="37"/>
      <c r="I69" s="35"/>
      <c r="J69" s="36"/>
      <c r="K69" s="36"/>
      <c r="L69" s="37"/>
      <c r="M69" s="37"/>
      <c r="N69" s="35"/>
      <c r="O69" s="35"/>
    </row>
    <row r="70" ht="15" customHeight="1" spans="1:15" x14ac:dyDescent="0.25">
      <c r="A70" s="49" t="s">
        <v>121</v>
      </c>
      <c r="B70" s="103" t="s">
        <v>122</v>
      </c>
      <c r="C70" s="104">
        <v>88103.76999999996</v>
      </c>
      <c r="D70" s="104">
        <v>61273.50000000002</v>
      </c>
      <c r="E70" s="105">
        <v>26830.26999999995</v>
      </c>
      <c r="F70" s="106" t="s">
        <v>123</v>
      </c>
      <c r="G70" s="107">
        <v>0.30453032827085563</v>
      </c>
      <c r="H70" s="108" t="s">
        <v>124</v>
      </c>
      <c r="I70" s="109">
        <v>-0.4926273870005799</v>
      </c>
      <c r="J70" s="36"/>
      <c r="K70" s="36"/>
      <c r="L70" s="37"/>
      <c r="M70" s="37"/>
      <c r="N70" s="35"/>
      <c r="O70" s="35"/>
    </row>
    <row r="71" ht="15" customHeight="1" spans="1:15" x14ac:dyDescent="0.25">
      <c r="A71" s="59"/>
      <c r="B71" s="98" t="s">
        <v>125</v>
      </c>
      <c r="C71" s="99">
        <v>-22865.6</v>
      </c>
      <c r="D71" s="99">
        <v>32774.04000000001</v>
      </c>
      <c r="E71" s="110">
        <v>-55639.640000000014</v>
      </c>
      <c r="F71" s="111"/>
      <c r="G71" s="112">
        <v>2.433333916450914</v>
      </c>
      <c r="H71" s="113" t="s">
        <v>124</v>
      </c>
      <c r="I71" s="114">
        <v>2.685240710936954</v>
      </c>
      <c r="J71" s="36"/>
      <c r="K71" s="36"/>
      <c r="L71" s="37"/>
      <c r="M71" s="37"/>
      <c r="N71" s="35"/>
      <c r="O71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0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126</v>
      </c>
      <c r="C2" s="117" t="s">
        <v>127</v>
      </c>
      <c r="D2" s="117" t="s">
        <v>128</v>
      </c>
      <c r="E2" s="117" t="s">
        <v>129</v>
      </c>
      <c r="F2" s="117" t="s">
        <v>130</v>
      </c>
      <c r="G2" s="117" t="s">
        <v>131</v>
      </c>
      <c r="H2" s="117" t="s">
        <v>132</v>
      </c>
      <c r="I2" s="117" t="s">
        <v>133</v>
      </c>
      <c r="J2" s="117" t="s">
        <v>134</v>
      </c>
      <c r="K2" s="117" t="s">
        <v>135</v>
      </c>
      <c r="L2" s="117" t="s">
        <v>136</v>
      </c>
      <c r="M2" s="117" t="s">
        <v>137</v>
      </c>
      <c r="N2" s="117" t="s">
        <v>138</v>
      </c>
      <c r="O2" s="117" t="s">
        <v>139</v>
      </c>
      <c r="P2" s="117" t="s">
        <v>140</v>
      </c>
      <c r="Q2" s="118" t="s">
        <v>141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142</v>
      </c>
      <c r="B3" s="123" t="s">
        <v>143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600.25</v>
      </c>
      <c r="E4" s="54">
        <v>-34.799999999999955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144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145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90</v>
      </c>
      <c r="P8" s="54"/>
      <c r="Q8" s="131"/>
      <c r="S8" s="35" t="s">
        <v>144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10</v>
      </c>
      <c r="O10" s="54">
        <v>0</v>
      </c>
      <c r="P10" s="54"/>
      <c r="Q10" s="131"/>
      <c r="S10" s="35" t="s">
        <v>144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117</v>
      </c>
      <c r="C12" s="54">
        <v>1124.47</v>
      </c>
      <c r="D12" s="54">
        <v>627.75</v>
      </c>
      <c r="E12" s="54">
        <v>496.72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0</v>
      </c>
      <c r="P12" s="54">
        <v>80</v>
      </c>
      <c r="Q12" s="131"/>
      <c r="S12" s="35" t="s">
        <v>144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325.75</v>
      </c>
      <c r="E14" s="54">
        <v>176.07999999999998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144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113.25</v>
      </c>
      <c r="E16" s="54">
        <v>109.97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578.5</v>
      </c>
      <c r="E18" s="54">
        <v>106.98000000000002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156</v>
      </c>
      <c r="E24" s="54">
        <v>316.14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2397.2</v>
      </c>
      <c r="D66" s="54">
        <v>1427.42</v>
      </c>
      <c r="E66" s="54">
        <v>969.7799999999997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9">
        <f>'Main Sheet'!A68</f>
      </c>
      <c r="B67" s="20">
        <f>'Main Sheet'!B68</f>
      </c>
      <c r="C67" s="54">
        <f>LOOKUP(2,1/('Deliverables Sheet'!S229:S233&lt;&gt;0),'Deliverables Sheet'!S229:S233)</f>
      </c>
      <c r="D67" s="54">
        <f>LOOKUP(2,1/('Deliverables Sheet'!T229:T233&lt;&gt;0),'Deliverables Sheet'!T229:T233)</f>
      </c>
      <c r="E67" s="54">
        <f>LOOKUP(2,1/('Deliverables Sheet'!U229:U233&lt;&gt;0),'Deliverables Sheet'!U229:U233)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" customHeight="1" spans="1:17" x14ac:dyDescent="0.25">
      <c r="A69" s="142"/>
      <c r="B69" s="143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144"/>
    </row>
    <row r="70" ht="15.75" customHeight="1" spans="1:17" x14ac:dyDescent="0.25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</row>
    <row r="71" ht="15" customHeight="1" spans="1:17" x14ac:dyDescent="0.25">
      <c r="A71" s="142"/>
      <c r="B71" s="146" t="s">
        <v>146</v>
      </c>
      <c r="C71" s="147"/>
      <c r="D71" s="147"/>
      <c r="E71" s="147"/>
      <c r="F71" s="147">
        <v>640</v>
      </c>
      <c r="G71" s="147">
        <v>715</v>
      </c>
      <c r="H71" s="147">
        <v>790</v>
      </c>
      <c r="I71" s="147">
        <v>700</v>
      </c>
      <c r="J71" s="147">
        <v>700</v>
      </c>
      <c r="K71" s="147">
        <v>700</v>
      </c>
      <c r="L71" s="147">
        <v>716</v>
      </c>
      <c r="M71" s="147">
        <v>2520</v>
      </c>
      <c r="N71" s="147">
        <v>3060</v>
      </c>
      <c r="O71" s="147">
        <v>1316</v>
      </c>
      <c r="P71" s="147">
        <v>914</v>
      </c>
      <c r="Q71" s="147">
        <v>650</v>
      </c>
    </row>
    <row r="72" ht="15" customHeight="1" spans="1:17" x14ac:dyDescent="0.25">
      <c r="A72" s="142"/>
      <c r="B72" s="77" t="s">
        <v>147</v>
      </c>
      <c r="C72" s="20"/>
      <c r="D72" s="20"/>
      <c r="E72" s="20"/>
      <c r="F72" s="20">
        <v>140</v>
      </c>
      <c r="G72" s="20">
        <v>15</v>
      </c>
      <c r="H72" s="20">
        <v>90</v>
      </c>
      <c r="I72" s="20"/>
      <c r="J72" s="20"/>
      <c r="K72" s="20"/>
      <c r="L72" s="20">
        <v>16</v>
      </c>
      <c r="M72" s="20">
        <v>800</v>
      </c>
      <c r="N72" s="20">
        <v>858</v>
      </c>
      <c r="O72" s="20">
        <v>476</v>
      </c>
      <c r="P72" s="20">
        <v>214</v>
      </c>
      <c r="Q72" s="20">
        <v>150</v>
      </c>
    </row>
    <row r="73" ht="15" customHeight="1" spans="1:17" x14ac:dyDescent="0.25">
      <c r="A73" s="142"/>
      <c r="B73" s="77" t="s">
        <v>148</v>
      </c>
      <c r="C73" s="20">
        <v>4490.26</v>
      </c>
      <c r="D73" s="20"/>
      <c r="E73" s="20"/>
      <c r="F73" s="20"/>
      <c r="G73" s="20"/>
      <c r="H73" s="20"/>
      <c r="I73" s="20"/>
      <c r="J73" s="20"/>
      <c r="K73" s="20"/>
      <c r="L73" s="20"/>
      <c r="M73" s="20">
        <v>1020</v>
      </c>
      <c r="N73" s="20">
        <v>1502</v>
      </c>
      <c r="O73" s="20">
        <v>140</v>
      </c>
      <c r="P73" s="20"/>
      <c r="Q73" s="20"/>
    </row>
    <row r="74" ht="15" customHeight="1" spans="1:17" x14ac:dyDescent="0.25">
      <c r="A74" s="142"/>
      <c r="B74" s="148" t="s">
        <v>149</v>
      </c>
      <c r="C74" s="149"/>
      <c r="D74" s="149"/>
      <c r="E74" s="149"/>
      <c r="F74" s="149">
        <v>1488</v>
      </c>
      <c r="G74" s="149">
        <v>2112</v>
      </c>
      <c r="H74" s="149">
        <v>1984</v>
      </c>
      <c r="I74" s="149">
        <v>1884.8</v>
      </c>
      <c r="J74" s="149">
        <v>1948.8</v>
      </c>
      <c r="K74" s="149">
        <v>2083.2</v>
      </c>
      <c r="L74" s="149">
        <v>2604.8</v>
      </c>
      <c r="M74" s="149">
        <v>2486.4</v>
      </c>
      <c r="N74" s="149">
        <v>2604.8</v>
      </c>
      <c r="O74" s="149">
        <v>2217.6</v>
      </c>
      <c r="P74" s="149">
        <v>2112</v>
      </c>
      <c r="Q74" s="150">
        <v>1478.4</v>
      </c>
    </row>
    <row r="75" ht="15" customHeight="1" spans="1:17" x14ac:dyDescent="0.25">
      <c r="A75" s="142"/>
      <c r="B75" s="151" t="s">
        <v>150</v>
      </c>
      <c r="C75" s="152"/>
      <c r="D75" s="152"/>
      <c r="E75" s="152"/>
      <c r="F75" s="153">
        <v>-848</v>
      </c>
      <c r="G75" s="153">
        <v>-1397</v>
      </c>
      <c r="H75" s="154">
        <v>-1194</v>
      </c>
      <c r="I75" s="153">
        <v>-1184.8</v>
      </c>
      <c r="J75" s="153">
        <v>-1248.8</v>
      </c>
      <c r="K75" s="153">
        <v>-1383.2</v>
      </c>
      <c r="L75" s="153">
        <v>-1888.8</v>
      </c>
      <c r="M75" s="153">
        <v>33.5999999999999</v>
      </c>
      <c r="N75" s="153">
        <v>455.2</v>
      </c>
      <c r="O75" s="153">
        <v>-901.6</v>
      </c>
      <c r="P75" s="153">
        <v>-1198</v>
      </c>
      <c r="Q75" s="155">
        <v>-828.4</v>
      </c>
    </row>
    <row r="76" ht="15" customHeight="1" spans="1:17" x14ac:dyDescent="0.25">
      <c r="A76" s="142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144"/>
    </row>
    <row r="77" ht="15" customHeight="1" spans="1:17" x14ac:dyDescent="0.25">
      <c r="A77" s="142"/>
      <c r="B77" s="156" t="s">
        <v>151</v>
      </c>
      <c r="C77" s="157" t="s">
        <v>152</v>
      </c>
      <c r="D77" s="157"/>
      <c r="E77" s="157"/>
      <c r="F77" s="158">
        <v>15</v>
      </c>
      <c r="G77" s="159">
        <v>20</v>
      </c>
      <c r="H77" s="159">
        <v>20</v>
      </c>
      <c r="I77" s="159">
        <v>19</v>
      </c>
      <c r="J77" s="159">
        <v>21</v>
      </c>
      <c r="K77" s="159">
        <v>21</v>
      </c>
      <c r="L77" s="159">
        <v>22</v>
      </c>
      <c r="M77" s="159">
        <v>21</v>
      </c>
      <c r="N77" s="159">
        <v>22</v>
      </c>
      <c r="O77" s="159">
        <v>21</v>
      </c>
      <c r="P77" s="159">
        <v>20</v>
      </c>
      <c r="Q77" s="160">
        <v>14</v>
      </c>
    </row>
    <row r="78" ht="15" customHeight="1" spans="1:17" x14ac:dyDescent="0.25">
      <c r="A78" s="161"/>
      <c r="B78" s="162" t="s">
        <v>153</v>
      </c>
      <c r="C78" s="157"/>
      <c r="D78" s="157"/>
      <c r="E78" s="157"/>
      <c r="F78" s="163">
        <v>15.5</v>
      </c>
      <c r="G78" s="163">
        <v>16.5</v>
      </c>
      <c r="H78" s="163">
        <v>15.5</v>
      </c>
      <c r="I78" s="163">
        <v>15.5</v>
      </c>
      <c r="J78" s="163">
        <v>14.5</v>
      </c>
      <c r="K78" s="163">
        <v>15.5</v>
      </c>
      <c r="L78" s="163">
        <v>18.5</v>
      </c>
      <c r="M78" s="163">
        <v>18.5</v>
      </c>
      <c r="N78" s="163">
        <v>18.5</v>
      </c>
      <c r="O78" s="163">
        <v>16.5</v>
      </c>
      <c r="P78" s="163">
        <v>16.5</v>
      </c>
      <c r="Q78" s="163">
        <v>16.5</v>
      </c>
    </row>
    <row r="79" spans="1:17" x14ac:dyDescent="0.2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</row>
    <row r="80" ht="15" customHeight="1" spans="1:17" x14ac:dyDescent="0.25">
      <c r="A80" s="35"/>
      <c r="B80" s="164" t="s">
        <v>154</v>
      </c>
      <c r="C80" s="165"/>
      <c r="D80" s="35"/>
      <c r="E80" s="35"/>
      <c r="F80" s="35"/>
      <c r="G80" s="35"/>
      <c r="H80" s="35"/>
      <c r="I80" s="35"/>
      <c r="J80" s="35"/>
      <c r="K80" s="35"/>
      <c r="L80" s="166" t="s">
        <v>155</v>
      </c>
      <c r="M80" s="166"/>
      <c r="N80" s="35"/>
      <c r="O80" s="35"/>
      <c r="P80" s="35"/>
      <c r="Q80" s="35"/>
    </row>
    <row r="81" ht="15" customHeight="1" spans="1:17" x14ac:dyDescent="0.25">
      <c r="A81" s="35"/>
      <c r="B81" s="167" t="s">
        <v>156</v>
      </c>
      <c r="C81" s="168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0.5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0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/>
      <c r="C108" s="131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9"/>
      <c r="C109" s="150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64" t="s">
        <v>174</v>
      </c>
      <c r="C110" s="170">
        <v>16.5</v>
      </c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0:Q70"/>
    <mergeCell ref="C77:E78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176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177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178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179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180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181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182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183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184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185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186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187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188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189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190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191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192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193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194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195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196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197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198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199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200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201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202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203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204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205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206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207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208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209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210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211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212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213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214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213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214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64</v>
      </c>
      <c r="D2" s="43" t="s">
        <v>65</v>
      </c>
      <c r="E2" s="43" t="s">
        <v>66</v>
      </c>
      <c r="F2" s="39" t="s">
        <v>67</v>
      </c>
      <c r="G2" s="40" t="s">
        <v>68</v>
      </c>
      <c r="H2" s="43" t="s">
        <v>69</v>
      </c>
      <c r="I2" s="43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2" t="s">
        <v>216</v>
      </c>
      <c r="P2" s="42" t="s">
        <v>217</v>
      </c>
      <c r="Q2" s="42" t="s">
        <v>218</v>
      </c>
      <c r="R2" s="43" t="s">
        <v>76</v>
      </c>
      <c r="S2" s="43" t="s">
        <v>77</v>
      </c>
      <c r="T2" s="39" t="s">
        <v>78</v>
      </c>
      <c r="U2" s="40" t="s">
        <v>79</v>
      </c>
      <c r="V2" s="214" t="s">
        <v>80</v>
      </c>
      <c r="W2" s="214" t="s">
        <v>81</v>
      </c>
      <c r="X2" s="45" t="s">
        <v>82</v>
      </c>
      <c r="Y2" s="40" t="s">
        <v>83</v>
      </c>
      <c r="Z2" s="42" t="s">
        <v>84</v>
      </c>
      <c r="AA2" s="46" t="s">
        <v>85</v>
      </c>
      <c r="AB2" s="47" t="s">
        <v>86</v>
      </c>
      <c r="AC2" s="46" t="s">
        <v>87</v>
      </c>
      <c r="AD2" s="48" t="s">
        <v>88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89</v>
      </c>
      <c r="AL3" s="50" t="s">
        <v>90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91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92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93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94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95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96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97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98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99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91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92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93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94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95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96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97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98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99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91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92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93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94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95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96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97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98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99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91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92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93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94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95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96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97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98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99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91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92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93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94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95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96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97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98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99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91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92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93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94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95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96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97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98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99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91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92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93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94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95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96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97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98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99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91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92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93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94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95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96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97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98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99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91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92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93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94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95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96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97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98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99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91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92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93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94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95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96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97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98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99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91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92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93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94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95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96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97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98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99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91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92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93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94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95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96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97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98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99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91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92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93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94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95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96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97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98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99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91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92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93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94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95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96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97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98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99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91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92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93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94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95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96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97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98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99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91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92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93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94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95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96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97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98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99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91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92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93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94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95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96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97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98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99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91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92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93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94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95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96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97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98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99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91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92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93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94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95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96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97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98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99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91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92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93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94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95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96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97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98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99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91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92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93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94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95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96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97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98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99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91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92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93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94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95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96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97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98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99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91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92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93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94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95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96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97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98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99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91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92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93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94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95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96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97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98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99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91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92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93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94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95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96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97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98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99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91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92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93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94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95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96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97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98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99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91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92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93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94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95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96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97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98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99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91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92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93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94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95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96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97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98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99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91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92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93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94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95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96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97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98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99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91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92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93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94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95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96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97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98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99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91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92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93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94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95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96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97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98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99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91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92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93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94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95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96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97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98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99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219</v>
      </c>
      <c r="C3" s="35" t="s">
        <v>220</v>
      </c>
      <c r="D3" s="35" t="s">
        <v>221</v>
      </c>
    </row>
    <row r="4" ht="15" customHeight="1" spans="1:4" x14ac:dyDescent="0.25">
      <c r="A4" s="35" t="s">
        <v>222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223</v>
      </c>
      <c r="B5" s="35">
        <v>60</v>
      </c>
      <c r="P5" s="35">
        <v>95.35</v>
      </c>
    </row>
    <row r="6" ht="15" customHeight="1" spans="1:16" x14ac:dyDescent="0.25">
      <c r="A6" s="35" t="s">
        <v>224</v>
      </c>
      <c r="B6" s="35">
        <v>100</v>
      </c>
      <c r="P6" s="35">
        <v>102.69</v>
      </c>
    </row>
    <row r="7" ht="15" customHeight="1" spans="1:16" x14ac:dyDescent="0.25">
      <c r="A7" s="35" t="s">
        <v>225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