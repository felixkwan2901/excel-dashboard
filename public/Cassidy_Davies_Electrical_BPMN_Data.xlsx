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<sst xmlns="http://schemas.openxmlformats.org/spreadsheetml/2006/main" count="1061" uniqueCount="226">
  <si>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</si>
  <si>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</si>
  <si>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</si>
  <si>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</si>
  <si>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</si>
  <si>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</si>
  <si>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</si>
  <si>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</si>
  <si>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</si>
  <si>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</si>
  <si>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</si>
  <si>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</si>
  <si>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</si>
  <si>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</si>
  <si>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</si>
  <si>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</si>
  <si>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</si>
  <si>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</si>
  <si>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</si>
  <si>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</si>
  <si>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</si>
  <si>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</si>
  <si>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</si>
  <si>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</si>
  <si>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</si>
  <si>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</si>
  <si>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</t>
  </si>
  <si>
    <t>Yes</t>
  </si>
  <si>
    <t>N/A</t>
  </si>
  <si>
    <t>Fisher Developements</t>
  </si>
  <si>
    <t>yes</t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</si>
  <si>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</si>
  <si>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</si>
  <si>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</si>
  <si>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</si>
  <si>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</si>
  <si>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</si>
  <si>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</si>
  <si>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</si>
  <si>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</si>
  <si>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</si>
  <si>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</si>
  <si>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</t>
  </si>
  <si>
    <t>Melhuish House</t>
  </si>
  <si>
    <t>6 Tiroroa Lane</t>
  </si>
  <si>
    <t xml:space="preserve">Major Hornbrook </t>
  </si>
  <si>
    <t/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</si>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</sst>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67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/>
      <c r="G8" s="14"/>
      <c r="H8" s="13"/>
      <c r="I8" s="13"/>
      <c r="J8" s="13"/>
      <c r="K8" s="13"/>
      <c r="L8" s="13"/>
      <c r="M8" s="13"/>
      <c r="N8" s="14"/>
      <c r="O8" s="13"/>
      <c r="P8" s="13"/>
      <c r="Q8" s="15"/>
      <c r="R8" s="13"/>
      <c r="S8" s="13"/>
      <c r="T8" s="16"/>
      <c r="U8" s="1"/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/>
      <c r="M12" s="13" t="s">
        <v>27</v>
      </c>
      <c r="N12" s="14"/>
      <c r="O12" s="18"/>
      <c r="P12" s="13"/>
      <c r="Q12" s="15"/>
      <c r="R12" s="13"/>
      <c r="S12" s="13"/>
      <c r="T12" s="16"/>
      <c r="U12" s="1"/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/>
      <c r="E22" s="13"/>
      <c r="F22" s="13"/>
      <c r="G22" s="14"/>
      <c r="H22" s="13"/>
      <c r="I22" s="13"/>
      <c r="J22" s="13"/>
      <c r="K22" s="13"/>
      <c r="L22" s="13"/>
      <c r="M22" s="13"/>
      <c r="N22" s="14"/>
      <c r="O22" s="13"/>
      <c r="P22" s="13"/>
      <c r="Q22" s="15"/>
      <c r="R22" s="13"/>
      <c r="S22" s="13"/>
      <c r="T22" s="16"/>
      <c r="U22" s="1"/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/>
      <c r="E24" s="13"/>
      <c r="F24" s="13"/>
      <c r="G24" s="14"/>
      <c r="H24" s="13"/>
      <c r="I24" s="13"/>
      <c r="J24" s="13"/>
      <c r="K24" s="13"/>
      <c r="L24" s="13"/>
      <c r="M24" s="13"/>
      <c r="N24" s="14"/>
      <c r="O24" s="13"/>
      <c r="P24" s="13"/>
      <c r="Q24" s="15"/>
      <c r="R24" s="13"/>
      <c r="S24" s="13"/>
      <c r="T24" s="16"/>
      <c r="U24" s="1"/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27</v>
      </c>
      <c r="F32" s="13" t="s">
        <v>27</v>
      </c>
      <c r="G32" s="14" t="s">
        <v>27</v>
      </c>
      <c r="H32" s="13" t="s">
        <v>27</v>
      </c>
      <c r="I32" s="13" t="s">
        <v>27</v>
      </c>
      <c r="J32" s="13" t="s">
        <v>46</v>
      </c>
      <c r="K32" s="13" t="s">
        <v>28</v>
      </c>
      <c r="L32" s="13" t="s">
        <v>28</v>
      </c>
      <c r="M32" s="13"/>
      <c r="N32" s="14"/>
      <c r="O32" s="13" t="s">
        <v>33</v>
      </c>
      <c r="P32" s="18"/>
      <c r="Q32" s="15" t="s">
        <v>47</v>
      </c>
      <c r="R32" s="13"/>
      <c r="S32" s="13"/>
      <c r="T32" s="16"/>
      <c r="U32" s="1"/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48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49</v>
      </c>
      <c r="C36" s="13"/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50</v>
      </c>
      <c r="C38" s="13"/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51</v>
      </c>
      <c r="C40" s="13"/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52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53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54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55</v>
      </c>
      <c r="C48" s="13"/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56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57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28</v>
      </c>
      <c r="L52" s="13" t="s">
        <v>28</v>
      </c>
      <c r="M52" s="13"/>
      <c r="N52" s="14"/>
      <c r="O52" s="13" t="s">
        <v>33</v>
      </c>
      <c r="P52" s="18"/>
      <c r="Q52" s="15"/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58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59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60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61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62</v>
      </c>
      <c r="C64" s="29" t="s">
        <v>26</v>
      </c>
      <c r="D64" s="29"/>
      <c r="E64" s="13"/>
      <c r="F64" s="13"/>
      <c r="G64" s="14"/>
      <c r="H64" s="13"/>
      <c r="I64" s="13"/>
      <c r="J64" s="13"/>
      <c r="K64" s="13"/>
      <c r="L64" s="13"/>
      <c r="M64" s="13"/>
      <c r="N64" s="14"/>
      <c r="O64" s="13"/>
      <c r="P64" s="18"/>
      <c r="Q64" s="15"/>
      <c r="R64" s="13"/>
      <c r="S64" s="13"/>
      <c r="T64" s="16"/>
      <c r="U64" s="1"/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63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26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64</v>
      </c>
      <c r="D2" s="38" t="s">
        <v>65</v>
      </c>
      <c r="E2" s="38" t="s">
        <v>66</v>
      </c>
      <c r="F2" s="39" t="s">
        <v>67</v>
      </c>
      <c r="G2" s="40" t="s">
        <v>68</v>
      </c>
      <c r="H2" s="38" t="s">
        <v>69</v>
      </c>
      <c r="I2" s="38" t="s">
        <v>70</v>
      </c>
      <c r="J2" s="41" t="s">
        <v>71</v>
      </c>
      <c r="K2" s="41" t="s">
        <v>72</v>
      </c>
      <c r="L2" s="39" t="s">
        <v>73</v>
      </c>
      <c r="M2" s="40" t="s">
        <v>74</v>
      </c>
      <c r="N2" s="42" t="s">
        <v>75</v>
      </c>
      <c r="O2" s="43" t="s">
        <v>76</v>
      </c>
      <c r="P2" s="43" t="s">
        <v>77</v>
      </c>
      <c r="Q2" s="39" t="s">
        <v>78</v>
      </c>
      <c r="R2" s="40" t="s">
        <v>79</v>
      </c>
      <c r="S2" s="44" t="s">
        <v>80</v>
      </c>
      <c r="T2" s="44" t="s">
        <v>81</v>
      </c>
      <c r="U2" s="45" t="s">
        <v>82</v>
      </c>
      <c r="V2" s="40" t="s">
        <v>83</v>
      </c>
      <c r="W2" s="42" t="s">
        <v>84</v>
      </c>
      <c r="X2" s="46" t="s">
        <v>85</v>
      </c>
      <c r="Y2" s="47" t="s">
        <v>86</v>
      </c>
      <c r="Z2" s="46" t="s">
        <v>87</v>
      </c>
      <c r="AA2" s="48" t="s">
        <v>88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89</v>
      </c>
      <c r="AI3" s="50" t="s">
        <v>90</v>
      </c>
    </row>
    <row r="4" ht="15" customHeight="1" spans="1:35" x14ac:dyDescent="0.25">
      <c r="A4" s="19">
        <v>7658</v>
      </c>
      <c r="B4" s="20" t="s">
        <v>25</v>
      </c>
      <c r="C4" s="51" t="s">
        <v>91</v>
      </c>
      <c r="D4" s="52">
        <v>245679.5</v>
      </c>
      <c r="E4" s="52">
        <v>216530.08</v>
      </c>
      <c r="F4" s="52">
        <v>29149.420000000013</v>
      </c>
      <c r="G4" s="53">
        <v>0.11864815745717495</v>
      </c>
      <c r="H4" s="52">
        <v>208360.5</v>
      </c>
      <c r="I4" s="52">
        <v>167957.68</v>
      </c>
      <c r="J4" s="52">
        <v>180366.49</v>
      </c>
      <c r="K4" s="52">
        <v>138548.02</v>
      </c>
      <c r="L4" s="52">
        <v>41818.47</v>
      </c>
      <c r="M4" s="53">
        <v>0.23185276821653514</v>
      </c>
      <c r="N4" s="53">
        <v>0.9</v>
      </c>
      <c r="O4" s="52">
        <v>27994.01</v>
      </c>
      <c r="P4" s="52">
        <v>29409.66</v>
      </c>
      <c r="Q4" s="52">
        <v>-1415.6500000000015</v>
      </c>
      <c r="R4" s="53">
        <v>-0.05056974688513727</v>
      </c>
      <c r="S4" s="54">
        <v>565.45</v>
      </c>
      <c r="T4" s="54">
        <v>588.25</v>
      </c>
      <c r="U4" s="54">
        <v>-22.799999999999955</v>
      </c>
      <c r="V4" s="53">
        <v>-0.040321867539128045</v>
      </c>
      <c r="W4" s="53"/>
      <c r="X4" s="55">
        <v>82.57101572460688</v>
      </c>
      <c r="Y4" s="55">
        <v>65.99877634098505</v>
      </c>
      <c r="Z4" s="53">
        <v>0.2243</v>
      </c>
      <c r="AA4" s="56">
        <v>0.1519</v>
      </c>
      <c r="AB4" s="57"/>
      <c r="AD4" s="35" t="s">
        <v>92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93</v>
      </c>
      <c r="D5" s="52"/>
      <c r="E5" s="52"/>
      <c r="F5" s="52"/>
      <c r="G5" s="53"/>
      <c r="H5" s="52"/>
      <c r="I5" s="52"/>
      <c r="J5" s="52"/>
      <c r="K5" s="52"/>
      <c r="L5" s="52"/>
      <c r="M5" s="53"/>
      <c r="N5" s="53"/>
      <c r="O5" s="52"/>
      <c r="P5" s="52"/>
      <c r="Q5" s="52"/>
      <c r="R5" s="53"/>
      <c r="S5" s="54"/>
      <c r="T5" s="54"/>
      <c r="U5" s="54"/>
      <c r="V5" s="53"/>
      <c r="W5" s="53"/>
      <c r="X5" s="55"/>
      <c r="Y5" s="55"/>
      <c r="Z5" s="53"/>
      <c r="AA5" s="56"/>
      <c r="AB5" s="57"/>
      <c r="AD5" s="35" t="s">
        <v>94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95</v>
      </c>
      <c r="D6" s="52"/>
      <c r="E6" s="52"/>
      <c r="F6" s="52"/>
      <c r="G6" s="53"/>
      <c r="H6" s="52"/>
      <c r="I6" s="52"/>
      <c r="J6" s="52"/>
      <c r="K6" s="52"/>
      <c r="L6" s="52"/>
      <c r="M6" s="53"/>
      <c r="N6" s="53"/>
      <c r="O6" s="52"/>
      <c r="P6" s="52"/>
      <c r="Q6" s="52"/>
      <c r="R6" s="53"/>
      <c r="S6" s="54"/>
      <c r="T6" s="54"/>
      <c r="U6" s="54"/>
      <c r="V6" s="53"/>
      <c r="W6" s="53"/>
      <c r="X6" s="55"/>
      <c r="Y6" s="55"/>
      <c r="Z6" s="53"/>
      <c r="AA6" s="56"/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96</v>
      </c>
      <c r="D7" s="52"/>
      <c r="E7" s="52"/>
      <c r="F7" s="52"/>
      <c r="G7" s="53"/>
      <c r="H7" s="52"/>
      <c r="I7" s="52"/>
      <c r="J7" s="52"/>
      <c r="K7" s="52"/>
      <c r="L7" s="52"/>
      <c r="M7" s="53"/>
      <c r="N7" s="53"/>
      <c r="O7" s="52"/>
      <c r="P7" s="52"/>
      <c r="Q7" s="52"/>
      <c r="R7" s="53"/>
      <c r="S7" s="54"/>
      <c r="T7" s="54"/>
      <c r="U7" s="54"/>
      <c r="V7" s="53"/>
      <c r="W7" s="53"/>
      <c r="X7" s="55"/>
      <c r="Y7" s="55"/>
      <c r="Z7" s="53"/>
      <c r="AA7" s="56"/>
      <c r="AB7" s="57"/>
      <c r="AD7" s="35" t="s">
        <v>97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98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99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91</v>
      </c>
      <c r="D11" s="52">
        <v>129074.86</v>
      </c>
      <c r="E11" s="62">
        <v>85864.08</v>
      </c>
      <c r="F11" s="52">
        <v>43210.78</v>
      </c>
      <c r="G11" s="53">
        <v>0.3347730146676123</v>
      </c>
      <c r="H11" s="52">
        <v>101420.72</v>
      </c>
      <c r="I11" s="52">
        <v>74137.32</v>
      </c>
      <c r="J11" s="52">
        <v>83645.65</v>
      </c>
      <c r="K11" s="52">
        <v>69538.04000000001</v>
      </c>
      <c r="L11" s="52">
        <v>14107.609999999986</v>
      </c>
      <c r="M11" s="53">
        <v>0.16865921897910993</v>
      </c>
      <c r="N11" s="53"/>
      <c r="O11" s="52">
        <v>17775.07</v>
      </c>
      <c r="P11" s="52">
        <v>4599.28</v>
      </c>
      <c r="Q11" s="52">
        <v>13175.79</v>
      </c>
      <c r="R11" s="53">
        <v>0.74125108930654</v>
      </c>
      <c r="S11" s="54">
        <v>356.07</v>
      </c>
      <c r="T11" s="54">
        <v>93.25</v>
      </c>
      <c r="U11" s="54">
        <v>262.82</v>
      </c>
      <c r="V11" s="53">
        <v>0.7381132923301598</v>
      </c>
      <c r="W11" s="53">
        <v>0.3</v>
      </c>
      <c r="X11" s="55">
        <v>125.75613941018767</v>
      </c>
      <c r="Y11" s="55">
        <v>77.66490997775718</v>
      </c>
      <c r="Z11" s="53">
        <v>0.1366</v>
      </c>
      <c r="AA11" s="56">
        <v>0.2142</v>
      </c>
      <c r="AB11" s="57"/>
      <c r="AD11" s="35" t="s">
        <v>92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93</v>
      </c>
      <c r="D12" s="52">
        <v>129074.86</v>
      </c>
      <c r="E12" s="62">
        <v>85864.08</v>
      </c>
      <c r="F12" s="52">
        <v>43210.78</v>
      </c>
      <c r="G12" s="53">
        <v>0.3347730146676123</v>
      </c>
      <c r="H12" s="52">
        <v>101420.72</v>
      </c>
      <c r="I12" s="52">
        <v>76488.35</v>
      </c>
      <c r="J12" s="52">
        <v>83645.65</v>
      </c>
      <c r="K12" s="52">
        <v>70758.46</v>
      </c>
      <c r="L12" s="52">
        <v>12887.189999999988</v>
      </c>
      <c r="M12" s="53">
        <v>0.1540688607237793</v>
      </c>
      <c r="N12" s="53"/>
      <c r="O12" s="52">
        <v>17775.07</v>
      </c>
      <c r="P12" s="52">
        <v>5729.89</v>
      </c>
      <c r="Q12" s="52">
        <v>12045.18</v>
      </c>
      <c r="R12" s="53">
        <v>0.6776445887414227</v>
      </c>
      <c r="S12" s="54">
        <v>356.07</v>
      </c>
      <c r="T12" s="54">
        <v>117.75</v>
      </c>
      <c r="U12" s="54">
        <v>238.32</v>
      </c>
      <c r="V12" s="53">
        <v>0.6693065970174403</v>
      </c>
      <c r="W12" s="53"/>
      <c r="X12" s="55">
        <v>79.624033970276</v>
      </c>
      <c r="Y12" s="55">
        <v>77.66490997775718</v>
      </c>
      <c r="Z12" s="53">
        <v>0.1092</v>
      </c>
      <c r="AA12" s="56">
        <v>0.2142</v>
      </c>
      <c r="AB12" s="57"/>
      <c r="AD12" s="35" t="s">
        <v>94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95</v>
      </c>
      <c r="D13" s="52"/>
      <c r="E13" s="62"/>
      <c r="F13" s="52"/>
      <c r="G13" s="53"/>
      <c r="H13" s="52"/>
      <c r="I13" s="52"/>
      <c r="J13" s="52"/>
      <c r="K13" s="52"/>
      <c r="L13" s="52"/>
      <c r="M13" s="53"/>
      <c r="N13" s="53"/>
      <c r="O13" s="52"/>
      <c r="P13" s="52"/>
      <c r="Q13" s="52"/>
      <c r="R13" s="53"/>
      <c r="S13" s="54"/>
      <c r="T13" s="54"/>
      <c r="U13" s="54"/>
      <c r="V13" s="53"/>
      <c r="W13" s="53"/>
      <c r="X13" s="55"/>
      <c r="Y13" s="55"/>
      <c r="Z13" s="53"/>
      <c r="AA13" s="56"/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96</v>
      </c>
      <c r="D14" s="52"/>
      <c r="E14" s="62"/>
      <c r="F14" s="52"/>
      <c r="G14" s="53"/>
      <c r="H14" s="52"/>
      <c r="I14" s="52"/>
      <c r="J14" s="52"/>
      <c r="K14" s="52"/>
      <c r="L14" s="52"/>
      <c r="M14" s="53"/>
      <c r="N14" s="53"/>
      <c r="O14" s="52"/>
      <c r="P14" s="52"/>
      <c r="Q14" s="52"/>
      <c r="R14" s="53"/>
      <c r="S14" s="54"/>
      <c r="T14" s="54"/>
      <c r="U14" s="54"/>
      <c r="V14" s="53"/>
      <c r="W14" s="53"/>
      <c r="X14" s="55"/>
      <c r="Y14" s="55"/>
      <c r="Z14" s="53"/>
      <c r="AA14" s="56"/>
      <c r="AB14" s="57"/>
      <c r="AD14" s="35" t="s">
        <v>97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98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99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91</v>
      </c>
      <c r="D18" s="52">
        <v>27500.32</v>
      </c>
      <c r="E18" s="52">
        <v>11999.08</v>
      </c>
      <c r="F18" s="52">
        <v>15501.24</v>
      </c>
      <c r="G18" s="53">
        <v>0.5636748954193987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125.96143884892086</v>
      </c>
      <c r="Y18" s="55">
        <v>63.27846478985563</v>
      </c>
      <c r="Z18" s="53">
        <v>0.36479999999999996</v>
      </c>
      <c r="AA18" s="56">
        <v>0.2885</v>
      </c>
      <c r="AB18" s="57"/>
      <c r="AD18" s="35" t="s">
        <v>92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93</v>
      </c>
      <c r="D19" s="52">
        <v>27500.32</v>
      </c>
      <c r="E19" s="52">
        <v>11999.08</v>
      </c>
      <c r="F19" s="52">
        <v>15501.24</v>
      </c>
      <c r="G19" s="53">
        <v>0.5636748954193987</v>
      </c>
      <c r="H19" s="52">
        <v>19565.83</v>
      </c>
      <c r="I19" s="52">
        <v>7921.92</v>
      </c>
      <c r="J19" s="52">
        <v>13767.340000000002</v>
      </c>
      <c r="K19" s="52">
        <v>6211.24</v>
      </c>
      <c r="L19" s="52">
        <v>7556.100000000002</v>
      </c>
      <c r="M19" s="53">
        <v>0.5488424052867149</v>
      </c>
      <c r="N19" s="53"/>
      <c r="O19" s="52">
        <v>5798.49</v>
      </c>
      <c r="P19" s="52">
        <v>1710.68</v>
      </c>
      <c r="Q19" s="52">
        <v>4087.8099999999995</v>
      </c>
      <c r="R19" s="53">
        <v>0.7049783650571096</v>
      </c>
      <c r="S19" s="54">
        <v>125.39</v>
      </c>
      <c r="T19" s="54">
        <v>34.75</v>
      </c>
      <c r="U19" s="54">
        <v>90.64</v>
      </c>
      <c r="V19" s="53">
        <v>0.7228646622537682</v>
      </c>
      <c r="W19" s="53"/>
      <c r="X19" s="55">
        <v>117.328345323741</v>
      </c>
      <c r="Y19" s="55">
        <v>63.27846478985563</v>
      </c>
      <c r="Z19" s="53">
        <v>0.3398</v>
      </c>
      <c r="AA19" s="56">
        <v>0.2885</v>
      </c>
      <c r="AB19" s="57"/>
      <c r="AD19" s="35" t="s">
        <v>94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95</v>
      </c>
      <c r="D20" s="52"/>
      <c r="E20" s="52"/>
      <c r="F20" s="52"/>
      <c r="G20" s="53"/>
      <c r="H20" s="52"/>
      <c r="I20" s="52"/>
      <c r="J20" s="52"/>
      <c r="K20" s="52"/>
      <c r="L20" s="52"/>
      <c r="M20" s="53"/>
      <c r="N20" s="53"/>
      <c r="O20" s="52"/>
      <c r="P20" s="52"/>
      <c r="Q20" s="52"/>
      <c r="R20" s="53"/>
      <c r="S20" s="54"/>
      <c r="T20" s="54"/>
      <c r="U20" s="54"/>
      <c r="V20" s="53"/>
      <c r="W20" s="53"/>
      <c r="X20" s="55"/>
      <c r="Y20" s="55"/>
      <c r="Z20" s="53"/>
      <c r="AA20" s="56"/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96</v>
      </c>
      <c r="D21" s="52"/>
      <c r="E21" s="52"/>
      <c r="F21" s="52"/>
      <c r="G21" s="53"/>
      <c r="H21" s="52"/>
      <c r="I21" s="52"/>
      <c r="J21" s="52"/>
      <c r="K21" s="52"/>
      <c r="L21" s="52"/>
      <c r="M21" s="53"/>
      <c r="N21" s="53"/>
      <c r="O21" s="52"/>
      <c r="P21" s="52"/>
      <c r="Q21" s="52"/>
      <c r="R21" s="53"/>
      <c r="S21" s="54"/>
      <c r="T21" s="54"/>
      <c r="U21" s="54"/>
      <c r="V21" s="53"/>
      <c r="W21" s="53"/>
      <c r="X21" s="55"/>
      <c r="Y21" s="55"/>
      <c r="Z21" s="53"/>
      <c r="AA21" s="56"/>
      <c r="AB21" s="57"/>
      <c r="AD21" s="35" t="s">
        <v>97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98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99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91</v>
      </c>
      <c r="D25" s="55">
        <v>150850.82</v>
      </c>
      <c r="E25" s="55">
        <v>144370.8</v>
      </c>
      <c r="F25" s="52">
        <v>6480.020000000019</v>
      </c>
      <c r="G25" s="53">
        <v>0.042956478459978</v>
      </c>
      <c r="H25" s="52">
        <v>102178.42</v>
      </c>
      <c r="I25" s="52">
        <v>85848.41</v>
      </c>
      <c r="J25" s="52">
        <v>62464.86</v>
      </c>
      <c r="K25" s="52">
        <v>57454</v>
      </c>
      <c r="L25" s="52">
        <v>5010.860000000001</v>
      </c>
      <c r="M25" s="53">
        <v>0.0802188622531132</v>
      </c>
      <c r="N25" s="53">
        <v>0.9</v>
      </c>
      <c r="O25" s="52">
        <v>39713.56</v>
      </c>
      <c r="P25" s="52">
        <v>28394.41</v>
      </c>
      <c r="Q25" s="52">
        <v>11319.149999999998</v>
      </c>
      <c r="R25" s="53">
        <v>0.2850197766203785</v>
      </c>
      <c r="S25" s="54">
        <v>795.22</v>
      </c>
      <c r="T25" s="54">
        <v>577.75</v>
      </c>
      <c r="U25" s="54">
        <v>217.47000000000003</v>
      </c>
      <c r="V25" s="53">
        <v>0.27347149216569</v>
      </c>
      <c r="W25" s="53">
        <v>0.6</v>
      </c>
      <c r="X25" s="55">
        <v>101.29362180874081</v>
      </c>
      <c r="Y25" s="55">
        <v>61.20621468124544</v>
      </c>
      <c r="Z25" s="53">
        <v>0.4054</v>
      </c>
      <c r="AA25" s="56">
        <v>0.3227</v>
      </c>
      <c r="AB25" s="57"/>
      <c r="AD25" s="35" t="s">
        <v>92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93</v>
      </c>
      <c r="D26" s="55">
        <v>150850.82</v>
      </c>
      <c r="E26" s="55">
        <v>144370.8</v>
      </c>
      <c r="F26" s="52">
        <v>6480.020000000019</v>
      </c>
      <c r="G26" s="53">
        <v>0.042956478459978</v>
      </c>
      <c r="H26" s="52">
        <v>102178.42</v>
      </c>
      <c r="I26" s="52">
        <v>87101.11</v>
      </c>
      <c r="J26" s="52">
        <v>62464.86</v>
      </c>
      <c r="K26" s="52">
        <v>57898.75</v>
      </c>
      <c r="L26" s="52">
        <v>4566.110000000001</v>
      </c>
      <c r="M26" s="53">
        <v>0.07309885910254182</v>
      </c>
      <c r="N26" s="53"/>
      <c r="O26" s="52">
        <v>39713.56</v>
      </c>
      <c r="P26" s="52">
        <v>29202.36</v>
      </c>
      <c r="Q26" s="52">
        <v>10511.199999999997</v>
      </c>
      <c r="R26" s="53">
        <v>0.26467534011053145</v>
      </c>
      <c r="S26" s="54">
        <v>795.22</v>
      </c>
      <c r="T26" s="54">
        <v>594.5</v>
      </c>
      <c r="U26" s="54">
        <v>200.72000000000003</v>
      </c>
      <c r="V26" s="53">
        <v>0.25240813862830414</v>
      </c>
      <c r="W26" s="53"/>
      <c r="X26" s="55">
        <v>96.3325315391085</v>
      </c>
      <c r="Y26" s="55">
        <v>61.20621468124544</v>
      </c>
      <c r="Z26" s="53">
        <v>0.3967</v>
      </c>
      <c r="AA26" s="56">
        <v>0.3227</v>
      </c>
      <c r="AB26" s="57"/>
      <c r="AD26" s="35" t="s">
        <v>94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95</v>
      </c>
      <c r="D27" s="55"/>
      <c r="E27" s="55"/>
      <c r="F27" s="52"/>
      <c r="G27" s="53"/>
      <c r="H27" s="52"/>
      <c r="I27" s="52"/>
      <c r="J27" s="52"/>
      <c r="K27" s="52"/>
      <c r="L27" s="52"/>
      <c r="M27" s="53"/>
      <c r="N27" s="53"/>
      <c r="O27" s="52"/>
      <c r="P27" s="52"/>
      <c r="Q27" s="52"/>
      <c r="R27" s="53"/>
      <c r="S27" s="54"/>
      <c r="T27" s="54"/>
      <c r="U27" s="54"/>
      <c r="V27" s="53"/>
      <c r="W27" s="53"/>
      <c r="X27" s="55"/>
      <c r="Y27" s="55"/>
      <c r="Z27" s="53"/>
      <c r="AA27" s="56"/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96</v>
      </c>
      <c r="D28" s="55"/>
      <c r="E28" s="55"/>
      <c r="F28" s="52"/>
      <c r="G28" s="53"/>
      <c r="H28" s="52"/>
      <c r="I28" s="52"/>
      <c r="J28" s="52"/>
      <c r="K28" s="52"/>
      <c r="L28" s="52"/>
      <c r="M28" s="53"/>
      <c r="N28" s="53"/>
      <c r="O28" s="52"/>
      <c r="P28" s="52"/>
      <c r="Q28" s="52"/>
      <c r="R28" s="53"/>
      <c r="S28" s="54"/>
      <c r="T28" s="54"/>
      <c r="U28" s="54"/>
      <c r="V28" s="53"/>
      <c r="W28" s="53"/>
      <c r="X28" s="55"/>
      <c r="Y28" s="55"/>
      <c r="Z28" s="53"/>
      <c r="AA28" s="56"/>
      <c r="AB28" s="57"/>
      <c r="AD28" s="35" t="s">
        <v>97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98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99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91</v>
      </c>
      <c r="D32" s="52">
        <v>396422.03</v>
      </c>
      <c r="E32" s="52">
        <v>259347.71</v>
      </c>
      <c r="F32" s="52">
        <v>137074.32000000004</v>
      </c>
      <c r="G32" s="53">
        <v>0.3457787651205964</v>
      </c>
      <c r="H32" s="52">
        <v>327431.12</v>
      </c>
      <c r="I32" s="52">
        <v>216344.6</v>
      </c>
      <c r="J32" s="62">
        <v>271519.78</v>
      </c>
      <c r="K32" s="52">
        <v>195955.93</v>
      </c>
      <c r="L32" s="52">
        <v>75563.85000000003</v>
      </c>
      <c r="M32" s="53">
        <v>0.2782996141201942</v>
      </c>
      <c r="N32" s="64"/>
      <c r="O32" s="52">
        <v>55911.34</v>
      </c>
      <c r="P32" s="52">
        <v>20388.67</v>
      </c>
      <c r="Q32" s="52">
        <v>35522.67</v>
      </c>
      <c r="R32" s="53">
        <v>0.635339271067372</v>
      </c>
      <c r="S32" s="54">
        <v>1120.27</v>
      </c>
      <c r="T32" s="54">
        <v>476.25</v>
      </c>
      <c r="U32" s="54">
        <v>644.02</v>
      </c>
      <c r="V32" s="53">
        <v>0.5748792701759398</v>
      </c>
      <c r="W32" s="53">
        <v>0.4</v>
      </c>
      <c r="X32" s="55">
        <v>90.2952440944882</v>
      </c>
      <c r="Y32" s="55">
        <v>61.5841822414239</v>
      </c>
      <c r="Z32" s="53">
        <v>0.16579999999999998</v>
      </c>
      <c r="AA32" s="56">
        <v>0.174</v>
      </c>
      <c r="AB32" s="57"/>
      <c r="AD32" s="35" t="s">
        <v>92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93</v>
      </c>
      <c r="D33" s="52">
        <v>396422.03</v>
      </c>
      <c r="E33" s="52">
        <v>259347.71</v>
      </c>
      <c r="F33" s="52">
        <v>137074.32000000004</v>
      </c>
      <c r="G33" s="53">
        <v>0.3457787651205964</v>
      </c>
      <c r="H33" s="52">
        <v>327431.12</v>
      </c>
      <c r="I33" s="65">
        <v>220187.84</v>
      </c>
      <c r="J33" s="52">
        <v>271519.78</v>
      </c>
      <c r="K33" s="52">
        <v>196879.33</v>
      </c>
      <c r="L33" s="52">
        <v>74640.45000000004</v>
      </c>
      <c r="M33" s="53">
        <v>0.27489875691561044</v>
      </c>
      <c r="N33" s="53"/>
      <c r="O33" s="52">
        <v>55911.34</v>
      </c>
      <c r="P33" s="52">
        <v>23308.51</v>
      </c>
      <c r="Q33" s="52">
        <v>32602.829999999998</v>
      </c>
      <c r="R33" s="53">
        <v>0.5831165913748445</v>
      </c>
      <c r="S33" s="54">
        <v>1120.27</v>
      </c>
      <c r="T33" s="54">
        <v>543.5</v>
      </c>
      <c r="U33" s="54">
        <v>576.77</v>
      </c>
      <c r="V33" s="53">
        <v>0.514849098877949</v>
      </c>
      <c r="W33" s="53"/>
      <c r="X33" s="55">
        <v>72.05127874885005</v>
      </c>
      <c r="Y33" s="55">
        <v>61.5841822414239</v>
      </c>
      <c r="Z33" s="53">
        <v>0.151</v>
      </c>
      <c r="AA33" s="56">
        <v>0.174</v>
      </c>
      <c r="AB33" s="57"/>
      <c r="AD33" s="35" t="s">
        <v>94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95</v>
      </c>
      <c r="D34" s="52"/>
      <c r="E34" s="52"/>
      <c r="F34" s="52"/>
      <c r="G34" s="53"/>
      <c r="H34" s="52"/>
      <c r="I34" s="65"/>
      <c r="J34" s="52"/>
      <c r="K34" s="52"/>
      <c r="L34" s="52"/>
      <c r="M34" s="53"/>
      <c r="N34" s="53"/>
      <c r="O34" s="52"/>
      <c r="P34" s="52"/>
      <c r="Q34" s="52"/>
      <c r="R34" s="53"/>
      <c r="S34" s="54"/>
      <c r="T34" s="54"/>
      <c r="U34" s="54"/>
      <c r="V34" s="53"/>
      <c r="W34" s="53"/>
      <c r="X34" s="55"/>
      <c r="Y34" s="55"/>
      <c r="Z34" s="53"/>
      <c r="AA34" s="56"/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96</v>
      </c>
      <c r="D35" s="52"/>
      <c r="E35" s="52"/>
      <c r="F35" s="52"/>
      <c r="G35" s="53"/>
      <c r="H35" s="52"/>
      <c r="I35" s="65"/>
      <c r="J35" s="52"/>
      <c r="K35" s="52"/>
      <c r="L35" s="52"/>
      <c r="M35" s="53"/>
      <c r="N35" s="53"/>
      <c r="O35" s="52"/>
      <c r="P35" s="52"/>
      <c r="Q35" s="52"/>
      <c r="R35" s="53"/>
      <c r="S35" s="54"/>
      <c r="T35" s="54"/>
      <c r="U35" s="54"/>
      <c r="V35" s="53"/>
      <c r="W35" s="53"/>
      <c r="X35" s="55"/>
      <c r="Y35" s="55"/>
      <c r="Z35" s="53"/>
      <c r="AA35" s="56"/>
      <c r="AB35" s="57"/>
      <c r="AD35" s="35" t="s">
        <v>97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98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99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91</v>
      </c>
      <c r="D39" s="52">
        <v>128258.5</v>
      </c>
      <c r="E39" s="52">
        <v>53944.83</v>
      </c>
      <c r="F39" s="52">
        <v>74313.67</v>
      </c>
      <c r="G39" s="53">
        <v>0.5794054195238522</v>
      </c>
      <c r="H39" s="52">
        <v>94098.32</v>
      </c>
      <c r="I39" s="52">
        <v>42273.69</v>
      </c>
      <c r="J39" s="52">
        <v>69042.09000000001</v>
      </c>
      <c r="K39" s="52">
        <v>35075.75</v>
      </c>
      <c r="L39" s="52">
        <v>33966.34000000001</v>
      </c>
      <c r="M39" s="53">
        <v>0.4919656980256537</v>
      </c>
      <c r="N39" s="53"/>
      <c r="O39" s="52">
        <v>25056.23</v>
      </c>
      <c r="P39" s="52">
        <v>7197.94</v>
      </c>
      <c r="Q39" s="52">
        <v>17858.29</v>
      </c>
      <c r="R39" s="53">
        <v>0.7127285309881016</v>
      </c>
      <c r="S39" s="54">
        <v>501.83</v>
      </c>
      <c r="T39" s="54">
        <v>143</v>
      </c>
      <c r="U39" s="54">
        <v>358.83</v>
      </c>
      <c r="V39" s="53">
        <v>0.715042942829245</v>
      </c>
      <c r="W39" s="53">
        <v>0.4</v>
      </c>
      <c r="X39" s="55">
        <v>81.61636363636363</v>
      </c>
      <c r="Y39" s="55">
        <v>68.07122423898531</v>
      </c>
      <c r="Z39" s="53">
        <v>0.2164</v>
      </c>
      <c r="AA39" s="56">
        <v>0.2663</v>
      </c>
      <c r="AB39" s="57"/>
      <c r="AD39" s="35" t="s">
        <v>92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93</v>
      </c>
      <c r="D40" s="52">
        <v>128258.5</v>
      </c>
      <c r="E40" s="52">
        <v>53944.83</v>
      </c>
      <c r="F40" s="52">
        <v>74313.67</v>
      </c>
      <c r="G40" s="53">
        <v>0.5794054195238522</v>
      </c>
      <c r="H40" s="52">
        <v>94098.32</v>
      </c>
      <c r="I40" s="52">
        <v>46289.42</v>
      </c>
      <c r="J40" s="52">
        <v>69042.09000000001</v>
      </c>
      <c r="K40" s="52">
        <v>35507.08</v>
      </c>
      <c r="L40" s="52">
        <v>33535.01000000001</v>
      </c>
      <c r="M40" s="53">
        <v>0.4857183494879718</v>
      </c>
      <c r="N40" s="53"/>
      <c r="O40" s="52">
        <v>25056.23</v>
      </c>
      <c r="P40" s="52">
        <v>10782.34</v>
      </c>
      <c r="Q40" s="52">
        <v>14273.89</v>
      </c>
      <c r="R40" s="53">
        <v>0.5696742885901032</v>
      </c>
      <c r="S40" s="54">
        <v>501.83</v>
      </c>
      <c r="T40" s="54">
        <v>232.25</v>
      </c>
      <c r="U40" s="54">
        <v>269.58</v>
      </c>
      <c r="V40" s="53">
        <v>0.5371938704342107</v>
      </c>
      <c r="W40" s="53"/>
      <c r="X40" s="55">
        <v>32.96193756727664</v>
      </c>
      <c r="Y40" s="55">
        <v>68.07122423898531</v>
      </c>
      <c r="Z40" s="53">
        <v>0.1419</v>
      </c>
      <c r="AA40" s="56">
        <v>0.2663</v>
      </c>
      <c r="AB40" s="57"/>
      <c r="AD40" s="35" t="s">
        <v>94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95</v>
      </c>
      <c r="D41" s="52"/>
      <c r="E41" s="52"/>
      <c r="F41" s="52"/>
      <c r="G41" s="53"/>
      <c r="H41" s="52"/>
      <c r="I41" s="52"/>
      <c r="J41" s="52"/>
      <c r="K41" s="52"/>
      <c r="L41" s="52"/>
      <c r="M41" s="53"/>
      <c r="N41" s="53"/>
      <c r="O41" s="52"/>
      <c r="P41" s="52"/>
      <c r="Q41" s="52"/>
      <c r="R41" s="53"/>
      <c r="S41" s="54"/>
      <c r="T41" s="54"/>
      <c r="U41" s="54"/>
      <c r="V41" s="53"/>
      <c r="W41" s="53"/>
      <c r="X41" s="55"/>
      <c r="Y41" s="55"/>
      <c r="Z41" s="53"/>
      <c r="AA41" s="56"/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96</v>
      </c>
      <c r="D42" s="52"/>
      <c r="E42" s="52"/>
      <c r="F42" s="52"/>
      <c r="G42" s="53"/>
      <c r="H42" s="52"/>
      <c r="I42" s="52"/>
      <c r="J42" s="52"/>
      <c r="K42" s="52"/>
      <c r="L42" s="52"/>
      <c r="M42" s="53"/>
      <c r="N42" s="53"/>
      <c r="O42" s="52"/>
      <c r="P42" s="52"/>
      <c r="Q42" s="52"/>
      <c r="R42" s="53"/>
      <c r="S42" s="54"/>
      <c r="T42" s="54"/>
      <c r="U42" s="54"/>
      <c r="V42" s="53"/>
      <c r="W42" s="53"/>
      <c r="X42" s="55"/>
      <c r="Y42" s="55"/>
      <c r="Z42" s="53"/>
      <c r="AA42" s="56"/>
      <c r="AB42" s="57"/>
      <c r="AD42" s="35" t="s">
        <v>97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98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99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91</v>
      </c>
      <c r="D46" s="52">
        <v>65693.36</v>
      </c>
      <c r="E46" s="52">
        <v>33326.49</v>
      </c>
      <c r="F46" s="52">
        <v>32366.870000000003</v>
      </c>
      <c r="G46" s="53">
        <v>0.49269621769993194</v>
      </c>
      <c r="H46" s="52">
        <v>50582.37</v>
      </c>
      <c r="I46" s="52">
        <v>25211.58</v>
      </c>
      <c r="J46" s="52">
        <v>39438.990000000005</v>
      </c>
      <c r="K46" s="52">
        <v>20456.640000000003</v>
      </c>
      <c r="L46" s="52">
        <v>18982.350000000002</v>
      </c>
      <c r="M46" s="53">
        <v>0.4813092323104623</v>
      </c>
      <c r="N46" s="53">
        <v>0</v>
      </c>
      <c r="O46" s="52">
        <v>11143.38</v>
      </c>
      <c r="P46" s="52">
        <v>4754.94</v>
      </c>
      <c r="Q46" s="52">
        <v>6388.44</v>
      </c>
      <c r="R46" s="53">
        <v>0.5732946377131535</v>
      </c>
      <c r="S46" s="54">
        <v>223.22</v>
      </c>
      <c r="T46" s="54">
        <v>104.25</v>
      </c>
      <c r="U46" s="54">
        <v>118.97</v>
      </c>
      <c r="V46" s="53">
        <v>0.5329719559179285</v>
      </c>
      <c r="W46" s="53">
        <v>0.4</v>
      </c>
      <c r="X46" s="55">
        <v>77.84086330935251</v>
      </c>
      <c r="Y46" s="55">
        <v>67.69550512136009</v>
      </c>
      <c r="Z46" s="53">
        <v>0.24350000000000002</v>
      </c>
      <c r="AA46" s="56">
        <v>0.23</v>
      </c>
      <c r="AB46" s="57"/>
      <c r="AD46" s="35" t="s">
        <v>92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93</v>
      </c>
      <c r="D47" s="52">
        <v>65693.36</v>
      </c>
      <c r="E47" s="52">
        <v>33326.49</v>
      </c>
      <c r="F47" s="52">
        <v>32366.870000000003</v>
      </c>
      <c r="G47" s="53">
        <v>0.49269621769993194</v>
      </c>
      <c r="H47" s="52">
        <v>50582.37</v>
      </c>
      <c r="I47" s="52">
        <v>25187.36</v>
      </c>
      <c r="J47" s="52">
        <v>39438.990000000005</v>
      </c>
      <c r="K47" s="52">
        <v>20432.420000000002</v>
      </c>
      <c r="L47" s="52">
        <v>19006.570000000003</v>
      </c>
      <c r="M47" s="53">
        <v>0.48192334540007237</v>
      </c>
      <c r="N47" s="53"/>
      <c r="O47" s="52">
        <v>11143.38</v>
      </c>
      <c r="P47" s="52">
        <v>4754.94</v>
      </c>
      <c r="Q47" s="52">
        <v>6388.44</v>
      </c>
      <c r="R47" s="53">
        <v>0.5732946377131535</v>
      </c>
      <c r="S47" s="54">
        <v>223.22</v>
      </c>
      <c r="T47" s="54">
        <v>104.25</v>
      </c>
      <c r="U47" s="54">
        <v>118.97</v>
      </c>
      <c r="V47" s="53">
        <v>0.5329719559179285</v>
      </c>
      <c r="W47" s="53"/>
      <c r="X47" s="55">
        <v>78.07318944844125</v>
      </c>
      <c r="Y47" s="55">
        <v>67.69550512136009</v>
      </c>
      <c r="Z47" s="53">
        <v>0.24420000000000003</v>
      </c>
      <c r="AA47" s="56">
        <v>0.23</v>
      </c>
      <c r="AB47" s="57"/>
      <c r="AD47" s="35" t="s">
        <v>94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95</v>
      </c>
      <c r="D48" s="52"/>
      <c r="E48" s="52"/>
      <c r="F48" s="52"/>
      <c r="G48" s="53"/>
      <c r="H48" s="52"/>
      <c r="I48" s="52"/>
      <c r="J48" s="52"/>
      <c r="K48" s="52"/>
      <c r="L48" s="52"/>
      <c r="M48" s="53"/>
      <c r="N48" s="53"/>
      <c r="O48" s="52"/>
      <c r="P48" s="52"/>
      <c r="Q48" s="52"/>
      <c r="R48" s="53"/>
      <c r="S48" s="54"/>
      <c r="T48" s="54"/>
      <c r="U48" s="54"/>
      <c r="V48" s="53"/>
      <c r="W48" s="53"/>
      <c r="X48" s="55"/>
      <c r="Y48" s="55"/>
      <c r="Z48" s="53"/>
      <c r="AA48" s="56"/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96</v>
      </c>
      <c r="D49" s="52"/>
      <c r="E49" s="52"/>
      <c r="F49" s="52"/>
      <c r="G49" s="53"/>
      <c r="H49" s="52"/>
      <c r="I49" s="52"/>
      <c r="J49" s="52"/>
      <c r="K49" s="52"/>
      <c r="L49" s="52"/>
      <c r="M49" s="53"/>
      <c r="N49" s="53"/>
      <c r="O49" s="52"/>
      <c r="P49" s="52"/>
      <c r="Q49" s="52"/>
      <c r="R49" s="53"/>
      <c r="S49" s="54"/>
      <c r="T49" s="54"/>
      <c r="U49" s="54"/>
      <c r="V49" s="53"/>
      <c r="W49" s="53"/>
      <c r="X49" s="55"/>
      <c r="Y49" s="55"/>
      <c r="Z49" s="53"/>
      <c r="AA49" s="56"/>
      <c r="AB49" s="57"/>
      <c r="AD49" s="35" t="s">
        <v>97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98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99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91</v>
      </c>
      <c r="D53" s="52">
        <v>155296.79</v>
      </c>
      <c r="E53" s="52">
        <v>127814.48</v>
      </c>
      <c r="F53" s="52">
        <v>27482.310000000012</v>
      </c>
      <c r="G53" s="53">
        <v>0.176966375158173</v>
      </c>
      <c r="H53" s="52">
        <v>109364.97</v>
      </c>
      <c r="I53" s="52">
        <v>95320.51</v>
      </c>
      <c r="J53" s="52">
        <v>75135.01000000001</v>
      </c>
      <c r="K53" s="52">
        <v>71614.54999999999</v>
      </c>
      <c r="L53" s="52">
        <v>3520.460000000021</v>
      </c>
      <c r="M53" s="53">
        <v>0.04685512120115537</v>
      </c>
      <c r="N53" s="53"/>
      <c r="O53" s="52">
        <v>34229.96</v>
      </c>
      <c r="P53" s="52">
        <v>23705.96</v>
      </c>
      <c r="Q53" s="52">
        <v>10524</v>
      </c>
      <c r="R53" s="53">
        <v>0.3074499648845631</v>
      </c>
      <c r="S53" s="54">
        <v>685.48</v>
      </c>
      <c r="T53" s="54">
        <v>502.25</v>
      </c>
      <c r="U53" s="54">
        <v>183.23000000000002</v>
      </c>
      <c r="V53" s="53">
        <v>0.26730174476279395</v>
      </c>
      <c r="W53" s="53">
        <v>0.3</v>
      </c>
      <c r="X53" s="55">
        <v>64.6968043802887</v>
      </c>
      <c r="Y53" s="55">
        <v>67.00679527854935</v>
      </c>
      <c r="Z53" s="53">
        <v>0.25420000000000004</v>
      </c>
      <c r="AA53" s="56">
        <v>0.2958</v>
      </c>
      <c r="AB53" s="57"/>
      <c r="AD53" s="35" t="s">
        <v>92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93</v>
      </c>
      <c r="D54" s="52">
        <v>155296.79</v>
      </c>
      <c r="E54" s="52">
        <v>127814.48</v>
      </c>
      <c r="F54" s="52">
        <v>27482.310000000012</v>
      </c>
      <c r="G54" s="53">
        <v>0.176966375158173</v>
      </c>
      <c r="H54" s="52">
        <v>109364.97</v>
      </c>
      <c r="I54" s="52">
        <v>95597.19</v>
      </c>
      <c r="J54" s="52">
        <v>75135.01000000001</v>
      </c>
      <c r="K54" s="52">
        <v>71143.79000000001</v>
      </c>
      <c r="L54" s="52">
        <v>3991.220000000001</v>
      </c>
      <c r="M54" s="53">
        <v>0.05312064242754477</v>
      </c>
      <c r="N54" s="53"/>
      <c r="O54" s="52">
        <v>34229.96</v>
      </c>
      <c r="P54" s="52">
        <v>24453.4</v>
      </c>
      <c r="Q54" s="52">
        <v>9776.559999999998</v>
      </c>
      <c r="R54" s="53">
        <v>0.28561412283274645</v>
      </c>
      <c r="S54" s="54">
        <v>685.48</v>
      </c>
      <c r="T54" s="54">
        <v>517.75</v>
      </c>
      <c r="U54" s="54">
        <v>167.73000000000002</v>
      </c>
      <c r="V54" s="53">
        <v>0.24468985236622515</v>
      </c>
      <c r="W54" s="53"/>
      <c r="X54" s="55">
        <v>62.22557218734911</v>
      </c>
      <c r="Y54" s="55">
        <v>67.00679527854935</v>
      </c>
      <c r="Z54" s="53">
        <v>0.2521</v>
      </c>
      <c r="AA54" s="56">
        <v>0.2958</v>
      </c>
      <c r="AB54" s="57"/>
      <c r="AD54" s="35" t="s">
        <v>94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95</v>
      </c>
      <c r="D55" s="52"/>
      <c r="E55" s="52"/>
      <c r="F55" s="52"/>
      <c r="G55" s="53"/>
      <c r="H55" s="52"/>
      <c r="I55" s="52"/>
      <c r="J55" s="52"/>
      <c r="K55" s="52"/>
      <c r="L55" s="52"/>
      <c r="M55" s="53"/>
      <c r="N55" s="53"/>
      <c r="O55" s="52"/>
      <c r="P55" s="52"/>
      <c r="Q55" s="52"/>
      <c r="R55" s="53"/>
      <c r="S55" s="54"/>
      <c r="T55" s="54"/>
      <c r="U55" s="54"/>
      <c r="V55" s="53"/>
      <c r="W55" s="53"/>
      <c r="X55" s="55"/>
      <c r="Y55" s="55"/>
      <c r="Z55" s="53"/>
      <c r="AA55" s="56"/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96</v>
      </c>
      <c r="D56" s="52"/>
      <c r="E56" s="52"/>
      <c r="F56" s="52"/>
      <c r="G56" s="53"/>
      <c r="H56" s="52"/>
      <c r="I56" s="52"/>
      <c r="J56" s="52"/>
      <c r="K56" s="52"/>
      <c r="L56" s="52"/>
      <c r="M56" s="53"/>
      <c r="N56" s="53"/>
      <c r="O56" s="52"/>
      <c r="P56" s="52"/>
      <c r="Q56" s="52"/>
      <c r="R56" s="53"/>
      <c r="S56" s="54"/>
      <c r="T56" s="54"/>
      <c r="U56" s="54"/>
      <c r="V56" s="53"/>
      <c r="W56" s="53"/>
      <c r="X56" s="55"/>
      <c r="Y56" s="55"/>
      <c r="Z56" s="53"/>
      <c r="AA56" s="56"/>
      <c r="AB56" s="57"/>
      <c r="AD56" s="35" t="s">
        <v>97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98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99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91</v>
      </c>
      <c r="D60" s="52">
        <v>20420.56</v>
      </c>
      <c r="E60" s="52">
        <v>20420.56</v>
      </c>
      <c r="F60" s="52">
        <v>0</v>
      </c>
      <c r="G60" s="53">
        <v>0</v>
      </c>
      <c r="H60" s="52">
        <v>15859.68</v>
      </c>
      <c r="I60" s="52">
        <v>13435.12</v>
      </c>
      <c r="J60" s="52">
        <v>12689.1</v>
      </c>
      <c r="K60" s="52">
        <v>11478.25</v>
      </c>
      <c r="L60" s="52">
        <v>1210.8500000000004</v>
      </c>
      <c r="M60" s="53">
        <v>0.09542441938356545</v>
      </c>
      <c r="N60" s="53"/>
      <c r="O60" s="52">
        <v>3170.58</v>
      </c>
      <c r="P60" s="52">
        <v>1956.87</v>
      </c>
      <c r="Q60" s="52">
        <v>1213.71</v>
      </c>
      <c r="R60" s="53">
        <v>0.38280377722687964</v>
      </c>
      <c r="S60" s="54">
        <v>63.5</v>
      </c>
      <c r="T60" s="54">
        <v>48.25</v>
      </c>
      <c r="U60" s="54">
        <v>15.25</v>
      </c>
      <c r="V60" s="53">
        <v>0.24015748031496062</v>
      </c>
      <c r="W60" s="53">
        <v>0.4</v>
      </c>
      <c r="X60" s="55">
        <v>144.7759585492228</v>
      </c>
      <c r="Y60" s="55">
        <v>71.82495570677168</v>
      </c>
      <c r="Z60" s="53">
        <v>0.3421</v>
      </c>
      <c r="AA60" s="56">
        <v>0.2233</v>
      </c>
      <c r="AB60" s="57"/>
      <c r="AD60" s="35" t="s">
        <v>92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93</v>
      </c>
      <c r="D61" s="52">
        <v>20420.56</v>
      </c>
      <c r="E61" s="52">
        <v>20420.56</v>
      </c>
      <c r="F61" s="52">
        <v>0</v>
      </c>
      <c r="G61" s="53">
        <v>0</v>
      </c>
      <c r="H61" s="52">
        <v>15859.68</v>
      </c>
      <c r="I61" s="52">
        <v>13435.12</v>
      </c>
      <c r="J61" s="52">
        <v>12689.1</v>
      </c>
      <c r="K61" s="52">
        <v>11478.25</v>
      </c>
      <c r="L61" s="52">
        <v>1210.8500000000004</v>
      </c>
      <c r="M61" s="53">
        <v>0.09542441938356545</v>
      </c>
      <c r="N61" s="53"/>
      <c r="O61" s="52">
        <v>3170.58</v>
      </c>
      <c r="P61" s="52">
        <v>1956.87</v>
      </c>
      <c r="Q61" s="52">
        <v>1213.71</v>
      </c>
      <c r="R61" s="53">
        <v>0.38280377722687964</v>
      </c>
      <c r="S61" s="54">
        <v>63.5</v>
      </c>
      <c r="T61" s="54">
        <v>48.25</v>
      </c>
      <c r="U61" s="54">
        <v>15.25</v>
      </c>
      <c r="V61" s="53">
        <v>0.24015748031496062</v>
      </c>
      <c r="W61" s="53"/>
      <c r="X61" s="55">
        <v>144.7759585492228</v>
      </c>
      <c r="Y61" s="55">
        <v>71.82495570677168</v>
      </c>
      <c r="Z61" s="53">
        <v>0.3421</v>
      </c>
      <c r="AA61" s="56">
        <v>0.2233</v>
      </c>
      <c r="AB61" s="57"/>
      <c r="AD61" s="35" t="s">
        <v>94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95</v>
      </c>
      <c r="D62" s="52"/>
      <c r="E62" s="52"/>
      <c r="F62" s="52"/>
      <c r="G62" s="53"/>
      <c r="H62" s="52"/>
      <c r="I62" s="52"/>
      <c r="J62" s="52"/>
      <c r="K62" s="52"/>
      <c r="L62" s="52"/>
      <c r="M62" s="53"/>
      <c r="N62" s="53"/>
      <c r="O62" s="52"/>
      <c r="P62" s="52"/>
      <c r="Q62" s="52"/>
      <c r="R62" s="53"/>
      <c r="S62" s="54"/>
      <c r="T62" s="54"/>
      <c r="U62" s="54"/>
      <c r="V62" s="53"/>
      <c r="W62" s="53"/>
      <c r="X62" s="55"/>
      <c r="Y62" s="55"/>
      <c r="Z62" s="53"/>
      <c r="AA62" s="56"/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96</v>
      </c>
      <c r="D63" s="52"/>
      <c r="E63" s="52"/>
      <c r="F63" s="52"/>
      <c r="G63" s="53"/>
      <c r="H63" s="52"/>
      <c r="I63" s="52"/>
      <c r="J63" s="52"/>
      <c r="K63" s="52"/>
      <c r="L63" s="52"/>
      <c r="M63" s="53"/>
      <c r="N63" s="53"/>
      <c r="O63" s="52"/>
      <c r="P63" s="52"/>
      <c r="Q63" s="52"/>
      <c r="R63" s="53"/>
      <c r="S63" s="54"/>
      <c r="T63" s="54"/>
      <c r="U63" s="54"/>
      <c r="V63" s="53"/>
      <c r="W63" s="53"/>
      <c r="X63" s="55"/>
      <c r="Y63" s="55"/>
      <c r="Z63" s="53"/>
      <c r="AA63" s="56"/>
      <c r="AB63" s="57"/>
      <c r="AD63" s="35" t="s">
        <v>97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98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99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91</v>
      </c>
      <c r="D67" s="52">
        <v>47801.68</v>
      </c>
      <c r="E67" s="52">
        <v>10650.43</v>
      </c>
      <c r="F67" s="52">
        <v>37151.25</v>
      </c>
      <c r="G67" s="53">
        <v>0.7771954876899724</v>
      </c>
      <c r="H67" s="52">
        <v>35572.59</v>
      </c>
      <c r="I67" s="52">
        <v>9981.43</v>
      </c>
      <c r="J67" s="52">
        <v>27136.549999999996</v>
      </c>
      <c r="K67" s="52">
        <v>9832.65</v>
      </c>
      <c r="L67" s="52">
        <v>17303.899999999994</v>
      </c>
      <c r="M67" s="53">
        <v>0.6376602773749794</v>
      </c>
      <c r="N67" s="53"/>
      <c r="O67" s="52">
        <v>8436.04</v>
      </c>
      <c r="P67" s="52">
        <v>148.78</v>
      </c>
      <c r="Q67" s="52">
        <v>8287.26</v>
      </c>
      <c r="R67" s="53">
        <v>0.9823637630926358</v>
      </c>
      <c r="S67" s="54">
        <v>169.32</v>
      </c>
      <c r="T67" s="54">
        <v>2.75</v>
      </c>
      <c r="U67" s="54">
        <v>166.57</v>
      </c>
      <c r="V67" s="53">
        <v>0.9837585636664304</v>
      </c>
      <c r="W67" s="53"/>
      <c r="X67" s="55">
        <v>243.27272727272728</v>
      </c>
      <c r="Y67" s="55">
        <v>72.22475431425701</v>
      </c>
      <c r="Z67" s="53">
        <v>0.06280000000000001</v>
      </c>
      <c r="AA67" s="56">
        <v>0.2558</v>
      </c>
      <c r="AB67" s="57"/>
      <c r="AD67" s="35" t="s">
        <v>92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93</v>
      </c>
      <c r="D68" s="52">
        <v>47801.68</v>
      </c>
      <c r="E68" s="52">
        <v>10650.43</v>
      </c>
      <c r="F68" s="52">
        <v>37151.25</v>
      </c>
      <c r="G68" s="53">
        <v>0.7771954876899724</v>
      </c>
      <c r="H68" s="52">
        <v>35572.59</v>
      </c>
      <c r="I68" s="52">
        <v>10547.08</v>
      </c>
      <c r="J68" s="52">
        <v>27136.549999999996</v>
      </c>
      <c r="K68" s="52">
        <v>10398.3</v>
      </c>
      <c r="L68" s="52">
        <v>16738.249999999996</v>
      </c>
      <c r="M68" s="53">
        <v>0.6168156969106242</v>
      </c>
      <c r="N68" s="53"/>
      <c r="O68" s="52">
        <v>8436.04</v>
      </c>
      <c r="P68" s="52">
        <v>148.78</v>
      </c>
      <c r="Q68" s="52">
        <v>8287.26</v>
      </c>
      <c r="R68" s="53">
        <v>0.9823637630926358</v>
      </c>
      <c r="S68" s="54">
        <v>169.32</v>
      </c>
      <c r="T68" s="54">
        <v>2.75</v>
      </c>
      <c r="U68" s="54">
        <v>166.57</v>
      </c>
      <c r="V68" s="53">
        <v>0.9837585636664304</v>
      </c>
      <c r="W68" s="53"/>
      <c r="X68" s="55">
        <v>37.58181818181818</v>
      </c>
      <c r="Y68" s="55">
        <v>72.22475431425701</v>
      </c>
      <c r="Z68" s="53">
        <v>0.0097</v>
      </c>
      <c r="AA68" s="56">
        <v>0.2558</v>
      </c>
      <c r="AB68" s="57"/>
      <c r="AD68" s="35" t="s">
        <v>94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95</v>
      </c>
      <c r="D69" s="52"/>
      <c r="E69" s="52"/>
      <c r="F69" s="52"/>
      <c r="G69" s="53"/>
      <c r="H69" s="52"/>
      <c r="I69" s="52"/>
      <c r="J69" s="52"/>
      <c r="K69" s="52"/>
      <c r="L69" s="52"/>
      <c r="M69" s="53"/>
      <c r="N69" s="53"/>
      <c r="O69" s="52"/>
      <c r="P69" s="52"/>
      <c r="Q69" s="52"/>
      <c r="R69" s="53"/>
      <c r="S69" s="54"/>
      <c r="T69" s="54"/>
      <c r="U69" s="54"/>
      <c r="V69" s="53"/>
      <c r="W69" s="53"/>
      <c r="X69" s="55"/>
      <c r="Y69" s="55"/>
      <c r="Z69" s="53"/>
      <c r="AA69" s="56"/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96</v>
      </c>
      <c r="D70" s="52"/>
      <c r="E70" s="52"/>
      <c r="F70" s="52"/>
      <c r="G70" s="53"/>
      <c r="H70" s="52"/>
      <c r="I70" s="52"/>
      <c r="J70" s="52"/>
      <c r="K70" s="52"/>
      <c r="L70" s="52"/>
      <c r="M70" s="53"/>
      <c r="N70" s="53"/>
      <c r="O70" s="52"/>
      <c r="P70" s="52"/>
      <c r="Q70" s="52"/>
      <c r="R70" s="53"/>
      <c r="S70" s="54"/>
      <c r="T70" s="54"/>
      <c r="U70" s="54"/>
      <c r="V70" s="53"/>
      <c r="W70" s="53"/>
      <c r="X70" s="55"/>
      <c r="Y70" s="55"/>
      <c r="Z70" s="53"/>
      <c r="AA70" s="56"/>
      <c r="AB70" s="57"/>
      <c r="AD70" s="35" t="s">
        <v>97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98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99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91</v>
      </c>
      <c r="D74" s="52">
        <v>77166.16</v>
      </c>
      <c r="E74" s="52">
        <v>44764.99</v>
      </c>
      <c r="F74" s="52">
        <v>32401.170000000006</v>
      </c>
      <c r="G74" s="53">
        <v>0.41988832928838243</v>
      </c>
      <c r="H74" s="52">
        <v>54302.66</v>
      </c>
      <c r="I74" s="52">
        <v>31918.93</v>
      </c>
      <c r="J74" s="52">
        <v>31383.390000000003</v>
      </c>
      <c r="K74" s="52">
        <v>27205.52</v>
      </c>
      <c r="L74" s="52">
        <v>4177.870000000003</v>
      </c>
      <c r="M74" s="53">
        <v>0.13312360455642308</v>
      </c>
      <c r="N74" s="53"/>
      <c r="O74" s="52">
        <v>22919.27</v>
      </c>
      <c r="P74" s="52">
        <v>4713.41</v>
      </c>
      <c r="Q74" s="52">
        <v>18205.86</v>
      </c>
      <c r="R74" s="53">
        <v>0.7943472894206491</v>
      </c>
      <c r="S74" s="54">
        <v>470.62</v>
      </c>
      <c r="T74" s="54">
        <v>96.25</v>
      </c>
      <c r="U74" s="54">
        <v>374.37</v>
      </c>
      <c r="V74" s="53">
        <v>0.7954825549275424</v>
      </c>
      <c r="W74" s="53">
        <v>0</v>
      </c>
      <c r="X74" s="55">
        <v>133.46555844155844</v>
      </c>
      <c r="Y74" s="55">
        <v>48.58165977967362</v>
      </c>
      <c r="Z74" s="53">
        <v>0.287</v>
      </c>
      <c r="AA74" s="56">
        <v>0.2963</v>
      </c>
      <c r="AB74" s="57"/>
      <c r="AD74" s="35" t="s">
        <v>92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93</v>
      </c>
      <c r="D75" s="52">
        <v>77166.16</v>
      </c>
      <c r="E75" s="52">
        <v>44764.99</v>
      </c>
      <c r="F75" s="52">
        <v>32401.170000000006</v>
      </c>
      <c r="G75" s="53">
        <v>0.41988832928838243</v>
      </c>
      <c r="H75" s="52">
        <v>54302.66</v>
      </c>
      <c r="I75" s="52">
        <v>33447.19</v>
      </c>
      <c r="J75" s="52">
        <v>31383.390000000003</v>
      </c>
      <c r="K75" s="52">
        <v>27343.140000000003</v>
      </c>
      <c r="L75" s="52">
        <v>4040.25</v>
      </c>
      <c r="M75" s="53">
        <v>0.128738482362804</v>
      </c>
      <c r="N75" s="53"/>
      <c r="O75" s="52">
        <v>22919.27</v>
      </c>
      <c r="P75" s="52">
        <v>6104.05</v>
      </c>
      <c r="Q75" s="52">
        <v>16815.22</v>
      </c>
      <c r="R75" s="53">
        <v>0.7336717094392623</v>
      </c>
      <c r="S75" s="54">
        <v>470.62</v>
      </c>
      <c r="T75" s="54">
        <v>120.25</v>
      </c>
      <c r="U75" s="54">
        <v>350.37</v>
      </c>
      <c r="V75" s="53">
        <v>0.7444859971951894</v>
      </c>
      <c r="W75" s="53"/>
      <c r="X75" s="55">
        <v>94.11891891891891</v>
      </c>
      <c r="Y75" s="55">
        <v>48.58165977967362</v>
      </c>
      <c r="Z75" s="53">
        <v>0.2528</v>
      </c>
      <c r="AA75" s="56">
        <v>0.2963</v>
      </c>
      <c r="AB75" s="57"/>
      <c r="AD75" s="35" t="s">
        <v>94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95</v>
      </c>
      <c r="D76" s="52"/>
      <c r="E76" s="52"/>
      <c r="F76" s="52"/>
      <c r="G76" s="53"/>
      <c r="H76" s="52"/>
      <c r="I76" s="52"/>
      <c r="J76" s="52"/>
      <c r="K76" s="52"/>
      <c r="L76" s="52"/>
      <c r="M76" s="53"/>
      <c r="N76" s="53"/>
      <c r="O76" s="52"/>
      <c r="P76" s="52"/>
      <c r="Q76" s="52"/>
      <c r="R76" s="53"/>
      <c r="S76" s="54"/>
      <c r="T76" s="54"/>
      <c r="U76" s="54"/>
      <c r="V76" s="53"/>
      <c r="W76" s="53"/>
      <c r="X76" s="55"/>
      <c r="Y76" s="55"/>
      <c r="Z76" s="53"/>
      <c r="AA76" s="56"/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96</v>
      </c>
      <c r="D77" s="52"/>
      <c r="E77" s="52"/>
      <c r="F77" s="52"/>
      <c r="G77" s="53"/>
      <c r="H77" s="52"/>
      <c r="I77" s="52"/>
      <c r="J77" s="52"/>
      <c r="K77" s="52"/>
      <c r="L77" s="52"/>
      <c r="M77" s="53"/>
      <c r="N77" s="53"/>
      <c r="O77" s="52"/>
      <c r="P77" s="52"/>
      <c r="Q77" s="52"/>
      <c r="R77" s="53"/>
      <c r="S77" s="54"/>
      <c r="T77" s="54"/>
      <c r="U77" s="54"/>
      <c r="V77" s="53"/>
      <c r="W77" s="53"/>
      <c r="X77" s="55"/>
      <c r="Y77" s="55"/>
      <c r="Z77" s="53"/>
      <c r="AA77" s="56"/>
      <c r="AB77" s="57"/>
      <c r="AD77" s="35" t="s">
        <v>97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98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99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91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12958.24</v>
      </c>
      <c r="J81" s="52">
        <v>9659.990000000002</v>
      </c>
      <c r="K81" s="52">
        <v>5354.12</v>
      </c>
      <c r="L81" s="52">
        <v>4305.870000000002</v>
      </c>
      <c r="M81" s="53">
        <v>0.44574269745620865</v>
      </c>
      <c r="N81" s="53">
        <v>0</v>
      </c>
      <c r="O81" s="52">
        <v>6946.84</v>
      </c>
      <c r="P81" s="52">
        <v>7604.12</v>
      </c>
      <c r="Q81" s="52">
        <v>-657.2799999999997</v>
      </c>
      <c r="R81" s="53">
        <v>-0.09461568137455299</v>
      </c>
      <c r="S81" s="54">
        <v>139.07</v>
      </c>
      <c r="T81" s="54">
        <v>147.75</v>
      </c>
      <c r="U81" s="54">
        <v>-8.680000000000007</v>
      </c>
      <c r="V81" s="53">
        <v>-0.06241461134680382</v>
      </c>
      <c r="W81" s="53"/>
      <c r="X81" s="55">
        <v>44.94192893401015</v>
      </c>
      <c r="Y81" s="55">
        <v>63.7162162306752</v>
      </c>
      <c r="Z81" s="53">
        <v>0.33880000000000005</v>
      </c>
      <c r="AA81" s="56">
        <v>0.3479</v>
      </c>
      <c r="AB81" s="57"/>
      <c r="AD81" s="35" t="s">
        <v>92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93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12958.24</v>
      </c>
      <c r="J82" s="52">
        <v>9659.990000000002</v>
      </c>
      <c r="K82" s="52">
        <v>5354.12</v>
      </c>
      <c r="L82" s="52">
        <v>4305.870000000002</v>
      </c>
      <c r="M82" s="53">
        <v>0.44574269745620865</v>
      </c>
      <c r="N82" s="53"/>
      <c r="O82" s="52">
        <v>6946.84</v>
      </c>
      <c r="P82" s="52">
        <v>7604.12</v>
      </c>
      <c r="Q82" s="52">
        <v>-657.2799999999997</v>
      </c>
      <c r="R82" s="53">
        <v>-0.09461568137455299</v>
      </c>
      <c r="S82" s="54">
        <v>139.07</v>
      </c>
      <c r="T82" s="54">
        <v>147.75</v>
      </c>
      <c r="U82" s="54">
        <v>-8.680000000000007</v>
      </c>
      <c r="V82" s="53">
        <v>-0.06241461134680382</v>
      </c>
      <c r="W82" s="53"/>
      <c r="X82" s="55">
        <v>44.94192893401015</v>
      </c>
      <c r="Y82" s="55">
        <v>63.7162162306752</v>
      </c>
      <c r="Z82" s="53">
        <v>0.33880000000000005</v>
      </c>
      <c r="AA82" s="56">
        <v>0.3479</v>
      </c>
      <c r="AB82" s="57"/>
      <c r="AD82" s="35" t="s">
        <v>94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95</v>
      </c>
      <c r="D83" s="52"/>
      <c r="E83" s="52"/>
      <c r="F83" s="52"/>
      <c r="G83" s="53"/>
      <c r="H83" s="52"/>
      <c r="I83" s="52"/>
      <c r="J83" s="52"/>
      <c r="K83" s="52"/>
      <c r="L83" s="52"/>
      <c r="M83" s="53"/>
      <c r="N83" s="53"/>
      <c r="O83" s="52"/>
      <c r="P83" s="52"/>
      <c r="Q83" s="52"/>
      <c r="R83" s="53"/>
      <c r="S83" s="54"/>
      <c r="T83" s="54"/>
      <c r="U83" s="54"/>
      <c r="V83" s="53"/>
      <c r="W83" s="53"/>
      <c r="X83" s="55"/>
      <c r="Y83" s="55"/>
      <c r="Z83" s="53"/>
      <c r="AA83" s="56"/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96</v>
      </c>
      <c r="D84" s="52"/>
      <c r="E84" s="52"/>
      <c r="F84" s="52"/>
      <c r="G84" s="53"/>
      <c r="H84" s="52"/>
      <c r="I84" s="52"/>
      <c r="J84" s="52"/>
      <c r="K84" s="52"/>
      <c r="L84" s="52"/>
      <c r="M84" s="53"/>
      <c r="N84" s="53"/>
      <c r="O84" s="52"/>
      <c r="P84" s="52"/>
      <c r="Q84" s="52"/>
      <c r="R84" s="53"/>
      <c r="S84" s="54"/>
      <c r="T84" s="54"/>
      <c r="U84" s="54"/>
      <c r="V84" s="53"/>
      <c r="W84" s="53"/>
      <c r="X84" s="55"/>
      <c r="Y84" s="55"/>
      <c r="Z84" s="53"/>
      <c r="AA84" s="56"/>
      <c r="AB84" s="57"/>
      <c r="AD84" s="35" t="s">
        <v>97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98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99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91</v>
      </c>
      <c r="D88" s="67">
        <v>37083.03</v>
      </c>
      <c r="E88" s="67">
        <v>36381.33</v>
      </c>
      <c r="F88" s="52">
        <v>701.6999999999971</v>
      </c>
      <c r="G88" s="53">
        <v>0.018922401972007064</v>
      </c>
      <c r="H88" s="52">
        <v>27002.93</v>
      </c>
      <c r="I88" s="52">
        <v>26005.99</v>
      </c>
      <c r="J88" s="52">
        <v>15440.32</v>
      </c>
      <c r="K88" s="52">
        <v>14988.440000000002</v>
      </c>
      <c r="L88" s="52">
        <v>451.8799999999974</v>
      </c>
      <c r="M88" s="53">
        <v>0.029266232824190004</v>
      </c>
      <c r="N88" s="53">
        <v>0</v>
      </c>
      <c r="O88" s="52">
        <v>11562.61</v>
      </c>
      <c r="P88" s="52">
        <v>11017.55</v>
      </c>
      <c r="Q88" s="52">
        <v>545.0600000000013</v>
      </c>
      <c r="R88" s="53">
        <v>0.04713987585847843</v>
      </c>
      <c r="S88" s="68">
        <v>231.75</v>
      </c>
      <c r="T88" s="68">
        <v>224.25</v>
      </c>
      <c r="U88" s="54">
        <v>7.5</v>
      </c>
      <c r="V88" s="53">
        <v>0.032362459546925564</v>
      </c>
      <c r="W88" s="53"/>
      <c r="X88" s="55">
        <v>46.26684503901895</v>
      </c>
      <c r="Y88" s="55">
        <v>43.49557070636461</v>
      </c>
      <c r="Z88" s="53">
        <v>0.2852</v>
      </c>
      <c r="AA88" s="56">
        <v>0.2718</v>
      </c>
      <c r="AB88" s="57"/>
      <c r="AD88" s="35" t="s">
        <v>92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93</v>
      </c>
      <c r="D89" s="67">
        <v>37083.03</v>
      </c>
      <c r="E89" s="67">
        <v>36381.33</v>
      </c>
      <c r="F89" s="52">
        <v>701.6999999999971</v>
      </c>
      <c r="G89" s="53">
        <v>0.018922401972007064</v>
      </c>
      <c r="H89" s="52">
        <v>27002.93</v>
      </c>
      <c r="I89" s="52">
        <v>24950.27</v>
      </c>
      <c r="J89" s="52">
        <v>15440.32</v>
      </c>
      <c r="K89" s="52">
        <v>13932.720000000001</v>
      </c>
      <c r="L89" s="52">
        <v>1507.5999999999985</v>
      </c>
      <c r="M89" s="53">
        <v>0.09764046341008467</v>
      </c>
      <c r="N89" s="53"/>
      <c r="O89" s="52">
        <v>11562.61</v>
      </c>
      <c r="P89" s="52">
        <v>11017.55</v>
      </c>
      <c r="Q89" s="52">
        <v>545.0600000000013</v>
      </c>
      <c r="R89" s="53">
        <v>0.04713987585847843</v>
      </c>
      <c r="S89" s="68">
        <v>231.75</v>
      </c>
      <c r="T89" s="68">
        <v>224.25</v>
      </c>
      <c r="U89" s="54">
        <v>7.5</v>
      </c>
      <c r="V89" s="53">
        <v>0.032362459546925564</v>
      </c>
      <c r="W89" s="53"/>
      <c r="X89" s="55">
        <v>50.9746265328874</v>
      </c>
      <c r="Y89" s="55">
        <v>43.49557070636461</v>
      </c>
      <c r="Z89" s="53">
        <v>0.31420000000000003</v>
      </c>
      <c r="AA89" s="56">
        <v>0.2718</v>
      </c>
      <c r="AB89" s="57"/>
      <c r="AD89" s="35" t="s">
        <v>94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95</v>
      </c>
      <c r="D90" s="67"/>
      <c r="E90" s="67"/>
      <c r="F90" s="52"/>
      <c r="G90" s="53"/>
      <c r="H90" s="52"/>
      <c r="I90" s="52"/>
      <c r="J90" s="52"/>
      <c r="K90" s="52"/>
      <c r="L90" s="52"/>
      <c r="M90" s="53"/>
      <c r="N90" s="53"/>
      <c r="O90" s="52"/>
      <c r="P90" s="52"/>
      <c r="Q90" s="52"/>
      <c r="R90" s="53"/>
      <c r="S90" s="68"/>
      <c r="T90" s="68"/>
      <c r="U90" s="54"/>
      <c r="V90" s="53"/>
      <c r="W90" s="53"/>
      <c r="X90" s="55"/>
      <c r="Y90" s="55"/>
      <c r="Z90" s="53"/>
      <c r="AA90" s="56"/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96</v>
      </c>
      <c r="D91" s="67"/>
      <c r="E91" s="67"/>
      <c r="F91" s="52"/>
      <c r="G91" s="53"/>
      <c r="H91" s="52"/>
      <c r="I91" s="52"/>
      <c r="J91" s="52"/>
      <c r="K91" s="52"/>
      <c r="L91" s="52"/>
      <c r="M91" s="53"/>
      <c r="N91" s="53"/>
      <c r="O91" s="52"/>
      <c r="P91" s="52"/>
      <c r="Q91" s="52"/>
      <c r="R91" s="53"/>
      <c r="S91" s="68"/>
      <c r="T91" s="68"/>
      <c r="U91" s="54"/>
      <c r="V91" s="53"/>
      <c r="W91" s="53"/>
      <c r="X91" s="55"/>
      <c r="Y91" s="55"/>
      <c r="Z91" s="53"/>
      <c r="AA91" s="56"/>
      <c r="AB91" s="57"/>
      <c r="AD91" s="35" t="s">
        <v>97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98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99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91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-432.70799999999997</v>
      </c>
      <c r="Y95" s="55">
        <v>45.687352144692355</v>
      </c>
      <c r="Z95" s="53">
        <v>-0.37549999999999994</v>
      </c>
      <c r="AA95" s="56">
        <v>0.258</v>
      </c>
      <c r="AB95" s="57"/>
      <c r="AD95" s="35" t="s">
        <v>92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93</v>
      </c>
      <c r="D96" s="52">
        <v>26186.14</v>
      </c>
      <c r="E96" s="52">
        <v>5762.27</v>
      </c>
      <c r="F96" s="52">
        <v>20423.87</v>
      </c>
      <c r="G96" s="53">
        <v>0.7799496222047235</v>
      </c>
      <c r="H96" s="52">
        <v>19428.98</v>
      </c>
      <c r="I96" s="52">
        <v>7925.81</v>
      </c>
      <c r="J96" s="52">
        <v>12051.32</v>
      </c>
      <c r="K96" s="52">
        <v>7679.910000000001</v>
      </c>
      <c r="L96" s="52">
        <v>4371.409999999999</v>
      </c>
      <c r="M96" s="53">
        <v>0.36273287905391266</v>
      </c>
      <c r="N96" s="53"/>
      <c r="O96" s="52">
        <v>7377.66</v>
      </c>
      <c r="P96" s="52">
        <v>245.9</v>
      </c>
      <c r="Q96" s="52">
        <v>7131.76</v>
      </c>
      <c r="R96" s="53">
        <v>0.9666696486419813</v>
      </c>
      <c r="S96" s="54">
        <v>147.9</v>
      </c>
      <c r="T96" s="54">
        <v>5</v>
      </c>
      <c r="U96" s="54">
        <v>142.9</v>
      </c>
      <c r="V96" s="53">
        <v>0.9661933739012847</v>
      </c>
      <c r="W96" s="53"/>
      <c r="X96" s="55">
        <v>-432.70799999999997</v>
      </c>
      <c r="Y96" s="55">
        <v>45.687352144692355</v>
      </c>
      <c r="Z96" s="53">
        <v>-0.37549999999999994</v>
      </c>
      <c r="AA96" s="56">
        <v>0.258</v>
      </c>
      <c r="AB96" s="57"/>
      <c r="AD96" s="35" t="s">
        <v>94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95</v>
      </c>
      <c r="D97" s="52"/>
      <c r="E97" s="52"/>
      <c r="F97" s="52"/>
      <c r="G97" s="53"/>
      <c r="H97" s="52"/>
      <c r="I97" s="52"/>
      <c r="J97" s="52"/>
      <c r="K97" s="52"/>
      <c r="L97" s="52"/>
      <c r="M97" s="53"/>
      <c r="N97" s="53"/>
      <c r="O97" s="52"/>
      <c r="P97" s="52"/>
      <c r="Q97" s="52"/>
      <c r="R97" s="53"/>
      <c r="S97" s="54"/>
      <c r="T97" s="54"/>
      <c r="U97" s="54"/>
      <c r="V97" s="53"/>
      <c r="W97" s="53"/>
      <c r="X97" s="55"/>
      <c r="Y97" s="55"/>
      <c r="Z97" s="53"/>
      <c r="AA97" s="56"/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96</v>
      </c>
      <c r="D98" s="52"/>
      <c r="E98" s="52"/>
      <c r="F98" s="52"/>
      <c r="G98" s="53"/>
      <c r="H98" s="52"/>
      <c r="I98" s="52"/>
      <c r="J98" s="52"/>
      <c r="K98" s="52"/>
      <c r="L98" s="52"/>
      <c r="M98" s="53"/>
      <c r="N98" s="53"/>
      <c r="O98" s="52"/>
      <c r="P98" s="52"/>
      <c r="Q98" s="52"/>
      <c r="R98" s="53"/>
      <c r="S98" s="54"/>
      <c r="T98" s="54"/>
      <c r="U98" s="54"/>
      <c r="V98" s="53"/>
      <c r="W98" s="53"/>
      <c r="X98" s="55"/>
      <c r="Y98" s="55"/>
      <c r="Z98" s="53"/>
      <c r="AA98" s="56"/>
      <c r="AB98" s="57"/>
      <c r="AD98" s="35" t="s">
        <v>97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98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99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91</v>
      </c>
      <c r="D102" s="52">
        <v>32473.02</v>
      </c>
      <c r="E102" s="52">
        <v>33188.03</v>
      </c>
      <c r="F102" s="52">
        <v>-715.0099999999984</v>
      </c>
      <c r="G102" s="53">
        <v>-0.022018586506582952</v>
      </c>
      <c r="H102" s="52">
        <v>23075.07</v>
      </c>
      <c r="I102" s="52">
        <v>30925.21</v>
      </c>
      <c r="J102" s="52">
        <v>12691.21</v>
      </c>
      <c r="K102" s="52">
        <v>15184.269999999999</v>
      </c>
      <c r="L102" s="52">
        <v>-2493.0599999999995</v>
      </c>
      <c r="M102" s="53">
        <v>-0.1964398981657383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7.132608353033885</v>
      </c>
      <c r="Y102" s="55">
        <v>45.139084580403456</v>
      </c>
      <c r="Z102" s="53">
        <v>0.0682</v>
      </c>
      <c r="AA102" s="56">
        <v>0.2894</v>
      </c>
      <c r="AB102" s="57"/>
      <c r="AD102" s="35" t="s">
        <v>92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93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30925.21</v>
      </c>
      <c r="J103" s="52">
        <v>12691.21</v>
      </c>
      <c r="K103" s="52">
        <v>15184.269999999999</v>
      </c>
      <c r="L103" s="52">
        <v>-2493.0599999999995</v>
      </c>
      <c r="M103" s="53">
        <v>-0.1964398981657383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7.132608353033885</v>
      </c>
      <c r="Y103" s="55">
        <v>45.139084580403456</v>
      </c>
      <c r="Z103" s="53">
        <v>0.0682</v>
      </c>
      <c r="AA103" s="56">
        <v>0.2894</v>
      </c>
      <c r="AB103" s="57"/>
      <c r="AD103" s="35" t="s">
        <v>94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95</v>
      </c>
      <c r="D104" s="52"/>
      <c r="E104" s="69"/>
      <c r="F104" s="52"/>
      <c r="G104" s="53"/>
      <c r="H104" s="52"/>
      <c r="I104" s="52"/>
      <c r="J104" s="52"/>
      <c r="K104" s="52"/>
      <c r="L104" s="52"/>
      <c r="M104" s="53"/>
      <c r="N104" s="53"/>
      <c r="O104" s="52"/>
      <c r="P104" s="52"/>
      <c r="Q104" s="52"/>
      <c r="R104" s="53"/>
      <c r="S104" s="54"/>
      <c r="T104" s="54"/>
      <c r="U104" s="54"/>
      <c r="V104" s="53"/>
      <c r="W104" s="53"/>
      <c r="X104" s="55"/>
      <c r="Y104" s="55"/>
      <c r="Z104" s="53"/>
      <c r="AA104" s="56"/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96</v>
      </c>
      <c r="D105" s="52"/>
      <c r="E105" s="69"/>
      <c r="F105" s="52"/>
      <c r="G105" s="53"/>
      <c r="H105" s="52"/>
      <c r="I105" s="52"/>
      <c r="J105" s="52"/>
      <c r="K105" s="52"/>
      <c r="L105" s="52"/>
      <c r="M105" s="53"/>
      <c r="N105" s="53"/>
      <c r="O105" s="52"/>
      <c r="P105" s="52"/>
      <c r="Q105" s="52"/>
      <c r="R105" s="53"/>
      <c r="S105" s="54"/>
      <c r="T105" s="54"/>
      <c r="U105" s="54"/>
      <c r="V105" s="53"/>
      <c r="W105" s="53"/>
      <c r="X105" s="55"/>
      <c r="Y105" s="55"/>
      <c r="Z105" s="53"/>
      <c r="AA105" s="56"/>
      <c r="AB105" s="57"/>
      <c r="AD105" s="35" t="s">
        <v>97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98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99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48</v>
      </c>
      <c r="C109" s="51" t="s">
        <v>91</v>
      </c>
      <c r="D109" s="52">
        <v>58902.56</v>
      </c>
      <c r="E109" s="52">
        <v>0</v>
      </c>
      <c r="F109" s="52">
        <v>58902.56</v>
      </c>
      <c r="G109" s="53">
        <v>1</v>
      </c>
      <c r="H109" s="52">
        <v>37601.88</v>
      </c>
      <c r="I109" s="52">
        <v>44893.89</v>
      </c>
      <c r="J109" s="52">
        <v>21415.85</v>
      </c>
      <c r="K109" s="52">
        <v>23634.19</v>
      </c>
      <c r="L109" s="52">
        <v>-2218.34</v>
      </c>
      <c r="M109" s="53">
        <v>-0.10358402771778848</v>
      </c>
      <c r="N109" s="53">
        <v>0</v>
      </c>
      <c r="O109" s="52">
        <v>16186.03</v>
      </c>
      <c r="P109" s="52">
        <v>21259.7</v>
      </c>
      <c r="Q109" s="52">
        <v>-5073.67</v>
      </c>
      <c r="R109" s="53">
        <v>-0.3134598168914799</v>
      </c>
      <c r="S109" s="54">
        <v>324.19</v>
      </c>
      <c r="T109" s="54">
        <v>461.5</v>
      </c>
      <c r="U109" s="54">
        <v>-137.31</v>
      </c>
      <c r="V109" s="53">
        <v>-0.4235479194299639</v>
      </c>
      <c r="W109" s="53">
        <v>0</v>
      </c>
      <c r="X109" s="55">
        <v>-20.453867822318525</v>
      </c>
      <c r="Y109" s="55">
        <v>65.70431400737223</v>
      </c>
      <c r="Z109" s="53">
        <v>-0.2662</v>
      </c>
      <c r="AA109" s="56">
        <v>0.3616</v>
      </c>
      <c r="AB109" s="57"/>
      <c r="AD109" s="35" t="s">
        <v>92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93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45817.77</v>
      </c>
      <c r="J110" s="52">
        <v>21415.85</v>
      </c>
      <c r="K110" s="52">
        <v>23939.389999999996</v>
      </c>
      <c r="L110" s="52">
        <v>-2523.5399999999972</v>
      </c>
      <c r="M110" s="53">
        <v>-0.11783515480356826</v>
      </c>
      <c r="N110" s="53"/>
      <c r="O110" s="52">
        <v>16186.03</v>
      </c>
      <c r="P110" s="52">
        <v>21878.38</v>
      </c>
      <c r="Q110" s="52">
        <v>-5692.35</v>
      </c>
      <c r="R110" s="53">
        <v>-0.3516829018604315</v>
      </c>
      <c r="S110" s="54">
        <v>324.19</v>
      </c>
      <c r="T110" s="54">
        <v>472.75</v>
      </c>
      <c r="U110" s="54">
        <v>-148.56</v>
      </c>
      <c r="V110" s="53">
        <v>-0.45824979178876585</v>
      </c>
      <c r="W110" s="53"/>
      <c r="X110" s="55">
        <v>48.973178212585935</v>
      </c>
      <c r="Y110" s="55">
        <v>65.70431400737223</v>
      </c>
      <c r="Z110" s="53">
        <v>0.3357</v>
      </c>
      <c r="AA110" s="56">
        <v>0.3616</v>
      </c>
      <c r="AB110" s="57"/>
      <c r="AD110" s="35" t="s">
        <v>94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95</v>
      </c>
      <c r="D111" s="52"/>
      <c r="E111" s="52"/>
      <c r="F111" s="52"/>
      <c r="G111" s="53"/>
      <c r="H111" s="52"/>
      <c r="I111" s="52"/>
      <c r="J111" s="52"/>
      <c r="K111" s="52"/>
      <c r="L111" s="52"/>
      <c r="M111" s="53"/>
      <c r="N111" s="53"/>
      <c r="O111" s="52"/>
      <c r="P111" s="52"/>
      <c r="Q111" s="52"/>
      <c r="R111" s="53"/>
      <c r="S111" s="54"/>
      <c r="T111" s="54"/>
      <c r="U111" s="54"/>
      <c r="V111" s="53"/>
      <c r="W111" s="53"/>
      <c r="X111" s="55"/>
      <c r="Y111" s="55"/>
      <c r="Z111" s="53"/>
      <c r="AA111" s="56"/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96</v>
      </c>
      <c r="D112" s="52"/>
      <c r="E112" s="52"/>
      <c r="F112" s="52"/>
      <c r="G112" s="53"/>
      <c r="H112" s="52"/>
      <c r="I112" s="52"/>
      <c r="J112" s="52"/>
      <c r="K112" s="52"/>
      <c r="L112" s="52"/>
      <c r="M112" s="53"/>
      <c r="N112" s="53"/>
      <c r="O112" s="52"/>
      <c r="P112" s="52"/>
      <c r="Q112" s="52"/>
      <c r="R112" s="53"/>
      <c r="S112" s="54"/>
      <c r="T112" s="54"/>
      <c r="U112" s="54"/>
      <c r="V112" s="53"/>
      <c r="W112" s="53"/>
      <c r="X112" s="55"/>
      <c r="Y112" s="55"/>
      <c r="Z112" s="53"/>
      <c r="AA112" s="56"/>
      <c r="AB112" s="57"/>
      <c r="AD112" s="35" t="s">
        <v>97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98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99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49</v>
      </c>
      <c r="C116" s="51" t="s">
        <v>91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17514.09</v>
      </c>
      <c r="I116" s="52">
        <v>0</v>
      </c>
      <c r="J116" s="52">
        <v>13318.880000000001</v>
      </c>
      <c r="K116" s="52">
        <v>0</v>
      </c>
      <c r="L116" s="52">
        <v>13318.880000000001</v>
      </c>
      <c r="M116" s="53">
        <v>1</v>
      </c>
      <c r="N116" s="53">
        <v>0</v>
      </c>
      <c r="O116" s="52">
        <v>4195.21</v>
      </c>
      <c r="P116" s="52">
        <v>0</v>
      </c>
      <c r="Q116" s="52">
        <v>4195.21</v>
      </c>
      <c r="R116" s="53">
        <v>1</v>
      </c>
      <c r="S116" s="54">
        <v>84.05</v>
      </c>
      <c r="T116" s="54">
        <v>0</v>
      </c>
      <c r="U116" s="54">
        <v>84.05</v>
      </c>
      <c r="V116" s="53">
        <v>1</v>
      </c>
      <c r="W116" s="53">
        <v>0</v>
      </c>
      <c r="X116" s="55">
        <v>0</v>
      </c>
      <c r="Y116" s="55">
        <v>46.29062162403328</v>
      </c>
      <c r="Z116" s="53">
        <v>0</v>
      </c>
      <c r="AA116" s="56">
        <v>0.1818</v>
      </c>
      <c r="AB116" s="57"/>
      <c r="AD116" s="35" t="s">
        <v>92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93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94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95</v>
      </c>
      <c r="D118" s="52"/>
      <c r="E118" s="52"/>
      <c r="F118" s="52"/>
      <c r="G118" s="53"/>
      <c r="H118" s="52"/>
      <c r="I118" s="52"/>
      <c r="J118" s="52"/>
      <c r="K118" s="52"/>
      <c r="L118" s="52"/>
      <c r="M118" s="53"/>
      <c r="N118" s="53"/>
      <c r="O118" s="52"/>
      <c r="P118" s="52"/>
      <c r="Q118" s="52"/>
      <c r="R118" s="53"/>
      <c r="S118" s="54"/>
      <c r="T118" s="54"/>
      <c r="U118" s="54"/>
      <c r="V118" s="53"/>
      <c r="W118" s="53"/>
      <c r="X118" s="55"/>
      <c r="Y118" s="55"/>
      <c r="Z118" s="53"/>
      <c r="AA118" s="56"/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96</v>
      </c>
      <c r="D119" s="52"/>
      <c r="E119" s="52"/>
      <c r="F119" s="52"/>
      <c r="G119" s="53"/>
      <c r="H119" s="52"/>
      <c r="I119" s="52"/>
      <c r="J119" s="52"/>
      <c r="K119" s="52"/>
      <c r="L119" s="52"/>
      <c r="M119" s="53"/>
      <c r="N119" s="53"/>
      <c r="O119" s="52"/>
      <c r="P119" s="52"/>
      <c r="Q119" s="52"/>
      <c r="R119" s="53"/>
      <c r="S119" s="54"/>
      <c r="T119" s="54"/>
      <c r="U119" s="54"/>
      <c r="V119" s="53"/>
      <c r="W119" s="53"/>
      <c r="X119" s="55"/>
      <c r="Y119" s="55"/>
      <c r="Z119" s="53"/>
      <c r="AA119" s="56"/>
      <c r="AB119" s="57"/>
      <c r="AD119" s="35" t="s">
        <v>97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98</v>
      </c>
      <c r="D120" s="52"/>
      <c r="E120" s="52"/>
      <c r="F120" s="52"/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99</v>
      </c>
      <c r="D121" s="52"/>
      <c r="E121" s="52"/>
      <c r="F121" s="52"/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50</v>
      </c>
      <c r="C123" s="51" t="s">
        <v>91</v>
      </c>
      <c r="D123" s="52">
        <v>100987.51</v>
      </c>
      <c r="E123" s="52">
        <v>15366.74</v>
      </c>
      <c r="F123" s="52">
        <v>85620.76999999999</v>
      </c>
      <c r="G123" s="53">
        <v>0.8478352421997531</v>
      </c>
      <c r="H123" s="52">
        <v>82694.87</v>
      </c>
      <c r="I123" s="52">
        <v>56237.25</v>
      </c>
      <c r="J123" s="52">
        <v>68214.25</v>
      </c>
      <c r="K123" s="52">
        <v>51549.24</v>
      </c>
      <c r="L123" s="52">
        <v>16665.010000000002</v>
      </c>
      <c r="M123" s="53">
        <v>0.24430393942614634</v>
      </c>
      <c r="N123" s="53"/>
      <c r="O123" s="52">
        <v>14480.62</v>
      </c>
      <c r="P123" s="52">
        <v>4688.01</v>
      </c>
      <c r="Q123" s="52">
        <v>9792.61</v>
      </c>
      <c r="R123" s="53">
        <v>0.6762562652704097</v>
      </c>
      <c r="S123" s="54">
        <v>290.15</v>
      </c>
      <c r="T123" s="54">
        <v>102.5</v>
      </c>
      <c r="U123" s="54">
        <v>187.64999999999998</v>
      </c>
      <c r="V123" s="53">
        <v>0.6467344476994658</v>
      </c>
      <c r="W123" s="53"/>
      <c r="X123" s="55">
        <v>-398.7366829268293</v>
      </c>
      <c r="Y123" s="55">
        <v>63.04545035767707</v>
      </c>
      <c r="Z123" s="53">
        <v>-2.6597000000000004</v>
      </c>
      <c r="AA123" s="56">
        <v>0.1811</v>
      </c>
      <c r="AB123" s="57"/>
      <c r="AD123" s="35" t="s">
        <v>92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93</v>
      </c>
      <c r="D124" s="52">
        <v>100987.51</v>
      </c>
      <c r="E124" s="52">
        <v>67407.3</v>
      </c>
      <c r="F124" s="52">
        <v>33580.20999999999</v>
      </c>
      <c r="G124" s="53">
        <v>0.33251844708320855</v>
      </c>
      <c r="H124" s="52">
        <v>82694.87</v>
      </c>
      <c r="I124" s="52">
        <v>56763.31</v>
      </c>
      <c r="J124" s="52">
        <v>68214.25</v>
      </c>
      <c r="K124" s="52">
        <v>51957.799999999996</v>
      </c>
      <c r="L124" s="52">
        <v>16256.450000000004</v>
      </c>
      <c r="M124" s="53">
        <v>0.23831457503380898</v>
      </c>
      <c r="N124" s="53"/>
      <c r="O124" s="52">
        <v>14480.62</v>
      </c>
      <c r="P124" s="52">
        <v>4805.51</v>
      </c>
      <c r="Q124" s="52">
        <v>9675.11</v>
      </c>
      <c r="R124" s="53">
        <v>0.6681419718216485</v>
      </c>
      <c r="S124" s="54">
        <v>290.15</v>
      </c>
      <c r="T124" s="54">
        <v>105</v>
      </c>
      <c r="U124" s="54">
        <v>185.14999999999998</v>
      </c>
      <c r="V124" s="53">
        <v>0.6381182147165259</v>
      </c>
      <c r="W124" s="53"/>
      <c r="X124" s="55">
        <v>101.37133333333333</v>
      </c>
      <c r="Y124" s="55">
        <v>63.04545035767707</v>
      </c>
      <c r="Z124" s="53">
        <v>0.15789999999999998</v>
      </c>
      <c r="AA124" s="56">
        <v>0.1811</v>
      </c>
      <c r="AB124" s="57"/>
      <c r="AD124" s="35" t="s">
        <v>94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95</v>
      </c>
      <c r="D125" s="52"/>
      <c r="E125" s="52"/>
      <c r="F125" s="52"/>
      <c r="G125" s="53"/>
      <c r="H125" s="52"/>
      <c r="I125" s="52"/>
      <c r="J125" s="52"/>
      <c r="K125" s="52"/>
      <c r="L125" s="52"/>
      <c r="M125" s="53"/>
      <c r="N125" s="53"/>
      <c r="O125" s="52"/>
      <c r="P125" s="52"/>
      <c r="Q125" s="52"/>
      <c r="R125" s="53"/>
      <c r="S125" s="54"/>
      <c r="T125" s="54"/>
      <c r="U125" s="54"/>
      <c r="V125" s="53"/>
      <c r="W125" s="53"/>
      <c r="X125" s="55"/>
      <c r="Y125" s="55"/>
      <c r="Z125" s="53"/>
      <c r="AA125" s="56"/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96</v>
      </c>
      <c r="D126" s="52"/>
      <c r="E126" s="52"/>
      <c r="F126" s="52"/>
      <c r="G126" s="53"/>
      <c r="H126" s="52"/>
      <c r="I126" s="52"/>
      <c r="J126" s="52"/>
      <c r="K126" s="52"/>
      <c r="L126" s="52"/>
      <c r="M126" s="53"/>
      <c r="N126" s="53"/>
      <c r="O126" s="52"/>
      <c r="P126" s="52"/>
      <c r="Q126" s="52"/>
      <c r="R126" s="53"/>
      <c r="S126" s="54"/>
      <c r="T126" s="54"/>
      <c r="U126" s="54"/>
      <c r="V126" s="53"/>
      <c r="W126" s="53"/>
      <c r="X126" s="55"/>
      <c r="Y126" s="55"/>
      <c r="Z126" s="53"/>
      <c r="AA126" s="56"/>
      <c r="AB126" s="57"/>
      <c r="AD126" s="35" t="s">
        <v>97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98</v>
      </c>
      <c r="D127" s="52"/>
      <c r="E127" s="52"/>
      <c r="F127" s="52"/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99</v>
      </c>
      <c r="D128" s="52"/>
      <c r="E128" s="52"/>
      <c r="F128" s="52"/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51</v>
      </c>
      <c r="C130" s="51" t="s">
        <v>91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12360.83</v>
      </c>
      <c r="J130" s="52">
        <v>15632.029999999999</v>
      </c>
      <c r="K130" s="52">
        <v>11772.08</v>
      </c>
      <c r="L130" s="52">
        <v>3859.949999999999</v>
      </c>
      <c r="M130" s="53">
        <v>0.24692570318762178</v>
      </c>
      <c r="N130" s="53"/>
      <c r="O130" s="52">
        <v>7816.11</v>
      </c>
      <c r="P130" s="52">
        <v>588.75</v>
      </c>
      <c r="Q130" s="52">
        <v>7227.36</v>
      </c>
      <c r="R130" s="53">
        <v>0.9246748062655208</v>
      </c>
      <c r="S130" s="54">
        <v>156.69</v>
      </c>
      <c r="T130" s="54">
        <v>11.5</v>
      </c>
      <c r="U130" s="54">
        <v>145.19</v>
      </c>
      <c r="V130" s="53">
        <v>0.9266066756015061</v>
      </c>
      <c r="W130" s="53">
        <v>0</v>
      </c>
      <c r="X130" s="55">
        <v>174.7826086956522</v>
      </c>
      <c r="Y130" s="55">
        <v>53.31719360265494</v>
      </c>
      <c r="Z130" s="53">
        <v>0.1399</v>
      </c>
      <c r="AA130" s="56">
        <v>0.2627</v>
      </c>
      <c r="AB130" s="57"/>
      <c r="AD130" s="35" t="s">
        <v>92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93</v>
      </c>
      <c r="D131" s="52">
        <v>31802.41</v>
      </c>
      <c r="E131" s="52">
        <v>16498.64</v>
      </c>
      <c r="F131" s="52">
        <v>15303.77</v>
      </c>
      <c r="G131" s="53">
        <v>0.4812141595558324</v>
      </c>
      <c r="H131" s="52">
        <v>23448.14</v>
      </c>
      <c r="I131" s="52">
        <v>12360.83</v>
      </c>
      <c r="J131" s="52">
        <v>15632.029999999999</v>
      </c>
      <c r="K131" s="52">
        <v>11772.08</v>
      </c>
      <c r="L131" s="52">
        <v>3859.949999999999</v>
      </c>
      <c r="M131" s="53">
        <v>0.24692570318762178</v>
      </c>
      <c r="N131" s="53"/>
      <c r="O131" s="52">
        <v>7816.11</v>
      </c>
      <c r="P131" s="52">
        <v>588.75</v>
      </c>
      <c r="Q131" s="52">
        <v>7227.36</v>
      </c>
      <c r="R131" s="53">
        <v>0.9246748062655208</v>
      </c>
      <c r="S131" s="54">
        <v>156.69</v>
      </c>
      <c r="T131" s="54">
        <v>11.5</v>
      </c>
      <c r="U131" s="54">
        <v>145.19</v>
      </c>
      <c r="V131" s="53">
        <v>0.9266066756015061</v>
      </c>
      <c r="W131" s="53"/>
      <c r="X131" s="55">
        <v>359.80956521739137</v>
      </c>
      <c r="Y131" s="55">
        <v>53.31719360265494</v>
      </c>
      <c r="Z131" s="53">
        <v>0.25079999999999997</v>
      </c>
      <c r="AA131" s="56">
        <v>0.2627</v>
      </c>
      <c r="AB131" s="57"/>
      <c r="AD131" s="35" t="s">
        <v>94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95</v>
      </c>
      <c r="D132" s="52"/>
      <c r="E132" s="52"/>
      <c r="F132" s="52"/>
      <c r="G132" s="53"/>
      <c r="H132" s="52"/>
      <c r="I132" s="52"/>
      <c r="J132" s="52"/>
      <c r="K132" s="52"/>
      <c r="L132" s="52"/>
      <c r="M132" s="53"/>
      <c r="N132" s="53"/>
      <c r="O132" s="52"/>
      <c r="P132" s="52"/>
      <c r="Q132" s="52"/>
      <c r="R132" s="53"/>
      <c r="S132" s="54"/>
      <c r="T132" s="54"/>
      <c r="U132" s="54"/>
      <c r="V132" s="53"/>
      <c r="W132" s="53"/>
      <c r="X132" s="55"/>
      <c r="Y132" s="55"/>
      <c r="Z132" s="53"/>
      <c r="AA132" s="56"/>
      <c r="AB132" s="57"/>
      <c r="AD132" s="35"/>
      <c r="AE132" s="35"/>
      <c r="AH132" s="19"/>
      <c r="AI132" s="58"/>
    </row>
    <row r="133" ht="15" customHeight="1" spans="2:35" x14ac:dyDescent="0.25">
      <c r="B133" s="20"/>
      <c r="C133" s="51" t="s">
        <v>96</v>
      </c>
      <c r="D133" s="52"/>
      <c r="E133" s="52"/>
      <c r="F133" s="52"/>
      <c r="G133" s="53"/>
      <c r="H133" s="52"/>
      <c r="I133" s="52"/>
      <c r="J133" s="52"/>
      <c r="K133" s="52"/>
      <c r="L133" s="52"/>
      <c r="M133" s="53"/>
      <c r="N133" s="53"/>
      <c r="O133" s="52"/>
      <c r="P133" s="52"/>
      <c r="Q133" s="52"/>
      <c r="R133" s="53"/>
      <c r="S133" s="54"/>
      <c r="T133" s="54"/>
      <c r="U133" s="54"/>
      <c r="V133" s="53"/>
      <c r="W133" s="53"/>
      <c r="X133" s="55"/>
      <c r="Y133" s="55"/>
      <c r="Z133" s="53"/>
      <c r="AA133" s="56"/>
      <c r="AB133" s="57"/>
      <c r="AD133" s="35" t="s">
        <v>97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98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99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52</v>
      </c>
      <c r="C137" s="51" t="s">
        <v>91</v>
      </c>
      <c r="D137" s="52">
        <v>30749.24</v>
      </c>
      <c r="E137" s="52">
        <v>30749.24</v>
      </c>
      <c r="F137" s="52">
        <v>0</v>
      </c>
      <c r="G137" s="53">
        <v>0</v>
      </c>
      <c r="H137" s="52">
        <v>22587.89</v>
      </c>
      <c r="I137" s="52">
        <v>25905.23</v>
      </c>
      <c r="J137" s="52">
        <v>12565.06</v>
      </c>
      <c r="K137" s="52">
        <v>11805.46</v>
      </c>
      <c r="L137" s="52">
        <v>759.6000000000004</v>
      </c>
      <c r="M137" s="53">
        <v>0.06045335239147289</v>
      </c>
      <c r="N137" s="53">
        <v>0</v>
      </c>
      <c r="O137" s="52">
        <v>10022.83</v>
      </c>
      <c r="P137" s="52">
        <v>14099.77</v>
      </c>
      <c r="Q137" s="52">
        <v>-4076.9400000000005</v>
      </c>
      <c r="R137" s="53">
        <v>-0.40676535469523084</v>
      </c>
      <c r="S137" s="54">
        <v>200.82</v>
      </c>
      <c r="T137" s="54">
        <v>283.75</v>
      </c>
      <c r="U137" s="54">
        <v>-82.93</v>
      </c>
      <c r="V137" s="53">
        <v>-0.4129568768050991</v>
      </c>
      <c r="W137" s="53"/>
      <c r="X137" s="55">
        <v>17.07140088105727</v>
      </c>
      <c r="Y137" s="55">
        <v>40.64013272149188</v>
      </c>
      <c r="Z137" s="53">
        <v>0.1575</v>
      </c>
      <c r="AA137" s="56">
        <v>0.2654</v>
      </c>
      <c r="AB137" s="57"/>
      <c r="AD137" s="35" t="s">
        <v>92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93</v>
      </c>
      <c r="D138" s="52">
        <v>30749.24</v>
      </c>
      <c r="E138" s="52">
        <v>30749.24</v>
      </c>
      <c r="F138" s="52">
        <v>0</v>
      </c>
      <c r="G138" s="53">
        <v>0</v>
      </c>
      <c r="H138" s="52">
        <v>22587.89</v>
      </c>
      <c r="I138" s="52">
        <v>25905.23</v>
      </c>
      <c r="J138" s="52">
        <v>12565.06</v>
      </c>
      <c r="K138" s="52">
        <v>11805.46</v>
      </c>
      <c r="L138" s="52">
        <v>759.6000000000004</v>
      </c>
      <c r="M138" s="53">
        <v>0.06045335239147289</v>
      </c>
      <c r="N138" s="53"/>
      <c r="O138" s="52">
        <v>10022.83</v>
      </c>
      <c r="P138" s="52">
        <v>14099.77</v>
      </c>
      <c r="Q138" s="52">
        <v>-4076.9400000000005</v>
      </c>
      <c r="R138" s="53">
        <v>-0.40676535469523084</v>
      </c>
      <c r="S138" s="54">
        <v>200.82</v>
      </c>
      <c r="T138" s="54">
        <v>283.75</v>
      </c>
      <c r="U138" s="54">
        <v>-82.93</v>
      </c>
      <c r="V138" s="53">
        <v>-0.4129568768050991</v>
      </c>
      <c r="W138" s="53"/>
      <c r="X138" s="55">
        <v>17.07140088105727</v>
      </c>
      <c r="Y138" s="55">
        <v>40.64013272149188</v>
      </c>
      <c r="Z138" s="53">
        <v>0.1575</v>
      </c>
      <c r="AA138" s="56">
        <v>0.2654</v>
      </c>
      <c r="AB138" s="57"/>
      <c r="AD138" s="35" t="s">
        <v>94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95</v>
      </c>
      <c r="D139" s="52"/>
      <c r="E139" s="52"/>
      <c r="F139" s="52"/>
      <c r="G139" s="53"/>
      <c r="H139" s="52"/>
      <c r="I139" s="52"/>
      <c r="J139" s="52"/>
      <c r="K139" s="52"/>
      <c r="L139" s="52"/>
      <c r="M139" s="53"/>
      <c r="N139" s="53"/>
      <c r="O139" s="52"/>
      <c r="P139" s="52"/>
      <c r="Q139" s="52"/>
      <c r="R139" s="53"/>
      <c r="S139" s="54"/>
      <c r="T139" s="54"/>
      <c r="U139" s="54"/>
      <c r="V139" s="53"/>
      <c r="W139" s="53"/>
      <c r="X139" s="55"/>
      <c r="Y139" s="55"/>
      <c r="Z139" s="53"/>
      <c r="AA139" s="56"/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96</v>
      </c>
      <c r="D140" s="52"/>
      <c r="E140" s="52"/>
      <c r="F140" s="52"/>
      <c r="G140" s="53"/>
      <c r="H140" s="52"/>
      <c r="I140" s="52"/>
      <c r="J140" s="52"/>
      <c r="K140" s="52"/>
      <c r="L140" s="52"/>
      <c r="M140" s="53"/>
      <c r="N140" s="53"/>
      <c r="O140" s="52"/>
      <c r="P140" s="52"/>
      <c r="Q140" s="52"/>
      <c r="R140" s="53"/>
      <c r="S140" s="54"/>
      <c r="T140" s="54"/>
      <c r="U140" s="54"/>
      <c r="V140" s="53"/>
      <c r="W140" s="53"/>
      <c r="X140" s="55"/>
      <c r="Y140" s="55"/>
      <c r="Z140" s="53"/>
      <c r="AA140" s="56"/>
      <c r="AB140" s="57"/>
      <c r="AD140" s="35" t="s">
        <v>97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98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99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53</v>
      </c>
      <c r="C144" s="51" t="s">
        <v>91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45.878969957081544</v>
      </c>
      <c r="Y144" s="55">
        <v>59.525035875791396</v>
      </c>
      <c r="Z144" s="53">
        <v>0.2958</v>
      </c>
      <c r="AA144" s="56">
        <v>0.1104</v>
      </c>
      <c r="AB144" s="57"/>
      <c r="AD144" s="35" t="s">
        <v>92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93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94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95</v>
      </c>
      <c r="D146" s="52"/>
      <c r="E146" s="52"/>
      <c r="F146" s="52"/>
      <c r="G146" s="53"/>
      <c r="H146" s="52"/>
      <c r="I146" s="52"/>
      <c r="J146" s="52"/>
      <c r="K146" s="52"/>
      <c r="L146" s="52"/>
      <c r="M146" s="53"/>
      <c r="N146" s="53"/>
      <c r="O146" s="52"/>
      <c r="P146" s="52"/>
      <c r="Q146" s="52"/>
      <c r="R146" s="53"/>
      <c r="S146" s="54"/>
      <c r="T146" s="54"/>
      <c r="U146" s="54"/>
      <c r="V146" s="53"/>
      <c r="W146" s="53"/>
      <c r="X146" s="55"/>
      <c r="Y146" s="55"/>
      <c r="Z146" s="53"/>
      <c r="AA146" s="56"/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96</v>
      </c>
      <c r="D147" s="52"/>
      <c r="E147" s="52"/>
      <c r="F147" s="52"/>
      <c r="G147" s="53"/>
      <c r="H147" s="52"/>
      <c r="I147" s="52"/>
      <c r="J147" s="52"/>
      <c r="K147" s="52"/>
      <c r="L147" s="52"/>
      <c r="M147" s="53"/>
      <c r="N147" s="53"/>
      <c r="O147" s="52"/>
      <c r="P147" s="52"/>
      <c r="Q147" s="52"/>
      <c r="R147" s="53"/>
      <c r="S147" s="54"/>
      <c r="T147" s="54"/>
      <c r="U147" s="54"/>
      <c r="V147" s="53"/>
      <c r="W147" s="53"/>
      <c r="X147" s="55"/>
      <c r="Y147" s="55"/>
      <c r="Z147" s="53"/>
      <c r="AA147" s="56"/>
      <c r="AB147" s="57"/>
      <c r="AD147" s="35" t="s">
        <v>97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98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99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54</v>
      </c>
      <c r="C151" s="51" t="s">
        <v>91</v>
      </c>
      <c r="D151" s="52">
        <v>32773.41</v>
      </c>
      <c r="E151" s="52">
        <v>32773.41</v>
      </c>
      <c r="F151" s="52">
        <v>0</v>
      </c>
      <c r="G151" s="53">
        <v>0</v>
      </c>
      <c r="H151" s="52">
        <v>22750.99</v>
      </c>
      <c r="I151" s="52">
        <v>22254.11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12929.7</v>
      </c>
      <c r="Q151" s="52">
        <v>-2422.120000000001</v>
      </c>
      <c r="R151" s="53">
        <v>-0.23051168775303169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40.342473633748796</v>
      </c>
      <c r="Y151" s="55">
        <v>47.58984852136751</v>
      </c>
      <c r="Z151" s="53">
        <v>0.321</v>
      </c>
      <c r="AA151" s="56">
        <v>0.3058</v>
      </c>
      <c r="AB151" s="57"/>
      <c r="AD151" s="35" t="s">
        <v>92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93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94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95</v>
      </c>
      <c r="D153" s="52"/>
      <c r="E153" s="52"/>
      <c r="F153" s="52"/>
      <c r="G153" s="53"/>
      <c r="H153" s="52"/>
      <c r="I153" s="52"/>
      <c r="J153" s="52"/>
      <c r="K153" s="52"/>
      <c r="L153" s="52"/>
      <c r="M153" s="53"/>
      <c r="N153" s="53"/>
      <c r="O153" s="52"/>
      <c r="P153" s="52"/>
      <c r="Q153" s="52"/>
      <c r="R153" s="53"/>
      <c r="S153" s="54"/>
      <c r="T153" s="54"/>
      <c r="U153" s="54"/>
      <c r="V153" s="53"/>
      <c r="W153" s="53"/>
      <c r="X153" s="55"/>
      <c r="Y153" s="55"/>
      <c r="Z153" s="53"/>
      <c r="AA153" s="56"/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96</v>
      </c>
      <c r="D154" s="52"/>
      <c r="E154" s="52"/>
      <c r="F154" s="52"/>
      <c r="G154" s="53"/>
      <c r="H154" s="52"/>
      <c r="I154" s="52"/>
      <c r="J154" s="52"/>
      <c r="K154" s="52"/>
      <c r="L154" s="52"/>
      <c r="M154" s="53"/>
      <c r="N154" s="53"/>
      <c r="O154" s="52"/>
      <c r="P154" s="52"/>
      <c r="Q154" s="52"/>
      <c r="R154" s="53"/>
      <c r="S154" s="54"/>
      <c r="T154" s="54"/>
      <c r="U154" s="54"/>
      <c r="V154" s="53"/>
      <c r="W154" s="53"/>
      <c r="X154" s="55"/>
      <c r="Y154" s="55"/>
      <c r="Z154" s="53"/>
      <c r="AA154" s="56"/>
      <c r="AB154" s="57"/>
      <c r="AD154" s="35" t="s">
        <v>97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98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99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55</v>
      </c>
      <c r="C158" s="51" t="s">
        <v>91</v>
      </c>
      <c r="D158" s="52">
        <v>17899.33</v>
      </c>
      <c r="E158" s="52">
        <v>13424.5</v>
      </c>
      <c r="F158" s="52">
        <v>4474.830000000002</v>
      </c>
      <c r="G158" s="53">
        <v>0.24999986032996774</v>
      </c>
      <c r="H158" s="52">
        <v>13919.4</v>
      </c>
      <c r="I158" s="52">
        <v>10402.37</v>
      </c>
      <c r="J158" s="52">
        <v>8410.93</v>
      </c>
      <c r="K158" s="52">
        <v>7278.380000000001</v>
      </c>
      <c r="L158" s="52">
        <v>1132.5499999999993</v>
      </c>
      <c r="M158" s="53">
        <v>0.13465217282749936</v>
      </c>
      <c r="N158" s="53"/>
      <c r="O158" s="52">
        <v>5508.47</v>
      </c>
      <c r="P158" s="52">
        <v>3123.99</v>
      </c>
      <c r="Q158" s="52">
        <v>2384.4800000000005</v>
      </c>
      <c r="R158" s="53">
        <v>0.43287519038861977</v>
      </c>
      <c r="S158" s="54">
        <v>110.44</v>
      </c>
      <c r="T158" s="54">
        <v>60.75</v>
      </c>
      <c r="U158" s="54">
        <v>49.69</v>
      </c>
      <c r="V158" s="53">
        <v>0.44992756247736326</v>
      </c>
      <c r="W158" s="53"/>
      <c r="X158" s="55">
        <v>49.74699588477367</v>
      </c>
      <c r="Y158" s="55">
        <v>36.03704967040926</v>
      </c>
      <c r="Z158" s="53">
        <v>0.22510000000000002</v>
      </c>
      <c r="AA158" s="56">
        <v>0.2224</v>
      </c>
      <c r="AB158" s="57"/>
      <c r="AD158" s="35" t="s">
        <v>92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93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10402.37</v>
      </c>
      <c r="J159" s="52">
        <v>8410.93</v>
      </c>
      <c r="K159" s="52">
        <v>7278.380000000001</v>
      </c>
      <c r="L159" s="52">
        <v>1132.5499999999993</v>
      </c>
      <c r="M159" s="53">
        <v>0.13465217282749936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49.74699588477367</v>
      </c>
      <c r="Y159" s="55">
        <v>36.03704967040926</v>
      </c>
      <c r="Z159" s="53">
        <v>0.22510000000000002</v>
      </c>
      <c r="AA159" s="56">
        <v>0.2224</v>
      </c>
      <c r="AB159" s="57"/>
      <c r="AD159" s="35" t="s">
        <v>94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95</v>
      </c>
      <c r="D160" s="52"/>
      <c r="E160" s="52"/>
      <c r="F160" s="52"/>
      <c r="G160" s="53"/>
      <c r="H160" s="52"/>
      <c r="I160" s="52"/>
      <c r="J160" s="52"/>
      <c r="K160" s="52"/>
      <c r="L160" s="52"/>
      <c r="M160" s="53"/>
      <c r="N160" s="53"/>
      <c r="O160" s="52"/>
      <c r="P160" s="52"/>
      <c r="Q160" s="52"/>
      <c r="R160" s="53"/>
      <c r="S160" s="54"/>
      <c r="T160" s="54"/>
      <c r="U160" s="54"/>
      <c r="V160" s="53"/>
      <c r="W160" s="53"/>
      <c r="X160" s="55"/>
      <c r="Y160" s="55"/>
      <c r="Z160" s="53"/>
      <c r="AA160" s="56"/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96</v>
      </c>
      <c r="D161" s="52"/>
      <c r="E161" s="52"/>
      <c r="F161" s="52"/>
      <c r="G161" s="53"/>
      <c r="H161" s="52"/>
      <c r="I161" s="52"/>
      <c r="J161" s="52"/>
      <c r="K161" s="52"/>
      <c r="L161" s="52"/>
      <c r="M161" s="53"/>
      <c r="N161" s="53"/>
      <c r="O161" s="52"/>
      <c r="P161" s="52"/>
      <c r="Q161" s="52"/>
      <c r="R161" s="53"/>
      <c r="S161" s="54"/>
      <c r="T161" s="54"/>
      <c r="U161" s="54"/>
      <c r="V161" s="53"/>
      <c r="W161" s="53"/>
      <c r="X161" s="55"/>
      <c r="Y161" s="55"/>
      <c r="Z161" s="53"/>
      <c r="AA161" s="56"/>
      <c r="AB161" s="57"/>
      <c r="AD161" s="35" t="s">
        <v>97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98</v>
      </c>
      <c r="D162" s="52"/>
      <c r="E162" s="52"/>
      <c r="F162" s="52"/>
      <c r="G162" s="53"/>
      <c r="H162" s="52"/>
      <c r="I162" s="52"/>
      <c r="J162" s="52"/>
      <c r="K162" s="52"/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99</v>
      </c>
      <c r="D163" s="52"/>
      <c r="E163" s="52"/>
      <c r="F163" s="52"/>
      <c r="G163" s="53"/>
      <c r="H163" s="52"/>
      <c r="I163" s="52"/>
      <c r="J163" s="52"/>
      <c r="K163" s="52"/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56</v>
      </c>
      <c r="C165" s="51" t="s">
        <v>91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100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92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93</v>
      </c>
      <c r="D166" s="52">
        <v>10827.2</v>
      </c>
      <c r="E166" s="52">
        <v>0</v>
      </c>
      <c r="F166" s="52">
        <v>10827.2</v>
      </c>
      <c r="G166" s="53">
        <v>1</v>
      </c>
      <c r="H166" s="52">
        <v>7687.77</v>
      </c>
      <c r="I166" s="52">
        <v>853.55</v>
      </c>
      <c r="J166" s="52">
        <v>4437.14</v>
      </c>
      <c r="K166" s="52">
        <v>853.55</v>
      </c>
      <c r="L166" s="52">
        <v>3583.59</v>
      </c>
      <c r="M166" s="53">
        <v>0.8076350982840298</v>
      </c>
      <c r="N166" s="53"/>
      <c r="O166" s="52">
        <v>3250.63</v>
      </c>
      <c r="P166" s="52">
        <v>0</v>
      </c>
      <c r="Q166" s="52">
        <v>3250.63</v>
      </c>
      <c r="R166" s="53">
        <v>1</v>
      </c>
      <c r="S166" s="54">
        <v>65.13</v>
      </c>
      <c r="T166" s="54">
        <v>0</v>
      </c>
      <c r="U166" s="54">
        <v>65.13</v>
      </c>
      <c r="V166" s="53">
        <v>1</v>
      </c>
      <c r="W166" s="53"/>
      <c r="X166" s="55">
        <v>0</v>
      </c>
      <c r="Y166" s="55">
        <v>48.202633430830645</v>
      </c>
      <c r="Z166" s="53">
        <v>0</v>
      </c>
      <c r="AA166" s="56">
        <v>0.29</v>
      </c>
      <c r="AB166" s="57"/>
      <c r="AD166" s="35" t="s">
        <v>94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95</v>
      </c>
      <c r="D167" s="52"/>
      <c r="E167" s="52"/>
      <c r="F167" s="52"/>
      <c r="G167" s="53"/>
      <c r="H167" s="52"/>
      <c r="I167" s="52"/>
      <c r="J167" s="52"/>
      <c r="K167" s="52"/>
      <c r="L167" s="52"/>
      <c r="M167" s="53"/>
      <c r="N167" s="53"/>
      <c r="O167" s="52"/>
      <c r="P167" s="52"/>
      <c r="Q167" s="52"/>
      <c r="R167" s="53"/>
      <c r="S167" s="54"/>
      <c r="T167" s="54"/>
      <c r="U167" s="54"/>
      <c r="V167" s="53"/>
      <c r="W167" s="53"/>
      <c r="X167" s="55"/>
      <c r="Y167" s="55"/>
      <c r="Z167" s="53"/>
      <c r="AA167" s="56"/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96</v>
      </c>
      <c r="D168" s="52"/>
      <c r="E168" s="52"/>
      <c r="F168" s="52"/>
      <c r="G168" s="53"/>
      <c r="H168" s="52"/>
      <c r="I168" s="52"/>
      <c r="J168" s="52"/>
      <c r="K168" s="52"/>
      <c r="L168" s="52"/>
      <c r="M168" s="53"/>
      <c r="N168" s="53"/>
      <c r="O168" s="52"/>
      <c r="P168" s="52"/>
      <c r="Q168" s="52"/>
      <c r="R168" s="53"/>
      <c r="S168" s="54"/>
      <c r="T168" s="54"/>
      <c r="U168" s="54"/>
      <c r="V168" s="53"/>
      <c r="W168" s="53"/>
      <c r="X168" s="55"/>
      <c r="Y168" s="55"/>
      <c r="Z168" s="53"/>
      <c r="AA168" s="56"/>
      <c r="AB168" s="57"/>
      <c r="AD168" s="35" t="s">
        <v>97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98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99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57</v>
      </c>
      <c r="C172" s="51" t="s">
        <v>91</v>
      </c>
      <c r="D172" s="52">
        <v>146237.11</v>
      </c>
      <c r="E172" s="52">
        <v>125386.21</v>
      </c>
      <c r="F172" s="52">
        <v>20850.89999999998</v>
      </c>
      <c r="G172" s="53">
        <v>0.14258282319720336</v>
      </c>
      <c r="H172" s="52">
        <v>114651.87</v>
      </c>
      <c r="I172" s="52">
        <v>102882.12</v>
      </c>
      <c r="J172" s="52">
        <v>82888.07999999999</v>
      </c>
      <c r="K172" s="52">
        <v>77739.84</v>
      </c>
      <c r="L172" s="52">
        <v>5148.239999999991</v>
      </c>
      <c r="M172" s="53">
        <v>0.06211074016915329</v>
      </c>
      <c r="N172" s="53"/>
      <c r="O172" s="52">
        <v>31763.79</v>
      </c>
      <c r="P172" s="52">
        <v>25142.28</v>
      </c>
      <c r="Q172" s="52">
        <v>6621.510000000002</v>
      </c>
      <c r="R172" s="53">
        <v>0.20846095506864898</v>
      </c>
      <c r="S172" s="54">
        <v>659.73</v>
      </c>
      <c r="T172" s="54">
        <v>505.25</v>
      </c>
      <c r="U172" s="54">
        <v>154.48000000000002</v>
      </c>
      <c r="V172" s="53">
        <v>0.23415639731405274</v>
      </c>
      <c r="W172" s="53"/>
      <c r="X172" s="55">
        <v>44.54050470064325</v>
      </c>
      <c r="Y172" s="55">
        <v>47.87601261940491</v>
      </c>
      <c r="Z172" s="53">
        <v>0.1795</v>
      </c>
      <c r="AA172" s="56">
        <v>0.216</v>
      </c>
      <c r="AB172" s="57"/>
      <c r="AD172" s="35" t="s">
        <v>92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93</v>
      </c>
      <c r="D173" s="52">
        <v>146237.11</v>
      </c>
      <c r="E173" s="52">
        <v>125386.21</v>
      </c>
      <c r="F173" s="52">
        <v>20850.89999999998</v>
      </c>
      <c r="G173" s="53">
        <v>0.14258282319720336</v>
      </c>
      <c r="H173" s="52">
        <v>114651.87</v>
      </c>
      <c r="I173" s="52">
        <v>105511.63</v>
      </c>
      <c r="J173" s="52">
        <v>82888.07999999999</v>
      </c>
      <c r="K173" s="52">
        <v>78161.06</v>
      </c>
      <c r="L173" s="52">
        <v>4727.0199999999895</v>
      </c>
      <c r="M173" s="53">
        <v>0.05702894795005495</v>
      </c>
      <c r="N173" s="53"/>
      <c r="O173" s="52">
        <v>31763.79</v>
      </c>
      <c r="P173" s="52">
        <v>27350.57</v>
      </c>
      <c r="Q173" s="52">
        <v>4413.220000000001</v>
      </c>
      <c r="R173" s="53">
        <v>0.13893870976983544</v>
      </c>
      <c r="S173" s="54">
        <v>659.73</v>
      </c>
      <c r="T173" s="54">
        <v>548.75</v>
      </c>
      <c r="U173" s="54">
        <v>110.98000000000002</v>
      </c>
      <c r="V173" s="53">
        <v>0.16822033256028984</v>
      </c>
      <c r="W173" s="53"/>
      <c r="X173" s="55">
        <v>36.21791343963554</v>
      </c>
      <c r="Y173" s="55">
        <v>47.87601261940491</v>
      </c>
      <c r="Z173" s="53">
        <v>0.1585</v>
      </c>
      <c r="AA173" s="56">
        <v>0.216</v>
      </c>
      <c r="AB173" s="57"/>
      <c r="AD173" s="35" t="s">
        <v>94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95</v>
      </c>
      <c r="D174" s="52"/>
      <c r="E174" s="52"/>
      <c r="F174" s="52"/>
      <c r="G174" s="53"/>
      <c r="H174" s="52"/>
      <c r="I174" s="52"/>
      <c r="J174" s="52"/>
      <c r="K174" s="52"/>
      <c r="L174" s="52"/>
      <c r="M174" s="53"/>
      <c r="N174" s="53"/>
      <c r="O174" s="52"/>
      <c r="P174" s="52"/>
      <c r="Q174" s="52"/>
      <c r="R174" s="53"/>
      <c r="S174" s="54"/>
      <c r="T174" s="54"/>
      <c r="U174" s="54"/>
      <c r="V174" s="53"/>
      <c r="W174" s="53"/>
      <c r="X174" s="55"/>
      <c r="Y174" s="55"/>
      <c r="Z174" s="53"/>
      <c r="AA174" s="56"/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96</v>
      </c>
      <c r="D175" s="52"/>
      <c r="E175" s="52"/>
      <c r="F175" s="52"/>
      <c r="G175" s="53"/>
      <c r="H175" s="52"/>
      <c r="I175" s="52"/>
      <c r="J175" s="52"/>
      <c r="K175" s="52"/>
      <c r="L175" s="52"/>
      <c r="M175" s="53"/>
      <c r="N175" s="53"/>
      <c r="O175" s="52"/>
      <c r="P175" s="52"/>
      <c r="Q175" s="52"/>
      <c r="R175" s="53"/>
      <c r="S175" s="54"/>
      <c r="T175" s="54"/>
      <c r="U175" s="54"/>
      <c r="V175" s="53"/>
      <c r="W175" s="53"/>
      <c r="X175" s="55"/>
      <c r="Y175" s="55"/>
      <c r="Z175" s="53"/>
      <c r="AA175" s="56"/>
      <c r="AB175" s="57"/>
      <c r="AD175" s="35" t="s">
        <v>97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98</v>
      </c>
      <c r="D176" s="52"/>
      <c r="E176" s="52"/>
      <c r="F176" s="52"/>
      <c r="G176" s="53"/>
      <c r="H176" s="52"/>
      <c r="I176" s="52"/>
      <c r="J176" s="52"/>
      <c r="K176" s="52"/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99</v>
      </c>
      <c r="D177" s="52"/>
      <c r="E177" s="52"/>
      <c r="F177" s="52"/>
      <c r="G177" s="53"/>
      <c r="H177" s="52"/>
      <c r="I177" s="52"/>
      <c r="J177" s="52"/>
      <c r="K177" s="52"/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58</v>
      </c>
      <c r="C179" s="51" t="s">
        <v>91</v>
      </c>
      <c r="D179" s="52">
        <v>16897.53</v>
      </c>
      <c r="E179" s="52">
        <v>5491.7</v>
      </c>
      <c r="F179" s="52">
        <v>11405.829999999998</v>
      </c>
      <c r="G179" s="53">
        <v>0.6749998372543206</v>
      </c>
      <c r="H179" s="52">
        <v>9226.27</v>
      </c>
      <c r="I179" s="52">
        <v>3702.78</v>
      </c>
      <c r="J179" s="52">
        <v>2977.1100000000006</v>
      </c>
      <c r="K179" s="52">
        <v>2335.9700000000003</v>
      </c>
      <c r="L179" s="52">
        <v>641.1400000000003</v>
      </c>
      <c r="M179" s="53">
        <v>0.2153565034546927</v>
      </c>
      <c r="N179" s="53"/>
      <c r="O179" s="52">
        <v>6249.16</v>
      </c>
      <c r="P179" s="52">
        <v>1366.81</v>
      </c>
      <c r="Q179" s="52">
        <v>4882.35</v>
      </c>
      <c r="R179" s="53">
        <v>0.7812810041669601</v>
      </c>
      <c r="S179" s="54">
        <v>125.17</v>
      </c>
      <c r="T179" s="54">
        <v>23.75</v>
      </c>
      <c r="U179" s="54">
        <v>101.42</v>
      </c>
      <c r="V179" s="53">
        <v>0.8102580490532876</v>
      </c>
      <c r="W179" s="53"/>
      <c r="X179" s="55">
        <v>75.32294736842105</v>
      </c>
      <c r="Y179" s="55">
        <v>61.286703843093385</v>
      </c>
      <c r="Z179" s="53">
        <v>0.3257</v>
      </c>
      <c r="AA179" s="56">
        <v>0.454</v>
      </c>
      <c r="AB179" s="57"/>
      <c r="AD179" s="35" t="s">
        <v>92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93</v>
      </c>
      <c r="D180" s="52"/>
      <c r="E180" s="52"/>
      <c r="F180" s="52"/>
      <c r="G180" s="53"/>
      <c r="H180" s="52"/>
      <c r="I180" s="52"/>
      <c r="J180" s="52"/>
      <c r="K180" s="52"/>
      <c r="L180" s="52"/>
      <c r="M180" s="53"/>
      <c r="N180" s="53"/>
      <c r="O180" s="52"/>
      <c r="P180" s="52"/>
      <c r="Q180" s="52"/>
      <c r="R180" s="53"/>
      <c r="S180" s="54"/>
      <c r="T180" s="54"/>
      <c r="U180" s="54"/>
      <c r="V180" s="53"/>
      <c r="W180" s="53"/>
      <c r="X180" s="55"/>
      <c r="Y180" s="55"/>
      <c r="Z180" s="53"/>
      <c r="AA180" s="56"/>
      <c r="AB180" s="57"/>
      <c r="AD180" s="35" t="s">
        <v>94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95</v>
      </c>
      <c r="D181" s="52"/>
      <c r="E181" s="52"/>
      <c r="F181" s="52"/>
      <c r="G181" s="53"/>
      <c r="H181" s="52"/>
      <c r="I181" s="52"/>
      <c r="J181" s="52"/>
      <c r="K181" s="52"/>
      <c r="L181" s="52"/>
      <c r="M181" s="53"/>
      <c r="N181" s="53"/>
      <c r="O181" s="52"/>
      <c r="P181" s="52"/>
      <c r="Q181" s="52"/>
      <c r="R181" s="53"/>
      <c r="S181" s="54"/>
      <c r="T181" s="54"/>
      <c r="U181" s="54"/>
      <c r="V181" s="53"/>
      <c r="W181" s="53"/>
      <c r="X181" s="55"/>
      <c r="Y181" s="55"/>
      <c r="Z181" s="53"/>
      <c r="AA181" s="56"/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96</v>
      </c>
      <c r="D182" s="52"/>
      <c r="E182" s="52"/>
      <c r="F182" s="52"/>
      <c r="G182" s="53"/>
      <c r="H182" s="52"/>
      <c r="I182" s="52"/>
      <c r="J182" s="52"/>
      <c r="K182" s="52"/>
      <c r="L182" s="52"/>
      <c r="M182" s="53"/>
      <c r="N182" s="53"/>
      <c r="O182" s="52"/>
      <c r="P182" s="52"/>
      <c r="Q182" s="52"/>
      <c r="R182" s="53"/>
      <c r="S182" s="54"/>
      <c r="T182" s="54"/>
      <c r="U182" s="54"/>
      <c r="V182" s="53"/>
      <c r="W182" s="53"/>
      <c r="X182" s="55"/>
      <c r="Y182" s="55"/>
      <c r="Z182" s="53"/>
      <c r="AA182" s="56"/>
      <c r="AB182" s="57"/>
      <c r="AD182" s="35" t="s">
        <v>97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98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99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59</v>
      </c>
      <c r="C186" s="51" t="s">
        <v>91</v>
      </c>
      <c r="D186" s="52">
        <v>20992.12</v>
      </c>
      <c r="E186" s="52">
        <v>14169.68</v>
      </c>
      <c r="F186" s="52">
        <v>6822.439999999999</v>
      </c>
      <c r="G186" s="53">
        <v>0.32500004763692275</v>
      </c>
      <c r="H186" s="52">
        <v>16299.09</v>
      </c>
      <c r="I186" s="52">
        <v>9699.51</v>
      </c>
      <c r="J186" s="52">
        <v>9784.33</v>
      </c>
      <c r="K186" s="52">
        <v>8137.88</v>
      </c>
      <c r="L186" s="52">
        <v>1646.4499999999998</v>
      </c>
      <c r="M186" s="53">
        <v>0.16827416900288522</v>
      </c>
      <c r="N186" s="53"/>
      <c r="O186" s="52">
        <v>6514.76</v>
      </c>
      <c r="P186" s="52">
        <v>1561.63</v>
      </c>
      <c r="Q186" s="52">
        <v>4953.13</v>
      </c>
      <c r="R186" s="53">
        <v>0.7602935488030257</v>
      </c>
      <c r="S186" s="54">
        <v>130.62</v>
      </c>
      <c r="T186" s="54">
        <v>34.75</v>
      </c>
      <c r="U186" s="54">
        <v>95.87</v>
      </c>
      <c r="V186" s="53">
        <v>0.7339611085591793</v>
      </c>
      <c r="W186" s="53"/>
      <c r="X186" s="55">
        <v>128.6379856115108</v>
      </c>
      <c r="Y186" s="55">
        <v>35.92887828502527</v>
      </c>
      <c r="Z186" s="53">
        <v>0.3155</v>
      </c>
      <c r="AA186" s="56">
        <v>0.2236</v>
      </c>
      <c r="AB186" s="57"/>
      <c r="AD186" s="35" t="s">
        <v>92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93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9699.51</v>
      </c>
      <c r="J187" s="52">
        <v>9784.33</v>
      </c>
      <c r="K187" s="52">
        <v>8137.88</v>
      </c>
      <c r="L187" s="52">
        <v>1646.4499999999998</v>
      </c>
      <c r="M187" s="53">
        <v>0.16827416900288522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128.6379856115108</v>
      </c>
      <c r="Y187" s="55">
        <v>35.92887828502527</v>
      </c>
      <c r="Z187" s="53">
        <v>0.3155</v>
      </c>
      <c r="AA187" s="56">
        <v>0.2236</v>
      </c>
      <c r="AB187" s="57"/>
      <c r="AD187" s="35" t="s">
        <v>94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95</v>
      </c>
      <c r="D188" s="52"/>
      <c r="E188" s="52"/>
      <c r="F188" s="52"/>
      <c r="G188" s="53"/>
      <c r="H188" s="52"/>
      <c r="I188" s="52"/>
      <c r="J188" s="52"/>
      <c r="K188" s="52"/>
      <c r="L188" s="52"/>
      <c r="M188" s="53"/>
      <c r="N188" s="53"/>
      <c r="O188" s="52"/>
      <c r="P188" s="52"/>
      <c r="Q188" s="52"/>
      <c r="R188" s="53"/>
      <c r="S188" s="54"/>
      <c r="T188" s="54"/>
      <c r="U188" s="54"/>
      <c r="V188" s="53"/>
      <c r="W188" s="53"/>
      <c r="X188" s="55"/>
      <c r="Y188" s="55"/>
      <c r="Z188" s="53"/>
      <c r="AA188" s="56"/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96</v>
      </c>
      <c r="D189" s="52"/>
      <c r="E189" s="52"/>
      <c r="F189" s="52"/>
      <c r="G189" s="53"/>
      <c r="H189" s="52"/>
      <c r="I189" s="52"/>
      <c r="J189" s="52"/>
      <c r="K189" s="52"/>
      <c r="L189" s="52"/>
      <c r="M189" s="53"/>
      <c r="N189" s="53"/>
      <c r="O189" s="52"/>
      <c r="P189" s="52"/>
      <c r="Q189" s="52"/>
      <c r="R189" s="53"/>
      <c r="S189" s="54"/>
      <c r="T189" s="54"/>
      <c r="U189" s="54"/>
      <c r="V189" s="53"/>
      <c r="W189" s="53"/>
      <c r="X189" s="55"/>
      <c r="Y189" s="55"/>
      <c r="Z189" s="53"/>
      <c r="AA189" s="56"/>
      <c r="AB189" s="57"/>
      <c r="AD189" s="35" t="s">
        <v>97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98</v>
      </c>
      <c r="D190" s="52"/>
      <c r="E190" s="52"/>
      <c r="F190" s="52"/>
      <c r="G190" s="53"/>
      <c r="H190" s="52"/>
      <c r="I190" s="52"/>
      <c r="J190" s="52"/>
      <c r="K190" s="52"/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99</v>
      </c>
      <c r="D191" s="52"/>
      <c r="E191" s="52"/>
      <c r="F191" s="52"/>
      <c r="G191" s="53"/>
      <c r="H191" s="52"/>
      <c r="I191" s="52"/>
      <c r="J191" s="52"/>
      <c r="K191" s="52"/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60</v>
      </c>
      <c r="C193" s="51" t="s">
        <v>91</v>
      </c>
      <c r="D193" s="52">
        <v>23770.95</v>
      </c>
      <c r="E193" s="52">
        <v>10204.54</v>
      </c>
      <c r="F193" s="52">
        <v>13566.41</v>
      </c>
      <c r="G193" s="53">
        <v>0.5707138334816235</v>
      </c>
      <c r="H193" s="52">
        <v>14310.96</v>
      </c>
      <c r="I193" s="52">
        <v>6935.96</v>
      </c>
      <c r="J193" s="52">
        <v>7389.339999999999</v>
      </c>
      <c r="K193" s="52">
        <v>6605.05</v>
      </c>
      <c r="L193" s="52">
        <v>784.289999999999</v>
      </c>
      <c r="M193" s="53">
        <v>0.1061380312720756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568.4486956521739</v>
      </c>
      <c r="Y193" s="55">
        <v>67.49902570438813</v>
      </c>
      <c r="Z193" s="53">
        <v>0.32030000000000003</v>
      </c>
      <c r="AA193" s="56">
        <v>0.398</v>
      </c>
      <c r="AB193" s="57"/>
      <c r="AD193" s="35" t="s">
        <v>92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93</v>
      </c>
      <c r="D194" s="52">
        <v>23770.95</v>
      </c>
      <c r="E194" s="52">
        <v>10204.54</v>
      </c>
      <c r="F194" s="52">
        <v>13566.41</v>
      </c>
      <c r="G194" s="53">
        <v>0.5707138334816235</v>
      </c>
      <c r="H194" s="52">
        <v>14310.96</v>
      </c>
      <c r="I194" s="52">
        <v>6935.96</v>
      </c>
      <c r="J194" s="52">
        <v>7389.339999999999</v>
      </c>
      <c r="K194" s="52">
        <v>6605.05</v>
      </c>
      <c r="L194" s="52">
        <v>784.289999999999</v>
      </c>
      <c r="M194" s="53">
        <v>0.1061380312720756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568.4486956521739</v>
      </c>
      <c r="Y194" s="55">
        <v>67.49902570438813</v>
      </c>
      <c r="Z194" s="53">
        <v>0.32030000000000003</v>
      </c>
      <c r="AA194" s="56">
        <v>0.398</v>
      </c>
      <c r="AB194" s="57"/>
      <c r="AD194" s="35" t="s">
        <v>94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95</v>
      </c>
      <c r="D195" s="52"/>
      <c r="E195" s="52"/>
      <c r="F195" s="52"/>
      <c r="G195" s="53"/>
      <c r="H195" s="52"/>
      <c r="I195" s="52"/>
      <c r="J195" s="52"/>
      <c r="K195" s="52"/>
      <c r="L195" s="52"/>
      <c r="M195" s="53"/>
      <c r="N195" s="53"/>
      <c r="O195" s="52"/>
      <c r="P195" s="52"/>
      <c r="Q195" s="52"/>
      <c r="R195" s="53"/>
      <c r="S195" s="54"/>
      <c r="T195" s="54"/>
      <c r="U195" s="54"/>
      <c r="V195" s="53"/>
      <c r="W195" s="53"/>
      <c r="X195" s="55"/>
      <c r="Y195" s="55"/>
      <c r="Z195" s="53"/>
      <c r="AA195" s="56"/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96</v>
      </c>
      <c r="D196" s="52"/>
      <c r="E196" s="52"/>
      <c r="F196" s="52"/>
      <c r="G196" s="53"/>
      <c r="H196" s="52"/>
      <c r="I196" s="52"/>
      <c r="J196" s="52"/>
      <c r="K196" s="52"/>
      <c r="L196" s="52"/>
      <c r="M196" s="53"/>
      <c r="N196" s="53"/>
      <c r="O196" s="52"/>
      <c r="P196" s="52"/>
      <c r="Q196" s="52"/>
      <c r="R196" s="53"/>
      <c r="S196" s="54"/>
      <c r="T196" s="54"/>
      <c r="U196" s="54"/>
      <c r="V196" s="53"/>
      <c r="W196" s="53"/>
      <c r="X196" s="55"/>
      <c r="Y196" s="55"/>
      <c r="Z196" s="53"/>
      <c r="AA196" s="56"/>
      <c r="AB196" s="57"/>
      <c r="AD196" s="35" t="s">
        <v>97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98</v>
      </c>
      <c r="D197" s="52"/>
      <c r="E197" s="52"/>
      <c r="F197" s="52"/>
      <c r="G197" s="53"/>
      <c r="H197" s="52"/>
      <c r="I197" s="52"/>
      <c r="J197" s="52"/>
      <c r="K197" s="52"/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99</v>
      </c>
      <c r="D198" s="52"/>
      <c r="E198" s="52"/>
      <c r="F198" s="52"/>
      <c r="G198" s="53"/>
      <c r="H198" s="52"/>
      <c r="I198" s="52"/>
      <c r="J198" s="52"/>
      <c r="K198" s="52"/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91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92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93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94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95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96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97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98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99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61</v>
      </c>
      <c r="C207" s="51" t="s">
        <v>91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92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93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94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95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96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97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98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99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62</v>
      </c>
      <c r="C214" s="51" t="s">
        <v>91</v>
      </c>
      <c r="D214" s="52">
        <v>137109.56</v>
      </c>
      <c r="E214" s="52">
        <v>30174.75</v>
      </c>
      <c r="F214" s="52">
        <v>106934.81</v>
      </c>
      <c r="G214" s="53">
        <v>0.7799223482301307</v>
      </c>
      <c r="H214" s="52">
        <v>117394.57</v>
      </c>
      <c r="I214" s="52">
        <v>26124</v>
      </c>
      <c r="J214" s="52">
        <v>99479.62000000001</v>
      </c>
      <c r="K214" s="52">
        <v>26124</v>
      </c>
      <c r="L214" s="52">
        <v>73355.62000000001</v>
      </c>
      <c r="M214" s="53">
        <v>0.7373934480248316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>
        <v>0</v>
      </c>
      <c r="Y214" s="55">
        <v>54.93783457863793</v>
      </c>
      <c r="Z214" s="53">
        <v>0.13419999999999999</v>
      </c>
      <c r="AA214" s="56">
        <v>0.1438</v>
      </c>
      <c r="AB214" s="57"/>
      <c r="AD214" s="35" t="s">
        <v>92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93</v>
      </c>
      <c r="D215" s="52">
        <v>137109.56</v>
      </c>
      <c r="E215" s="52">
        <v>30174.75</v>
      </c>
      <c r="F215" s="52">
        <v>106934.81</v>
      </c>
      <c r="G215" s="53">
        <v>0.7799223482301307</v>
      </c>
      <c r="H215" s="52">
        <v>117394.57</v>
      </c>
      <c r="I215" s="52">
        <v>30594.96</v>
      </c>
      <c r="J215" s="52">
        <v>99479.62000000001</v>
      </c>
      <c r="K215" s="52">
        <v>30594.96</v>
      </c>
      <c r="L215" s="52">
        <v>68884.66</v>
      </c>
      <c r="M215" s="53">
        <v>0.692449971159922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-0.0139</v>
      </c>
      <c r="AA215" s="56">
        <v>0.1438</v>
      </c>
      <c r="AB215" s="57"/>
      <c r="AD215" s="35" t="s">
        <v>94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95</v>
      </c>
      <c r="D216" s="52"/>
      <c r="E216" s="52"/>
      <c r="F216" s="52"/>
      <c r="G216" s="53"/>
      <c r="H216" s="52"/>
      <c r="I216" s="52"/>
      <c r="J216" s="52"/>
      <c r="K216" s="52"/>
      <c r="L216" s="52"/>
      <c r="M216" s="53"/>
      <c r="N216" s="53"/>
      <c r="O216" s="52"/>
      <c r="P216" s="52"/>
      <c r="Q216" s="52"/>
      <c r="R216" s="53"/>
      <c r="S216" s="54"/>
      <c r="T216" s="54"/>
      <c r="U216" s="54"/>
      <c r="V216" s="53"/>
      <c r="W216" s="53"/>
      <c r="X216" s="55"/>
      <c r="Y216" s="55"/>
      <c r="Z216" s="53"/>
      <c r="AA216" s="56"/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96</v>
      </c>
      <c r="D217" s="52"/>
      <c r="E217" s="52"/>
      <c r="F217" s="52"/>
      <c r="G217" s="53"/>
      <c r="H217" s="52"/>
      <c r="I217" s="52"/>
      <c r="J217" s="52"/>
      <c r="K217" s="52"/>
      <c r="L217" s="52"/>
      <c r="M217" s="53"/>
      <c r="N217" s="53"/>
      <c r="O217" s="52"/>
      <c r="P217" s="52"/>
      <c r="Q217" s="52"/>
      <c r="R217" s="53"/>
      <c r="S217" s="54"/>
      <c r="T217" s="54"/>
      <c r="U217" s="54"/>
      <c r="V217" s="53"/>
      <c r="W217" s="53"/>
      <c r="X217" s="55"/>
      <c r="Y217" s="55"/>
      <c r="Z217" s="53"/>
      <c r="AA217" s="56"/>
      <c r="AB217" s="57"/>
      <c r="AD217" s="35" t="s">
        <v>97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98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99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63</v>
      </c>
      <c r="C221" s="51" t="s">
        <v>91</v>
      </c>
      <c r="D221" s="52">
        <v>396453.46</v>
      </c>
      <c r="E221" s="52">
        <v>271388.15</v>
      </c>
      <c r="F221" s="52">
        <v>125065.31</v>
      </c>
      <c r="G221" s="53">
        <v>0.3154602560411504</v>
      </c>
      <c r="H221" s="52">
        <v>295569.99</v>
      </c>
      <c r="I221" s="52">
        <v>234322.81</v>
      </c>
      <c r="J221" s="52">
        <v>178700.37</v>
      </c>
      <c r="K221" s="52">
        <v>177071.47999999998</v>
      </c>
      <c r="L221" s="52">
        <v>1628.890000000014</v>
      </c>
      <c r="M221" s="53">
        <v>0.009115202167740415</v>
      </c>
      <c r="N221" s="53"/>
      <c r="O221" s="52">
        <v>116869.62</v>
      </c>
      <c r="P221" s="52">
        <v>57251.33</v>
      </c>
      <c r="Q221" s="52">
        <v>59618.28999999999</v>
      </c>
      <c r="R221" s="53">
        <v>0.5101264982293944</v>
      </c>
      <c r="S221" s="54">
        <v>2344.68</v>
      </c>
      <c r="T221" s="54">
        <v>1212</v>
      </c>
      <c r="U221" s="54">
        <v>1132.6799999999998</v>
      </c>
      <c r="V221" s="53">
        <v>0.48308511182762676</v>
      </c>
      <c r="W221" s="53"/>
      <c r="X221" s="55">
        <v>30.581963696369634</v>
      </c>
      <c r="Y221" s="55">
        <v>43.0265399367206</v>
      </c>
      <c r="Z221" s="53">
        <v>0.1366</v>
      </c>
      <c r="AA221" s="56">
        <v>0.2545</v>
      </c>
      <c r="AB221" s="57"/>
      <c r="AD221" s="35" t="s">
        <v>92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93</v>
      </c>
      <c r="D222" s="52">
        <v>396453.46</v>
      </c>
      <c r="E222" s="52">
        <v>306038.55</v>
      </c>
      <c r="F222" s="52">
        <v>90414.91000000003</v>
      </c>
      <c r="G222" s="53">
        <v>0.2280593288301735</v>
      </c>
      <c r="H222" s="52">
        <v>295569.99</v>
      </c>
      <c r="I222" s="52">
        <v>241753.24</v>
      </c>
      <c r="J222" s="52">
        <v>178700.37</v>
      </c>
      <c r="K222" s="52">
        <v>178956.15</v>
      </c>
      <c r="L222" s="52">
        <v>-255.77999999999884</v>
      </c>
      <c r="M222" s="53">
        <v>-0.0014313344734540776</v>
      </c>
      <c r="N222" s="53"/>
      <c r="O222" s="52">
        <v>116869.62</v>
      </c>
      <c r="P222" s="52">
        <v>62797.09</v>
      </c>
      <c r="Q222" s="52">
        <v>54072.53</v>
      </c>
      <c r="R222" s="53">
        <v>0.4626739609489618</v>
      </c>
      <c r="S222" s="54">
        <v>2344.68</v>
      </c>
      <c r="T222" s="54">
        <v>1335</v>
      </c>
      <c r="U222" s="54">
        <v>1009.6799999999998</v>
      </c>
      <c r="V222" s="53">
        <v>0.4306259276319156</v>
      </c>
      <c r="W222" s="53"/>
      <c r="X222" s="55">
        <v>48.153790262172286</v>
      </c>
      <c r="Y222" s="55">
        <v>43.0265399367206</v>
      </c>
      <c r="Z222" s="53">
        <v>0.2101</v>
      </c>
      <c r="AA222" s="56">
        <v>0.2545</v>
      </c>
      <c r="AB222" s="57"/>
      <c r="AD222" s="35" t="s">
        <v>94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95</v>
      </c>
      <c r="D223" s="52"/>
      <c r="E223" s="52"/>
      <c r="F223" s="52"/>
      <c r="G223" s="53"/>
      <c r="H223" s="52"/>
      <c r="I223" s="52"/>
      <c r="J223" s="52"/>
      <c r="K223" s="52"/>
      <c r="L223" s="52"/>
      <c r="M223" s="53"/>
      <c r="N223" s="53"/>
      <c r="O223" s="52"/>
      <c r="P223" s="52"/>
      <c r="Q223" s="52"/>
      <c r="R223" s="53"/>
      <c r="S223" s="54"/>
      <c r="T223" s="54"/>
      <c r="U223" s="54"/>
      <c r="V223" s="53"/>
      <c r="W223" s="53"/>
      <c r="X223" s="55"/>
      <c r="Y223" s="55"/>
      <c r="Z223" s="53"/>
      <c r="AA223" s="56"/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96</v>
      </c>
      <c r="D224" s="52"/>
      <c r="E224" s="52"/>
      <c r="F224" s="52"/>
      <c r="G224" s="53"/>
      <c r="H224" s="52"/>
      <c r="I224" s="52"/>
      <c r="J224" s="52"/>
      <c r="K224" s="52"/>
      <c r="L224" s="52"/>
      <c r="M224" s="53"/>
      <c r="N224" s="53"/>
      <c r="O224" s="52"/>
      <c r="P224" s="52"/>
      <c r="Q224" s="52"/>
      <c r="R224" s="53"/>
      <c r="S224" s="54"/>
      <c r="T224" s="54"/>
      <c r="U224" s="54"/>
      <c r="V224" s="53"/>
      <c r="W224" s="53"/>
      <c r="X224" s="55"/>
      <c r="Y224" s="55"/>
      <c r="Z224" s="53"/>
      <c r="AA224" s="56"/>
      <c r="AB224" s="57"/>
      <c r="AD224" s="35" t="s">
        <v>97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98</v>
      </c>
      <c r="D225" s="52"/>
      <c r="E225" s="52"/>
      <c r="F225" s="52"/>
      <c r="G225" s="53"/>
      <c r="H225" s="52"/>
      <c r="I225" s="52"/>
      <c r="J225" s="52"/>
      <c r="K225" s="52"/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99</v>
      </c>
      <c r="D226" s="52"/>
      <c r="E226" s="52"/>
      <c r="F226" s="52"/>
      <c r="G226" s="53"/>
      <c r="H226" s="52"/>
      <c r="I226" s="52"/>
      <c r="J226" s="52"/>
      <c r="K226" s="52"/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0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18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16" x14ac:dyDescent="0.25">
      <c r="A2" s="80" t="s">
        <v>101</v>
      </c>
      <c r="B2" s="81" t="s">
        <v>102</v>
      </c>
      <c r="C2" s="82" t="s">
        <v>103</v>
      </c>
      <c r="D2" s="82" t="s">
        <v>104</v>
      </c>
      <c r="E2" s="82" t="s">
        <v>105</v>
      </c>
      <c r="F2" s="82" t="s">
        <v>106</v>
      </c>
      <c r="G2" s="83" t="s">
        <v>107</v>
      </c>
      <c r="H2" s="83" t="s">
        <v>108</v>
      </c>
      <c r="I2" s="81" t="s">
        <v>109</v>
      </c>
      <c r="J2" s="82" t="s">
        <v>110</v>
      </c>
      <c r="K2" s="82" t="s">
        <v>111</v>
      </c>
      <c r="L2" s="83" t="s">
        <v>112</v>
      </c>
      <c r="M2" s="83" t="s">
        <v>113</v>
      </c>
      <c r="N2" s="81" t="s">
        <v>114</v>
      </c>
      <c r="O2" s="84" t="s">
        <v>115</v>
      </c>
      <c r="P2" s="35"/>
    </row>
    <row r="3" ht="15" customHeight="1" spans="1:16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15" x14ac:dyDescent="0.25">
      <c r="A4" s="85">
        <v>7658</v>
      </c>
      <c r="B4" s="54" t="s">
        <v>25</v>
      </c>
      <c r="C4" s="52">
        <v>0</v>
      </c>
      <c r="D4" s="52">
        <v>0</v>
      </c>
      <c r="E4" s="52">
        <v>0</v>
      </c>
      <c r="F4" s="52">
        <v>0</v>
      </c>
      <c r="G4" s="53">
        <v>0</v>
      </c>
      <c r="H4" s="53">
        <v>0.2149</v>
      </c>
      <c r="I4" s="86">
        <v>50</v>
      </c>
      <c r="J4" s="87">
        <v>5000</v>
      </c>
      <c r="K4" s="52">
        <v>7000</v>
      </c>
      <c r="L4" s="53">
        <v>0</v>
      </c>
      <c r="M4" s="52">
        <v>-7000</v>
      </c>
      <c r="N4" s="54">
        <v>20</v>
      </c>
      <c r="O4" s="58">
        <v>-100</v>
      </c>
    </row>
    <row r="5" ht="7.5" customHeight="1" spans="1:15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17" x14ac:dyDescent="0.25">
      <c r="A6" s="85">
        <v>8142</v>
      </c>
      <c r="B6" s="54" t="s">
        <v>29</v>
      </c>
      <c r="C6" s="52">
        <v>0</v>
      </c>
      <c r="D6" s="52">
        <v>2351.029999999999</v>
      </c>
      <c r="E6" s="52">
        <v>-2351.029999999999</v>
      </c>
      <c r="F6" s="52">
        <v>0</v>
      </c>
      <c r="G6" s="53">
        <v>0</v>
      </c>
      <c r="H6" s="53">
        <v>0.239214585617637</v>
      </c>
      <c r="I6" s="54">
        <v>40</v>
      </c>
      <c r="J6" s="52">
        <v>272.6</v>
      </c>
      <c r="K6" s="52">
        <v>1872.6</v>
      </c>
      <c r="L6" s="53">
        <v>0</v>
      </c>
      <c r="M6" s="52">
        <v>-4223.629999999999</v>
      </c>
      <c r="N6" s="54">
        <v>-52.5</v>
      </c>
      <c r="O6" s="58">
        <v>337.89039999999994</v>
      </c>
      <c r="Q6" s="35" t="s">
        <v>116</v>
      </c>
    </row>
    <row r="7" ht="7.5" customHeight="1" spans="1:15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15" x14ac:dyDescent="0.25">
      <c r="A8" s="85">
        <v>8824</v>
      </c>
      <c r="B8" s="54" t="s">
        <v>31</v>
      </c>
      <c r="C8" s="52">
        <v>0</v>
      </c>
      <c r="D8" s="52">
        <v>300</v>
      </c>
      <c r="E8" s="52">
        <v>-300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-940</v>
      </c>
      <c r="N8" s="54">
        <v>-34.75</v>
      </c>
      <c r="O8" s="58">
        <v>50.13333333333333</v>
      </c>
    </row>
    <row r="9" ht="7.5" customHeight="1" spans="1:15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15" x14ac:dyDescent="0.25">
      <c r="A10" s="85">
        <v>8127</v>
      </c>
      <c r="B10" s="54" t="s">
        <v>32</v>
      </c>
      <c r="C10" s="52">
        <v>0</v>
      </c>
      <c r="D10" s="52">
        <v>1252.699999999997</v>
      </c>
      <c r="E10" s="52">
        <v>-1252.699999999997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-6172.699999999997</v>
      </c>
      <c r="N10" s="54">
        <v>-388.25</v>
      </c>
      <c r="O10" s="58">
        <v>18.141660543717848</v>
      </c>
    </row>
    <row r="11" ht="7.5" customHeight="1" spans="1:15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17" x14ac:dyDescent="0.25">
      <c r="A12" s="85">
        <v>8183</v>
      </c>
      <c r="B12" s="54" t="s">
        <v>117</v>
      </c>
      <c r="C12" s="52">
        <v>0</v>
      </c>
      <c r="D12" s="52">
        <v>3843.2399999999907</v>
      </c>
      <c r="E12" s="52">
        <v>-3843.2399999999907</v>
      </c>
      <c r="F12" s="52">
        <v>3</v>
      </c>
      <c r="G12" s="53">
        <v>0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</v>
      </c>
      <c r="M12" s="52">
        <v>-6483.239999999991</v>
      </c>
      <c r="N12" s="54">
        <v>53</v>
      </c>
      <c r="O12" s="58">
        <v>-93.95999999999987</v>
      </c>
      <c r="Q12" s="35" t="s">
        <v>118</v>
      </c>
    </row>
    <row r="13" ht="7.5" customHeight="1" spans="1:15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15" x14ac:dyDescent="0.25">
      <c r="A14" s="85">
        <v>8886</v>
      </c>
      <c r="B14" s="54" t="s">
        <v>35</v>
      </c>
      <c r="C14" s="52">
        <v>0</v>
      </c>
      <c r="D14" s="52">
        <v>4015.729999999996</v>
      </c>
      <c r="E14" s="52">
        <v>-4015.729999999996</v>
      </c>
      <c r="F14" s="52">
        <v>0</v>
      </c>
      <c r="G14" s="53">
        <v>0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</v>
      </c>
      <c r="M14" s="52">
        <v>-7015.729999999996</v>
      </c>
      <c r="N14" s="54">
        <v>-112</v>
      </c>
      <c r="O14" s="58">
        <v>62.640446428571394</v>
      </c>
    </row>
    <row r="15" ht="7.5" customHeight="1" spans="1:15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15" x14ac:dyDescent="0.25">
      <c r="A16" s="85">
        <v>8887</v>
      </c>
      <c r="B16" s="54" t="s">
        <v>36</v>
      </c>
      <c r="C16" s="52">
        <v>0</v>
      </c>
      <c r="D16" s="52">
        <v>-24.220000000001164</v>
      </c>
      <c r="E16" s="52">
        <v>24.220000000001164</v>
      </c>
      <c r="F16" s="52"/>
      <c r="G16" s="53">
        <v>0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</v>
      </c>
      <c r="M16" s="52">
        <v>-2975.779999999999</v>
      </c>
      <c r="N16" s="54">
        <v>-86.75</v>
      </c>
      <c r="O16" s="58">
        <v>34.302939481268</v>
      </c>
    </row>
    <row r="17" ht="7.5" customHeight="1" spans="1:15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17" x14ac:dyDescent="0.25">
      <c r="A18" s="85">
        <v>8670</v>
      </c>
      <c r="B18" s="54" t="s">
        <v>37</v>
      </c>
      <c r="C18" s="52">
        <v>0</v>
      </c>
      <c r="D18" s="52">
        <v>276.68000000000757</v>
      </c>
      <c r="E18" s="52">
        <v>-276.68000000000757</v>
      </c>
      <c r="F18" s="52">
        <v>0</v>
      </c>
      <c r="G18" s="53">
        <v>0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</v>
      </c>
      <c r="M18" s="52">
        <v>-8476.680000000008</v>
      </c>
      <c r="N18" s="54">
        <v>-269</v>
      </c>
      <c r="O18" s="58">
        <v>44.85015873015877</v>
      </c>
      <c r="Q18" s="35" t="s">
        <v>119</v>
      </c>
    </row>
    <row r="19" ht="7.5" customHeight="1" spans="1:15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15" x14ac:dyDescent="0.25">
      <c r="A20" s="85">
        <v>8907</v>
      </c>
      <c r="B20" s="54" t="s">
        <v>38</v>
      </c>
      <c r="C20" s="52">
        <v>0</v>
      </c>
      <c r="D20" s="52">
        <v>0</v>
      </c>
      <c r="E20" s="52">
        <v>0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0</v>
      </c>
      <c r="N20" s="54"/>
      <c r="O20" s="58">
        <v>0</v>
      </c>
    </row>
    <row r="21" ht="7.5" customHeight="1" spans="1:15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15" x14ac:dyDescent="0.25">
      <c r="A22" s="85">
        <v>9065</v>
      </c>
      <c r="B22" s="54" t="s">
        <v>39</v>
      </c>
      <c r="C22" s="52">
        <v>0</v>
      </c>
      <c r="D22" s="52">
        <v>565.6499999999996</v>
      </c>
      <c r="E22" s="52">
        <v>-565.6499999999996</v>
      </c>
      <c r="F22" s="52">
        <v>0</v>
      </c>
      <c r="G22" s="53">
        <v>0</v>
      </c>
      <c r="H22" s="53">
        <v>0.252488256827238</v>
      </c>
      <c r="I22" s="54"/>
      <c r="J22" s="52"/>
      <c r="K22" s="52">
        <v>0</v>
      </c>
      <c r="L22" s="53">
        <v>0</v>
      </c>
      <c r="M22" s="52">
        <v>-565.6499999999996</v>
      </c>
      <c r="N22" s="54"/>
      <c r="O22" s="58">
        <v>0</v>
      </c>
    </row>
    <row r="23" ht="7.5" customHeight="1" spans="1:15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15" x14ac:dyDescent="0.25">
      <c r="A24" s="19">
        <v>9259</v>
      </c>
      <c r="B24" s="54" t="s">
        <v>40</v>
      </c>
      <c r="C24" s="52">
        <v>0</v>
      </c>
      <c r="D24" s="52">
        <v>1528.260000000002</v>
      </c>
      <c r="E24" s="52">
        <v>-1528.260000000002</v>
      </c>
      <c r="F24" s="52"/>
      <c r="G24" s="53">
        <v>0</v>
      </c>
      <c r="H24" s="53"/>
      <c r="I24" s="54"/>
      <c r="J24" s="52"/>
      <c r="K24" s="52">
        <v>0</v>
      </c>
      <c r="L24" s="53">
        <v>0</v>
      </c>
      <c r="M24" s="52">
        <v>-1528.260000000002</v>
      </c>
      <c r="N24" s="54"/>
      <c r="O24" s="58">
        <v>0</v>
      </c>
    </row>
    <row r="25" ht="7.5" customHeight="1" spans="1:15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15" x14ac:dyDescent="0.25">
      <c r="A26" s="19">
        <v>8352</v>
      </c>
      <c r="B26" s="54" t="s">
        <v>41</v>
      </c>
      <c r="C26" s="52">
        <v>0</v>
      </c>
      <c r="D26" s="52">
        <v>0</v>
      </c>
      <c r="E26" s="52">
        <v>0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0</v>
      </c>
      <c r="N26" s="54">
        <v>-143.25</v>
      </c>
      <c r="O26" s="58">
        <v>0</v>
      </c>
    </row>
    <row r="27" ht="7.5" customHeight="1" spans="1:15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15" x14ac:dyDescent="0.25">
      <c r="A28" s="19">
        <v>8234</v>
      </c>
      <c r="B28" s="54" t="s">
        <v>43</v>
      </c>
      <c r="C28" s="52">
        <v>0</v>
      </c>
      <c r="D28" s="52">
        <v>-1055.7200000000012</v>
      </c>
      <c r="E28" s="52">
        <v>1055.7200000000012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1055.7200000000012</v>
      </c>
      <c r="N28" s="54">
        <v>-148.5</v>
      </c>
      <c r="O28" s="58">
        <v>-7.109225589225597</v>
      </c>
    </row>
    <row r="29" ht="7.5" customHeight="1" spans="1:15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15" x14ac:dyDescent="0.25">
      <c r="A30" s="19">
        <v>8214</v>
      </c>
      <c r="B30" s="54" t="s">
        <v>44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v>-5</v>
      </c>
      <c r="O30" s="58">
        <v>0</v>
      </c>
    </row>
    <row r="31" ht="7.5" customHeight="1" spans="1:15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15" x14ac:dyDescent="0.25">
      <c r="A32" s="19">
        <v>6792</v>
      </c>
      <c r="B32" s="54" t="s">
        <v>45</v>
      </c>
      <c r="C32" s="52">
        <v>0</v>
      </c>
      <c r="D32" s="52">
        <v>0</v>
      </c>
      <c r="E32" s="52">
        <v>0</v>
      </c>
      <c r="F32" s="52">
        <v>0</v>
      </c>
      <c r="G32" s="53">
        <v>0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0</v>
      </c>
      <c r="M32" s="52">
        <v>-2560</v>
      </c>
      <c r="N32" s="54">
        <v>-317.25</v>
      </c>
      <c r="O32" s="58">
        <v>10.108588351431392</v>
      </c>
    </row>
    <row r="33" ht="7.5" customHeight="1" spans="1:15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15" x14ac:dyDescent="0.25">
      <c r="A34" s="19">
        <v>8840</v>
      </c>
      <c r="B34" s="54" t="s">
        <v>48</v>
      </c>
      <c r="C34" s="52">
        <v>0</v>
      </c>
      <c r="D34" s="52">
        <v>923.8799999999974</v>
      </c>
      <c r="E34" s="52">
        <v>-923.8799999999974</v>
      </c>
      <c r="F34" s="52">
        <v>0</v>
      </c>
      <c r="G34" s="53">
        <v>0</v>
      </c>
      <c r="H34" s="53">
        <v>0.364182044343228</v>
      </c>
      <c r="I34" s="54"/>
      <c r="J34" s="52">
        <v>0</v>
      </c>
      <c r="K34" s="52">
        <v>0</v>
      </c>
      <c r="L34" s="53">
        <v>0</v>
      </c>
      <c r="M34" s="52">
        <v>-923.8799999999974</v>
      </c>
      <c r="N34" s="54">
        <v>-204.75</v>
      </c>
      <c r="O34" s="58">
        <v>4.512234432234419</v>
      </c>
    </row>
    <row r="35" ht="7.5" customHeight="1" spans="1:15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15" x14ac:dyDescent="0.25">
      <c r="A36" s="19">
        <v>8769</v>
      </c>
      <c r="B36" s="54" t="s">
        <v>49</v>
      </c>
      <c r="C36" s="52">
        <v>0</v>
      </c>
      <c r="D36" s="52">
        <v>0</v>
      </c>
      <c r="E36" s="52">
        <v>0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-3200</v>
      </c>
      <c r="N36" s="54"/>
      <c r="O36" s="58">
        <v>-40</v>
      </c>
    </row>
    <row r="37" ht="7.5" customHeight="1" spans="1:15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15" x14ac:dyDescent="0.25">
      <c r="A38" s="19">
        <v>7901</v>
      </c>
      <c r="B38" s="54" t="s">
        <v>50</v>
      </c>
      <c r="C38" s="52">
        <v>52040.560000000005</v>
      </c>
      <c r="D38" s="52">
        <v>526.0599999999977</v>
      </c>
      <c r="E38" s="52">
        <v>51514.50000000001</v>
      </c>
      <c r="F38" s="52">
        <v>0</v>
      </c>
      <c r="G38" s="53">
        <v>0.9898913462883566</v>
      </c>
      <c r="H38" s="53">
        <v>0.1750921737769</v>
      </c>
      <c r="I38" s="54"/>
      <c r="J38" s="52"/>
      <c r="K38" s="52">
        <v>0</v>
      </c>
      <c r="L38" s="53">
        <v>0.9898913462883566</v>
      </c>
      <c r="M38" s="52">
        <v>51514.50000000001</v>
      </c>
      <c r="N38" s="54"/>
      <c r="O38" s="58">
        <v>0</v>
      </c>
    </row>
    <row r="39" ht="7.5" customHeight="1" spans="1:15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15" x14ac:dyDescent="0.25">
      <c r="A40" s="19">
        <v>8923</v>
      </c>
      <c r="B40" s="54" t="s">
        <v>51</v>
      </c>
      <c r="C40" s="52">
        <v>2127.8099999999995</v>
      </c>
      <c r="D40" s="52">
        <v>0</v>
      </c>
      <c r="E40" s="52">
        <v>2127.8099999999995</v>
      </c>
      <c r="F40" s="52">
        <v>0</v>
      </c>
      <c r="G40" s="53">
        <v>1</v>
      </c>
      <c r="H40" s="53">
        <v>0.262692984588275</v>
      </c>
      <c r="I40" s="54"/>
      <c r="J40" s="52">
        <v>0</v>
      </c>
      <c r="K40" s="52">
        <v>0</v>
      </c>
      <c r="L40" s="53">
        <v>1</v>
      </c>
      <c r="M40" s="52">
        <v>2127.8099999999995</v>
      </c>
      <c r="N40" s="54">
        <v>-2</v>
      </c>
      <c r="O40" s="58">
        <v>-1063.9049999999997</v>
      </c>
    </row>
    <row r="41" ht="7.5" customHeight="1" spans="1:15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15" x14ac:dyDescent="0.25">
      <c r="A42" s="19">
        <v>7864</v>
      </c>
      <c r="B42" s="54" t="s">
        <v>52</v>
      </c>
      <c r="C42" s="52">
        <v>0</v>
      </c>
      <c r="D42" s="52">
        <v>0</v>
      </c>
      <c r="E42" s="52">
        <v>0</v>
      </c>
      <c r="F42" s="52"/>
      <c r="G42" s="53">
        <v>0</v>
      </c>
      <c r="H42" s="53">
        <v>0.257245709794332</v>
      </c>
      <c r="I42" s="54">
        <v>0</v>
      </c>
      <c r="J42" s="52"/>
      <c r="K42" s="52">
        <v>0</v>
      </c>
      <c r="L42" s="53">
        <v>0</v>
      </c>
      <c r="M42" s="52">
        <v>0</v>
      </c>
      <c r="N42" s="54">
        <v>-266.75</v>
      </c>
      <c r="O42" s="58">
        <v>0</v>
      </c>
    </row>
    <row r="43" ht="7.5" customHeight="1" spans="1:15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15" x14ac:dyDescent="0.25">
      <c r="A44" s="19">
        <v>7912</v>
      </c>
      <c r="B44" s="54" t="s">
        <v>53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15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15" x14ac:dyDescent="0.25">
      <c r="A46" s="59">
        <v>8360</v>
      </c>
      <c r="B46" s="98" t="s">
        <v>54</v>
      </c>
      <c r="C46" s="99">
        <v>0</v>
      </c>
      <c r="D46" s="99">
        <v>0</v>
      </c>
      <c r="E46" s="99">
        <v>0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0</v>
      </c>
      <c r="N46" s="98">
        <v>-260.75</v>
      </c>
      <c r="O46" s="60">
        <v>0</v>
      </c>
    </row>
    <row r="47" ht="7.5" customHeight="1" spans="1:15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15" x14ac:dyDescent="0.25">
      <c r="A48" s="59">
        <v>8337</v>
      </c>
      <c r="B48" s="98" t="s">
        <v>55</v>
      </c>
      <c r="C48" s="99">
        <v>0</v>
      </c>
      <c r="D48" s="99">
        <v>0</v>
      </c>
      <c r="E48" s="99">
        <v>0</v>
      </c>
      <c r="F48" s="99"/>
      <c r="G48" s="100">
        <v>0</v>
      </c>
      <c r="H48" s="100">
        <v>0.222350780727547</v>
      </c>
      <c r="I48" s="98"/>
      <c r="J48" s="99">
        <v>2530</v>
      </c>
      <c r="K48" s="99">
        <v>2530</v>
      </c>
      <c r="L48" s="100">
        <v>0</v>
      </c>
      <c r="M48" s="99">
        <v>-2530</v>
      </c>
      <c r="N48" s="98">
        <v>-44.75</v>
      </c>
      <c r="O48" s="60">
        <v>56.53631284916201</v>
      </c>
    </row>
    <row r="49" ht="7.5" customHeight="1" spans="1:15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17" x14ac:dyDescent="0.25">
      <c r="A50" s="59">
        <v>9240</v>
      </c>
      <c r="B50" s="98" t="s">
        <v>56</v>
      </c>
      <c r="C50" s="99">
        <v>0</v>
      </c>
      <c r="D50" s="99">
        <v>853.55</v>
      </c>
      <c r="E50" s="99">
        <v>-853.55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-853.55</v>
      </c>
      <c r="N50" s="98"/>
      <c r="O50" s="60">
        <v>0</v>
      </c>
      <c r="Q50" s="35" t="s">
        <v>120</v>
      </c>
    </row>
    <row r="51" ht="7.5" customHeight="1" spans="1:15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15" x14ac:dyDescent="0.25">
      <c r="A52" s="101">
        <v>7428</v>
      </c>
      <c r="B52" s="98" t="s">
        <v>57</v>
      </c>
      <c r="C52" s="99">
        <v>0</v>
      </c>
      <c r="D52" s="99">
        <v>2629.5100000000093</v>
      </c>
      <c r="E52" s="99">
        <v>-2629.5100000000093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-3909.5100000000093</v>
      </c>
      <c r="N52" s="98">
        <v>-304.75</v>
      </c>
      <c r="O52" s="60">
        <v>14.333675527039448</v>
      </c>
    </row>
    <row r="53" ht="7.5" customHeight="1" spans="1:15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15" x14ac:dyDescent="0.25">
      <c r="A54" s="59">
        <v>9351</v>
      </c>
      <c r="B54" s="98" t="s">
        <v>58</v>
      </c>
      <c r="C54" s="99">
        <v>0</v>
      </c>
      <c r="D54" s="99">
        <v>0</v>
      </c>
      <c r="E54" s="99">
        <v>0</v>
      </c>
      <c r="F54" s="99"/>
      <c r="G54" s="100">
        <v>0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</v>
      </c>
      <c r="M54" s="99">
        <v>-640</v>
      </c>
      <c r="N54" s="98">
        <v>-11.25</v>
      </c>
      <c r="O54" s="60">
        <v>-134.73684210526315</v>
      </c>
    </row>
    <row r="55" ht="7.5" customHeight="1" spans="1:15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15" x14ac:dyDescent="0.25">
      <c r="A56" s="59">
        <v>7429</v>
      </c>
      <c r="B56" s="98" t="s">
        <v>59</v>
      </c>
      <c r="C56" s="99">
        <v>0</v>
      </c>
      <c r="D56" s="99">
        <v>0</v>
      </c>
      <c r="E56" s="99">
        <v>0</v>
      </c>
      <c r="F56" s="99"/>
      <c r="G56" s="100">
        <v>0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</v>
      </c>
      <c r="M56" s="99">
        <v>-5400</v>
      </c>
      <c r="N56" s="98">
        <v>-32.25</v>
      </c>
      <c r="O56" s="60">
        <v>242.69662921348313</v>
      </c>
    </row>
    <row r="57" ht="7.5" customHeight="1" spans="1:15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15" x14ac:dyDescent="0.25">
      <c r="A58" s="59">
        <v>9508</v>
      </c>
      <c r="B58" s="98" t="s">
        <v>60</v>
      </c>
      <c r="C58" s="99">
        <v>0</v>
      </c>
      <c r="D58" s="99">
        <v>0</v>
      </c>
      <c r="E58" s="99">
        <v>0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0</v>
      </c>
      <c r="N58" s="98"/>
      <c r="O58" s="60">
        <v>0</v>
      </c>
    </row>
    <row r="59" ht="7.5" customHeight="1" spans="1:15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15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15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15" x14ac:dyDescent="0.25">
      <c r="A62" s="59"/>
      <c r="B62" s="98" t="s">
        <v>61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15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15" x14ac:dyDescent="0.25">
      <c r="A64" s="59">
        <v>8946</v>
      </c>
      <c r="B64" s="98" t="s">
        <v>62</v>
      </c>
      <c r="C64" s="99">
        <v>0</v>
      </c>
      <c r="D64" s="99">
        <v>4470.959999999999</v>
      </c>
      <c r="E64" s="99">
        <v>-4470.959999999999</v>
      </c>
      <c r="F64" s="99"/>
      <c r="G64" s="100">
        <v>0</v>
      </c>
      <c r="H64" s="100">
        <v>0.143790046441692</v>
      </c>
      <c r="I64" s="98"/>
      <c r="J64" s="99">
        <v>1750</v>
      </c>
      <c r="K64" s="99">
        <v>1750</v>
      </c>
      <c r="L64" s="100">
        <v>0</v>
      </c>
      <c r="M64" s="99">
        <v>-6220.959999999999</v>
      </c>
      <c r="N64" s="98"/>
      <c r="O64" s="60">
        <v>0</v>
      </c>
    </row>
    <row r="65" ht="7.5" customHeight="1" spans="1:15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15" x14ac:dyDescent="0.25">
      <c r="A66" s="102">
        <v>8308</v>
      </c>
      <c r="B66" s="98" t="s">
        <v>63</v>
      </c>
      <c r="C66" s="99">
        <v>34650.399999999965</v>
      </c>
      <c r="D66" s="99">
        <v>7430.429999999993</v>
      </c>
      <c r="E66" s="99">
        <v>27219.969999999972</v>
      </c>
      <c r="F66" s="99"/>
      <c r="G66" s="100">
        <v>0.7855600512548195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0.6932090250040402</v>
      </c>
      <c r="M66" s="99">
        <v>24019.969999999972</v>
      </c>
      <c r="N66" s="98">
        <v>-1014.25</v>
      </c>
      <c r="O66" s="60">
        <v>-25.71043082686644</v>
      </c>
    </row>
    <row r="67" ht="15" customHeight="1" spans="1:15" x14ac:dyDescent="0.25">
      <c r="A67" s="35"/>
      <c r="B67" s="35"/>
      <c r="C67" s="36"/>
      <c r="D67" s="36"/>
      <c r="E67" s="36"/>
      <c r="F67" s="36"/>
      <c r="G67" s="37"/>
      <c r="H67" s="37"/>
      <c r="I67" s="35"/>
      <c r="J67" s="36"/>
      <c r="K67" s="36"/>
      <c r="L67" s="37"/>
      <c r="M67" s="36"/>
      <c r="N67" s="35"/>
      <c r="O67" s="36"/>
    </row>
    <row r="68" spans="1:15" x14ac:dyDescent="0.25">
      <c r="A68" s="35"/>
      <c r="B68" s="35"/>
      <c r="C68" s="36"/>
      <c r="D68" s="36"/>
      <c r="E68" s="36"/>
      <c r="F68" s="36"/>
      <c r="G68" s="37"/>
      <c r="H68" s="37"/>
      <c r="I68" s="35"/>
      <c r="J68" s="36"/>
      <c r="K68" s="36"/>
      <c r="L68" s="37"/>
      <c r="M68" s="37"/>
      <c r="N68" s="35"/>
      <c r="O68" s="35"/>
    </row>
    <row r="69" ht="15" customHeight="1" spans="1:15" x14ac:dyDescent="0.25">
      <c r="A69" s="49" t="s">
        <v>121</v>
      </c>
      <c r="B69" s="103" t="s">
        <v>122</v>
      </c>
      <c r="C69" s="104">
        <v>88818.76999999996</v>
      </c>
      <c r="D69" s="104">
        <v>29887.739999999983</v>
      </c>
      <c r="E69" s="105">
        <v>58931.02999999998</v>
      </c>
      <c r="F69" s="106" t="s">
        <v>123</v>
      </c>
      <c r="G69" s="107">
        <v>0.6634974791927427</v>
      </c>
      <c r="H69" s="108" t="s">
        <v>124</v>
      </c>
      <c r="I69" s="109">
        <v>0.0799203816940944</v>
      </c>
      <c r="J69" s="36"/>
      <c r="K69" s="36"/>
      <c r="L69" s="37"/>
      <c r="M69" s="37"/>
      <c r="N69" s="35"/>
      <c r="O69" s="35"/>
    </row>
    <row r="70" ht="15" customHeight="1" spans="1:15" x14ac:dyDescent="0.25">
      <c r="A70" s="59"/>
      <c r="B70" s="98" t="s">
        <v>125</v>
      </c>
      <c r="C70" s="99">
        <v>-22865.6</v>
      </c>
      <c r="D70" s="99">
        <v>32774.04000000001</v>
      </c>
      <c r="E70" s="110">
        <v>-55639.640000000014</v>
      </c>
      <c r="F70" s="111"/>
      <c r="G70" s="112">
        <v>2.433333916450914</v>
      </c>
      <c r="H70" s="113" t="s">
        <v>124</v>
      </c>
      <c r="I70" s="114">
        <v>2.685240710936954</v>
      </c>
      <c r="J70" s="36"/>
      <c r="K70" s="36"/>
      <c r="L70" s="37"/>
      <c r="M70" s="37"/>
      <c r="N70" s="35"/>
      <c r="O70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09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17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28" x14ac:dyDescent="0.25">
      <c r="A2" s="115"/>
      <c r="B2" s="116" t="s">
        <v>126</v>
      </c>
      <c r="C2" s="117" t="s">
        <v>127</v>
      </c>
      <c r="D2" s="117" t="s">
        <v>128</v>
      </c>
      <c r="E2" s="117" t="s">
        <v>129</v>
      </c>
      <c r="F2" s="117" t="s">
        <v>130</v>
      </c>
      <c r="G2" s="117" t="s">
        <v>131</v>
      </c>
      <c r="H2" s="117" t="s">
        <v>132</v>
      </c>
      <c r="I2" s="117" t="s">
        <v>133</v>
      </c>
      <c r="J2" s="117" t="s">
        <v>134</v>
      </c>
      <c r="K2" s="117" t="s">
        <v>135</v>
      </c>
      <c r="L2" s="117" t="s">
        <v>136</v>
      </c>
      <c r="M2" s="117" t="s">
        <v>137</v>
      </c>
      <c r="N2" s="117" t="s">
        <v>138</v>
      </c>
      <c r="O2" s="117" t="s">
        <v>139</v>
      </c>
      <c r="P2" s="117" t="s">
        <v>140</v>
      </c>
      <c r="Q2" s="118" t="s">
        <v>141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28" x14ac:dyDescent="0.25">
      <c r="A3" s="122" t="s">
        <v>142</v>
      </c>
      <c r="B3" s="123" t="s">
        <v>143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19" x14ac:dyDescent="0.25">
      <c r="A4" s="19">
        <v>7658</v>
      </c>
      <c r="B4" s="20" t="s">
        <v>25</v>
      </c>
      <c r="C4" s="54">
        <v>565.45</v>
      </c>
      <c r="D4" s="54">
        <v>588.25</v>
      </c>
      <c r="E4" s="54">
        <v>-22.799999999999955</v>
      </c>
      <c r="F4" s="54"/>
      <c r="G4" s="54"/>
      <c r="H4" s="54"/>
      <c r="I4" s="54"/>
      <c r="J4" s="54"/>
      <c r="K4" s="54"/>
      <c r="L4" s="54"/>
      <c r="M4" s="54">
        <v>80</v>
      </c>
      <c r="N4" s="54"/>
      <c r="O4" s="54"/>
      <c r="P4" s="54"/>
      <c r="Q4" s="131"/>
      <c r="S4" s="35" t="s">
        <v>144</v>
      </c>
    </row>
    <row r="5" ht="6" customHeight="1" spans="1:17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19" x14ac:dyDescent="0.25">
      <c r="A6" s="19">
        <v>8142</v>
      </c>
      <c r="B6" s="20" t="s">
        <v>29</v>
      </c>
      <c r="C6" s="54">
        <v>356.07</v>
      </c>
      <c r="D6" s="54">
        <v>117.75</v>
      </c>
      <c r="E6" s="54">
        <v>238.32</v>
      </c>
      <c r="F6" s="54"/>
      <c r="G6" s="54"/>
      <c r="H6" s="54"/>
      <c r="I6" s="54"/>
      <c r="J6" s="54"/>
      <c r="K6" s="54"/>
      <c r="L6" s="54"/>
      <c r="M6" s="54"/>
      <c r="N6" s="54">
        <v>80</v>
      </c>
      <c r="O6" s="54"/>
      <c r="P6" s="54"/>
      <c r="Q6" s="131"/>
      <c r="S6" s="35" t="s">
        <v>145</v>
      </c>
    </row>
    <row r="7" ht="6" customHeight="1" spans="1:17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19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90</v>
      </c>
      <c r="O8" s="54"/>
      <c r="P8" s="54"/>
      <c r="Q8" s="131"/>
      <c r="S8" s="35" t="s">
        <v>144</v>
      </c>
    </row>
    <row r="9" ht="6" customHeight="1" spans="1:17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19" x14ac:dyDescent="0.25">
      <c r="A10" s="19">
        <v>8127</v>
      </c>
      <c r="B10" s="20" t="s">
        <v>32</v>
      </c>
      <c r="C10" s="54">
        <v>795.22</v>
      </c>
      <c r="D10" s="54">
        <v>594.5</v>
      </c>
      <c r="E10" s="54">
        <v>200.72000000000003</v>
      </c>
      <c r="F10" s="54"/>
      <c r="G10" s="54"/>
      <c r="H10" s="54"/>
      <c r="I10" s="54"/>
      <c r="J10" s="54"/>
      <c r="K10" s="54"/>
      <c r="L10" s="54"/>
      <c r="M10" s="54">
        <v>200</v>
      </c>
      <c r="N10" s="54">
        <v>80</v>
      </c>
      <c r="O10" s="54">
        <v>0</v>
      </c>
      <c r="P10" s="54"/>
      <c r="Q10" s="131"/>
      <c r="S10" s="35" t="s">
        <v>144</v>
      </c>
    </row>
    <row r="11" ht="6" customHeight="1" spans="1:17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19" x14ac:dyDescent="0.25">
      <c r="A12" s="19">
        <v>8183</v>
      </c>
      <c r="B12" s="20" t="s">
        <v>117</v>
      </c>
      <c r="C12" s="54">
        <v>1120.27</v>
      </c>
      <c r="D12" s="54">
        <v>543.5</v>
      </c>
      <c r="E12" s="54">
        <v>576.77</v>
      </c>
      <c r="F12" s="54"/>
      <c r="G12" s="54"/>
      <c r="H12" s="54"/>
      <c r="I12" s="54"/>
      <c r="J12" s="54"/>
      <c r="K12" s="54"/>
      <c r="L12" s="54"/>
      <c r="M12" s="54">
        <v>160</v>
      </c>
      <c r="N12" s="54">
        <v>320</v>
      </c>
      <c r="O12" s="86">
        <v>80</v>
      </c>
      <c r="P12" s="54"/>
      <c r="Q12" s="131"/>
      <c r="S12" s="35" t="s">
        <v>144</v>
      </c>
    </row>
    <row r="13" ht="6" customHeight="1" spans="1:17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19" x14ac:dyDescent="0.25">
      <c r="A14" s="19">
        <v>8886</v>
      </c>
      <c r="B14" s="20" t="s">
        <v>35</v>
      </c>
      <c r="C14" s="54">
        <v>501.83</v>
      </c>
      <c r="D14" s="54">
        <v>232.25</v>
      </c>
      <c r="E14" s="54">
        <v>269.58</v>
      </c>
      <c r="F14" s="54"/>
      <c r="G14" s="54"/>
      <c r="H14" s="54"/>
      <c r="I14" s="54"/>
      <c r="J14" s="54"/>
      <c r="K14" s="54"/>
      <c r="L14" s="54">
        <v>0</v>
      </c>
      <c r="M14" s="54">
        <v>80</v>
      </c>
      <c r="N14" s="54">
        <v>300</v>
      </c>
      <c r="O14" s="54"/>
      <c r="P14" s="54"/>
      <c r="Q14" s="131"/>
      <c r="S14" s="35" t="s">
        <v>144</v>
      </c>
    </row>
    <row r="15" ht="6" customHeight="1" spans="1:17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17" x14ac:dyDescent="0.25">
      <c r="A16" s="19">
        <v>8887</v>
      </c>
      <c r="B16" s="20" t="s">
        <v>36</v>
      </c>
      <c r="C16" s="54">
        <v>223.22</v>
      </c>
      <c r="D16" s="54">
        <v>104.25</v>
      </c>
      <c r="E16" s="54">
        <v>118.97</v>
      </c>
      <c r="F16" s="54"/>
      <c r="G16" s="54"/>
      <c r="H16" s="54"/>
      <c r="I16" s="54"/>
      <c r="J16" s="54"/>
      <c r="K16" s="54"/>
      <c r="L16" s="54"/>
      <c r="M16" s="54">
        <v>16</v>
      </c>
      <c r="N16" s="54">
        <v>110</v>
      </c>
      <c r="O16" s="54"/>
      <c r="P16" s="54"/>
      <c r="Q16" s="131"/>
    </row>
    <row r="17" ht="6" customHeight="1" spans="1:17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17" x14ac:dyDescent="0.25">
      <c r="A18" s="19">
        <v>8670</v>
      </c>
      <c r="B18" s="20" t="s">
        <v>37</v>
      </c>
      <c r="C18" s="54">
        <v>685.48</v>
      </c>
      <c r="D18" s="54">
        <v>517.75</v>
      </c>
      <c r="E18" s="54">
        <v>167.73000000000002</v>
      </c>
      <c r="F18" s="54"/>
      <c r="G18" s="54"/>
      <c r="H18" s="54"/>
      <c r="I18" s="54"/>
      <c r="J18" s="54"/>
      <c r="K18" s="54"/>
      <c r="L18" s="54"/>
      <c r="M18" s="54">
        <v>240</v>
      </c>
      <c r="N18" s="54">
        <v>160</v>
      </c>
      <c r="O18" s="54"/>
      <c r="P18" s="54"/>
      <c r="Q18" s="131"/>
    </row>
    <row r="19" ht="6" customHeight="1" spans="1:17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17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36</v>
      </c>
      <c r="N20" s="54"/>
      <c r="O20" s="54"/>
      <c r="P20" s="54"/>
      <c r="Q20" s="131"/>
    </row>
    <row r="21" ht="6" customHeight="1" spans="1:17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17" x14ac:dyDescent="0.25">
      <c r="A22" s="19">
        <v>9065</v>
      </c>
      <c r="B22" s="20" t="s">
        <v>39</v>
      </c>
      <c r="C22" s="54">
        <v>169.32</v>
      </c>
      <c r="D22" s="54">
        <v>2.75</v>
      </c>
      <c r="E22" s="54">
        <v>166.57</v>
      </c>
      <c r="F22" s="54"/>
      <c r="G22" s="54"/>
      <c r="H22" s="54"/>
      <c r="I22" s="54"/>
      <c r="J22" s="54"/>
      <c r="K22" s="54"/>
      <c r="L22" s="54"/>
      <c r="M22" s="54">
        <v>20</v>
      </c>
      <c r="N22" s="54">
        <v>80</v>
      </c>
      <c r="O22" s="54">
        <v>60</v>
      </c>
      <c r="P22" s="54"/>
      <c r="Q22" s="131"/>
    </row>
    <row r="23" ht="6" customHeight="1" spans="1:17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17" x14ac:dyDescent="0.25">
      <c r="A24" s="19">
        <v>9259</v>
      </c>
      <c r="B24" s="20" t="s">
        <v>40</v>
      </c>
      <c r="C24" s="54">
        <v>470.62</v>
      </c>
      <c r="D24" s="54">
        <v>120.25</v>
      </c>
      <c r="E24" s="54">
        <v>350.37</v>
      </c>
      <c r="F24" s="54"/>
      <c r="G24" s="54"/>
      <c r="H24" s="54"/>
      <c r="I24" s="54"/>
      <c r="J24" s="54"/>
      <c r="K24" s="54"/>
      <c r="L24" s="54"/>
      <c r="M24" s="54">
        <v>188</v>
      </c>
      <c r="N24" s="54">
        <v>282</v>
      </c>
      <c r="O24" s="54"/>
      <c r="P24" s="54"/>
      <c r="Q24" s="131"/>
    </row>
    <row r="25" ht="6" customHeight="1" spans="1:17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17" x14ac:dyDescent="0.25">
      <c r="A26" s="19">
        <v>8352</v>
      </c>
      <c r="B26" s="20" t="s">
        <v>41</v>
      </c>
      <c r="C26" s="54">
        <v>139.07</v>
      </c>
      <c r="D26" s="54">
        <v>147.75</v>
      </c>
      <c r="E26" s="54">
        <v>-8.680000000000007</v>
      </c>
      <c r="F26" s="54"/>
      <c r="G26" s="54"/>
      <c r="H26" s="54"/>
      <c r="I26" s="54"/>
      <c r="J26" s="54"/>
      <c r="K26" s="54"/>
      <c r="L26" s="54"/>
      <c r="M26" s="54">
        <v>48</v>
      </c>
      <c r="N26" s="54"/>
      <c r="O26" s="54"/>
      <c r="P26" s="54"/>
      <c r="Q26" s="131"/>
    </row>
    <row r="27" ht="6" customHeight="1" spans="1:17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19" x14ac:dyDescent="0.25">
      <c r="A28" s="19">
        <v>8234</v>
      </c>
      <c r="B28" s="20" t="s">
        <v>43</v>
      </c>
      <c r="C28" s="54">
        <v>231.75</v>
      </c>
      <c r="D28" s="54">
        <v>224.25</v>
      </c>
      <c r="E28" s="54">
        <v>7.5</v>
      </c>
      <c r="F28" s="54"/>
      <c r="G28" s="54"/>
      <c r="H28" s="54"/>
      <c r="I28" s="54"/>
      <c r="J28" s="54"/>
      <c r="K28" s="54"/>
      <c r="L28" s="54"/>
      <c r="M28" s="54">
        <v>32</v>
      </c>
      <c r="N28" s="54"/>
      <c r="O28" s="54"/>
      <c r="P28" s="54"/>
      <c r="Q28" s="131"/>
      <c r="S28" s="138"/>
    </row>
    <row r="29" ht="6" customHeight="1" spans="1:17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19" x14ac:dyDescent="0.25">
      <c r="A30" s="19">
        <v>8214</v>
      </c>
      <c r="B30" s="20" t="s">
        <v>44</v>
      </c>
      <c r="C30" s="54">
        <v>147.9</v>
      </c>
      <c r="D30" s="54">
        <v>5</v>
      </c>
      <c r="E30" s="54">
        <v>142.9</v>
      </c>
      <c r="F30" s="54"/>
      <c r="G30" s="54"/>
      <c r="H30" s="54"/>
      <c r="I30" s="54"/>
      <c r="J30" s="54"/>
      <c r="K30" s="54"/>
      <c r="L30" s="54"/>
      <c r="M30" s="54"/>
      <c r="N30" s="54">
        <v>48</v>
      </c>
      <c r="O30" s="54">
        <v>16</v>
      </c>
      <c r="P30" s="54">
        <v>64</v>
      </c>
      <c r="Q30" s="131"/>
      <c r="S30" s="139"/>
    </row>
    <row r="31" ht="6" customHeight="1" spans="1:17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17" x14ac:dyDescent="0.25">
      <c r="A32" s="19">
        <v>6792</v>
      </c>
      <c r="B32" s="20" t="s">
        <v>45</v>
      </c>
      <c r="C32" s="54">
        <v>208.2</v>
      </c>
      <c r="D32" s="54">
        <v>317.25</v>
      </c>
      <c r="E32" s="54">
        <v>-109.05000000000001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17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17" x14ac:dyDescent="0.25">
      <c r="A34" s="19">
        <v>8840</v>
      </c>
      <c r="B34" s="20" t="s">
        <v>48</v>
      </c>
      <c r="C34" s="54">
        <v>324.19</v>
      </c>
      <c r="D34" s="54">
        <v>472.75</v>
      </c>
      <c r="E34" s="54">
        <v>-148.56</v>
      </c>
      <c r="F34" s="54"/>
      <c r="G34" s="54"/>
      <c r="H34" s="54"/>
      <c r="I34" s="54"/>
      <c r="J34" s="54"/>
      <c r="K34" s="54"/>
      <c r="L34" s="54"/>
      <c r="M34" s="54">
        <v>130</v>
      </c>
      <c r="N34" s="54"/>
      <c r="O34" s="54"/>
      <c r="P34" s="54"/>
      <c r="Q34" s="131"/>
    </row>
    <row r="35" ht="6" customHeight="1" spans="1:17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17" x14ac:dyDescent="0.25">
      <c r="A36" s="19">
        <v>8769</v>
      </c>
      <c r="B36" s="20" t="s">
        <v>49</v>
      </c>
      <c r="C36" s="54">
        <v>84.05</v>
      </c>
      <c r="D36" s="54">
        <v>0</v>
      </c>
      <c r="E36" s="54">
        <v>84.05</v>
      </c>
      <c r="F36" s="54"/>
      <c r="G36" s="54"/>
      <c r="H36" s="54"/>
      <c r="I36" s="54"/>
      <c r="J36" s="54"/>
      <c r="K36" s="54"/>
      <c r="L36" s="54"/>
      <c r="M36" s="54">
        <v>30</v>
      </c>
      <c r="N36" s="54">
        <v>50</v>
      </c>
      <c r="O36" s="54"/>
      <c r="P36" s="54"/>
      <c r="Q36" s="131"/>
    </row>
    <row r="37" ht="6" customHeight="1" spans="1:17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19" x14ac:dyDescent="0.25">
      <c r="A38" s="19">
        <v>7901</v>
      </c>
      <c r="B38" s="20" t="s">
        <v>50</v>
      </c>
      <c r="C38" s="54">
        <v>290.15</v>
      </c>
      <c r="D38" s="54">
        <v>105</v>
      </c>
      <c r="E38" s="54">
        <v>185.14999999999998</v>
      </c>
      <c r="F38" s="54"/>
      <c r="G38" s="54"/>
      <c r="H38" s="54"/>
      <c r="I38" s="54"/>
      <c r="J38" s="54"/>
      <c r="K38" s="54"/>
      <c r="L38" s="54"/>
      <c r="M38" s="54">
        <v>80</v>
      </c>
      <c r="N38" s="54">
        <v>40</v>
      </c>
      <c r="O38" s="54">
        <v>160</v>
      </c>
      <c r="P38" s="54"/>
      <c r="Q38" s="131"/>
      <c r="S38" s="139"/>
    </row>
    <row r="39" ht="6" customHeight="1" spans="1:17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17" x14ac:dyDescent="0.25">
      <c r="A40" s="19">
        <v>8923</v>
      </c>
      <c r="B40" s="20" t="s">
        <v>51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/>
      <c r="P40" s="54"/>
      <c r="Q40" s="131"/>
    </row>
    <row r="41" ht="6" customHeight="1" spans="1:17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19" x14ac:dyDescent="0.25">
      <c r="A42" s="19">
        <v>7864</v>
      </c>
      <c r="B42" s="20" t="s">
        <v>52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17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19" x14ac:dyDescent="0.25">
      <c r="A44" s="19">
        <v>7912</v>
      </c>
      <c r="B44" s="20" t="s">
        <v>53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40</v>
      </c>
      <c r="O44" s="54">
        <v>300</v>
      </c>
      <c r="P44" s="54">
        <v>150</v>
      </c>
      <c r="Q44" s="131">
        <v>150</v>
      </c>
      <c r="S44" s="139"/>
    </row>
    <row r="45" ht="6" customHeight="1" spans="1:17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17" x14ac:dyDescent="0.25">
      <c r="A46" s="59">
        <v>8360</v>
      </c>
      <c r="B46" s="75" t="s">
        <v>54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17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17" x14ac:dyDescent="0.25">
      <c r="A48" s="19">
        <v>8337</v>
      </c>
      <c r="B48" s="20" t="s">
        <v>55</v>
      </c>
      <c r="C48" s="54">
        <v>110.44</v>
      </c>
      <c r="D48" s="54">
        <v>60.75</v>
      </c>
      <c r="E48" s="54">
        <v>49.69</v>
      </c>
      <c r="F48" s="54"/>
      <c r="G48" s="54"/>
      <c r="H48" s="54"/>
      <c r="I48" s="54"/>
      <c r="J48" s="54"/>
      <c r="K48" s="54"/>
      <c r="L48" s="54"/>
      <c r="M48" s="54">
        <v>16</v>
      </c>
      <c r="N48" s="54">
        <v>32</v>
      </c>
      <c r="O48" s="54"/>
      <c r="P48" s="54"/>
      <c r="Q48" s="131"/>
    </row>
    <row r="49" ht="6" customHeight="1" spans="1:17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17" x14ac:dyDescent="0.25">
      <c r="A50" s="19">
        <v>9240</v>
      </c>
      <c r="B50" s="20" t="s">
        <v>56</v>
      </c>
      <c r="C50" s="54">
        <v>65.13</v>
      </c>
      <c r="D50" s="54">
        <v>0</v>
      </c>
      <c r="E50" s="54">
        <v>65.13</v>
      </c>
      <c r="F50" s="54"/>
      <c r="G50" s="54"/>
      <c r="H50" s="54"/>
      <c r="I50" s="54"/>
      <c r="J50" s="54"/>
      <c r="K50" s="54"/>
      <c r="L50" s="54"/>
      <c r="M50" s="54">
        <v>16</v>
      </c>
      <c r="N50" s="54">
        <v>40</v>
      </c>
      <c r="O50" s="54"/>
      <c r="P50" s="54"/>
      <c r="Q50" s="131"/>
    </row>
    <row r="51" ht="6" customHeight="1" spans="1:17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19" x14ac:dyDescent="0.25">
      <c r="A52" s="19">
        <v>7428</v>
      </c>
      <c r="B52" s="20" t="s">
        <v>57</v>
      </c>
      <c r="C52" s="54">
        <v>659.73</v>
      </c>
      <c r="D52" s="54">
        <v>548.75</v>
      </c>
      <c r="E52" s="54">
        <v>110.98000000000002</v>
      </c>
      <c r="F52" s="54"/>
      <c r="G52" s="54"/>
      <c r="H52" s="54"/>
      <c r="I52" s="54"/>
      <c r="J52" s="54"/>
      <c r="K52" s="54"/>
      <c r="L52" s="54"/>
      <c r="M52" s="54">
        <v>80</v>
      </c>
      <c r="N52" s="54">
        <v>80</v>
      </c>
      <c r="O52" s="141">
        <v>180</v>
      </c>
      <c r="P52" s="54"/>
      <c r="Q52" s="131"/>
      <c r="S52" s="139"/>
    </row>
    <row r="53" ht="6" customHeight="1" spans="1:17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19" x14ac:dyDescent="0.25">
      <c r="A54" s="19">
        <v>9351</v>
      </c>
      <c r="B54" s="20" t="s">
        <v>58</v>
      </c>
      <c r="C54" s="54">
        <v>125.17</v>
      </c>
      <c r="D54" s="54">
        <v>23.75</v>
      </c>
      <c r="E54" s="54">
        <v>101.42</v>
      </c>
      <c r="F54" s="54"/>
      <c r="G54" s="54"/>
      <c r="H54" s="54"/>
      <c r="I54" s="54"/>
      <c r="J54" s="54"/>
      <c r="K54" s="54"/>
      <c r="L54" s="54">
        <v>16</v>
      </c>
      <c r="M54" s="54">
        <v>32</v>
      </c>
      <c r="N54" s="54">
        <v>65</v>
      </c>
      <c r="O54" s="54"/>
      <c r="P54" s="54"/>
      <c r="Q54" s="131"/>
      <c r="S54" s="138"/>
    </row>
    <row r="55" ht="6" customHeight="1" spans="1:17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19" x14ac:dyDescent="0.25">
      <c r="A56" s="19">
        <v>7429</v>
      </c>
      <c r="B56" s="20" t="s">
        <v>59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16</v>
      </c>
      <c r="N56" s="54">
        <v>70</v>
      </c>
      <c r="O56" s="54"/>
      <c r="P56" s="54"/>
      <c r="Q56" s="131"/>
      <c r="S56" s="139"/>
    </row>
    <row r="57" ht="6" customHeight="1" spans="1:17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17" x14ac:dyDescent="0.25">
      <c r="A58" s="19">
        <v>9508</v>
      </c>
      <c r="B58" s="20" t="s">
        <v>60</v>
      </c>
      <c r="C58" s="54">
        <v>140.15</v>
      </c>
      <c r="D58" s="54">
        <v>5.75</v>
      </c>
      <c r="E58" s="54">
        <v>134.4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17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17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17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17" x14ac:dyDescent="0.25">
      <c r="A62" s="19"/>
      <c r="B62" s="20" t="s">
        <v>61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17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17" x14ac:dyDescent="0.25">
      <c r="A64" s="19">
        <v>8946</v>
      </c>
      <c r="B64" s="20" t="s">
        <v>62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143</v>
      </c>
      <c r="O64" s="54"/>
      <c r="P64" s="54">
        <v>215</v>
      </c>
      <c r="Q64" s="131"/>
    </row>
    <row r="65" ht="6" customHeight="1" spans="1:17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17" x14ac:dyDescent="0.25">
      <c r="A66" s="19">
        <v>8308</v>
      </c>
      <c r="B66" s="20" t="s">
        <v>63</v>
      </c>
      <c r="C66" s="54">
        <v>2344.68</v>
      </c>
      <c r="D66" s="54">
        <v>1335</v>
      </c>
      <c r="E66" s="54">
        <v>1009.6799999999998</v>
      </c>
      <c r="F66" s="54"/>
      <c r="G66" s="54"/>
      <c r="H66" s="54"/>
      <c r="I66" s="54"/>
      <c r="J66" s="54"/>
      <c r="K66" s="54"/>
      <c r="L66" s="54"/>
      <c r="M66" s="54">
        <v>320</v>
      </c>
      <c r="N66" s="54">
        <v>250</v>
      </c>
      <c r="O66" s="54">
        <v>250</v>
      </c>
      <c r="P66" s="54">
        <v>240</v>
      </c>
      <c r="Q66" s="54">
        <v>80</v>
      </c>
    </row>
    <row r="67" ht="15" customHeight="1" spans="1:17" x14ac:dyDescent="0.25">
      <c r="A67" s="142"/>
      <c r="B67" s="143"/>
      <c r="C67" s="35"/>
      <c r="D67" s="35"/>
      <c r="E67" s="35"/>
      <c r="F67" s="35"/>
      <c r="G67" s="35"/>
      <c r="H67" s="35"/>
      <c r="I67" s="35"/>
      <c r="J67" s="35"/>
      <c r="K67" s="35"/>
      <c r="L67" s="35"/>
      <c r="M67" s="35"/>
      <c r="N67" s="35"/>
      <c r="O67" s="35"/>
      <c r="P67" s="35"/>
      <c r="Q67" s="144"/>
    </row>
    <row r="68" ht="15" customHeight="1" spans="1:17" x14ac:dyDescent="0.25">
      <c r="A68" s="142"/>
      <c r="B68" s="143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144"/>
    </row>
    <row r="69" ht="15.75" customHeight="1" spans="1:17" x14ac:dyDescent="0.25">
      <c r="A69" s="145"/>
      <c r="B69" s="145"/>
      <c r="C69" s="145"/>
      <c r="D69" s="145"/>
      <c r="E69" s="145"/>
      <c r="F69" s="145"/>
      <c r="G69" s="145"/>
      <c r="H69" s="145"/>
      <c r="I69" s="145"/>
      <c r="J69" s="145"/>
      <c r="K69" s="145"/>
      <c r="L69" s="145"/>
      <c r="M69" s="145"/>
      <c r="N69" s="145"/>
      <c r="O69" s="145"/>
      <c r="P69" s="145"/>
      <c r="Q69" s="145"/>
    </row>
    <row r="70" ht="15" customHeight="1" spans="1:17" x14ac:dyDescent="0.25">
      <c r="A70" s="142"/>
      <c r="B70" s="146" t="s">
        <v>146</v>
      </c>
      <c r="C70" s="147"/>
      <c r="D70" s="147"/>
      <c r="E70" s="147"/>
      <c r="F70" s="147">
        <v>640</v>
      </c>
      <c r="G70" s="147">
        <v>715</v>
      </c>
      <c r="H70" s="147">
        <v>790</v>
      </c>
      <c r="I70" s="147">
        <v>700</v>
      </c>
      <c r="J70" s="147">
        <v>700</v>
      </c>
      <c r="K70" s="147">
        <v>700</v>
      </c>
      <c r="L70" s="147">
        <v>716</v>
      </c>
      <c r="M70" s="147">
        <v>2520</v>
      </c>
      <c r="N70" s="147">
        <v>3060</v>
      </c>
      <c r="O70" s="147">
        <v>1316</v>
      </c>
      <c r="P70" s="147">
        <v>914</v>
      </c>
      <c r="Q70" s="147">
        <v>650</v>
      </c>
    </row>
    <row r="71" ht="15" customHeight="1" spans="1:17" x14ac:dyDescent="0.25">
      <c r="A71" s="142"/>
      <c r="B71" s="77" t="s">
        <v>147</v>
      </c>
      <c r="C71" s="20"/>
      <c r="D71" s="20"/>
      <c r="E71" s="20"/>
      <c r="F71" s="20">
        <v>140</v>
      </c>
      <c r="G71" s="20">
        <v>15</v>
      </c>
      <c r="H71" s="20">
        <v>90</v>
      </c>
      <c r="I71" s="20"/>
      <c r="J71" s="20"/>
      <c r="K71" s="20"/>
      <c r="L71" s="20">
        <v>16</v>
      </c>
      <c r="M71" s="20">
        <v>800</v>
      </c>
      <c r="N71" s="20">
        <v>858</v>
      </c>
      <c r="O71" s="20">
        <v>476</v>
      </c>
      <c r="P71" s="20">
        <v>214</v>
      </c>
      <c r="Q71" s="20">
        <v>150</v>
      </c>
    </row>
    <row r="72" ht="15" customHeight="1" spans="1:17" x14ac:dyDescent="0.25">
      <c r="A72" s="142"/>
      <c r="B72" s="77" t="s">
        <v>148</v>
      </c>
      <c r="C72" s="20">
        <v>4490.26</v>
      </c>
      <c r="D72" s="20"/>
      <c r="E72" s="20"/>
      <c r="F72" s="20"/>
      <c r="G72" s="20"/>
      <c r="H72" s="20"/>
      <c r="I72" s="20"/>
      <c r="J72" s="20"/>
      <c r="K72" s="20"/>
      <c r="L72" s="20"/>
      <c r="M72" s="20">
        <v>1020</v>
      </c>
      <c r="N72" s="20">
        <v>1502</v>
      </c>
      <c r="O72" s="20">
        <v>140</v>
      </c>
      <c r="P72" s="20"/>
      <c r="Q72" s="20"/>
    </row>
    <row r="73" ht="15" customHeight="1" spans="1:17" x14ac:dyDescent="0.25">
      <c r="A73" s="142"/>
      <c r="B73" s="148" t="s">
        <v>149</v>
      </c>
      <c r="C73" s="149"/>
      <c r="D73" s="149"/>
      <c r="E73" s="149"/>
      <c r="F73" s="149">
        <v>1488</v>
      </c>
      <c r="G73" s="149">
        <v>2112</v>
      </c>
      <c r="H73" s="149">
        <v>1984</v>
      </c>
      <c r="I73" s="149">
        <v>1884.8</v>
      </c>
      <c r="J73" s="149">
        <v>1948.8</v>
      </c>
      <c r="K73" s="149">
        <v>2083.2</v>
      </c>
      <c r="L73" s="149">
        <v>2604.8</v>
      </c>
      <c r="M73" s="149">
        <v>2486.4</v>
      </c>
      <c r="N73" s="149">
        <v>2604.8</v>
      </c>
      <c r="O73" s="149">
        <v>2217.6</v>
      </c>
      <c r="P73" s="149">
        <v>2112</v>
      </c>
      <c r="Q73" s="150">
        <v>1478.4</v>
      </c>
    </row>
    <row r="74" ht="15" customHeight="1" spans="1:17" x14ac:dyDescent="0.25">
      <c r="A74" s="142"/>
      <c r="B74" s="151" t="s">
        <v>150</v>
      </c>
      <c r="C74" s="152"/>
      <c r="D74" s="152"/>
      <c r="E74" s="152"/>
      <c r="F74" s="153">
        <v>-848</v>
      </c>
      <c r="G74" s="153">
        <v>-1397</v>
      </c>
      <c r="H74" s="154">
        <v>-1194</v>
      </c>
      <c r="I74" s="153">
        <v>-1184.8</v>
      </c>
      <c r="J74" s="153">
        <v>-1248.8</v>
      </c>
      <c r="K74" s="153">
        <v>-1383.2</v>
      </c>
      <c r="L74" s="153">
        <v>-1888.8</v>
      </c>
      <c r="M74" s="153">
        <v>33.5999999999999</v>
      </c>
      <c r="N74" s="153">
        <v>455.2</v>
      </c>
      <c r="O74" s="153">
        <v>-901.6</v>
      </c>
      <c r="P74" s="153">
        <v>-1198</v>
      </c>
      <c r="Q74" s="155">
        <v>-828.4</v>
      </c>
    </row>
    <row r="75" ht="15" customHeight="1" spans="1:17" x14ac:dyDescent="0.25">
      <c r="A75" s="142"/>
      <c r="B75" s="35"/>
      <c r="C75" s="35"/>
      <c r="D75" s="35"/>
      <c r="E75" s="35"/>
      <c r="F75" s="35"/>
      <c r="G75" s="35"/>
      <c r="H75" s="35"/>
      <c r="I75" s="35"/>
      <c r="J75" s="35"/>
      <c r="K75" s="35"/>
      <c r="L75" s="35"/>
      <c r="M75" s="35"/>
      <c r="N75" s="35"/>
      <c r="O75" s="35"/>
      <c r="P75" s="35"/>
      <c r="Q75" s="144"/>
    </row>
    <row r="76" ht="15" customHeight="1" spans="1:17" x14ac:dyDescent="0.25">
      <c r="A76" s="142"/>
      <c r="B76" s="156" t="s">
        <v>151</v>
      </c>
      <c r="C76" s="157" t="s">
        <v>152</v>
      </c>
      <c r="D76" s="157"/>
      <c r="E76" s="157"/>
      <c r="F76" s="158">
        <v>15</v>
      </c>
      <c r="G76" s="159">
        <v>20</v>
      </c>
      <c r="H76" s="159">
        <v>20</v>
      </c>
      <c r="I76" s="159">
        <v>19</v>
      </c>
      <c r="J76" s="159">
        <v>21</v>
      </c>
      <c r="K76" s="159">
        <v>21</v>
      </c>
      <c r="L76" s="159">
        <v>22</v>
      </c>
      <c r="M76" s="159">
        <v>21</v>
      </c>
      <c r="N76" s="159">
        <v>22</v>
      </c>
      <c r="O76" s="159">
        <v>21</v>
      </c>
      <c r="P76" s="159">
        <v>20</v>
      </c>
      <c r="Q76" s="160">
        <v>14</v>
      </c>
    </row>
    <row r="77" ht="15" customHeight="1" spans="1:17" x14ac:dyDescent="0.25">
      <c r="A77" s="161"/>
      <c r="B77" s="162" t="s">
        <v>153</v>
      </c>
      <c r="C77" s="157"/>
      <c r="D77" s="157"/>
      <c r="E77" s="157"/>
      <c r="F77" s="163">
        <v>15.5</v>
      </c>
      <c r="G77" s="163">
        <v>16.5</v>
      </c>
      <c r="H77" s="163">
        <v>15.5</v>
      </c>
      <c r="I77" s="163">
        <v>15.5</v>
      </c>
      <c r="J77" s="163">
        <v>14.5</v>
      </c>
      <c r="K77" s="163">
        <v>15.5</v>
      </c>
      <c r="L77" s="163">
        <v>18.5</v>
      </c>
      <c r="M77" s="163">
        <v>18.5</v>
      </c>
      <c r="N77" s="163">
        <v>18.5</v>
      </c>
      <c r="O77" s="163">
        <v>16.5</v>
      </c>
      <c r="P77" s="163">
        <v>16.5</v>
      </c>
      <c r="Q77" s="163">
        <v>16.5</v>
      </c>
    </row>
    <row r="78" spans="1:17" x14ac:dyDescent="0.25">
      <c r="A78" s="35"/>
      <c r="B78" s="35"/>
      <c r="C78" s="35"/>
      <c r="D78" s="35"/>
      <c r="E78" s="35"/>
      <c r="F78" s="35"/>
      <c r="G78" s="35"/>
      <c r="H78" s="35"/>
      <c r="I78" s="35"/>
      <c r="J78" s="35"/>
      <c r="K78" s="35"/>
      <c r="L78" s="35"/>
      <c r="M78" s="35"/>
      <c r="N78" s="35"/>
      <c r="O78" s="35"/>
      <c r="P78" s="35"/>
      <c r="Q78" s="35"/>
    </row>
    <row r="79" ht="15" customHeight="1" spans="1:17" x14ac:dyDescent="0.25">
      <c r="A79" s="35"/>
      <c r="B79" s="164" t="s">
        <v>154</v>
      </c>
      <c r="C79" s="165"/>
      <c r="D79" s="35"/>
      <c r="E79" s="35"/>
      <c r="F79" s="35"/>
      <c r="G79" s="35"/>
      <c r="H79" s="35"/>
      <c r="I79" s="35"/>
      <c r="J79" s="35"/>
      <c r="K79" s="35"/>
      <c r="L79" s="166" t="s">
        <v>155</v>
      </c>
      <c r="M79" s="166"/>
      <c r="N79" s="35"/>
      <c r="O79" s="35"/>
      <c r="P79" s="35"/>
      <c r="Q79" s="35"/>
    </row>
    <row r="80" ht="15" customHeight="1" spans="1:17" x14ac:dyDescent="0.25">
      <c r="A80" s="35"/>
      <c r="B80" s="167" t="s">
        <v>156</v>
      </c>
      <c r="C80" s="168">
        <v>1</v>
      </c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</row>
    <row r="81" ht="15" customHeight="1" spans="1:17" x14ac:dyDescent="0.25">
      <c r="A81" s="35"/>
      <c r="B81" s="19" t="s">
        <v>157</v>
      </c>
      <c r="C81" s="131">
        <v>1</v>
      </c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</row>
    <row r="82" ht="15" customHeight="1" spans="1:17" x14ac:dyDescent="0.25">
      <c r="A82" s="35"/>
      <c r="B82" s="19" t="s">
        <v>158</v>
      </c>
      <c r="C82" s="131">
        <v>1</v>
      </c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</row>
    <row r="83" ht="15" customHeight="1" spans="1:17" x14ac:dyDescent="0.25">
      <c r="A83" s="35"/>
      <c r="B83" s="19" t="s">
        <v>159</v>
      </c>
      <c r="C83" s="131">
        <v>1</v>
      </c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17" x14ac:dyDescent="0.25">
      <c r="A84" s="35"/>
      <c r="B84" s="19" t="s">
        <v>160</v>
      </c>
      <c r="C84" s="131">
        <v>1</v>
      </c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</row>
    <row r="85" ht="15" customHeight="1" spans="1:17" x14ac:dyDescent="0.25">
      <c r="A85" s="35"/>
      <c r="B85" s="19" t="s">
        <v>161</v>
      </c>
      <c r="C85" s="131">
        <v>0.5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17" x14ac:dyDescent="0.25">
      <c r="A86" s="35"/>
      <c r="B86" s="19" t="s">
        <v>162</v>
      </c>
      <c r="C86" s="131">
        <v>1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17" x14ac:dyDescent="0.25">
      <c r="A87" s="35"/>
      <c r="B87" s="19" t="s">
        <v>163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17" x14ac:dyDescent="0.25">
      <c r="A88" s="35"/>
      <c r="B88" s="19" t="s">
        <v>164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17" x14ac:dyDescent="0.25">
      <c r="A89" s="35"/>
      <c r="B89" s="19" t="s">
        <v>165</v>
      </c>
      <c r="C89" s="131">
        <v>0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17" x14ac:dyDescent="0.25">
      <c r="A90" s="35"/>
      <c r="B90" s="19" t="s">
        <v>166</v>
      </c>
      <c r="C90" s="131">
        <v>1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17" x14ac:dyDescent="0.25">
      <c r="A91" s="35"/>
      <c r="B91" s="19"/>
      <c r="C91" s="131">
        <v>0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17" x14ac:dyDescent="0.25">
      <c r="A92" s="35"/>
      <c r="B92" s="19"/>
      <c r="C92" s="131">
        <v>0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17" x14ac:dyDescent="0.25">
      <c r="A93" s="35"/>
      <c r="B93" s="19"/>
      <c r="C93" s="131">
        <v>0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17" x14ac:dyDescent="0.25">
      <c r="A94" s="35"/>
      <c r="B94" s="19"/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17" x14ac:dyDescent="0.25">
      <c r="A95" s="35"/>
      <c r="B95" s="19"/>
      <c r="C95" s="131">
        <v>0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17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17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17" x14ac:dyDescent="0.25">
      <c r="A98" s="35"/>
      <c r="B98" s="19" t="s">
        <v>167</v>
      </c>
      <c r="C98" s="131">
        <v>1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17" x14ac:dyDescent="0.25">
      <c r="A99" s="35"/>
      <c r="B99" s="19" t="s">
        <v>168</v>
      </c>
      <c r="C99" s="131">
        <v>1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17" x14ac:dyDescent="0.25">
      <c r="A100" s="35"/>
      <c r="B100" s="19" t="s">
        <v>169</v>
      </c>
      <c r="C100" s="131">
        <v>1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17" x14ac:dyDescent="0.25">
      <c r="A101" s="35"/>
      <c r="B101" s="19" t="s">
        <v>170</v>
      </c>
      <c r="C101" s="131">
        <v>1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17" x14ac:dyDescent="0.25">
      <c r="A102" s="35"/>
      <c r="B102" s="19" t="s">
        <v>171</v>
      </c>
      <c r="C102" s="131">
        <v>1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17" x14ac:dyDescent="0.25">
      <c r="A103" s="35"/>
      <c r="B103" s="19" t="s">
        <v>172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17" x14ac:dyDescent="0.25">
      <c r="A104" s="35"/>
      <c r="B104" s="19" t="s">
        <v>173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17" x14ac:dyDescent="0.25">
      <c r="A105" s="35"/>
      <c r="B105" s="19"/>
      <c r="C105" s="131"/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17" x14ac:dyDescent="0.25">
      <c r="A106" s="35"/>
      <c r="B106" s="19"/>
      <c r="C106" s="131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17" x14ac:dyDescent="0.25">
      <c r="A107" s="35"/>
      <c r="B107" s="19"/>
      <c r="C107" s="131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17" x14ac:dyDescent="0.25">
      <c r="A108" s="35"/>
      <c r="B108" s="169"/>
      <c r="C108" s="150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17" x14ac:dyDescent="0.25">
      <c r="A109" s="35"/>
      <c r="B109" s="164" t="s">
        <v>174</v>
      </c>
      <c r="C109" s="170">
        <v>16.5</v>
      </c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69:Q69"/>
    <mergeCell ref="C76:E77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175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 t="s">
        <v>176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 t="s">
        <v>177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175" t="s">
        <v>178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29" x14ac:dyDescent="0.25">
      <c r="A6" s="176" t="s">
        <v>179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177" t="s">
        <v>180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29" x14ac:dyDescent="0.25">
      <c r="A8" s="176" t="s">
        <v>181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178" t="s">
        <v>182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29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29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29" x14ac:dyDescent="0.25">
      <c r="A12" s="181" t="s">
        <v>183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29" x14ac:dyDescent="0.25">
      <c r="A13" s="182" t="s">
        <v>184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29" x14ac:dyDescent="0.25">
      <c r="A14" s="183" t="s">
        <v>185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29" x14ac:dyDescent="0.25">
      <c r="A15" s="172" t="s">
        <v>186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29" x14ac:dyDescent="0.25">
      <c r="A16" s="184" t="s">
        <v>187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29" x14ac:dyDescent="0.25">
      <c r="A17" s="185" t="s">
        <v>188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29" x14ac:dyDescent="0.25">
      <c r="A18" s="186" t="s">
        <v>189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29" x14ac:dyDescent="0.25">
      <c r="A19" s="178" t="s">
        <v>190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29" x14ac:dyDescent="0.25">
      <c r="A20" s="187" t="s">
        <v>191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29" x14ac:dyDescent="0.25">
      <c r="A21" s="188" t="s">
        <v>192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29" x14ac:dyDescent="0.25">
      <c r="A22" s="188" t="s">
        <v>193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29" x14ac:dyDescent="0.25">
      <c r="A23" s="188" t="s">
        <v>194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29" x14ac:dyDescent="0.25">
      <c r="A24" s="188" t="s">
        <v>195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29" x14ac:dyDescent="0.25">
      <c r="A25" s="189" t="s">
        <v>196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29" x14ac:dyDescent="0.25">
      <c r="A26" s="181" t="s">
        <v>197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29" x14ac:dyDescent="0.25">
      <c r="A27" s="190" t="s">
        <v>198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28" x14ac:dyDescent="0.25">
      <c r="A28" s="172" t="s">
        <v>199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190" t="s">
        <v>200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28" x14ac:dyDescent="0.25">
      <c r="A30" s="191" t="s">
        <v>201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28" x14ac:dyDescent="0.25">
      <c r="A31" s="191" t="s">
        <v>202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28" x14ac:dyDescent="0.25">
      <c r="A32" s="191" t="s">
        <v>203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28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28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28" x14ac:dyDescent="0.25">
      <c r="A35" s="192" t="s">
        <v>204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28" x14ac:dyDescent="0.25">
      <c r="A36" s="193" t="s">
        <v>205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28" x14ac:dyDescent="0.25">
      <c r="A37" s="194" t="s">
        <v>206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28" x14ac:dyDescent="0.25">
      <c r="A38" s="179" t="s">
        <v>207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28" x14ac:dyDescent="0.25">
      <c r="A39" s="181" t="s">
        <v>208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28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28" x14ac:dyDescent="0.25">
      <c r="A41" s="172" t="s">
        <v>209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28" x14ac:dyDescent="0.25">
      <c r="A42" s="196" t="s">
        <v>210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28" x14ac:dyDescent="0.25">
      <c r="A43" s="172" t="s">
        <v>211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28" x14ac:dyDescent="0.25">
      <c r="A44" s="197" t="s">
        <v>212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28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28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28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28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28" x14ac:dyDescent="0.25">
      <c r="A49" s="172" t="s">
        <v>213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28" x14ac:dyDescent="0.25">
      <c r="A50" s="200" t="s">
        <v>214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28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28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28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28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28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28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215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29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29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29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29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29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29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29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29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29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29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29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29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29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29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28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28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28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28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28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28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28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28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28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28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28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28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28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28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28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28" x14ac:dyDescent="0.25">
      <c r="A38" s="172" t="s">
        <v>213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28" x14ac:dyDescent="0.25">
      <c r="A39" s="200" t="s">
        <v>214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28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28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28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28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28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28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64</v>
      </c>
      <c r="D2" s="43" t="s">
        <v>65</v>
      </c>
      <c r="E2" s="43" t="s">
        <v>66</v>
      </c>
      <c r="F2" s="39" t="s">
        <v>67</v>
      </c>
      <c r="G2" s="40" t="s">
        <v>68</v>
      </c>
      <c r="H2" s="43" t="s">
        <v>69</v>
      </c>
      <c r="I2" s="43" t="s">
        <v>70</v>
      </c>
      <c r="J2" s="41" t="s">
        <v>71</v>
      </c>
      <c r="K2" s="41" t="s">
        <v>72</v>
      </c>
      <c r="L2" s="39" t="s">
        <v>73</v>
      </c>
      <c r="M2" s="40" t="s">
        <v>74</v>
      </c>
      <c r="N2" s="42" t="s">
        <v>75</v>
      </c>
      <c r="O2" s="42" t="s">
        <v>216</v>
      </c>
      <c r="P2" s="42" t="s">
        <v>217</v>
      </c>
      <c r="Q2" s="42" t="s">
        <v>218</v>
      </c>
      <c r="R2" s="43" t="s">
        <v>76</v>
      </c>
      <c r="S2" s="43" t="s">
        <v>77</v>
      </c>
      <c r="T2" s="39" t="s">
        <v>78</v>
      </c>
      <c r="U2" s="40" t="s">
        <v>79</v>
      </c>
      <c r="V2" s="214" t="s">
        <v>80</v>
      </c>
      <c r="W2" s="214" t="s">
        <v>81</v>
      </c>
      <c r="X2" s="45" t="s">
        <v>82</v>
      </c>
      <c r="Y2" s="40" t="s">
        <v>83</v>
      </c>
      <c r="Z2" s="42" t="s">
        <v>84</v>
      </c>
      <c r="AA2" s="46" t="s">
        <v>85</v>
      </c>
      <c r="AB2" s="47" t="s">
        <v>86</v>
      </c>
      <c r="AC2" s="46" t="s">
        <v>87</v>
      </c>
      <c r="AD2" s="48" t="s">
        <v>88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89</v>
      </c>
      <c r="AL3" s="50" t="s">
        <v>90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91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92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93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94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95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96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97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98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99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91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92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93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94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95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96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97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98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99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91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92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93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94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95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96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97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98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99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91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92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93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94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95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96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97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98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99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91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92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93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94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95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96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97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98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99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91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92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93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94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95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96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97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98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99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91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92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93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94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95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96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97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98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99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91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92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93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94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95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96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97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98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99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91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92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93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94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95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96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97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98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99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91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92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93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94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95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96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97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98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99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91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92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93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94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95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96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97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98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99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91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92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93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94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95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96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97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98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99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91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92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93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94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95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96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97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98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99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91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92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93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94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95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96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97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98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99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91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92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93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94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95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96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97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98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99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91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92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93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94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95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96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97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98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99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91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92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93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94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95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96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97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98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99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91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92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93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94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95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96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97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98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99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91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92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93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94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95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96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97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98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99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91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92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93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94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95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96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97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98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99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91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92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93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94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95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96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97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98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99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91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92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93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94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95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96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97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98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99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91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92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93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94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95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96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97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98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99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91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92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93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94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95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96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97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98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99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91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92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93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94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95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96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97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98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99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91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92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93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94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95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96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97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98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99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91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92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93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94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95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96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97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98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99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91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92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93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94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95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96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97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98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99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91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92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93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94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95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96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97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98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99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91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92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93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94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95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96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97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98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99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91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92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93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94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95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96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97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98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99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91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92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93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94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95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96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97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98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99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1" x14ac:dyDescent="0.25">
      <c r="A1" s="35"/>
    </row>
    <row r="2" spans="1:1" x14ac:dyDescent="0.25">
      <c r="A2" s="35"/>
    </row>
    <row r="3" ht="15" customHeight="1" spans="1:4" x14ac:dyDescent="0.25">
      <c r="A3" s="35">
        <v>340</v>
      </c>
      <c r="B3" s="35" t="s">
        <v>219</v>
      </c>
      <c r="C3" s="35" t="s">
        <v>220</v>
      </c>
      <c r="D3" s="35" t="s">
        <v>221</v>
      </c>
    </row>
    <row r="4" ht="15" customHeight="1" spans="1:4" x14ac:dyDescent="0.25">
      <c r="A4" s="35" t="s">
        <v>222</v>
      </c>
      <c r="B4" s="35">
        <v>30</v>
      </c>
      <c r="D4" s="37">
        <f>SUM(B4/A3)</f>
        <v>0.0882352941176471</v>
      </c>
    </row>
    <row r="5" ht="15" customHeight="1" spans="1:16" x14ac:dyDescent="0.25">
      <c r="A5" s="35" t="s">
        <v>223</v>
      </c>
      <c r="B5" s="35">
        <v>60</v>
      </c>
      <c r="P5" s="35">
        <v>95.35</v>
      </c>
    </row>
    <row r="6" ht="15" customHeight="1" spans="1:16" x14ac:dyDescent="0.25">
      <c r="A6" s="35" t="s">
        <v>224</v>
      </c>
      <c r="B6" s="35">
        <v>100</v>
      </c>
      <c r="P6" s="35">
        <v>102.69</v>
      </c>
    </row>
    <row r="7" ht="15" customHeight="1" spans="1:16" x14ac:dyDescent="0.25">
      <c r="A7" s="35" t="s">
        <v>225</v>
      </c>
      <c r="B7" s="35">
        <v>150</v>
      </c>
      <c r="P7" s="35">
        <v>134.82</v>
      </c>
    </row>
    <row r="8" ht="15" customHeight="1" spans="1:16" x14ac:dyDescent="0.25">
      <c r="A8" s="35"/>
      <c r="P8" s="35">
        <v>324.19</v>
      </c>
    </row>
    <row r="9" ht="15" customHeight="1" spans="1:16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