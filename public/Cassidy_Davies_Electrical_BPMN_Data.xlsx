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<sst xmlns="http://schemas.openxmlformats.org/spreadsheetml/2006/main" count="1190" uniqueCount="230">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</sst>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267886.84883856</v>
      </c>
      <c r="E4" s="52">
        <v>238732.97</v>
      </c>
      <c r="F4" s="52">
        <v>29153.87883855999</v>
      </c>
      <c r="G4" s="53">
        <v>0.10882907826553799</v>
      </c>
      <c r="H4" s="52">
        <v>225410.5455298</v>
      </c>
      <c r="I4" s="52">
        <v>189455.97</v>
      </c>
      <c r="J4" s="52">
        <v>193787.2413298</v>
      </c>
      <c r="K4" s="52">
        <v>158286.35</v>
      </c>
      <c r="L4" s="52">
        <v>35500.89132979998</v>
      </c>
      <c r="M4" s="53">
        <v>0.18319519430787606</v>
      </c>
      <c r="N4" s="53">
        <v>0.9</v>
      </c>
      <c r="O4" s="52">
        <v>31623.3042</v>
      </c>
      <c r="P4" s="52">
        <v>31169.62</v>
      </c>
      <c r="Q4" s="52">
        <v>453.6841999999997</v>
      </c>
      <c r="R4" s="53">
        <v>0.014346514745287108</v>
      </c>
      <c r="S4" s="54">
        <v>638.02</v>
      </c>
      <c r="T4" s="54">
        <v>625.25</v>
      </c>
      <c r="U4" s="54">
        <v>12.769999999999982</v>
      </c>
      <c r="V4" s="53">
        <v>0.020015046550264853</v>
      </c>
      <c r="W4" s="53"/>
      <c r="X4" s="55">
        <v>78.81167532986805</v>
      </c>
      <c r="Y4" s="55">
        <v>66.57519091683645</v>
      </c>
      <c r="Z4" s="53">
        <v>0.2064</v>
      </c>
      <c r="AA4" s="56">
        <v>0.1586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267886.84883856</v>
      </c>
      <c r="E5" s="52">
        <v>238732.97</v>
      </c>
      <c r="F5" s="52">
        <v>29153.87883855999</v>
      </c>
      <c r="G5" s="53">
        <v>0.10882907826553799</v>
      </c>
      <c r="H5" s="52">
        <v>225410.5455298</v>
      </c>
      <c r="I5" s="52">
        <v>189455.97</v>
      </c>
      <c r="J5" s="52">
        <v>193787.2413298</v>
      </c>
      <c r="K5" s="52">
        <v>158286.35</v>
      </c>
      <c r="L5" s="52">
        <v>35500.89132979998</v>
      </c>
      <c r="M5" s="53">
        <v>0.18319519430787606</v>
      </c>
      <c r="N5" s="53"/>
      <c r="O5" s="52">
        <v>31623.3042</v>
      </c>
      <c r="P5" s="52">
        <v>31169.62</v>
      </c>
      <c r="Q5" s="52">
        <v>453.6841999999997</v>
      </c>
      <c r="R5" s="53">
        <v>0.014346514745287108</v>
      </c>
      <c r="S5" s="54">
        <v>638.02</v>
      </c>
      <c r="T5" s="54">
        <v>625.25</v>
      </c>
      <c r="U5" s="54">
        <v>12.769999999999982</v>
      </c>
      <c r="V5" s="53">
        <v>0.020015046550264853</v>
      </c>
      <c r="W5" s="53"/>
      <c r="X5" s="55">
        <v>78.81167532986805</v>
      </c>
      <c r="Y5" s="55">
        <v>66.57519091683645</v>
      </c>
      <c r="Z5" s="53">
        <v>0.2064</v>
      </c>
      <c r="AA5" s="56">
        <v>0.1586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132076.08820213</v>
      </c>
      <c r="E11" s="62">
        <v>127883.98</v>
      </c>
      <c r="F11" s="52">
        <v>4192.108202129995</v>
      </c>
      <c r="G11" s="53">
        <v>0.031740099659178046</v>
      </c>
      <c r="H11" s="52">
        <v>103822.973895</v>
      </c>
      <c r="I11" s="52">
        <v>95219.95</v>
      </c>
      <c r="J11" s="52">
        <v>85672.874895</v>
      </c>
      <c r="K11" s="52">
        <v>80502.31</v>
      </c>
      <c r="L11" s="52">
        <v>5170.564895000003</v>
      </c>
      <c r="M11" s="53">
        <v>0.060352414942734287</v>
      </c>
      <c r="N11" s="53"/>
      <c r="O11" s="52">
        <v>18150.099</v>
      </c>
      <c r="P11" s="52">
        <v>14717.64</v>
      </c>
      <c r="Q11" s="52">
        <v>3432.458999999999</v>
      </c>
      <c r="R11" s="53">
        <v>0.1891151668098339</v>
      </c>
      <c r="S11" s="54">
        <v>363.57</v>
      </c>
      <c r="T11" s="54">
        <v>331.25</v>
      </c>
      <c r="U11" s="54">
        <v>32.31999999999999</v>
      </c>
      <c r="V11" s="53">
        <v>0.08889622356079983</v>
      </c>
      <c r="W11" s="53">
        <v>0.3</v>
      </c>
      <c r="X11" s="55">
        <v>98.60839245283019</v>
      </c>
      <c r="Y11" s="55">
        <v>77.71024646458726</v>
      </c>
      <c r="Z11" s="53">
        <v>0.2554</v>
      </c>
      <c r="AA11" s="56">
        <v>0.2139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129798.36820213</v>
      </c>
      <c r="E12" s="62">
        <v>127883.98</v>
      </c>
      <c r="F12" s="52">
        <v>1914.3882021300087</v>
      </c>
      <c r="G12" s="53">
        <v>0.014748938901518436</v>
      </c>
      <c r="H12" s="52">
        <v>102331.503895</v>
      </c>
      <c r="I12" s="52">
        <v>95264.02</v>
      </c>
      <c r="J12" s="52">
        <v>84181.404895</v>
      </c>
      <c r="K12" s="52">
        <v>80546.38</v>
      </c>
      <c r="L12" s="52">
        <v>3635.024894999995</v>
      </c>
      <c r="M12" s="53">
        <v>0.043180853295736565</v>
      </c>
      <c r="N12" s="53"/>
      <c r="O12" s="52">
        <v>18150.099</v>
      </c>
      <c r="P12" s="52">
        <v>14717.64</v>
      </c>
      <c r="Q12" s="52">
        <v>3432.458999999999</v>
      </c>
      <c r="R12" s="53">
        <v>0.1891151668098339</v>
      </c>
      <c r="S12" s="54">
        <v>363.57</v>
      </c>
      <c r="T12" s="54">
        <v>331.25</v>
      </c>
      <c r="U12" s="54">
        <v>32.31999999999999</v>
      </c>
      <c r="V12" s="53">
        <v>0.08889622356079983</v>
      </c>
      <c r="W12" s="53"/>
      <c r="X12" s="55">
        <v>98.47535094339622</v>
      </c>
      <c r="Y12" s="55">
        <v>75.54766429334104</v>
      </c>
      <c r="Z12" s="53">
        <v>0.2551</v>
      </c>
      <c r="AA12" s="56">
        <v>0.2116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27500.3157</v>
      </c>
      <c r="E18" s="52">
        <v>11999.08</v>
      </c>
      <c r="F18" s="52">
        <v>15501.2357</v>
      </c>
      <c r="G18" s="53">
        <v>0.563674827194802</v>
      </c>
      <c r="H18" s="52">
        <v>19565.829</v>
      </c>
      <c r="I18" s="52">
        <v>8083.92</v>
      </c>
      <c r="J18" s="52">
        <v>13767.337200000002</v>
      </c>
      <c r="K18" s="52">
        <v>6373.24</v>
      </c>
      <c r="L18" s="52">
        <v>7394.097200000002</v>
      </c>
      <c r="M18" s="53">
        <v>0.5370753321855152</v>
      </c>
      <c r="N18" s="53"/>
      <c r="O18" s="52">
        <v>5798.4918</v>
      </c>
      <c r="P18" s="52">
        <v>1710.68</v>
      </c>
      <c r="Q18" s="52">
        <v>4087.8117999999995</v>
      </c>
      <c r="R18" s="53">
        <v>0.7049784566393626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112.66647482014388</v>
      </c>
      <c r="Y18" s="55">
        <v>63.27846478985563</v>
      </c>
      <c r="Z18" s="53">
        <v>0.32630000000000003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27500.3157</v>
      </c>
      <c r="E19" s="52">
        <v>11999.08</v>
      </c>
      <c r="F19" s="52">
        <v>15501.2357</v>
      </c>
      <c r="G19" s="53">
        <v>0.563674827194802</v>
      </c>
      <c r="H19" s="52">
        <v>19565.829</v>
      </c>
      <c r="I19" s="52">
        <v>8852.34</v>
      </c>
      <c r="J19" s="52">
        <v>13767.337200000002</v>
      </c>
      <c r="K19" s="52">
        <v>6787.5</v>
      </c>
      <c r="L19" s="52">
        <v>6979.837200000002</v>
      </c>
      <c r="M19" s="53">
        <v>0.506985272358986</v>
      </c>
      <c r="N19" s="53"/>
      <c r="O19" s="52">
        <v>5798.4918</v>
      </c>
      <c r="P19" s="52">
        <v>2064.84</v>
      </c>
      <c r="Q19" s="52">
        <v>3733.6517999999996</v>
      </c>
      <c r="R19" s="53">
        <v>0.643900505300361</v>
      </c>
      <c r="S19" s="54">
        <v>125.39</v>
      </c>
      <c r="T19" s="54">
        <v>42.75</v>
      </c>
      <c r="U19" s="54">
        <v>82.64</v>
      </c>
      <c r="V19" s="53">
        <v>0.6590637211898875</v>
      </c>
      <c r="W19" s="53"/>
      <c r="X19" s="55">
        <v>73.60795321637427</v>
      </c>
      <c r="Y19" s="55">
        <v>63.27846478985563</v>
      </c>
      <c r="Z19" s="53">
        <v>0.2622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153553.67</v>
      </c>
      <c r="E25" s="55">
        <v>144370.8</v>
      </c>
      <c r="F25" s="52">
        <v>9182.870000000024</v>
      </c>
      <c r="G25" s="53">
        <v>0.05980234793476459</v>
      </c>
      <c r="H25" s="52">
        <v>104026.09</v>
      </c>
      <c r="I25" s="52">
        <v>90387.67</v>
      </c>
      <c r="J25" s="52">
        <v>63812.49</v>
      </c>
      <c r="K25" s="52">
        <v>59529.82</v>
      </c>
      <c r="L25" s="52">
        <v>4282.669999999998</v>
      </c>
      <c r="M25" s="53">
        <v>0.06711335038015283</v>
      </c>
      <c r="N25" s="53">
        <v>0.9</v>
      </c>
      <c r="O25" s="52">
        <v>40213.6</v>
      </c>
      <c r="P25" s="52">
        <v>30857.85</v>
      </c>
      <c r="Q25" s="52">
        <v>9355.75</v>
      </c>
      <c r="R25" s="53">
        <v>0.23265139156902143</v>
      </c>
      <c r="S25" s="54">
        <v>805.22</v>
      </c>
      <c r="T25" s="54">
        <v>625</v>
      </c>
      <c r="U25" s="54">
        <v>180.22000000000003</v>
      </c>
      <c r="V25" s="53">
        <v>0.22381460967189093</v>
      </c>
      <c r="W25" s="53">
        <v>0.6</v>
      </c>
      <c r="X25" s="55">
        <v>86.373008</v>
      </c>
      <c r="Y25" s="55">
        <v>61.50814037389784</v>
      </c>
      <c r="Z25" s="53">
        <v>0.3739</v>
      </c>
      <c r="AA25" s="56">
        <v>0.3225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/>
      <c r="E26" s="55"/>
      <c r="F26" s="52"/>
      <c r="G26" s="53"/>
      <c r="H26" s="52"/>
      <c r="I26" s="52"/>
      <c r="J26" s="52"/>
      <c r="K26" s="52"/>
      <c r="L26" s="52"/>
      <c r="M26" s="53"/>
      <c r="N26" s="53"/>
      <c r="O26" s="52"/>
      <c r="P26" s="52"/>
      <c r="Q26" s="52"/>
      <c r="R26" s="53"/>
      <c r="S26" s="54"/>
      <c r="T26" s="54"/>
      <c r="U26" s="54"/>
      <c r="V26" s="53"/>
      <c r="W26" s="53"/>
      <c r="X26" s="55"/>
      <c r="Y26" s="55"/>
      <c r="Z26" s="53"/>
      <c r="AA26" s="56"/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397238.61073204</v>
      </c>
      <c r="E32" s="52">
        <v>352623.79</v>
      </c>
      <c r="F32" s="52">
        <v>44614.82073204004</v>
      </c>
      <c r="G32" s="53">
        <v>0.112312397452561</v>
      </c>
      <c r="H32" s="52">
        <v>328046.93216</v>
      </c>
      <c r="I32" s="52">
        <v>278861.56</v>
      </c>
      <c r="J32" s="62">
        <v>271925.57216000004</v>
      </c>
      <c r="K32" s="52">
        <v>243385.51</v>
      </c>
      <c r="L32" s="52">
        <v>28540.06216000003</v>
      </c>
      <c r="M32" s="53">
        <v>0.10495541825395943</v>
      </c>
      <c r="N32" s="64"/>
      <c r="O32" s="52">
        <v>56121.36</v>
      </c>
      <c r="P32" s="52">
        <v>35476.05</v>
      </c>
      <c r="Q32" s="52">
        <v>20645.309999999998</v>
      </c>
      <c r="R32" s="53">
        <v>0.367869025269523</v>
      </c>
      <c r="S32" s="54">
        <v>1124.47</v>
      </c>
      <c r="T32" s="54">
        <v>821.5</v>
      </c>
      <c r="U32" s="54">
        <v>302.97</v>
      </c>
      <c r="V32" s="53">
        <v>0.2694335998292529</v>
      </c>
      <c r="W32" s="53">
        <v>0.4</v>
      </c>
      <c r="X32" s="55">
        <v>89.78968959220937</v>
      </c>
      <c r="Y32" s="55">
        <v>61.532703026350184</v>
      </c>
      <c r="Z32" s="53">
        <v>0.20920000000000002</v>
      </c>
      <c r="AA32" s="56">
        <v>0.1742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397238.61073204</v>
      </c>
      <c r="E33" s="52">
        <v>352623.79</v>
      </c>
      <c r="F33" s="52">
        <v>44614.82073204004</v>
      </c>
      <c r="G33" s="53">
        <v>0.112312397452561</v>
      </c>
      <c r="H33" s="52">
        <v>328046.93216</v>
      </c>
      <c r="I33" s="65">
        <v>278861.56</v>
      </c>
      <c r="J33" s="52">
        <v>271925.57216000004</v>
      </c>
      <c r="K33" s="52">
        <v>243385.51</v>
      </c>
      <c r="L33" s="52">
        <v>28540.06216000003</v>
      </c>
      <c r="M33" s="53">
        <v>0.10495541825395943</v>
      </c>
      <c r="N33" s="53"/>
      <c r="O33" s="52">
        <v>56121.36</v>
      </c>
      <c r="P33" s="52">
        <v>35476.05</v>
      </c>
      <c r="Q33" s="52">
        <v>20645.309999999998</v>
      </c>
      <c r="R33" s="53">
        <v>0.367869025269523</v>
      </c>
      <c r="S33" s="54">
        <v>1124.47</v>
      </c>
      <c r="T33" s="54">
        <v>821.5</v>
      </c>
      <c r="U33" s="54">
        <v>302.97</v>
      </c>
      <c r="V33" s="53">
        <v>0.2694335998292529</v>
      </c>
      <c r="W33" s="53"/>
      <c r="X33" s="55">
        <v>89.78968959220937</v>
      </c>
      <c r="Y33" s="55">
        <v>61.532703026350184</v>
      </c>
      <c r="Z33" s="53">
        <v>0.20920000000000002</v>
      </c>
      <c r="AA33" s="56">
        <v>0.1742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128258.49930985</v>
      </c>
      <c r="E39" s="52">
        <v>115314.55</v>
      </c>
      <c r="F39" s="52">
        <v>12943.949309849995</v>
      </c>
      <c r="G39" s="53">
        <v>0.10092079183446305</v>
      </c>
      <c r="H39" s="52">
        <v>94098.31685</v>
      </c>
      <c r="I39" s="52">
        <v>58609.37</v>
      </c>
      <c r="J39" s="52">
        <v>69042.08885</v>
      </c>
      <c r="K39" s="52">
        <v>42068.630000000005</v>
      </c>
      <c r="L39" s="52">
        <v>26973.458849999995</v>
      </c>
      <c r="M39" s="53">
        <v>0.39068138434516664</v>
      </c>
      <c r="N39" s="53"/>
      <c r="O39" s="52">
        <v>25056.228</v>
      </c>
      <c r="P39" s="52">
        <v>16540.74</v>
      </c>
      <c r="Q39" s="52">
        <v>8515.487999999998</v>
      </c>
      <c r="R39" s="53">
        <v>0.3398551449962859</v>
      </c>
      <c r="S39" s="54">
        <v>501.83</v>
      </c>
      <c r="T39" s="54">
        <v>373.25</v>
      </c>
      <c r="U39" s="54">
        <v>128.57999999999998</v>
      </c>
      <c r="V39" s="53">
        <v>0.2562222266504593</v>
      </c>
      <c r="W39" s="53">
        <v>0.4</v>
      </c>
      <c r="X39" s="55">
        <v>151.92278633623576</v>
      </c>
      <c r="Y39" s="55">
        <v>68.07122423898531</v>
      </c>
      <c r="Z39" s="53">
        <v>0.4917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128258.49930985</v>
      </c>
      <c r="E40" s="52">
        <v>115314.55</v>
      </c>
      <c r="F40" s="52">
        <v>12943.949309849995</v>
      </c>
      <c r="G40" s="53">
        <v>0.10092079183446305</v>
      </c>
      <c r="H40" s="52">
        <v>94098.31685</v>
      </c>
      <c r="I40" s="52">
        <v>59765.09</v>
      </c>
      <c r="J40" s="52">
        <v>69042.08885</v>
      </c>
      <c r="K40" s="52">
        <v>42207.67</v>
      </c>
      <c r="L40" s="52">
        <v>26834.418850000002</v>
      </c>
      <c r="M40" s="53">
        <v>0.38866754029270656</v>
      </c>
      <c r="N40" s="53"/>
      <c r="O40" s="52">
        <v>25056.228</v>
      </c>
      <c r="P40" s="52">
        <v>17557.42</v>
      </c>
      <c r="Q40" s="52">
        <v>7498.808000000001</v>
      </c>
      <c r="R40" s="53">
        <v>0.29927920515410383</v>
      </c>
      <c r="S40" s="54">
        <v>501.83</v>
      </c>
      <c r="T40" s="54">
        <v>393.75</v>
      </c>
      <c r="U40" s="54">
        <v>108.07999999999998</v>
      </c>
      <c r="V40" s="53">
        <v>0.21537173943367274</v>
      </c>
      <c r="W40" s="53"/>
      <c r="X40" s="55">
        <v>141.07799365079364</v>
      </c>
      <c r="Y40" s="55">
        <v>68.07122423898531</v>
      </c>
      <c r="Z40" s="53">
        <v>0.4817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65693.35850319</v>
      </c>
      <c r="E46" s="52">
        <v>61277.97</v>
      </c>
      <c r="F46" s="52">
        <v>4415.388503189999</v>
      </c>
      <c r="G46" s="53">
        <v>0.06721209881476212</v>
      </c>
      <c r="H46" s="52">
        <v>50582.36785</v>
      </c>
      <c r="I46" s="52">
        <v>29601.04</v>
      </c>
      <c r="J46" s="52">
        <v>39438.99025</v>
      </c>
      <c r="K46" s="52">
        <v>20244.31</v>
      </c>
      <c r="L46" s="52">
        <v>19194.68025</v>
      </c>
      <c r="M46" s="53">
        <v>0.4866929941240065</v>
      </c>
      <c r="N46" s="53">
        <v>0</v>
      </c>
      <c r="O46" s="52">
        <v>11143.3776</v>
      </c>
      <c r="P46" s="52">
        <v>9356.73</v>
      </c>
      <c r="Q46" s="52">
        <v>1786.6476000000002</v>
      </c>
      <c r="R46" s="53">
        <v>0.1603326804612634</v>
      </c>
      <c r="S46" s="54">
        <v>223.22</v>
      </c>
      <c r="T46" s="54">
        <v>216.5</v>
      </c>
      <c r="U46" s="54">
        <v>6.719999999999999</v>
      </c>
      <c r="V46" s="53">
        <v>0.030104829316369496</v>
      </c>
      <c r="W46" s="53">
        <v>0.4</v>
      </c>
      <c r="X46" s="55">
        <v>146.31376443418014</v>
      </c>
      <c r="Y46" s="55">
        <v>67.69550512136009</v>
      </c>
      <c r="Z46" s="53">
        <v>0.5169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65693.35850319</v>
      </c>
      <c r="E47" s="52">
        <v>61277.97</v>
      </c>
      <c r="F47" s="52">
        <v>4415.388503189999</v>
      </c>
      <c r="G47" s="53">
        <v>0.06721209881476212</v>
      </c>
      <c r="H47" s="52">
        <v>50582.36785</v>
      </c>
      <c r="I47" s="52">
        <v>30176.95</v>
      </c>
      <c r="J47" s="52">
        <v>39438.99025</v>
      </c>
      <c r="K47" s="52">
        <v>20820.22</v>
      </c>
      <c r="L47" s="52">
        <v>18618.77025</v>
      </c>
      <c r="M47" s="53">
        <v>0.47209043973938963</v>
      </c>
      <c r="N47" s="53"/>
      <c r="O47" s="52">
        <v>11143.3776</v>
      </c>
      <c r="P47" s="52">
        <v>9356.73</v>
      </c>
      <c r="Q47" s="52">
        <v>1786.6476000000002</v>
      </c>
      <c r="R47" s="53">
        <v>0.1603326804612634</v>
      </c>
      <c r="S47" s="54">
        <v>223.22</v>
      </c>
      <c r="T47" s="54">
        <v>216.5</v>
      </c>
      <c r="U47" s="54">
        <v>6.719999999999999</v>
      </c>
      <c r="V47" s="53">
        <v>0.030104829316369496</v>
      </c>
      <c r="W47" s="53"/>
      <c r="X47" s="55">
        <v>143.65367205542725</v>
      </c>
      <c r="Y47" s="55">
        <v>67.69550512136009</v>
      </c>
      <c r="Z47" s="53">
        <v>0.5075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155296.79012754</v>
      </c>
      <c r="E53" s="52">
        <v>155296.8</v>
      </c>
      <c r="F53" s="52">
        <v>-0.009872459981124848</v>
      </c>
      <c r="G53" s="53">
        <v>-6.357156495647419e-8</v>
      </c>
      <c r="H53" s="52">
        <v>109364.9721</v>
      </c>
      <c r="I53" s="52">
        <v>115053.73</v>
      </c>
      <c r="J53" s="52">
        <v>75135.0159</v>
      </c>
      <c r="K53" s="52">
        <v>81019.67</v>
      </c>
      <c r="L53" s="52">
        <v>-5884.6541</v>
      </c>
      <c r="M53" s="53">
        <v>-0.07832106015432413</v>
      </c>
      <c r="N53" s="53"/>
      <c r="O53" s="52">
        <v>34229.9562</v>
      </c>
      <c r="P53" s="52">
        <v>34034.06</v>
      </c>
      <c r="Q53" s="52">
        <v>195.89620000000286</v>
      </c>
      <c r="R53" s="53">
        <v>0.005722946265411899</v>
      </c>
      <c r="S53" s="54">
        <v>685.48</v>
      </c>
      <c r="T53" s="54">
        <v>718.75</v>
      </c>
      <c r="U53" s="54">
        <v>-33.26999999999998</v>
      </c>
      <c r="V53" s="53">
        <v>-0.04853533290540932</v>
      </c>
      <c r="W53" s="53">
        <v>0.3</v>
      </c>
      <c r="X53" s="55">
        <v>55.99035826086956</v>
      </c>
      <c r="Y53" s="55">
        <v>67.00679527854935</v>
      </c>
      <c r="Z53" s="53">
        <v>0.2591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155296.79012754</v>
      </c>
      <c r="E54" s="52">
        <v>155296.8</v>
      </c>
      <c r="F54" s="52">
        <v>-0.009872459981124848</v>
      </c>
      <c r="G54" s="53">
        <v>-6.357156495647419e-8</v>
      </c>
      <c r="H54" s="52">
        <v>109364.9721</v>
      </c>
      <c r="I54" s="52">
        <v>115851.63</v>
      </c>
      <c r="J54" s="52">
        <v>75135.0159</v>
      </c>
      <c r="K54" s="52">
        <v>81019.67000000001</v>
      </c>
      <c r="L54" s="52">
        <v>-5884.654100000014</v>
      </c>
      <c r="M54" s="53">
        <v>-0.07832106015432433</v>
      </c>
      <c r="N54" s="53"/>
      <c r="O54" s="52">
        <v>34229.9562</v>
      </c>
      <c r="P54" s="52">
        <v>34831.96</v>
      </c>
      <c r="Q54" s="52">
        <v>-602.0037999999986</v>
      </c>
      <c r="R54" s="53">
        <v>-0.01758704558319004</v>
      </c>
      <c r="S54" s="54">
        <v>685.48</v>
      </c>
      <c r="T54" s="54">
        <v>740.5</v>
      </c>
      <c r="U54" s="54">
        <v>-55.01999999999998</v>
      </c>
      <c r="V54" s="53">
        <v>-0.0802649238489817</v>
      </c>
      <c r="W54" s="53"/>
      <c r="X54" s="55">
        <v>53.26829169480081</v>
      </c>
      <c r="Y54" s="55">
        <v>67.00679527854935</v>
      </c>
      <c r="Z54" s="53">
        <v>0.254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/>
      <c r="E61" s="52"/>
      <c r="F61" s="52"/>
      <c r="G61" s="53"/>
      <c r="H61" s="52"/>
      <c r="I61" s="52"/>
      <c r="J61" s="52"/>
      <c r="K61" s="52"/>
      <c r="L61" s="52"/>
      <c r="M61" s="53"/>
      <c r="N61" s="53"/>
      <c r="O61" s="52"/>
      <c r="P61" s="52"/>
      <c r="Q61" s="52"/>
      <c r="R61" s="53"/>
      <c r="S61" s="54"/>
      <c r="T61" s="54"/>
      <c r="U61" s="54"/>
      <c r="V61" s="53"/>
      <c r="W61" s="53"/>
      <c r="X61" s="55"/>
      <c r="Y61" s="55"/>
      <c r="Z61" s="53"/>
      <c r="AA61" s="56"/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53029.71458947</v>
      </c>
      <c r="E67" s="52">
        <v>29715.67</v>
      </c>
      <c r="F67" s="52">
        <v>23314.044589470002</v>
      </c>
      <c r="G67" s="53">
        <v>0.43964114779715263</v>
      </c>
      <c r="H67" s="52">
        <v>39055.77825</v>
      </c>
      <c r="I67" s="52">
        <v>30684.03</v>
      </c>
      <c r="J67" s="52">
        <v>29537.289750000004</v>
      </c>
      <c r="K67" s="52">
        <v>26364.309999999998</v>
      </c>
      <c r="L67" s="52">
        <v>3172.979750000006</v>
      </c>
      <c r="M67" s="53">
        <v>0.10742284674239638</v>
      </c>
      <c r="N67" s="53"/>
      <c r="O67" s="52">
        <v>9518.4885</v>
      </c>
      <c r="P67" s="52">
        <v>4319.72</v>
      </c>
      <c r="Q67" s="52">
        <v>5198.768499999999</v>
      </c>
      <c r="R67" s="53">
        <v>0.5461758450409432</v>
      </c>
      <c r="S67" s="54">
        <v>193.32</v>
      </c>
      <c r="T67" s="54">
        <v>90.75</v>
      </c>
      <c r="U67" s="54">
        <v>102.57</v>
      </c>
      <c r="V67" s="53">
        <v>0.5305710738671633</v>
      </c>
      <c r="W67" s="53"/>
      <c r="X67" s="55">
        <v>-10.670633608815427</v>
      </c>
      <c r="Y67" s="55">
        <v>72.28396616733912</v>
      </c>
      <c r="Z67" s="53">
        <v>-0.0326</v>
      </c>
      <c r="AA67" s="56">
        <v>0.2635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53029.71458947</v>
      </c>
      <c r="E68" s="52">
        <v>29715.67</v>
      </c>
      <c r="F68" s="52">
        <v>23314.044589470002</v>
      </c>
      <c r="G68" s="53">
        <v>0.43964114779715263</v>
      </c>
      <c r="H68" s="52">
        <v>39055.77825</v>
      </c>
      <c r="I68" s="52">
        <v>30684.03</v>
      </c>
      <c r="J68" s="52">
        <v>29537.289750000004</v>
      </c>
      <c r="K68" s="52">
        <v>26364.309999999998</v>
      </c>
      <c r="L68" s="52">
        <v>3172.979750000006</v>
      </c>
      <c r="M68" s="53">
        <v>0.10742284674239638</v>
      </c>
      <c r="N68" s="53"/>
      <c r="O68" s="52">
        <v>9518.4885</v>
      </c>
      <c r="P68" s="52">
        <v>4319.72</v>
      </c>
      <c r="Q68" s="52">
        <v>5198.768499999999</v>
      </c>
      <c r="R68" s="53">
        <v>0.5461758450409432</v>
      </c>
      <c r="S68" s="54">
        <v>193.32</v>
      </c>
      <c r="T68" s="54">
        <v>90.75</v>
      </c>
      <c r="U68" s="54">
        <v>102.57</v>
      </c>
      <c r="V68" s="53">
        <v>0.5305710738671633</v>
      </c>
      <c r="W68" s="53"/>
      <c r="X68" s="55">
        <v>-10.670633608815427</v>
      </c>
      <c r="Y68" s="55">
        <v>72.28396616733912</v>
      </c>
      <c r="Z68" s="53">
        <v>-0.0326</v>
      </c>
      <c r="AA68" s="56">
        <v>0.2635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78753.06644148</v>
      </c>
      <c r="E74" s="52">
        <v>61764.82</v>
      </c>
      <c r="F74" s="52">
        <v>16988.246441479998</v>
      </c>
      <c r="G74" s="53">
        <v>0.21571536460873764</v>
      </c>
      <c r="H74" s="52">
        <v>55589.7822</v>
      </c>
      <c r="I74" s="52">
        <v>48815.57</v>
      </c>
      <c r="J74" s="52">
        <v>32594.7534</v>
      </c>
      <c r="K74" s="52">
        <v>35862.99</v>
      </c>
      <c r="L74" s="52">
        <v>-3268.2365999999965</v>
      </c>
      <c r="M74" s="53">
        <v>-0.10026879356602209</v>
      </c>
      <c r="N74" s="53"/>
      <c r="O74" s="52">
        <v>22995.0288</v>
      </c>
      <c r="P74" s="52">
        <v>12952.58</v>
      </c>
      <c r="Q74" s="52">
        <v>10042.4488</v>
      </c>
      <c r="R74" s="53">
        <v>0.43672260153899</v>
      </c>
      <c r="S74" s="54">
        <v>472.14</v>
      </c>
      <c r="T74" s="54">
        <v>257.25</v>
      </c>
      <c r="U74" s="54">
        <v>214.89</v>
      </c>
      <c r="V74" s="53">
        <v>0.4551404244503749</v>
      </c>
      <c r="W74" s="53">
        <v>0</v>
      </c>
      <c r="X74" s="55">
        <v>50.33722060252673</v>
      </c>
      <c r="Y74" s="55">
        <v>49.060202993773025</v>
      </c>
      <c r="Z74" s="53">
        <v>0.2097</v>
      </c>
      <c r="AA74" s="56">
        <v>0.2941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78753.06644148</v>
      </c>
      <c r="E75" s="52">
        <v>61764.82</v>
      </c>
      <c r="F75" s="52">
        <v>16988.246441479998</v>
      </c>
      <c r="G75" s="53">
        <v>0.21571536460873764</v>
      </c>
      <c r="H75" s="52">
        <v>55589.7822</v>
      </c>
      <c r="I75" s="52">
        <v>49921.75</v>
      </c>
      <c r="J75" s="52">
        <v>32594.7534</v>
      </c>
      <c r="K75" s="52">
        <v>36088.43</v>
      </c>
      <c r="L75" s="52">
        <v>-3493.676599999999</v>
      </c>
      <c r="M75" s="53">
        <v>-0.10718524411355107</v>
      </c>
      <c r="N75" s="53"/>
      <c r="O75" s="52">
        <v>22995.0288</v>
      </c>
      <c r="P75" s="52">
        <v>13833.32</v>
      </c>
      <c r="Q75" s="52">
        <v>9161.7088</v>
      </c>
      <c r="R75" s="53">
        <v>0.3984212796463208</v>
      </c>
      <c r="S75" s="54">
        <v>472.14</v>
      </c>
      <c r="T75" s="54">
        <v>275.25</v>
      </c>
      <c r="U75" s="54">
        <v>196.89</v>
      </c>
      <c r="V75" s="53">
        <v>0.4170161392807218</v>
      </c>
      <c r="W75" s="53"/>
      <c r="X75" s="55">
        <v>43.02659400544959</v>
      </c>
      <c r="Y75" s="55">
        <v>49.060202993773025</v>
      </c>
      <c r="Z75" s="53">
        <v>0.1917</v>
      </c>
      <c r="AA75" s="56">
        <v>0.2941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26846.9041072</v>
      </c>
      <c r="E81" s="52">
        <v>20977.47</v>
      </c>
      <c r="F81" s="52">
        <v>5869.434107199999</v>
      </c>
      <c r="G81" s="53">
        <v>0.21862610615225056</v>
      </c>
      <c r="H81" s="52">
        <v>17678.176816</v>
      </c>
      <c r="I81" s="52">
        <v>16373.33</v>
      </c>
      <c r="J81" s="52">
        <v>10731.333616</v>
      </c>
      <c r="K81" s="52">
        <v>7553.74</v>
      </c>
      <c r="L81" s="52">
        <v>3177.593616</v>
      </c>
      <c r="M81" s="53">
        <v>0.2961042615674842</v>
      </c>
      <c r="N81" s="53">
        <v>0</v>
      </c>
      <c r="O81" s="52">
        <v>6946.8432</v>
      </c>
      <c r="P81" s="52">
        <v>8819.59</v>
      </c>
      <c r="Q81" s="52">
        <v>-1872.7468</v>
      </c>
      <c r="R81" s="53">
        <v>-0.26958241982487813</v>
      </c>
      <c r="S81" s="54">
        <v>139.07</v>
      </c>
      <c r="T81" s="54">
        <v>167.75</v>
      </c>
      <c r="U81" s="54">
        <v>-28.680000000000007</v>
      </c>
      <c r="V81" s="53">
        <v>-0.20622707988782632</v>
      </c>
      <c r="W81" s="53"/>
      <c r="X81" s="55">
        <v>27.446438152011925</v>
      </c>
      <c r="Y81" s="55">
        <v>65.92886525634573</v>
      </c>
      <c r="Z81" s="53">
        <v>0.2195</v>
      </c>
      <c r="AA81" s="56">
        <v>0.3415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26846.9041072</v>
      </c>
      <c r="E82" s="52">
        <v>20977.47</v>
      </c>
      <c r="F82" s="52">
        <v>5869.434107199999</v>
      </c>
      <c r="G82" s="53">
        <v>0.21862610615225056</v>
      </c>
      <c r="H82" s="52">
        <v>17678.176816</v>
      </c>
      <c r="I82" s="52">
        <v>16373.33</v>
      </c>
      <c r="J82" s="52">
        <v>10731.333616</v>
      </c>
      <c r="K82" s="52">
        <v>7553.74</v>
      </c>
      <c r="L82" s="52">
        <v>3177.593616</v>
      </c>
      <c r="M82" s="53">
        <v>0.2961042615674842</v>
      </c>
      <c r="N82" s="53"/>
      <c r="O82" s="52">
        <v>6946.8432</v>
      </c>
      <c r="P82" s="52">
        <v>8819.59</v>
      </c>
      <c r="Q82" s="52">
        <v>-1872.7468</v>
      </c>
      <c r="R82" s="53">
        <v>-0.26958241982487813</v>
      </c>
      <c r="S82" s="54">
        <v>139.07</v>
      </c>
      <c r="T82" s="54">
        <v>167.75</v>
      </c>
      <c r="U82" s="54">
        <v>-28.680000000000007</v>
      </c>
      <c r="V82" s="53">
        <v>-0.20622707988782632</v>
      </c>
      <c r="W82" s="53"/>
      <c r="X82" s="55">
        <v>27.446438152011925</v>
      </c>
      <c r="Y82" s="55">
        <v>65.92886525634573</v>
      </c>
      <c r="Z82" s="53">
        <v>0.2195</v>
      </c>
      <c r="AA82" s="56">
        <v>0.3415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37218.0313712</v>
      </c>
      <c r="E88" s="67">
        <v>36381.33</v>
      </c>
      <c r="F88" s="52">
        <v>836.7013711999971</v>
      </c>
      <c r="G88" s="53">
        <v>0.022481075445797277</v>
      </c>
      <c r="H88" s="52">
        <v>27090.14646</v>
      </c>
      <c r="I88" s="52">
        <v>25103.82</v>
      </c>
      <c r="J88" s="52">
        <v>15515.12046</v>
      </c>
      <c r="K88" s="52">
        <v>13974.73</v>
      </c>
      <c r="L88" s="52">
        <v>1540.3904600000005</v>
      </c>
      <c r="M88" s="53">
        <v>0.09928317759255094</v>
      </c>
      <c r="N88" s="53">
        <v>0</v>
      </c>
      <c r="O88" s="52">
        <v>11575.026</v>
      </c>
      <c r="P88" s="52">
        <v>11129.09</v>
      </c>
      <c r="Q88" s="52">
        <v>445.9359999999997</v>
      </c>
      <c r="R88" s="53">
        <v>0.038525701799719474</v>
      </c>
      <c r="S88" s="68">
        <v>232</v>
      </c>
      <c r="T88" s="68">
        <v>225.5</v>
      </c>
      <c r="U88" s="54">
        <v>6.5</v>
      </c>
      <c r="V88" s="53">
        <v>0.028017241379310345</v>
      </c>
      <c r="W88" s="53"/>
      <c r="X88" s="55">
        <v>50.01113082039912</v>
      </c>
      <c r="Y88" s="55">
        <v>43.65467634137931</v>
      </c>
      <c r="Z88" s="53">
        <v>0.31</v>
      </c>
      <c r="AA88" s="56">
        <v>0.2721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37218.0313712</v>
      </c>
      <c r="E89" s="67">
        <v>36381.33</v>
      </c>
      <c r="F89" s="52">
        <v>836.7013711999971</v>
      </c>
      <c r="G89" s="53">
        <v>0.022481075445797277</v>
      </c>
      <c r="H89" s="52">
        <v>27090.14646</v>
      </c>
      <c r="I89" s="52">
        <v>26164.59</v>
      </c>
      <c r="J89" s="52">
        <v>15515.12046</v>
      </c>
      <c r="K89" s="52">
        <v>14571.4</v>
      </c>
      <c r="L89" s="52">
        <v>943.7204600000005</v>
      </c>
      <c r="M89" s="53">
        <v>0.060825854522562985</v>
      </c>
      <c r="N89" s="53"/>
      <c r="O89" s="52">
        <v>11575.026</v>
      </c>
      <c r="P89" s="52">
        <v>11593.19</v>
      </c>
      <c r="Q89" s="52">
        <v>-18.16400000000067</v>
      </c>
      <c r="R89" s="53">
        <v>-0.0015692405356152693</v>
      </c>
      <c r="S89" s="68">
        <v>232</v>
      </c>
      <c r="T89" s="68">
        <v>234</v>
      </c>
      <c r="U89" s="54">
        <v>-2</v>
      </c>
      <c r="V89" s="53">
        <v>-0.008620689655172414</v>
      </c>
      <c r="W89" s="53"/>
      <c r="X89" s="55">
        <v>43.66128205128205</v>
      </c>
      <c r="Y89" s="55">
        <v>43.65467634137931</v>
      </c>
      <c r="Z89" s="53">
        <v>0.2808</v>
      </c>
      <c r="AA89" s="56">
        <v>0.2721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26186.1354</v>
      </c>
      <c r="E95" s="52">
        <v>5762.27</v>
      </c>
      <c r="F95" s="52">
        <v>20423.8654</v>
      </c>
      <c r="G95" s="53">
        <v>0.7799495835494686</v>
      </c>
      <c r="H95" s="52">
        <v>19428.9760178</v>
      </c>
      <c r="I95" s="52">
        <v>8019.36</v>
      </c>
      <c r="J95" s="52">
        <v>12051.3142178</v>
      </c>
      <c r="K95" s="52">
        <v>7687.129999999999</v>
      </c>
      <c r="L95" s="52">
        <v>4364.184217800001</v>
      </c>
      <c r="M95" s="53">
        <v>0.3621334685103493</v>
      </c>
      <c r="N95" s="53">
        <v>0</v>
      </c>
      <c r="O95" s="52">
        <v>7377.6618</v>
      </c>
      <c r="P95" s="52">
        <v>332.23</v>
      </c>
      <c r="Q95" s="52">
        <v>7045.4318</v>
      </c>
      <c r="R95" s="53">
        <v>0.954968117405436</v>
      </c>
      <c r="S95" s="54">
        <v>147.9</v>
      </c>
      <c r="T95" s="54">
        <v>6.5</v>
      </c>
      <c r="U95" s="54">
        <v>141.4</v>
      </c>
      <c r="V95" s="53">
        <v>0.9560513860716701</v>
      </c>
      <c r="W95" s="53"/>
      <c r="X95" s="55">
        <v>-347.24461538461543</v>
      </c>
      <c r="Y95" s="55">
        <v>45.687352144692355</v>
      </c>
      <c r="Z95" s="53">
        <v>-0.3917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26186.1354</v>
      </c>
      <c r="E96" s="52">
        <v>5762.27</v>
      </c>
      <c r="F96" s="52">
        <v>20423.8654</v>
      </c>
      <c r="G96" s="53">
        <v>0.7799495835494686</v>
      </c>
      <c r="H96" s="52">
        <v>19428.9760178</v>
      </c>
      <c r="I96" s="52">
        <v>8019.36</v>
      </c>
      <c r="J96" s="52">
        <v>12051.3142178</v>
      </c>
      <c r="K96" s="52">
        <v>7687.129999999999</v>
      </c>
      <c r="L96" s="52">
        <v>4364.184217800001</v>
      </c>
      <c r="M96" s="53">
        <v>0.3621334685103493</v>
      </c>
      <c r="N96" s="53"/>
      <c r="O96" s="52">
        <v>7377.6618</v>
      </c>
      <c r="P96" s="52">
        <v>332.23</v>
      </c>
      <c r="Q96" s="52">
        <v>7045.4318</v>
      </c>
      <c r="R96" s="53">
        <v>0.954968117405436</v>
      </c>
      <c r="S96" s="54">
        <v>147.9</v>
      </c>
      <c r="T96" s="54">
        <v>6.5</v>
      </c>
      <c r="U96" s="54">
        <v>141.4</v>
      </c>
      <c r="V96" s="53">
        <v>0.9560513860716701</v>
      </c>
      <c r="W96" s="53"/>
      <c r="X96" s="55">
        <v>-347.24461538461543</v>
      </c>
      <c r="Y96" s="55">
        <v>45.687352144692355</v>
      </c>
      <c r="Z96" s="53">
        <v>-0.3917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32473.03</v>
      </c>
      <c r="F102" s="52">
        <v>-0.00999999999839929</v>
      </c>
      <c r="G102" s="53">
        <v>-3.0794795181967334e-7</v>
      </c>
      <c r="H102" s="52">
        <v>23075.07</v>
      </c>
      <c r="I102" s="52">
        <v>31170.94</v>
      </c>
      <c r="J102" s="52">
        <v>12691.21</v>
      </c>
      <c r="K102" s="52">
        <v>15089.13</v>
      </c>
      <c r="L102" s="52">
        <v>-2397.92</v>
      </c>
      <c r="M102" s="53">
        <v>-0.18894337104184708</v>
      </c>
      <c r="N102" s="53">
        <v>0</v>
      </c>
      <c r="O102" s="52">
        <v>10383.86</v>
      </c>
      <c r="P102" s="52">
        <v>16081.81</v>
      </c>
      <c r="Q102" s="52">
        <v>-5697.949999999999</v>
      </c>
      <c r="R102" s="53">
        <v>-0.5487313966097385</v>
      </c>
      <c r="S102" s="54">
        <v>208.2</v>
      </c>
      <c r="T102" s="54">
        <v>324.25</v>
      </c>
      <c r="U102" s="54">
        <v>-116.05000000000001</v>
      </c>
      <c r="V102" s="53">
        <v>-0.5573967339097023</v>
      </c>
      <c r="W102" s="53"/>
      <c r="X102" s="55">
        <v>4.015697764070933</v>
      </c>
      <c r="Y102" s="55">
        <v>45.139084580403456</v>
      </c>
      <c r="Z102" s="53">
        <v>0.0401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/>
      <c r="E103" s="69"/>
      <c r="F103" s="52"/>
      <c r="G103" s="53"/>
      <c r="H103" s="52"/>
      <c r="I103" s="52"/>
      <c r="J103" s="52"/>
      <c r="K103" s="52"/>
      <c r="L103" s="52"/>
      <c r="M103" s="53"/>
      <c r="N103" s="53"/>
      <c r="O103" s="52"/>
      <c r="P103" s="52"/>
      <c r="Q103" s="52"/>
      <c r="R103" s="53"/>
      <c r="S103" s="54"/>
      <c r="T103" s="54"/>
      <c r="U103" s="54"/>
      <c r="V103" s="53"/>
      <c r="W103" s="53"/>
      <c r="X103" s="55"/>
      <c r="Y103" s="55"/>
      <c r="Z103" s="53"/>
      <c r="AA103" s="56"/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45817.77</v>
      </c>
      <c r="J109" s="52">
        <v>21415.85</v>
      </c>
      <c r="K109" s="52">
        <v>23939.389999999996</v>
      </c>
      <c r="L109" s="52">
        <v>-2523.5399999999972</v>
      </c>
      <c r="M109" s="53">
        <v>-0.11783515480356826</v>
      </c>
      <c r="N109" s="53">
        <v>0</v>
      </c>
      <c r="O109" s="52">
        <v>16186.03</v>
      </c>
      <c r="P109" s="52">
        <v>21878.38</v>
      </c>
      <c r="Q109" s="52">
        <v>-5692.35</v>
      </c>
      <c r="R109" s="53">
        <v>-0.3516829018604315</v>
      </c>
      <c r="S109" s="54">
        <v>324.19</v>
      </c>
      <c r="T109" s="54">
        <v>472.75</v>
      </c>
      <c r="U109" s="54">
        <v>-148.56</v>
      </c>
      <c r="V109" s="53">
        <v>-0.45824979178876585</v>
      </c>
      <c r="W109" s="53">
        <v>0</v>
      </c>
      <c r="X109" s="55">
        <v>48.973178212585935</v>
      </c>
      <c r="Y109" s="55">
        <v>65.70431400737223</v>
      </c>
      <c r="Z109" s="53">
        <v>0.3357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/>
      <c r="E110" s="52"/>
      <c r="F110" s="52"/>
      <c r="G110" s="53"/>
      <c r="H110" s="52"/>
      <c r="I110" s="52"/>
      <c r="J110" s="52"/>
      <c r="K110" s="52"/>
      <c r="L110" s="52"/>
      <c r="M110" s="53"/>
      <c r="N110" s="53"/>
      <c r="O110" s="52"/>
      <c r="P110" s="52"/>
      <c r="Q110" s="52"/>
      <c r="R110" s="53"/>
      <c r="S110" s="54"/>
      <c r="T110" s="54"/>
      <c r="U110" s="54"/>
      <c r="V110" s="53"/>
      <c r="W110" s="53"/>
      <c r="X110" s="55"/>
      <c r="Y110" s="55"/>
      <c r="Z110" s="53"/>
      <c r="AA110" s="56"/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20278.45679756</v>
      </c>
      <c r="E116" s="52">
        <v>0</v>
      </c>
      <c r="F116" s="52">
        <v>20278.45679756</v>
      </c>
      <c r="G116" s="53">
        <v>1</v>
      </c>
      <c r="H116" s="52">
        <v>16648.056795</v>
      </c>
      <c r="I116" s="52">
        <v>58.32</v>
      </c>
      <c r="J116" s="52">
        <v>12536.982795</v>
      </c>
      <c r="K116" s="52">
        <v>58.32</v>
      </c>
      <c r="L116" s="52">
        <v>12478.662795</v>
      </c>
      <c r="M116" s="53">
        <v>0.9953481630346291</v>
      </c>
      <c r="N116" s="53">
        <v>0</v>
      </c>
      <c r="O116" s="52">
        <v>4111.074</v>
      </c>
      <c r="P116" s="52">
        <v>0</v>
      </c>
      <c r="Q116" s="52">
        <v>4111.074</v>
      </c>
      <c r="R116" s="53">
        <v>1</v>
      </c>
      <c r="S116" s="54">
        <v>82.37</v>
      </c>
      <c r="T116" s="54">
        <v>0</v>
      </c>
      <c r="U116" s="54">
        <v>82.37</v>
      </c>
      <c r="V116" s="53">
        <v>1</v>
      </c>
      <c r="W116" s="53">
        <v>0</v>
      </c>
      <c r="X116" s="55">
        <v>0</v>
      </c>
      <c r="Y116" s="55">
        <v>44.07429892630812</v>
      </c>
      <c r="Z116" s="53">
        <v>0</v>
      </c>
      <c r="AA116" s="56">
        <v>0.179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20278.45679756</v>
      </c>
      <c r="E117" s="52">
        <v>0</v>
      </c>
      <c r="F117" s="52">
        <v>20278.45679756</v>
      </c>
      <c r="G117" s="53">
        <v>1</v>
      </c>
      <c r="H117" s="52">
        <v>16648.056795</v>
      </c>
      <c r="I117" s="52">
        <v>3100.1</v>
      </c>
      <c r="J117" s="52">
        <v>12536.982795</v>
      </c>
      <c r="K117" s="52">
        <v>1650.85</v>
      </c>
      <c r="L117" s="52">
        <v>10886.132795</v>
      </c>
      <c r="M117" s="53">
        <v>0.8683215868607244</v>
      </c>
      <c r="N117" s="53"/>
      <c r="O117" s="52">
        <v>4111.074</v>
      </c>
      <c r="P117" s="52">
        <v>1449.25</v>
      </c>
      <c r="Q117" s="52">
        <v>2661.8239999999996</v>
      </c>
      <c r="R117" s="53">
        <v>0.6474765474909963</v>
      </c>
      <c r="S117" s="54">
        <v>82.37</v>
      </c>
      <c r="T117" s="54">
        <v>31.75</v>
      </c>
      <c r="U117" s="54">
        <v>50.620000000000005</v>
      </c>
      <c r="V117" s="53">
        <v>0.6145441301444701</v>
      </c>
      <c r="W117" s="53"/>
      <c r="X117" s="55">
        <v>-97.64094488188977</v>
      </c>
      <c r="Y117" s="55">
        <v>44.07429892630812</v>
      </c>
      <c r="Z117" s="53">
        <v>0</v>
      </c>
      <c r="AA117" s="56">
        <v>0.179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105896.9567712</v>
      </c>
      <c r="E123" s="52">
        <v>79457.73</v>
      </c>
      <c r="F123" s="52">
        <v>26439.226771200003</v>
      </c>
      <c r="G123" s="53">
        <v>0.2496693727311197</v>
      </c>
      <c r="H123" s="52">
        <v>85934.2000148</v>
      </c>
      <c r="I123" s="52">
        <v>64275.8</v>
      </c>
      <c r="J123" s="52">
        <v>70065.71561479999</v>
      </c>
      <c r="K123" s="52">
        <v>59394.21000000001</v>
      </c>
      <c r="L123" s="52">
        <v>10671.505614799986</v>
      </c>
      <c r="M123" s="53">
        <v>0.15230709514862703</v>
      </c>
      <c r="N123" s="53"/>
      <c r="O123" s="52">
        <v>15868.4844</v>
      </c>
      <c r="P123" s="52">
        <v>4881.59</v>
      </c>
      <c r="Q123" s="52">
        <v>10986.8944</v>
      </c>
      <c r="R123" s="53">
        <v>0.6923720074993425</v>
      </c>
      <c r="S123" s="54">
        <v>317.92</v>
      </c>
      <c r="T123" s="54">
        <v>106</v>
      </c>
      <c r="U123" s="54">
        <v>211.92000000000002</v>
      </c>
      <c r="V123" s="53">
        <v>0.6665827881227983</v>
      </c>
      <c r="W123" s="53"/>
      <c r="X123" s="55">
        <v>143.22575471698113</v>
      </c>
      <c r="Y123" s="55">
        <v>62.79176131227983</v>
      </c>
      <c r="Z123" s="53">
        <v>0.1911</v>
      </c>
      <c r="AA123" s="56">
        <v>0.1885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105896.9567712</v>
      </c>
      <c r="E124" s="52">
        <v>79457.73</v>
      </c>
      <c r="F124" s="52">
        <v>26439.226771200003</v>
      </c>
      <c r="G124" s="53">
        <v>0.2496693727311197</v>
      </c>
      <c r="H124" s="52">
        <v>85934.2000148</v>
      </c>
      <c r="I124" s="52">
        <v>64324.38</v>
      </c>
      <c r="J124" s="52">
        <v>70065.71561479999</v>
      </c>
      <c r="K124" s="52">
        <v>59442.78999999999</v>
      </c>
      <c r="L124" s="52">
        <v>10622.925614799999</v>
      </c>
      <c r="M124" s="53">
        <v>0.15161374606093533</v>
      </c>
      <c r="N124" s="53"/>
      <c r="O124" s="52">
        <v>15868.4844</v>
      </c>
      <c r="P124" s="52">
        <v>4881.59</v>
      </c>
      <c r="Q124" s="52">
        <v>10986.8944</v>
      </c>
      <c r="R124" s="53">
        <v>0.6923720074993425</v>
      </c>
      <c r="S124" s="54">
        <v>317.92</v>
      </c>
      <c r="T124" s="54">
        <v>106</v>
      </c>
      <c r="U124" s="54">
        <v>211.92000000000002</v>
      </c>
      <c r="V124" s="53">
        <v>0.6665827881227983</v>
      </c>
      <c r="W124" s="53"/>
      <c r="X124" s="55">
        <v>142.7674528301887</v>
      </c>
      <c r="Y124" s="55">
        <v>62.79176131227983</v>
      </c>
      <c r="Z124" s="53">
        <v>0.1905</v>
      </c>
      <c r="AA124" s="56">
        <v>0.1885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31802.4136956</v>
      </c>
      <c r="E130" s="52">
        <v>16498.64</v>
      </c>
      <c r="F130" s="52">
        <v>15303.7736956</v>
      </c>
      <c r="G130" s="53">
        <v>0.48121421984134943</v>
      </c>
      <c r="H130" s="52">
        <v>23448.14263</v>
      </c>
      <c r="I130" s="52">
        <v>12360.83</v>
      </c>
      <c r="J130" s="52">
        <v>15632.028429999998</v>
      </c>
      <c r="K130" s="52">
        <v>11772.08</v>
      </c>
      <c r="L130" s="52">
        <v>3859.9484299999986</v>
      </c>
      <c r="M130" s="53">
        <v>0.24692562755273845</v>
      </c>
      <c r="N130" s="53"/>
      <c r="O130" s="52">
        <v>7816.1142</v>
      </c>
      <c r="P130" s="52">
        <v>588.75</v>
      </c>
      <c r="Q130" s="52">
        <v>7227.3642</v>
      </c>
      <c r="R130" s="53">
        <v>0.92467484674162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359.80956521739137</v>
      </c>
      <c r="Y130" s="55">
        <v>53.31719360265494</v>
      </c>
      <c r="Z130" s="53">
        <v>0.25079999999999997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31802.4136956</v>
      </c>
      <c r="E131" s="52">
        <v>16498.64</v>
      </c>
      <c r="F131" s="52">
        <v>15303.7736956</v>
      </c>
      <c r="G131" s="53">
        <v>0.48121421984134943</v>
      </c>
      <c r="H131" s="52">
        <v>23448.14263</v>
      </c>
      <c r="I131" s="52">
        <v>12360.83</v>
      </c>
      <c r="J131" s="52">
        <v>15632.028429999998</v>
      </c>
      <c r="K131" s="52">
        <v>11772.08</v>
      </c>
      <c r="L131" s="52">
        <v>3859.9484299999986</v>
      </c>
      <c r="M131" s="53">
        <v>0.24692562755273845</v>
      </c>
      <c r="N131" s="53"/>
      <c r="O131" s="52">
        <v>7816.1142</v>
      </c>
      <c r="P131" s="52">
        <v>588.75</v>
      </c>
      <c r="Q131" s="52">
        <v>7227.3642</v>
      </c>
      <c r="R131" s="53">
        <v>0.92467484674162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25891.86</v>
      </c>
      <c r="J137" s="52">
        <v>12565.06</v>
      </c>
      <c r="K137" s="52">
        <v>11792.09</v>
      </c>
      <c r="L137" s="52">
        <v>772.9699999999993</v>
      </c>
      <c r="M137" s="53">
        <v>0.061517414162765585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17.118519823788546</v>
      </c>
      <c r="Y137" s="55">
        <v>40.64013272149188</v>
      </c>
      <c r="Z137" s="53">
        <v>0.158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/>
      <c r="E138" s="52"/>
      <c r="F138" s="52"/>
      <c r="G138" s="53"/>
      <c r="H138" s="52"/>
      <c r="I138" s="52"/>
      <c r="J138" s="52"/>
      <c r="K138" s="52"/>
      <c r="L138" s="52"/>
      <c r="M138" s="53"/>
      <c r="N138" s="53"/>
      <c r="O138" s="52"/>
      <c r="P138" s="52"/>
      <c r="Q138" s="52"/>
      <c r="R138" s="53"/>
      <c r="S138" s="54"/>
      <c r="T138" s="54"/>
      <c r="U138" s="54"/>
      <c r="V138" s="53"/>
      <c r="W138" s="53"/>
      <c r="X138" s="55"/>
      <c r="Y138" s="55"/>
      <c r="Z138" s="53"/>
      <c r="AA138" s="56"/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/>
      <c r="E145" s="52"/>
      <c r="F145" s="52"/>
      <c r="G145" s="53"/>
      <c r="H145" s="52"/>
      <c r="I145" s="52"/>
      <c r="J145" s="52"/>
      <c r="K145" s="52"/>
      <c r="L145" s="52"/>
      <c r="M145" s="53"/>
      <c r="N145" s="53"/>
      <c r="O145" s="52"/>
      <c r="P145" s="52"/>
      <c r="Q145" s="52"/>
      <c r="R145" s="53"/>
      <c r="S145" s="54"/>
      <c r="T145" s="54"/>
      <c r="U145" s="54"/>
      <c r="V145" s="53"/>
      <c r="W145" s="53"/>
      <c r="X145" s="55"/>
      <c r="Y145" s="55"/>
      <c r="Z145" s="53"/>
      <c r="AA145" s="56"/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/>
      <c r="E152" s="52"/>
      <c r="F152" s="52"/>
      <c r="G152" s="53"/>
      <c r="H152" s="52"/>
      <c r="I152" s="52"/>
      <c r="J152" s="52"/>
      <c r="K152" s="52"/>
      <c r="L152" s="52"/>
      <c r="M152" s="53"/>
      <c r="N152" s="53"/>
      <c r="O152" s="52"/>
      <c r="P152" s="52"/>
      <c r="Q152" s="52"/>
      <c r="R152" s="53"/>
      <c r="S152" s="54"/>
      <c r="T152" s="54"/>
      <c r="U152" s="54"/>
      <c r="V152" s="53"/>
      <c r="W152" s="53"/>
      <c r="X152" s="55"/>
      <c r="Y152" s="55"/>
      <c r="Z152" s="53"/>
      <c r="AA152" s="56"/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19505.5188968</v>
      </c>
      <c r="E158" s="52">
        <v>19505.52</v>
      </c>
      <c r="F158" s="52">
        <v>-0.0011032000002160203</v>
      </c>
      <c r="G158" s="53">
        <v>-5.655835182098165e-8</v>
      </c>
      <c r="H158" s="52">
        <v>14923.5903884</v>
      </c>
      <c r="I158" s="52">
        <v>14052.73</v>
      </c>
      <c r="J158" s="52">
        <v>8915.0763884</v>
      </c>
      <c r="K158" s="52">
        <v>8190.78</v>
      </c>
      <c r="L158" s="52">
        <v>724.296388400001</v>
      </c>
      <c r="M158" s="53">
        <v>0.08124399128452015</v>
      </c>
      <c r="N158" s="53"/>
      <c r="O158" s="52">
        <v>6008.514</v>
      </c>
      <c r="P158" s="52">
        <v>5861.95</v>
      </c>
      <c r="Q158" s="52">
        <v>146.5640000000003</v>
      </c>
      <c r="R158" s="53">
        <v>0.02439272006356319</v>
      </c>
      <c r="S158" s="54">
        <v>120.44</v>
      </c>
      <c r="T158" s="54">
        <v>116.25</v>
      </c>
      <c r="U158" s="54">
        <v>4.189999999999998</v>
      </c>
      <c r="V158" s="53">
        <v>0.03478910660909995</v>
      </c>
      <c r="W158" s="53"/>
      <c r="X158" s="55">
        <v>46.90572043010753</v>
      </c>
      <c r="Y158" s="55">
        <v>38.04324566921289</v>
      </c>
      <c r="Z158" s="53">
        <v>0.2796</v>
      </c>
      <c r="AA158" s="56">
        <v>0.2349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19505.5188968</v>
      </c>
      <c r="E159" s="52">
        <v>19505.52</v>
      </c>
      <c r="F159" s="52">
        <v>-0.0011032000002160203</v>
      </c>
      <c r="G159" s="53">
        <v>-5.655835182098165e-8</v>
      </c>
      <c r="H159" s="52">
        <v>14923.5903884</v>
      </c>
      <c r="I159" s="52">
        <v>14052.73</v>
      </c>
      <c r="J159" s="52">
        <v>8915.0763884</v>
      </c>
      <c r="K159" s="52">
        <v>8190.78</v>
      </c>
      <c r="L159" s="52">
        <v>724.296388400001</v>
      </c>
      <c r="M159" s="53">
        <v>0.08124399128452015</v>
      </c>
      <c r="N159" s="53"/>
      <c r="O159" s="52">
        <v>6008.514</v>
      </c>
      <c r="P159" s="52">
        <v>5861.95</v>
      </c>
      <c r="Q159" s="52">
        <v>146.5640000000003</v>
      </c>
      <c r="R159" s="53">
        <v>0.02439272006356319</v>
      </c>
      <c r="S159" s="54">
        <v>120.44</v>
      </c>
      <c r="T159" s="54">
        <v>116.25</v>
      </c>
      <c r="U159" s="54">
        <v>4.189999999999998</v>
      </c>
      <c r="V159" s="53">
        <v>0.03478910660909995</v>
      </c>
      <c r="W159" s="53"/>
      <c r="X159" s="55">
        <v>46.90572043010753</v>
      </c>
      <c r="Y159" s="55">
        <v>38.04324566921289</v>
      </c>
      <c r="Z159" s="53">
        <v>0.2796</v>
      </c>
      <c r="AA159" s="56">
        <v>0.2349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10827.20261235</v>
      </c>
      <c r="E165" s="52">
        <v>0</v>
      </c>
      <c r="F165" s="52">
        <v>10827.20261235</v>
      </c>
      <c r="G165" s="53">
        <v>1</v>
      </c>
      <c r="H165" s="52">
        <v>7687.765097</v>
      </c>
      <c r="I165" s="52">
        <v>2097.39</v>
      </c>
      <c r="J165" s="52">
        <v>4437.133697</v>
      </c>
      <c r="K165" s="52">
        <v>1010.6899999999998</v>
      </c>
      <c r="L165" s="52">
        <v>3426.4436970000006</v>
      </c>
      <c r="M165" s="53">
        <v>0.7722200706543192</v>
      </c>
      <c r="N165" s="53"/>
      <c r="O165" s="52">
        <v>3250.6314</v>
      </c>
      <c r="P165" s="52">
        <v>1086.7</v>
      </c>
      <c r="Q165" s="52">
        <v>2163.9314000000004</v>
      </c>
      <c r="R165" s="53">
        <v>0.6656957168382734</v>
      </c>
      <c r="S165" s="54">
        <v>65.13</v>
      </c>
      <c r="T165" s="54">
        <v>24.33</v>
      </c>
      <c r="U165" s="54">
        <v>40.8</v>
      </c>
      <c r="V165" s="53">
        <v>0.6264394288346384</v>
      </c>
      <c r="W165" s="53"/>
      <c r="X165" s="55">
        <v>53.18249075215784</v>
      </c>
      <c r="Y165" s="55">
        <v>48.202633430830645</v>
      </c>
      <c r="Z165" s="53">
        <v>0.3815</v>
      </c>
      <c r="AA165" s="56">
        <v>0.29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10827.20261235</v>
      </c>
      <c r="E166" s="52">
        <v>0</v>
      </c>
      <c r="F166" s="52">
        <v>10827.20261235</v>
      </c>
      <c r="G166" s="53">
        <v>1</v>
      </c>
      <c r="H166" s="52">
        <v>7687.765097</v>
      </c>
      <c r="I166" s="52">
        <v>2097.39</v>
      </c>
      <c r="J166" s="52">
        <v>4437.133697</v>
      </c>
      <c r="K166" s="52">
        <v>1010.6899999999998</v>
      </c>
      <c r="L166" s="52">
        <v>3426.4436970000006</v>
      </c>
      <c r="M166" s="53">
        <v>0.7722200706543192</v>
      </c>
      <c r="N166" s="53"/>
      <c r="O166" s="52">
        <v>3250.6314</v>
      </c>
      <c r="P166" s="52">
        <v>1086.7</v>
      </c>
      <c r="Q166" s="52">
        <v>2163.9314000000004</v>
      </c>
      <c r="R166" s="53">
        <v>0.6656957168382734</v>
      </c>
      <c r="S166" s="54">
        <v>65.13</v>
      </c>
      <c r="T166" s="54">
        <v>24.33</v>
      </c>
      <c r="U166" s="54">
        <v>40.8</v>
      </c>
      <c r="V166" s="53">
        <v>0.6264394288346384</v>
      </c>
      <c r="W166" s="53"/>
      <c r="X166" s="55">
        <v>53.18249075215784</v>
      </c>
      <c r="Y166" s="55">
        <v>48.202633430830645</v>
      </c>
      <c r="Z166" s="53">
        <v>0.3815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146237.1072</v>
      </c>
      <c r="E172" s="52">
        <v>125386.21</v>
      </c>
      <c r="F172" s="52">
        <v>20850.897199999992</v>
      </c>
      <c r="G172" s="53">
        <v>0.14258280678024784</v>
      </c>
      <c r="H172" s="52">
        <v>114651.8653946</v>
      </c>
      <c r="I172" s="52">
        <v>102580.79</v>
      </c>
      <c r="J172" s="52">
        <v>82888.0783946</v>
      </c>
      <c r="K172" s="52">
        <v>74954.88999999998</v>
      </c>
      <c r="L172" s="52">
        <v>7933.188394600016</v>
      </c>
      <c r="M172" s="53">
        <v>0.095709643030123</v>
      </c>
      <c r="N172" s="53"/>
      <c r="O172" s="52">
        <v>31763.787</v>
      </c>
      <c r="P172" s="52">
        <v>27625.9</v>
      </c>
      <c r="Q172" s="52">
        <v>4137.886999999999</v>
      </c>
      <c r="R172" s="53">
        <v>0.1302705814013927</v>
      </c>
      <c r="S172" s="54">
        <v>659.73</v>
      </c>
      <c r="T172" s="54">
        <v>550.75</v>
      </c>
      <c r="U172" s="54">
        <v>108.98000000000002</v>
      </c>
      <c r="V172" s="53">
        <v>0.1651887893532203</v>
      </c>
      <c r="W172" s="53"/>
      <c r="X172" s="55">
        <v>41.407934634589196</v>
      </c>
      <c r="Y172" s="55">
        <v>47.87601261940491</v>
      </c>
      <c r="Z172" s="53">
        <v>0.1819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146237.1072</v>
      </c>
      <c r="E173" s="52">
        <v>129751.67</v>
      </c>
      <c r="F173" s="52">
        <v>16485.4372</v>
      </c>
      <c r="G173" s="53">
        <v>0.11273087601120163</v>
      </c>
      <c r="H173" s="52">
        <v>114651.8653946</v>
      </c>
      <c r="I173" s="52">
        <v>102580.79</v>
      </c>
      <c r="J173" s="52">
        <v>82888.0783946</v>
      </c>
      <c r="K173" s="52">
        <v>74954.88999999998</v>
      </c>
      <c r="L173" s="52">
        <v>7933.188394600016</v>
      </c>
      <c r="M173" s="53">
        <v>0.095709643030123</v>
      </c>
      <c r="N173" s="53"/>
      <c r="O173" s="52">
        <v>31763.787</v>
      </c>
      <c r="P173" s="52">
        <v>27625.9</v>
      </c>
      <c r="Q173" s="52">
        <v>4137.886999999999</v>
      </c>
      <c r="R173" s="53">
        <v>0.1302705814013927</v>
      </c>
      <c r="S173" s="54">
        <v>659.73</v>
      </c>
      <c r="T173" s="54">
        <v>550.75</v>
      </c>
      <c r="U173" s="54">
        <v>108.98000000000002</v>
      </c>
      <c r="V173" s="53">
        <v>0.1651887893532203</v>
      </c>
      <c r="W173" s="53"/>
      <c r="X173" s="55">
        <v>49.33432591920109</v>
      </c>
      <c r="Y173" s="55">
        <v>47.87601261940491</v>
      </c>
      <c r="Z173" s="53">
        <v>0.2094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16897.52982004</v>
      </c>
      <c r="E179" s="52">
        <v>9293.64</v>
      </c>
      <c r="F179" s="52">
        <v>7603.88982004</v>
      </c>
      <c r="G179" s="53">
        <v>0.450000082912829</v>
      </c>
      <c r="H179" s="52">
        <v>9226.2731</v>
      </c>
      <c r="I179" s="52">
        <v>6976.46</v>
      </c>
      <c r="J179" s="52">
        <v>2977.1135000000004</v>
      </c>
      <c r="K179" s="52">
        <v>3448.13</v>
      </c>
      <c r="L179" s="52">
        <v>-471.0164999999997</v>
      </c>
      <c r="M179" s="53">
        <v>-0.15821247661535232</v>
      </c>
      <c r="N179" s="53"/>
      <c r="O179" s="52">
        <v>6249.1596</v>
      </c>
      <c r="P179" s="52">
        <v>3528.33</v>
      </c>
      <c r="Q179" s="52">
        <v>2720.8296</v>
      </c>
      <c r="R179" s="53">
        <v>0.43539128045313485</v>
      </c>
      <c r="S179" s="54">
        <v>125.17</v>
      </c>
      <c r="T179" s="54">
        <v>65.75</v>
      </c>
      <c r="U179" s="54">
        <v>59.42</v>
      </c>
      <c r="V179" s="53">
        <v>0.47471438843173286</v>
      </c>
      <c r="W179" s="53"/>
      <c r="X179" s="55">
        <v>35.24228136882129</v>
      </c>
      <c r="Y179" s="55">
        <v>61.286703843093385</v>
      </c>
      <c r="Z179" s="53">
        <v>0.2493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16897.52982004</v>
      </c>
      <c r="E180" s="52">
        <v>9293.64</v>
      </c>
      <c r="F180" s="52">
        <v>7603.88982004</v>
      </c>
      <c r="G180" s="53">
        <v>0.450000082912829</v>
      </c>
      <c r="H180" s="52">
        <v>9226.2731</v>
      </c>
      <c r="I180" s="52">
        <v>6976.46</v>
      </c>
      <c r="J180" s="52">
        <v>2977.1135000000004</v>
      </c>
      <c r="K180" s="52">
        <v>3448.13</v>
      </c>
      <c r="L180" s="52">
        <v>-471.0164999999997</v>
      </c>
      <c r="M180" s="53">
        <v>-0.15821247661535232</v>
      </c>
      <c r="N180" s="53"/>
      <c r="O180" s="52">
        <v>6249.1596</v>
      </c>
      <c r="P180" s="52">
        <v>3528.33</v>
      </c>
      <c r="Q180" s="52">
        <v>2720.8296</v>
      </c>
      <c r="R180" s="53">
        <v>0.43539128045313485</v>
      </c>
      <c r="S180" s="54">
        <v>125.17</v>
      </c>
      <c r="T180" s="54">
        <v>65.75</v>
      </c>
      <c r="U180" s="54">
        <v>59.42</v>
      </c>
      <c r="V180" s="53">
        <v>0.47471438843173286</v>
      </c>
      <c r="W180" s="53"/>
      <c r="X180" s="55">
        <v>35.24228136882129</v>
      </c>
      <c r="Y180" s="55">
        <v>61.286703843093385</v>
      </c>
      <c r="Z180" s="53">
        <v>0.2493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20992.11525559</v>
      </c>
      <c r="E186" s="52">
        <v>14169.68</v>
      </c>
      <c r="F186" s="52">
        <v>6822.43525559</v>
      </c>
      <c r="G186" s="53">
        <v>0.3249998950807614</v>
      </c>
      <c r="H186" s="52">
        <v>16299.085174</v>
      </c>
      <c r="I186" s="52">
        <v>9699.51</v>
      </c>
      <c r="J186" s="52">
        <v>9784.324774</v>
      </c>
      <c r="K186" s="52">
        <v>8137.88</v>
      </c>
      <c r="L186" s="52">
        <v>1646.4447740000005</v>
      </c>
      <c r="M186" s="53">
        <v>0.16827372476178604</v>
      </c>
      <c r="N186" s="53"/>
      <c r="O186" s="52">
        <v>6514.7604</v>
      </c>
      <c r="P186" s="52">
        <v>1561.63</v>
      </c>
      <c r="Q186" s="52">
        <v>4953.1304</v>
      </c>
      <c r="R186" s="53">
        <v>0.7602935635207705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20992.11525559</v>
      </c>
      <c r="E187" s="52">
        <v>14169.68</v>
      </c>
      <c r="F187" s="52">
        <v>6822.43525559</v>
      </c>
      <c r="G187" s="53">
        <v>0.3249998950807614</v>
      </c>
      <c r="H187" s="52">
        <v>16299.085174</v>
      </c>
      <c r="I187" s="52">
        <v>9699.51</v>
      </c>
      <c r="J187" s="52">
        <v>9784.324774</v>
      </c>
      <c r="K187" s="52">
        <v>8137.88</v>
      </c>
      <c r="L187" s="52">
        <v>1646.4447740000005</v>
      </c>
      <c r="M187" s="53">
        <v>0.16827372476178604</v>
      </c>
      <c r="N187" s="53"/>
      <c r="O187" s="52">
        <v>6514.7604</v>
      </c>
      <c r="P187" s="52">
        <v>1561.63</v>
      </c>
      <c r="Q187" s="52">
        <v>4953.1304</v>
      </c>
      <c r="R187" s="53">
        <v>0.7602935635207705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23770.94615247</v>
      </c>
      <c r="E193" s="52">
        <v>10204.54</v>
      </c>
      <c r="F193" s="52">
        <v>13566.406152469997</v>
      </c>
      <c r="G193" s="53">
        <v>0.5707137639980029</v>
      </c>
      <c r="H193" s="52">
        <v>14310.9577</v>
      </c>
      <c r="I193" s="52">
        <v>7116.73</v>
      </c>
      <c r="J193" s="52">
        <v>7389.335500000001</v>
      </c>
      <c r="K193" s="52">
        <v>6605.049999999999</v>
      </c>
      <c r="L193" s="52">
        <v>784.2855000000018</v>
      </c>
      <c r="M193" s="53">
        <v>0.10613748692287713</v>
      </c>
      <c r="N193" s="53"/>
      <c r="O193" s="52">
        <v>6921.6222</v>
      </c>
      <c r="P193" s="52">
        <v>511.68</v>
      </c>
      <c r="Q193" s="52">
        <v>6409.9421999999995</v>
      </c>
      <c r="R193" s="53">
        <v>0.9260751330807971</v>
      </c>
      <c r="S193" s="54">
        <v>140.15</v>
      </c>
      <c r="T193" s="54">
        <v>9.25</v>
      </c>
      <c r="U193" s="54">
        <v>130.9</v>
      </c>
      <c r="V193" s="53">
        <v>0.9339992864787727</v>
      </c>
      <c r="W193" s="53"/>
      <c r="X193" s="55">
        <v>333.8172972972973</v>
      </c>
      <c r="Y193" s="55">
        <v>67.49902570438813</v>
      </c>
      <c r="Z193" s="53">
        <v>0.30260000000000004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23770.94615247</v>
      </c>
      <c r="E194" s="52">
        <v>10204.54</v>
      </c>
      <c r="F194" s="52">
        <v>13566.406152469997</v>
      </c>
      <c r="G194" s="53">
        <v>0.5707137639980029</v>
      </c>
      <c r="H194" s="52">
        <v>14310.9577</v>
      </c>
      <c r="I194" s="52">
        <v>7116.73</v>
      </c>
      <c r="J194" s="52">
        <v>7389.335500000001</v>
      </c>
      <c r="K194" s="52">
        <v>6605.049999999999</v>
      </c>
      <c r="L194" s="52">
        <v>784.2855000000018</v>
      </c>
      <c r="M194" s="53">
        <v>0.10613748692287713</v>
      </c>
      <c r="N194" s="53"/>
      <c r="O194" s="52">
        <v>6921.6222</v>
      </c>
      <c r="P194" s="52">
        <v>511.68</v>
      </c>
      <c r="Q194" s="52">
        <v>6409.9421999999995</v>
      </c>
      <c r="R194" s="53">
        <v>0.9260751330807971</v>
      </c>
      <c r="S194" s="54">
        <v>140.15</v>
      </c>
      <c r="T194" s="54">
        <v>9.25</v>
      </c>
      <c r="U194" s="54">
        <v>130.9</v>
      </c>
      <c r="V194" s="53">
        <v>0.9339992864787727</v>
      </c>
      <c r="W194" s="53"/>
      <c r="X194" s="55">
        <v>333.8172972972973</v>
      </c>
      <c r="Y194" s="55">
        <v>67.49902570438813</v>
      </c>
      <c r="Z194" s="53">
        <v>0.30260000000000004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137109.56054889</v>
      </c>
      <c r="E214" s="52">
        <v>42368.33</v>
      </c>
      <c r="F214" s="52">
        <v>94741.23054889</v>
      </c>
      <c r="G214" s="53">
        <v>0.6909892364151188</v>
      </c>
      <c r="H214" s="52">
        <v>117394.569232</v>
      </c>
      <c r="I214" s="52">
        <v>37161.14</v>
      </c>
      <c r="J214" s="52">
        <v>99479.615032</v>
      </c>
      <c r="K214" s="52">
        <v>37161.14</v>
      </c>
      <c r="L214" s="52">
        <v>62318.475032</v>
      </c>
      <c r="M214" s="53">
        <v>0.6264446742375689</v>
      </c>
      <c r="N214" s="53"/>
      <c r="O214" s="52">
        <v>17914.9542</v>
      </c>
      <c r="P214" s="52">
        <v>0</v>
      </c>
      <c r="Q214" s="52">
        <v>17914.9542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0.1229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137109.56054889</v>
      </c>
      <c r="E215" s="52">
        <v>42368.33</v>
      </c>
      <c r="F215" s="52">
        <v>94741.23054889</v>
      </c>
      <c r="G215" s="53">
        <v>0.6909892364151188</v>
      </c>
      <c r="H215" s="52">
        <v>117394.569232</v>
      </c>
      <c r="I215" s="52">
        <v>37161.14</v>
      </c>
      <c r="J215" s="52">
        <v>99479.615032</v>
      </c>
      <c r="K215" s="52">
        <v>37161.14</v>
      </c>
      <c r="L215" s="52">
        <v>62318.475032</v>
      </c>
      <c r="M215" s="53">
        <v>0.6264446742375689</v>
      </c>
      <c r="N215" s="53"/>
      <c r="O215" s="52">
        <v>17914.9542</v>
      </c>
      <c r="P215" s="52">
        <v>0</v>
      </c>
      <c r="Q215" s="52">
        <v>17914.9542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0.1229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412300.73261827</v>
      </c>
      <c r="E221" s="52">
        <v>353667.87</v>
      </c>
      <c r="F221" s="52">
        <v>58632.86261826998</v>
      </c>
      <c r="G221" s="53">
        <v>0.1422089702483149</v>
      </c>
      <c r="H221" s="52">
        <v>306356.278672</v>
      </c>
      <c r="I221" s="52">
        <v>252680.7</v>
      </c>
      <c r="J221" s="52">
        <v>186357.488872</v>
      </c>
      <c r="K221" s="52">
        <v>180716.68</v>
      </c>
      <c r="L221" s="52">
        <v>5640.808871999994</v>
      </c>
      <c r="M221" s="53">
        <v>0.03026875338438583</v>
      </c>
      <c r="N221" s="53"/>
      <c r="O221" s="52">
        <v>119998.7898</v>
      </c>
      <c r="P221" s="52">
        <v>71964.02</v>
      </c>
      <c r="Q221" s="52">
        <v>48034.769799999995</v>
      </c>
      <c r="R221" s="53">
        <v>0.400293785296158</v>
      </c>
      <c r="S221" s="54">
        <v>2412.45</v>
      </c>
      <c r="T221" s="54">
        <v>1535.92</v>
      </c>
      <c r="U221" s="54">
        <v>876.5299999999997</v>
      </c>
      <c r="V221" s="53">
        <v>0.363336027689693</v>
      </c>
      <c r="W221" s="53"/>
      <c r="X221" s="55">
        <v>65.75027996249804</v>
      </c>
      <c r="Y221" s="55">
        <v>43.91570973337064</v>
      </c>
      <c r="Z221" s="53">
        <v>0.28550000000000003</v>
      </c>
      <c r="AA221" s="56">
        <v>0.257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412300.73261827</v>
      </c>
      <c r="E222" s="52">
        <v>353667.87</v>
      </c>
      <c r="F222" s="52">
        <v>58632.86261826998</v>
      </c>
      <c r="G222" s="53">
        <v>0.1422089702483149</v>
      </c>
      <c r="H222" s="52">
        <v>306356.278672</v>
      </c>
      <c r="I222" s="52">
        <v>253033.2</v>
      </c>
      <c r="J222" s="52">
        <v>186357.488872</v>
      </c>
      <c r="K222" s="52">
        <v>180716.68</v>
      </c>
      <c r="L222" s="52">
        <v>5640.808871999994</v>
      </c>
      <c r="M222" s="53">
        <v>0.03026875338438583</v>
      </c>
      <c r="N222" s="53"/>
      <c r="O222" s="52">
        <v>119998.7898</v>
      </c>
      <c r="P222" s="52">
        <v>72316.52</v>
      </c>
      <c r="Q222" s="52">
        <v>47682.269799999995</v>
      </c>
      <c r="R222" s="53">
        <v>0.3973562556711717</v>
      </c>
      <c r="S222" s="54">
        <v>2412.45</v>
      </c>
      <c r="T222" s="54">
        <v>1543.42</v>
      </c>
      <c r="U222" s="54">
        <v>869.0299999999997</v>
      </c>
      <c r="V222" s="53">
        <v>0.36022715496694224</v>
      </c>
      <c r="W222" s="53"/>
      <c r="X222" s="55">
        <v>65.2023882028223</v>
      </c>
      <c r="Y222" s="55">
        <v>43.91570973337064</v>
      </c>
      <c r="Z222" s="53">
        <v>0.2845</v>
      </c>
      <c r="AA222" s="56">
        <v>0.257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8795.02836582</v>
      </c>
      <c r="E228" s="52">
        <v>1740.2</v>
      </c>
      <c r="F228" s="52">
        <v>7054.828365820001</v>
      </c>
      <c r="G228" s="53">
        <v>0.8021382163174237</v>
      </c>
      <c r="H228" s="52">
        <v>6369.1218</v>
      </c>
      <c r="I228" s="52">
        <v>584.85</v>
      </c>
      <c r="J228" s="52">
        <v>4527.894</v>
      </c>
      <c r="K228" s="52">
        <v>239.55</v>
      </c>
      <c r="L228" s="52">
        <v>4288.344</v>
      </c>
      <c r="M228" s="53">
        <v>0.9470946095469549</v>
      </c>
      <c r="N228" s="53"/>
      <c r="O228" s="52">
        <v>1841.2278</v>
      </c>
      <c r="P228" s="52">
        <v>345.3</v>
      </c>
      <c r="Q228" s="52">
        <v>1495.9278</v>
      </c>
      <c r="R228" s="53">
        <v>0.8124620973026804</v>
      </c>
      <c r="S228" s="54">
        <v>36.92</v>
      </c>
      <c r="T228" s="54">
        <v>6</v>
      </c>
      <c r="U228" s="54">
        <v>30.92</v>
      </c>
      <c r="V228" s="53">
        <v>0.8374864572047671</v>
      </c>
      <c r="W228" s="53"/>
      <c r="X228" s="55">
        <v>192.5583333333333</v>
      </c>
      <c r="Y228" s="55">
        <v>65.70711175027087</v>
      </c>
      <c r="Z228" s="53">
        <v>0.6639</v>
      </c>
      <c r="AA228" s="56">
        <v>0.2758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8795.02836582</v>
      </c>
      <c r="E229" s="52">
        <v>1740.2</v>
      </c>
      <c r="F229" s="52">
        <v>7054.828365820001</v>
      </c>
      <c r="G229" s="53">
        <v>0.8021382163174237</v>
      </c>
      <c r="H229" s="52">
        <v>6369.1218</v>
      </c>
      <c r="I229" s="52">
        <v>757.35</v>
      </c>
      <c r="J229" s="52">
        <v>4527.894</v>
      </c>
      <c r="K229" s="52">
        <v>311.34000000000003</v>
      </c>
      <c r="L229" s="52">
        <v>4216.554</v>
      </c>
      <c r="M229" s="53">
        <v>0.931239556403043</v>
      </c>
      <c r="N229" s="53"/>
      <c r="O229" s="52">
        <v>1841.2278</v>
      </c>
      <c r="P229" s="52">
        <v>446.01</v>
      </c>
      <c r="Q229" s="52">
        <v>1395.2178</v>
      </c>
      <c r="R229" s="53">
        <v>0.7577649001389182</v>
      </c>
      <c r="S229" s="54">
        <v>36.92</v>
      </c>
      <c r="T229" s="54">
        <v>7.75</v>
      </c>
      <c r="U229" s="54">
        <v>29.17</v>
      </c>
      <c r="V229" s="53">
        <v>0.7900866738894908</v>
      </c>
      <c r="W229" s="53"/>
      <c r="X229" s="55">
        <v>126.81935483870969</v>
      </c>
      <c r="Y229" s="55">
        <v>65.70711175027087</v>
      </c>
      <c r="Z229" s="53">
        <v>0.5648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/>
      <c r="E230" s="52"/>
      <c r="F230" s="52"/>
      <c r="G230" s="53"/>
      <c r="H230" s="52"/>
      <c r="I230" s="52"/>
      <c r="J230" s="52"/>
      <c r="K230" s="52"/>
      <c r="L230" s="52"/>
      <c r="M230" s="53"/>
      <c r="N230" s="53"/>
      <c r="O230" s="52"/>
      <c r="P230" s="52"/>
      <c r="Q230" s="52"/>
      <c r="R230" s="53"/>
      <c r="S230" s="54"/>
      <c r="T230" s="54"/>
      <c r="U230" s="54"/>
      <c r="V230" s="53"/>
      <c r="W230" s="53"/>
      <c r="X230" s="55"/>
      <c r="Y230" s="55"/>
      <c r="Z230" s="53"/>
      <c r="AA230" s="56"/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27503.13664251</v>
      </c>
      <c r="E235" s="52">
        <v>0</v>
      </c>
      <c r="F235" s="52">
        <v>27503.13664251</v>
      </c>
      <c r="G235" s="53">
        <v>1</v>
      </c>
      <c r="H235" s="52">
        <v>19683.280628</v>
      </c>
      <c r="I235" s="52">
        <v>0</v>
      </c>
      <c r="J235" s="52">
        <v>10693.531628</v>
      </c>
      <c r="K235" s="52">
        <v>0</v>
      </c>
      <c r="L235" s="52">
        <v>10693.531628</v>
      </c>
      <c r="M235" s="53">
        <v>1</v>
      </c>
      <c r="N235" s="53"/>
      <c r="O235" s="52">
        <v>8989.749</v>
      </c>
      <c r="P235" s="52">
        <v>0</v>
      </c>
      <c r="Q235" s="52">
        <v>8989.749</v>
      </c>
      <c r="R235" s="53">
        <v>1</v>
      </c>
      <c r="S235" s="54">
        <v>180.16</v>
      </c>
      <c r="T235" s="54">
        <v>0</v>
      </c>
      <c r="U235" s="54">
        <v>180.16</v>
      </c>
      <c r="V235" s="53">
        <v>1</v>
      </c>
      <c r="W235" s="53"/>
      <c r="X235" s="55">
        <v>0</v>
      </c>
      <c r="Y235" s="55">
        <v>43.40506224750221</v>
      </c>
      <c r="Z235" s="53">
        <v>0</v>
      </c>
      <c r="AA235" s="56">
        <v>0.2843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>
        <v>27503.13664251</v>
      </c>
      <c r="E236" s="52">
        <v>0</v>
      </c>
      <c r="F236" s="52">
        <v>27503.13664251</v>
      </c>
      <c r="G236" s="53">
        <v>1</v>
      </c>
      <c r="H236" s="52">
        <v>19683.280628</v>
      </c>
      <c r="I236" s="52">
        <v>0</v>
      </c>
      <c r="J236" s="52">
        <v>10693.531628</v>
      </c>
      <c r="K236" s="52">
        <v>0</v>
      </c>
      <c r="L236" s="52">
        <v>10693.531628</v>
      </c>
      <c r="M236" s="53">
        <v>1</v>
      </c>
      <c r="N236" s="53"/>
      <c r="O236" s="52">
        <v>8989.749</v>
      </c>
      <c r="P236" s="52">
        <v>0</v>
      </c>
      <c r="Q236" s="52">
        <v>8989.749</v>
      </c>
      <c r="R236" s="53">
        <v>1</v>
      </c>
      <c r="S236" s="54">
        <v>180.16</v>
      </c>
      <c r="T236" s="54">
        <v>0</v>
      </c>
      <c r="U236" s="54">
        <v>180.16</v>
      </c>
      <c r="V236" s="53">
        <v>1</v>
      </c>
      <c r="W236" s="53"/>
      <c r="X236" s="55">
        <v>0</v>
      </c>
      <c r="Y236" s="55">
        <v>43.40506224750221</v>
      </c>
      <c r="Z236" s="53">
        <v>0</v>
      </c>
      <c r="AA236" s="56">
        <v>0.2843</v>
      </c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/>
      <c r="E237" s="52"/>
      <c r="F237" s="52"/>
      <c r="G237" s="53"/>
      <c r="H237" s="52"/>
      <c r="I237" s="52"/>
      <c r="J237" s="52"/>
      <c r="K237" s="52"/>
      <c r="L237" s="52"/>
      <c r="M237" s="53"/>
      <c r="N237" s="53"/>
      <c r="O237" s="52"/>
      <c r="P237" s="52"/>
      <c r="Q237" s="52"/>
      <c r="R237" s="53"/>
      <c r="S237" s="54"/>
      <c r="T237" s="54"/>
      <c r="U237" s="54"/>
      <c r="V237" s="53"/>
      <c r="W237" s="53"/>
      <c r="X237" s="55"/>
      <c r="Y237" s="55"/>
      <c r="Z237" s="53"/>
      <c r="AA237" s="56"/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40670.1518342</v>
      </c>
      <c r="E242" s="52">
        <v>0</v>
      </c>
      <c r="F242" s="52">
        <v>40670.1518342</v>
      </c>
      <c r="G242" s="53">
        <v>1</v>
      </c>
      <c r="H242" s="52">
        <v>29498.3116992</v>
      </c>
      <c r="I242" s="52">
        <v>0</v>
      </c>
      <c r="J242" s="52">
        <v>24964.3288992</v>
      </c>
      <c r="K242" s="52">
        <v>0</v>
      </c>
      <c r="L242" s="52">
        <v>24964.3288992</v>
      </c>
      <c r="M242" s="53">
        <v>1</v>
      </c>
      <c r="N242" s="53"/>
      <c r="O242" s="52">
        <v>4533.9828</v>
      </c>
      <c r="P242" s="52">
        <v>0</v>
      </c>
      <c r="Q242" s="52">
        <v>4533.9828</v>
      </c>
      <c r="R242" s="53">
        <v>1</v>
      </c>
      <c r="S242" s="54">
        <v>90.88</v>
      </c>
      <c r="T242" s="54">
        <v>0</v>
      </c>
      <c r="U242" s="54">
        <v>90.88</v>
      </c>
      <c r="V242" s="53">
        <v>1</v>
      </c>
      <c r="W242" s="53"/>
      <c r="X242" s="55">
        <v>0</v>
      </c>
      <c r="Y242" s="55">
        <v>122.92957895026407</v>
      </c>
      <c r="Z242" s="53">
        <v>0</v>
      </c>
      <c r="AA242" s="56">
        <v>0.2747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>
        <v>40670.1518342</v>
      </c>
      <c r="E243" s="52">
        <v>0</v>
      </c>
      <c r="F243" s="52">
        <v>40670.1518342</v>
      </c>
      <c r="G243" s="53">
        <v>1</v>
      </c>
      <c r="H243" s="52">
        <v>29498.3116992</v>
      </c>
      <c r="I243" s="52">
        <v>0</v>
      </c>
      <c r="J243" s="52">
        <v>24964.3288992</v>
      </c>
      <c r="K243" s="52">
        <v>0</v>
      </c>
      <c r="L243" s="52">
        <v>24964.3288992</v>
      </c>
      <c r="M243" s="53">
        <v>1</v>
      </c>
      <c r="N243" s="53"/>
      <c r="O243" s="52">
        <v>4533.9828</v>
      </c>
      <c r="P243" s="52">
        <v>0</v>
      </c>
      <c r="Q243" s="52">
        <v>4533.9828</v>
      </c>
      <c r="R243" s="53">
        <v>1</v>
      </c>
      <c r="S243" s="54">
        <v>90.88</v>
      </c>
      <c r="T243" s="54">
        <v>0</v>
      </c>
      <c r="U243" s="54">
        <v>90.88</v>
      </c>
      <c r="V243" s="53">
        <v>1</v>
      </c>
      <c r="W243" s="53"/>
      <c r="X243" s="55">
        <v>0</v>
      </c>
      <c r="Y243" s="55">
        <v>122.92957895026407</v>
      </c>
      <c r="Z243" s="53">
        <v>0</v>
      </c>
      <c r="AA243" s="56">
        <v>0.2747</v>
      </c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/>
      <c r="E244" s="52"/>
      <c r="F244" s="52"/>
      <c r="G244" s="53"/>
      <c r="H244" s="52"/>
      <c r="I244" s="52"/>
      <c r="J244" s="52"/>
      <c r="K244" s="52"/>
      <c r="L244" s="52"/>
      <c r="M244" s="53"/>
      <c r="N244" s="53"/>
      <c r="O244" s="52"/>
      <c r="P244" s="52"/>
      <c r="Q244" s="52"/>
      <c r="R244" s="53"/>
      <c r="S244" s="54"/>
      <c r="T244" s="54"/>
      <c r="U244" s="54"/>
      <c r="V244" s="53"/>
      <c r="W244" s="53"/>
      <c r="X244" s="55"/>
      <c r="Y244" s="55"/>
      <c r="Z244" s="53"/>
      <c r="AA244" s="56"/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21396.50036782</v>
      </c>
      <c r="E249" s="52">
        <v>0</v>
      </c>
      <c r="F249" s="52">
        <v>21396.50036782</v>
      </c>
      <c r="G249" s="53">
        <v>1</v>
      </c>
      <c r="H249" s="52">
        <v>15378.244372</v>
      </c>
      <c r="I249" s="52">
        <v>0</v>
      </c>
      <c r="J249" s="52">
        <v>8344.608772</v>
      </c>
      <c r="K249" s="52">
        <v>0</v>
      </c>
      <c r="L249" s="52">
        <v>8344.608772</v>
      </c>
      <c r="M249" s="53">
        <v>1</v>
      </c>
      <c r="N249" s="53"/>
      <c r="O249" s="52">
        <v>7033.6356</v>
      </c>
      <c r="P249" s="52">
        <v>0</v>
      </c>
      <c r="Q249" s="52">
        <v>7033.6356</v>
      </c>
      <c r="R249" s="53">
        <v>1</v>
      </c>
      <c r="S249" s="54">
        <v>140.9</v>
      </c>
      <c r="T249" s="54">
        <v>0</v>
      </c>
      <c r="U249" s="54">
        <v>140.9</v>
      </c>
      <c r="V249" s="53">
        <v>1</v>
      </c>
      <c r="W249" s="53"/>
      <c r="X249" s="55">
        <v>0</v>
      </c>
      <c r="Y249" s="55">
        <v>42.71295951611073</v>
      </c>
      <c r="Z249" s="53">
        <v>0</v>
      </c>
      <c r="AA249" s="56">
        <v>0.2813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>
        <v>21396.50036782</v>
      </c>
      <c r="E250" s="52">
        <v>0</v>
      </c>
      <c r="F250" s="52">
        <v>21396.50036782</v>
      </c>
      <c r="G250" s="53">
        <v>1</v>
      </c>
      <c r="H250" s="52">
        <v>15378.244372</v>
      </c>
      <c r="I250" s="52">
        <v>0</v>
      </c>
      <c r="J250" s="52">
        <v>8344.608772</v>
      </c>
      <c r="K250" s="52">
        <v>0</v>
      </c>
      <c r="L250" s="52">
        <v>8344.608772</v>
      </c>
      <c r="M250" s="53">
        <v>1</v>
      </c>
      <c r="N250" s="53"/>
      <c r="O250" s="52">
        <v>7033.6356</v>
      </c>
      <c r="P250" s="52">
        <v>0</v>
      </c>
      <c r="Q250" s="52">
        <v>7033.6356</v>
      </c>
      <c r="R250" s="53">
        <v>1</v>
      </c>
      <c r="S250" s="54">
        <v>140.9</v>
      </c>
      <c r="T250" s="54">
        <v>0</v>
      </c>
      <c r="U250" s="54">
        <v>140.9</v>
      </c>
      <c r="V250" s="53">
        <v>1</v>
      </c>
      <c r="W250" s="53"/>
      <c r="X250" s="55">
        <v>0</v>
      </c>
      <c r="Y250" s="55">
        <v>42.71295951611073</v>
      </c>
      <c r="Z250" s="53">
        <v>0</v>
      </c>
      <c r="AA250" s="56">
        <v>0.2813</v>
      </c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/>
      <c r="E251" s="52"/>
      <c r="F251" s="52"/>
      <c r="G251" s="53"/>
      <c r="H251" s="52"/>
      <c r="I251" s="52"/>
      <c r="J251" s="52"/>
      <c r="K251" s="52"/>
      <c r="L251" s="52"/>
      <c r="M251" s="53"/>
      <c r="N251" s="53"/>
      <c r="O251" s="52"/>
      <c r="P251" s="52"/>
      <c r="Q251" s="52"/>
      <c r="R251" s="53"/>
      <c r="S251" s="54"/>
      <c r="T251" s="54"/>
      <c r="U251" s="54"/>
      <c r="V251" s="53"/>
      <c r="W251" s="53"/>
      <c r="X251" s="55"/>
      <c r="Y251" s="55"/>
      <c r="Z251" s="53"/>
      <c r="AA251" s="56"/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239296.88379393</v>
      </c>
      <c r="E256" s="52">
        <v>19872.16</v>
      </c>
      <c r="F256" s="52">
        <v>219424.72379393</v>
      </c>
      <c r="G256" s="53">
        <v>0.916956043534972</v>
      </c>
      <c r="H256" s="52">
        <v>203192.691868</v>
      </c>
      <c r="I256" s="52">
        <v>18292.87</v>
      </c>
      <c r="J256" s="52">
        <v>175849.529668</v>
      </c>
      <c r="K256" s="52">
        <v>16897.46</v>
      </c>
      <c r="L256" s="52">
        <v>158952.069668</v>
      </c>
      <c r="M256" s="53">
        <v>0.9039095524912576</v>
      </c>
      <c r="N256" s="53"/>
      <c r="O256" s="52">
        <v>27343.1622</v>
      </c>
      <c r="P256" s="52">
        <v>1395.41</v>
      </c>
      <c r="Q256" s="52">
        <v>25947.7522</v>
      </c>
      <c r="R256" s="53">
        <v>0.9489667658117465</v>
      </c>
      <c r="S256" s="54">
        <v>547.57</v>
      </c>
      <c r="T256" s="54">
        <v>27.84</v>
      </c>
      <c r="U256" s="54">
        <v>519.73</v>
      </c>
      <c r="V256" s="53">
        <v>0.9491571853826908</v>
      </c>
      <c r="W256" s="53"/>
      <c r="X256" s="55">
        <v>56.727370689655174</v>
      </c>
      <c r="Y256" s="55">
        <v>65.93529946112827</v>
      </c>
      <c r="Z256" s="53">
        <v>0.0795</v>
      </c>
      <c r="AA256" s="56">
        <v>0.1509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>
        <v>239296.88379393</v>
      </c>
      <c r="E257" s="52">
        <v>19872.16</v>
      </c>
      <c r="F257" s="52">
        <v>219424.72379393</v>
      </c>
      <c r="G257" s="53">
        <v>0.916956043534972</v>
      </c>
      <c r="H257" s="52">
        <v>203192.691868</v>
      </c>
      <c r="I257" s="52">
        <v>18292.87</v>
      </c>
      <c r="J257" s="52">
        <v>175849.529668</v>
      </c>
      <c r="K257" s="52">
        <v>16897.46</v>
      </c>
      <c r="L257" s="52">
        <v>158952.069668</v>
      </c>
      <c r="M257" s="53">
        <v>0.9039095524912576</v>
      </c>
      <c r="N257" s="53"/>
      <c r="O257" s="52">
        <v>27343.1622</v>
      </c>
      <c r="P257" s="52">
        <v>1395.41</v>
      </c>
      <c r="Q257" s="52">
        <v>25947.7522</v>
      </c>
      <c r="R257" s="53">
        <v>0.9489667658117465</v>
      </c>
      <c r="S257" s="54">
        <v>547.57</v>
      </c>
      <c r="T257" s="54">
        <v>27.84</v>
      </c>
      <c r="U257" s="54">
        <v>519.73</v>
      </c>
      <c r="V257" s="53">
        <v>0.9491571853826908</v>
      </c>
      <c r="W257" s="53"/>
      <c r="X257" s="55">
        <v>56.727370689655174</v>
      </c>
      <c r="Y257" s="55">
        <v>65.93529946112827</v>
      </c>
      <c r="Z257" s="53">
        <v>0.0795</v>
      </c>
      <c r="AA257" s="56">
        <v>0.1509</v>
      </c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/>
      <c r="E258" s="52"/>
      <c r="F258" s="52"/>
      <c r="G258" s="53"/>
      <c r="H258" s="52"/>
      <c r="I258" s="52"/>
      <c r="J258" s="52"/>
      <c r="K258" s="52"/>
      <c r="L258" s="52"/>
      <c r="M258" s="53"/>
      <c r="N258" s="53"/>
      <c r="O258" s="52"/>
      <c r="P258" s="52"/>
      <c r="Q258" s="52"/>
      <c r="R258" s="53"/>
      <c r="S258" s="54"/>
      <c r="T258" s="54"/>
      <c r="U258" s="54"/>
      <c r="V258" s="53"/>
      <c r="W258" s="53"/>
      <c r="X258" s="55"/>
      <c r="Y258" s="55"/>
      <c r="Z258" s="53"/>
      <c r="AA258" s="56"/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44.070000000006985</v>
      </c>
      <c r="E6" s="52">
        <v>-44.070000000006985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-20309.670000000006</v>
      </c>
      <c r="N6" s="54">
        <v>-52.5</v>
      </c>
      <c r="O6" s="58">
        <v>-45.38473743016761</v>
      </c>
      <c r="Q6" s="35" t="s">
        <v>120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768.4200000000001</v>
      </c>
      <c r="E8" s="52">
        <v>-768.4200000000001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-1408.42</v>
      </c>
      <c r="N8" s="54">
        <v>-34.75</v>
      </c>
      <c r="O8" s="58">
        <v>75.11573333333334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0</v>
      </c>
      <c r="E10" s="52">
        <v>0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-4920</v>
      </c>
      <c r="N10" s="54">
        <v>-388.25</v>
      </c>
      <c r="O10" s="58">
        <v>14.459955914768553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121</v>
      </c>
      <c r="C12" s="52">
        <v>0</v>
      </c>
      <c r="D12" s="52">
        <v>0</v>
      </c>
      <c r="E12" s="52">
        <v>0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-2637</v>
      </c>
      <c r="N12" s="54">
        <v>53</v>
      </c>
      <c r="O12" s="58">
        <v>-38.21739130434783</v>
      </c>
      <c r="Q12" s="35" t="s">
        <v>122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1155.719999999994</v>
      </c>
      <c r="E14" s="52">
        <v>-1155.719999999994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-4155.719999999994</v>
      </c>
      <c r="N14" s="54">
        <v>-112</v>
      </c>
      <c r="O14" s="58">
        <v>37.1046428571428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575.9099999999999</v>
      </c>
      <c r="E16" s="52">
        <v>-575.9099999999999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-3575.91</v>
      </c>
      <c r="N16" s="54">
        <v>-86.75</v>
      </c>
      <c r="O16" s="58">
        <v>41.22086455331412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797.9000000000087</v>
      </c>
      <c r="E18" s="52">
        <v>-797.9000000000087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-8997.900000000009</v>
      </c>
      <c r="N18" s="54">
        <v>-269</v>
      </c>
      <c r="O18" s="58">
        <v>47.60793650793656</v>
      </c>
      <c r="Q18" s="35" t="s">
        <v>123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0</v>
      </c>
      <c r="E22" s="52">
        <v>0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3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1106.1800000000003</v>
      </c>
      <c r="E24" s="52">
        <v>-1106.1800000000003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-1103.1800000000003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1060.7700000000004</v>
      </c>
      <c r="E28" s="52">
        <v>-1060.7700000000004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-1060.7700000000004</v>
      </c>
      <c r="N28" s="54">
        <v>-148.5</v>
      </c>
      <c r="O28" s="58">
        <v>7.1432323232323265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0</v>
      </c>
      <c r="E34" s="52">
        <v>0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0</v>
      </c>
      <c r="N34" s="54">
        <v>-204.75</v>
      </c>
      <c r="O34" s="58">
        <v>0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3041.7799999999997</v>
      </c>
      <c r="E36" s="52">
        <v>-3041.7799999999997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-6241.78</v>
      </c>
      <c r="N36" s="54"/>
      <c r="O36" s="58">
        <v>-78.02225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0</v>
      </c>
      <c r="D38" s="52">
        <v>48.57999999999447</v>
      </c>
      <c r="E38" s="52">
        <v>-48.57999999999447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-48.57999999999447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124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4365.459999999992</v>
      </c>
      <c r="D52" s="99">
        <v>0</v>
      </c>
      <c r="E52" s="99">
        <v>4365.459999999992</v>
      </c>
      <c r="F52" s="99"/>
      <c r="G52" s="100">
        <v>1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0.7067892043450169</v>
      </c>
      <c r="M52" s="99">
        <v>3085.459999999992</v>
      </c>
      <c r="N52" s="98">
        <v>-304.75</v>
      </c>
      <c r="O52" s="60">
        <v>-11.312410632447266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0</v>
      </c>
      <c r="E64" s="99">
        <v>0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-1750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0</v>
      </c>
      <c r="D66" s="99">
        <v>352.5</v>
      </c>
      <c r="E66" s="99">
        <v>-352.5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-3552.5</v>
      </c>
      <c r="N66" s="98">
        <v>-1014.25</v>
      </c>
      <c r="O66" s="60">
        <v>3.8025153866738024</v>
      </c>
    </row>
    <row r="67" ht="15" customHeight="1" spans="1:30" x14ac:dyDescent="0.25">
      <c r="A67" s="102">
        <v>9437</v>
      </c>
      <c r="B67" s="98" t="s">
        <v>68</v>
      </c>
      <c r="C67" s="99">
        <v>0</v>
      </c>
      <c r="D67" s="99">
        <v>0</v>
      </c>
      <c r="E67" s="99">
        <v>0</v>
      </c>
      <c r="F67" s="99"/>
      <c r="G67" s="100">
        <v>0</v>
      </c>
      <c r="H67" s="100">
        <f>'Deliverables Sheet'!AA256</f>
      </c>
      <c r="I67" s="98"/>
      <c r="J67" s="99"/>
      <c r="K67" s="99">
        <v>0</v>
      </c>
      <c r="L67" s="100">
        <v>0</v>
      </c>
      <c r="M67" s="99">
        <v>0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172.5</v>
      </c>
      <c r="E71" s="99">
        <v>-172.5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-172.5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125</v>
      </c>
      <c r="B74" s="103" t="s">
        <v>126</v>
      </c>
      <c r="C74" s="104">
        <v>4365.459999999992</v>
      </c>
      <c r="D74" s="104">
        <v>9124.330000000005</v>
      </c>
      <c r="E74" s="105">
        <v>-4758.8700000000135</v>
      </c>
      <c r="F74" s="106" t="s">
        <v>127</v>
      </c>
      <c r="G74" s="107">
        <v>-1.0901187961864323</v>
      </c>
      <c r="H74" s="108" t="s">
        <v>128</v>
      </c>
      <c r="I74" s="109">
        <v>-17.178366082841247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331.25</v>
      </c>
      <c r="E6" s="54">
        <v>32.31999999999999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42.75</v>
      </c>
      <c r="E8" s="54">
        <v>82.64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121</v>
      </c>
      <c r="C12" s="54">
        <v>1124.47</v>
      </c>
      <c r="D12" s="54">
        <v>821.5</v>
      </c>
      <c r="E12" s="54">
        <v>302.97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393.75</v>
      </c>
      <c r="E14" s="54">
        <v>108.07999999999998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740.5</v>
      </c>
      <c r="E18" s="54">
        <v>-55.01999999999998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90.75</v>
      </c>
      <c r="E22" s="54">
        <v>102.57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275.25</v>
      </c>
      <c r="E24" s="54">
        <v>196.89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232</v>
      </c>
      <c r="D28" s="54">
        <v>234</v>
      </c>
      <c r="E28" s="54">
        <v>-2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31.75</v>
      </c>
      <c r="E36" s="54">
        <v>50.620000000000005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120.44</v>
      </c>
      <c r="D48" s="54">
        <v>116.25</v>
      </c>
      <c r="E48" s="54">
        <v>4.189999999999998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65.75</v>
      </c>
      <c r="E54" s="54">
        <v>59.42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1543.42</v>
      </c>
      <c r="E66" s="54">
        <v>869.0299999999997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7.75</v>
      </c>
      <c r="E71" s="54">
        <v>29.17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220</v>
      </c>
      <c r="P2" s="42" t="s">
        <v>221</v>
      </c>
      <c r="Q2" s="42" t="s">
        <v>222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30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227</v>
      </c>
      <c r="B5" s="35">
        <v>60</v>
      </c>
      <c r="P5" s="35">
        <v>95.35</v>
      </c>
    </row>
    <row r="6" ht="15" customHeight="1" spans="1:30" x14ac:dyDescent="0.25">
      <c r="A6" s="35" t="s">
        <v>228</v>
      </c>
      <c r="B6" s="35">
        <v>100</v>
      </c>
      <c r="P6" s="35">
        <v>102.69</v>
      </c>
    </row>
    <row r="7" ht="15" customHeight="1" spans="1:30" x14ac:dyDescent="0.25">
      <c r="A7" s="35" t="s">
        <v>229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