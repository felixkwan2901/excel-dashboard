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<sst xmlns="http://schemas.openxmlformats.org/spreadsheetml/2006/main" count="1190" uniqueCount="230">
  <si>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</si>
  <si>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</si>
  <si>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</si>
  <si>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</si>
  <si>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</si>
  <si>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</si>
  <si>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</si>
  <si>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</si>
  <si>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</si>
  <si>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</si>
  <si>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</si>
  <si>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</si>
  <si>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</si>
  <si>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</si>
  <si>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</si>
  <si>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</si>
  <si>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</si>
  <si>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</si>
  <si>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</si>
  <si>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</si>
  <si>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</si>
  <si>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</si>
  <si>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</si>
  <si>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</si>
  <si>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</si>
  <si>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</si>
  <si>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 Skilton</t>
  </si>
  <si>
    <t>Yes</t>
  </si>
  <si>
    <t>N/A</t>
  </si>
  <si>
    <t>Fisher Developements</t>
  </si>
  <si>
    <t/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</si>
  <si>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</si>
  <si>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</si>
  <si>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</si>
  <si>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</si>
  <si>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</si>
  <si>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</si>
  <si>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</si>
  <si>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</si>
  <si>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</si>
  <si>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</si>
  <si>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</si>
  <si>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 Price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</si>
  <si>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</si>
  <si>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</si>
  <si>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</si>
  <si>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</si>
  <si>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</si>
  <si>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</si>
  <si>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</si>
  <si>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</si>
  <si>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</si>
  <si>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</si>
  <si>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</si>
  <si>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</si>
  <si>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</si>
  <si>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</si>
  <si>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</si>
  <si>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</si>
  <si>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</si>
  <si>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</si>
  <si>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</si>
  <si>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</si>
  <si>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224 Cashel St - Eastern WC Block Reno</t>
  </si>
  <si>
    <t>Charles Roselier</t>
  </si>
  <si>
    <t>Bach in Kaikoura</t>
  </si>
  <si>
    <t>Resi Reno at 124 Chapter Street</t>
  </si>
  <si>
    <t>New Build</t>
  </si>
  <si>
    <t>65A Belfast Road (Revised)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</si>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</sst>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 t="s">
        <v>27</v>
      </c>
      <c r="G8" s="14" t="s">
        <v>28</v>
      </c>
      <c r="H8" s="13" t="s">
        <v>28</v>
      </c>
      <c r="I8" s="13" t="s">
        <v>27</v>
      </c>
      <c r="J8" s="13" t="s">
        <v>27</v>
      </c>
      <c r="K8" s="13" t="s">
        <v>27</v>
      </c>
      <c r="L8" s="13" t="s">
        <v>27</v>
      </c>
      <c r="M8" s="13" t="s">
        <v>28</v>
      </c>
      <c r="N8" s="14" t="s">
        <v>28</v>
      </c>
      <c r="O8" s="13" t="s">
        <v>27</v>
      </c>
      <c r="P8" s="13"/>
      <c r="Q8" s="15" t="s">
        <v>27</v>
      </c>
      <c r="R8" s="13" t="s">
        <v>27</v>
      </c>
      <c r="S8" s="13" t="s">
        <v>27</v>
      </c>
      <c r="T8" s="16"/>
      <c r="U8" s="1" t="s">
        <v>27</v>
      </c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 t="s">
        <v>27</v>
      </c>
      <c r="M12" s="13" t="s">
        <v>27</v>
      </c>
      <c r="N12" s="14"/>
      <c r="O12" s="18" t="s">
        <v>27</v>
      </c>
      <c r="P12" s="13" t="s">
        <v>27</v>
      </c>
      <c r="Q12" s="15" t="s">
        <v>27</v>
      </c>
      <c r="R12" s="13" t="s">
        <v>27</v>
      </c>
      <c r="S12" s="13" t="s">
        <v>27</v>
      </c>
      <c r="T12" s="16"/>
      <c r="U12" s="1" t="s">
        <v>27</v>
      </c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 t="s">
        <v>27</v>
      </c>
      <c r="E22" s="13"/>
      <c r="F22" s="13" t="s">
        <v>27</v>
      </c>
      <c r="G22" s="14" t="s">
        <v>27</v>
      </c>
      <c r="H22" s="13" t="s">
        <v>28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4" t="s">
        <v>27</v>
      </c>
      <c r="O22" s="13"/>
      <c r="P22" s="13"/>
      <c r="Q22" s="15" t="s">
        <v>27</v>
      </c>
      <c r="R22" s="13" t="s">
        <v>27</v>
      </c>
      <c r="S22" s="13" t="s">
        <v>28</v>
      </c>
      <c r="T22" s="16"/>
      <c r="U22" s="1" t="s">
        <v>27</v>
      </c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 t="s">
        <v>27</v>
      </c>
      <c r="E24" s="13"/>
      <c r="F24" s="13" t="s">
        <v>27</v>
      </c>
      <c r="G24" s="14" t="s">
        <v>27</v>
      </c>
      <c r="H24" s="13" t="s">
        <v>28</v>
      </c>
      <c r="I24" s="13" t="s">
        <v>27</v>
      </c>
      <c r="J24" s="13" t="s">
        <v>27</v>
      </c>
      <c r="K24" s="13" t="s">
        <v>27</v>
      </c>
      <c r="L24" s="13" t="s">
        <v>27</v>
      </c>
      <c r="M24" s="13" t="s">
        <v>27</v>
      </c>
      <c r="N24" s="14" t="s">
        <v>27</v>
      </c>
      <c r="O24" s="13" t="s">
        <v>27</v>
      </c>
      <c r="P24" s="13" t="s">
        <v>27</v>
      </c>
      <c r="Q24" s="15" t="s">
        <v>27</v>
      </c>
      <c r="R24" s="13" t="s">
        <v>27</v>
      </c>
      <c r="S24" s="13" t="s">
        <v>28</v>
      </c>
      <c r="T24" s="16"/>
      <c r="U24" s="1" t="s">
        <v>27</v>
      </c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27</v>
      </c>
      <c r="F32" s="13" t="s">
        <v>27</v>
      </c>
      <c r="G32" s="14" t="s">
        <v>27</v>
      </c>
      <c r="H32" s="13" t="s">
        <v>28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28</v>
      </c>
      <c r="N32" s="14" t="s">
        <v>27</v>
      </c>
      <c r="O32" s="13" t="s">
        <v>27</v>
      </c>
      <c r="P32" s="18" t="s">
        <v>30</v>
      </c>
      <c r="Q32" s="15" t="s">
        <v>46</v>
      </c>
      <c r="R32" s="13"/>
      <c r="S32" s="13"/>
      <c r="T32" s="16"/>
      <c r="U32" s="1" t="s">
        <v>27</v>
      </c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 t="s">
        <v>42</v>
      </c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 t="s">
        <v>42</v>
      </c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 t="s">
        <v>42</v>
      </c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 t="s">
        <v>42</v>
      </c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27</v>
      </c>
      <c r="L52" s="13" t="s">
        <v>28</v>
      </c>
      <c r="M52" s="13" t="s">
        <v>27</v>
      </c>
      <c r="N52" s="14"/>
      <c r="O52" s="13" t="s">
        <v>33</v>
      </c>
      <c r="P52" s="18"/>
      <c r="Q52" s="15" t="s">
        <v>30</v>
      </c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 t="s">
        <v>27</v>
      </c>
      <c r="E64" s="13" t="s">
        <v>28</v>
      </c>
      <c r="F64" s="13" t="s">
        <v>27</v>
      </c>
      <c r="G64" s="14" t="s">
        <v>27</v>
      </c>
      <c r="H64" s="13" t="s">
        <v>27</v>
      </c>
      <c r="I64" s="13" t="s">
        <v>27</v>
      </c>
      <c r="J64" s="13" t="s">
        <v>27</v>
      </c>
      <c r="K64" s="13" t="s">
        <v>27</v>
      </c>
      <c r="L64" s="13" t="s">
        <v>27</v>
      </c>
      <c r="M64" s="13"/>
      <c r="N64" s="14" t="s">
        <v>27</v>
      </c>
      <c r="O64" s="13"/>
      <c r="P64" s="18"/>
      <c r="Q64" s="15" t="s">
        <v>27</v>
      </c>
      <c r="R64" s="13" t="s">
        <v>27</v>
      </c>
      <c r="S64" s="13" t="s">
        <v>27</v>
      </c>
      <c r="T64" s="16"/>
      <c r="U64" s="1" t="s">
        <v>27</v>
      </c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 spans="1:30" x14ac:dyDescent="0.25">
      <c r="A68" s="27">
        <v>8530</v>
      </c>
      <c r="B68" s="21" t="s">
        <v>63</v>
      </c>
      <c r="C68" s="29" t="s">
        <v>64</v>
      </c>
      <c r="D68" s="29"/>
      <c r="E68" s="13"/>
      <c r="F68" s="13"/>
      <c r="G68" s="14"/>
      <c r="H68" s="13"/>
      <c r="I68" s="13"/>
      <c r="J68" s="13"/>
      <c r="K68" s="13"/>
      <c r="L68" s="13"/>
      <c r="M68" s="13"/>
      <c r="N68" s="14"/>
      <c r="O68" s="13"/>
      <c r="P68" s="13"/>
      <c r="Q68" s="15"/>
      <c r="R68" s="13"/>
      <c r="S68" s="13"/>
      <c r="T68" s="16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 spans="1:30" x14ac:dyDescent="0.25">
      <c r="A70" s="27">
        <v>8386</v>
      </c>
      <c r="B70" s="21" t="s">
        <v>65</v>
      </c>
      <c r="C70" s="29" t="s">
        <v>42</v>
      </c>
      <c r="D70" s="29"/>
      <c r="E70" s="13"/>
      <c r="F70" s="13"/>
      <c r="G70" s="14"/>
      <c r="H70" s="13"/>
      <c r="I70" s="13"/>
      <c r="J70" s="13"/>
      <c r="K70" s="13"/>
      <c r="L70" s="13"/>
      <c r="M70" s="13"/>
      <c r="N70" s="14"/>
      <c r="O70" s="13"/>
      <c r="P70" s="13"/>
      <c r="Q70" s="15"/>
      <c r="R70" s="13"/>
      <c r="S70" s="13"/>
      <c r="T70" s="16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 spans="1:30" x14ac:dyDescent="0.25">
      <c r="A72" s="27">
        <v>8829</v>
      </c>
      <c r="B72" s="21" t="s">
        <v>66</v>
      </c>
      <c r="C72" s="29" t="s">
        <v>42</v>
      </c>
      <c r="D72" s="29"/>
      <c r="E72" s="13"/>
      <c r="F72" s="13"/>
      <c r="G72" s="14"/>
      <c r="H72" s="13"/>
      <c r="I72" s="13"/>
      <c r="J72" s="13"/>
      <c r="K72" s="13"/>
      <c r="L72" s="13"/>
      <c r="M72" s="13"/>
      <c r="N72" s="14"/>
      <c r="O72" s="13"/>
      <c r="P72" s="13"/>
      <c r="Q72" s="15"/>
      <c r="R72" s="13"/>
      <c r="S72" s="13"/>
      <c r="T72" s="16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 spans="1:30" x14ac:dyDescent="0.25">
      <c r="A74" s="27">
        <v>7480</v>
      </c>
      <c r="B74" s="21" t="s">
        <v>67</v>
      </c>
      <c r="C74" s="29" t="s">
        <v>42</v>
      </c>
      <c r="D74" s="29"/>
      <c r="E74" s="13"/>
      <c r="F74" s="13"/>
      <c r="G74" s="14"/>
      <c r="H74" s="13"/>
      <c r="I74" s="13"/>
      <c r="J74" s="13"/>
      <c r="K74" s="13"/>
      <c r="L74" s="13"/>
      <c r="M74" s="13"/>
      <c r="N74" s="14"/>
      <c r="O74" s="13"/>
      <c r="P74" s="13"/>
      <c r="Q74" s="15"/>
      <c r="R74" s="13"/>
      <c r="S74" s="13"/>
      <c r="T74" s="16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 spans="1:30" x14ac:dyDescent="0.25">
      <c r="A76" s="27">
        <v>9437</v>
      </c>
      <c r="B76" s="21" t="s">
        <v>68</v>
      </c>
      <c r="C76" s="29" t="s">
        <v>30</v>
      </c>
      <c r="D76" s="29"/>
      <c r="E76" s="13"/>
      <c r="F76" s="13"/>
      <c r="G76" s="14"/>
      <c r="H76" s="13"/>
      <c r="I76" s="13"/>
      <c r="J76" s="13"/>
      <c r="K76" s="13"/>
      <c r="L76" s="13"/>
      <c r="M76" s="13"/>
      <c r="N76" s="14"/>
      <c r="O76" s="13"/>
      <c r="P76" s="13"/>
      <c r="Q76" s="15"/>
      <c r="R76" s="13"/>
      <c r="S76" s="13"/>
      <c r="T76" s="16"/>
      <c r="U76" s="1"/>
      <c r="V76" s="1"/>
      <c r="W76" s="1"/>
      <c r="X76" s="1"/>
      <c r="Y76" s="1"/>
      <c r="Z76" s="1"/>
      <c r="AA76" s="1"/>
      <c r="AB76" s="1"/>
      <c r="AC76" s="1"/>
      <c r="AD76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61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69</v>
      </c>
      <c r="D2" s="38" t="s">
        <v>70</v>
      </c>
      <c r="E2" s="38" t="s">
        <v>71</v>
      </c>
      <c r="F2" s="39" t="s">
        <v>72</v>
      </c>
      <c r="G2" s="40" t="s">
        <v>73</v>
      </c>
      <c r="H2" s="38" t="s">
        <v>74</v>
      </c>
      <c r="I2" s="38" t="s">
        <v>75</v>
      </c>
      <c r="J2" s="41" t="s">
        <v>76</v>
      </c>
      <c r="K2" s="41" t="s">
        <v>77</v>
      </c>
      <c r="L2" s="39" t="s">
        <v>78</v>
      </c>
      <c r="M2" s="40" t="s">
        <v>79</v>
      </c>
      <c r="N2" s="42" t="s">
        <v>80</v>
      </c>
      <c r="O2" s="43" t="s">
        <v>81</v>
      </c>
      <c r="P2" s="43" t="s">
        <v>82</v>
      </c>
      <c r="Q2" s="39" t="s">
        <v>83</v>
      </c>
      <c r="R2" s="40" t="s">
        <v>84</v>
      </c>
      <c r="S2" s="44" t="s">
        <v>85</v>
      </c>
      <c r="T2" s="44" t="s">
        <v>86</v>
      </c>
      <c r="U2" s="45" t="s">
        <v>87</v>
      </c>
      <c r="V2" s="40" t="s">
        <v>88</v>
      </c>
      <c r="W2" s="42" t="s">
        <v>89</v>
      </c>
      <c r="X2" s="46" t="s">
        <v>90</v>
      </c>
      <c r="Y2" s="47" t="s">
        <v>91</v>
      </c>
      <c r="Z2" s="46" t="s">
        <v>92</v>
      </c>
      <c r="AA2" s="48" t="s">
        <v>93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94</v>
      </c>
      <c r="AI3" s="50" t="s">
        <v>95</v>
      </c>
    </row>
    <row r="4" ht="15" customHeight="1" spans="1:35" x14ac:dyDescent="0.25">
      <c r="A4" s="19">
        <v>7658</v>
      </c>
      <c r="B4" s="20" t="s">
        <v>25</v>
      </c>
      <c r="C4" s="51" t="s">
        <v>96</v>
      </c>
      <c r="D4" s="52">
        <v>267886.84883856</v>
      </c>
      <c r="E4" s="52">
        <v>238732.97</v>
      </c>
      <c r="F4" s="52">
        <v>29153.87883855999</v>
      </c>
      <c r="G4" s="53">
        <v>0.10882907826553799</v>
      </c>
      <c r="H4" s="52">
        <v>225410.5455298</v>
      </c>
      <c r="I4" s="52">
        <v>189455.97</v>
      </c>
      <c r="J4" s="52">
        <v>193787.2413298</v>
      </c>
      <c r="K4" s="52">
        <v>158286.35</v>
      </c>
      <c r="L4" s="52">
        <v>35500.89132979998</v>
      </c>
      <c r="M4" s="53">
        <v>0.18319519430787606</v>
      </c>
      <c r="N4" s="53">
        <v>0.9</v>
      </c>
      <c r="O4" s="52">
        <v>31623.3042</v>
      </c>
      <c r="P4" s="52">
        <v>31169.62</v>
      </c>
      <c r="Q4" s="52">
        <v>453.6841999999997</v>
      </c>
      <c r="R4" s="53">
        <v>0.014346514745287108</v>
      </c>
      <c r="S4" s="54">
        <v>638.02</v>
      </c>
      <c r="T4" s="54">
        <v>625.25</v>
      </c>
      <c r="U4" s="54">
        <v>12.769999999999982</v>
      </c>
      <c r="V4" s="53">
        <v>0.020015046550264853</v>
      </c>
      <c r="W4" s="53"/>
      <c r="X4" s="55">
        <v>78.81167532986805</v>
      </c>
      <c r="Y4" s="55">
        <v>66.57519091683645</v>
      </c>
      <c r="Z4" s="53">
        <v>0.2064</v>
      </c>
      <c r="AA4" s="56">
        <v>0.1586</v>
      </c>
      <c r="AB4" s="57"/>
      <c r="AD4" s="35" t="s">
        <v>97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98</v>
      </c>
      <c r="D5" s="52">
        <v>267886.84883856</v>
      </c>
      <c r="E5" s="52">
        <v>238732.97</v>
      </c>
      <c r="F5" s="52">
        <v>29153.87883855999</v>
      </c>
      <c r="G5" s="53">
        <v>0.10882907826553799</v>
      </c>
      <c r="H5" s="52">
        <v>225410.5455298</v>
      </c>
      <c r="I5" s="52">
        <v>189455.97</v>
      </c>
      <c r="J5" s="52">
        <v>193787.2413298</v>
      </c>
      <c r="K5" s="52">
        <v>158286.35</v>
      </c>
      <c r="L5" s="52">
        <v>35500.89132979998</v>
      </c>
      <c r="M5" s="53">
        <v>0.18319519430787606</v>
      </c>
      <c r="N5" s="53"/>
      <c r="O5" s="52">
        <v>31623.3042</v>
      </c>
      <c r="P5" s="52">
        <v>31169.62</v>
      </c>
      <c r="Q5" s="52">
        <v>453.6841999999997</v>
      </c>
      <c r="R5" s="53">
        <v>0.014346514745287108</v>
      </c>
      <c r="S5" s="54">
        <v>638.02</v>
      </c>
      <c r="T5" s="54">
        <v>625.25</v>
      </c>
      <c r="U5" s="54">
        <v>12.769999999999982</v>
      </c>
      <c r="V5" s="53">
        <v>0.020015046550264853</v>
      </c>
      <c r="W5" s="53"/>
      <c r="X5" s="55">
        <v>78.81167532986805</v>
      </c>
      <c r="Y5" s="55">
        <v>66.57519091683645</v>
      </c>
      <c r="Z5" s="53">
        <v>0.2064</v>
      </c>
      <c r="AA5" s="56">
        <v>0.1586</v>
      </c>
      <c r="AB5" s="57"/>
      <c r="AD5" s="35" t="s">
        <v>99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100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101</v>
      </c>
      <c r="D7" s="52"/>
      <c r="E7" s="52"/>
      <c r="F7" s="52"/>
      <c r="G7" s="53"/>
      <c r="H7" s="52"/>
      <c r="I7" s="52"/>
      <c r="J7" s="52"/>
      <c r="K7" s="52"/>
      <c r="L7" s="52"/>
      <c r="M7" s="53"/>
      <c r="N7" s="53"/>
      <c r="O7" s="52"/>
      <c r="P7" s="52"/>
      <c r="Q7" s="52"/>
      <c r="R7" s="53"/>
      <c r="S7" s="54"/>
      <c r="T7" s="54"/>
      <c r="U7" s="54"/>
      <c r="V7" s="53"/>
      <c r="W7" s="53"/>
      <c r="X7" s="55"/>
      <c r="Y7" s="55"/>
      <c r="Z7" s="53"/>
      <c r="AA7" s="56"/>
      <c r="AB7" s="57"/>
      <c r="AD7" s="35" t="s">
        <v>102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103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104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96</v>
      </c>
      <c r="D11" s="52">
        <v>132076.08820213</v>
      </c>
      <c r="E11" s="62">
        <v>127883.98</v>
      </c>
      <c r="F11" s="52">
        <v>4192.108202129995</v>
      </c>
      <c r="G11" s="53">
        <v>0.031740099659178046</v>
      </c>
      <c r="H11" s="52">
        <v>103822.973895</v>
      </c>
      <c r="I11" s="52">
        <v>95219.95</v>
      </c>
      <c r="J11" s="52">
        <v>85672.874895</v>
      </c>
      <c r="K11" s="52">
        <v>80502.31</v>
      </c>
      <c r="L11" s="52">
        <v>5170.564895000003</v>
      </c>
      <c r="M11" s="53">
        <v>0.060352414942734287</v>
      </c>
      <c r="N11" s="53"/>
      <c r="O11" s="52">
        <v>18150.099</v>
      </c>
      <c r="P11" s="52">
        <v>14717.64</v>
      </c>
      <c r="Q11" s="52">
        <v>3432.458999999999</v>
      </c>
      <c r="R11" s="53">
        <v>0.1891151668098339</v>
      </c>
      <c r="S11" s="54">
        <v>363.57</v>
      </c>
      <c r="T11" s="54">
        <v>331.25</v>
      </c>
      <c r="U11" s="54">
        <v>32.31999999999999</v>
      </c>
      <c r="V11" s="53">
        <v>0.08889622356079983</v>
      </c>
      <c r="W11" s="53">
        <v>0.3</v>
      </c>
      <c r="X11" s="55">
        <v>98.60839245283019</v>
      </c>
      <c r="Y11" s="55">
        <v>77.71024646458726</v>
      </c>
      <c r="Z11" s="53">
        <v>0.2554</v>
      </c>
      <c r="AA11" s="56">
        <v>0.2139</v>
      </c>
      <c r="AB11" s="57"/>
      <c r="AD11" s="35" t="s">
        <v>97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98</v>
      </c>
      <c r="D12" s="52">
        <v>129798.36820213</v>
      </c>
      <c r="E12" s="62">
        <v>127883.98</v>
      </c>
      <c r="F12" s="52">
        <v>1914.3882021300087</v>
      </c>
      <c r="G12" s="53">
        <v>0.014748938901518436</v>
      </c>
      <c r="H12" s="52">
        <v>102331.503895</v>
      </c>
      <c r="I12" s="52">
        <v>95264.02</v>
      </c>
      <c r="J12" s="52">
        <v>84181.404895</v>
      </c>
      <c r="K12" s="52">
        <v>80546.38</v>
      </c>
      <c r="L12" s="52">
        <v>3635.024894999995</v>
      </c>
      <c r="M12" s="53">
        <v>0.043180853295736565</v>
      </c>
      <c r="N12" s="53"/>
      <c r="O12" s="52">
        <v>18150.099</v>
      </c>
      <c r="P12" s="52">
        <v>14717.64</v>
      </c>
      <c r="Q12" s="52">
        <v>3432.458999999999</v>
      </c>
      <c r="R12" s="53">
        <v>0.1891151668098339</v>
      </c>
      <c r="S12" s="54">
        <v>363.57</v>
      </c>
      <c r="T12" s="54">
        <v>331.25</v>
      </c>
      <c r="U12" s="54">
        <v>32.31999999999999</v>
      </c>
      <c r="V12" s="53">
        <v>0.08889622356079983</v>
      </c>
      <c r="W12" s="53"/>
      <c r="X12" s="55">
        <v>98.47535094339622</v>
      </c>
      <c r="Y12" s="55">
        <v>75.54766429334104</v>
      </c>
      <c r="Z12" s="53">
        <v>0.2551</v>
      </c>
      <c r="AA12" s="56">
        <v>0.2116</v>
      </c>
      <c r="AB12" s="57"/>
      <c r="AD12" s="35" t="s">
        <v>99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100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101</v>
      </c>
      <c r="D14" s="52"/>
      <c r="E14" s="62"/>
      <c r="F14" s="52"/>
      <c r="G14" s="53"/>
      <c r="H14" s="52"/>
      <c r="I14" s="52"/>
      <c r="J14" s="52"/>
      <c r="K14" s="52"/>
      <c r="L14" s="52"/>
      <c r="M14" s="53"/>
      <c r="N14" s="53"/>
      <c r="O14" s="52"/>
      <c r="P14" s="52"/>
      <c r="Q14" s="52"/>
      <c r="R14" s="53"/>
      <c r="S14" s="54"/>
      <c r="T14" s="54"/>
      <c r="U14" s="54"/>
      <c r="V14" s="53"/>
      <c r="W14" s="53"/>
      <c r="X14" s="55"/>
      <c r="Y14" s="55"/>
      <c r="Z14" s="53"/>
      <c r="AA14" s="56"/>
      <c r="AB14" s="57"/>
      <c r="AD14" s="35" t="s">
        <v>102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103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104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96</v>
      </c>
      <c r="D18" s="52">
        <v>27500.3157</v>
      </c>
      <c r="E18" s="52">
        <v>11999.08</v>
      </c>
      <c r="F18" s="52">
        <v>15501.2357</v>
      </c>
      <c r="G18" s="53">
        <v>0.563674827194802</v>
      </c>
      <c r="H18" s="52">
        <v>19565.829</v>
      </c>
      <c r="I18" s="52">
        <v>8083.92</v>
      </c>
      <c r="J18" s="52">
        <v>13767.337200000002</v>
      </c>
      <c r="K18" s="52">
        <v>6373.24</v>
      </c>
      <c r="L18" s="52">
        <v>7394.097200000002</v>
      </c>
      <c r="M18" s="53">
        <v>0.5370753321855152</v>
      </c>
      <c r="N18" s="53"/>
      <c r="O18" s="52">
        <v>5798.4918</v>
      </c>
      <c r="P18" s="52">
        <v>1710.68</v>
      </c>
      <c r="Q18" s="52">
        <v>4087.8117999999995</v>
      </c>
      <c r="R18" s="53">
        <v>0.7049784566393626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112.66647482014388</v>
      </c>
      <c r="Y18" s="55">
        <v>63.27846478985563</v>
      </c>
      <c r="Z18" s="53">
        <v>0.32630000000000003</v>
      </c>
      <c r="AA18" s="56">
        <v>0.2885</v>
      </c>
      <c r="AB18" s="57"/>
      <c r="AD18" s="35" t="s">
        <v>97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98</v>
      </c>
      <c r="D19" s="52">
        <v>27500.3157</v>
      </c>
      <c r="E19" s="52">
        <v>11999.08</v>
      </c>
      <c r="F19" s="52">
        <v>15501.2357</v>
      </c>
      <c r="G19" s="53">
        <v>0.563674827194802</v>
      </c>
      <c r="H19" s="52">
        <v>19565.829</v>
      </c>
      <c r="I19" s="52">
        <v>8852.34</v>
      </c>
      <c r="J19" s="52">
        <v>13767.337200000002</v>
      </c>
      <c r="K19" s="52">
        <v>6787.5</v>
      </c>
      <c r="L19" s="52">
        <v>6979.837200000002</v>
      </c>
      <c r="M19" s="53">
        <v>0.506985272358986</v>
      </c>
      <c r="N19" s="53"/>
      <c r="O19" s="52">
        <v>5798.4918</v>
      </c>
      <c r="P19" s="52">
        <v>2064.84</v>
      </c>
      <c r="Q19" s="52">
        <v>3733.6517999999996</v>
      </c>
      <c r="R19" s="53">
        <v>0.643900505300361</v>
      </c>
      <c r="S19" s="54">
        <v>125.39</v>
      </c>
      <c r="T19" s="54">
        <v>42.75</v>
      </c>
      <c r="U19" s="54">
        <v>82.64</v>
      </c>
      <c r="V19" s="53">
        <v>0.6590637211898875</v>
      </c>
      <c r="W19" s="53"/>
      <c r="X19" s="55">
        <v>73.60795321637427</v>
      </c>
      <c r="Y19" s="55">
        <v>63.27846478985563</v>
      </c>
      <c r="Z19" s="53">
        <v>0.2622</v>
      </c>
      <c r="AA19" s="56">
        <v>0.2885</v>
      </c>
      <c r="AB19" s="57"/>
      <c r="AD19" s="35" t="s">
        <v>99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100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101</v>
      </c>
      <c r="D21" s="52"/>
      <c r="E21" s="52"/>
      <c r="F21" s="52"/>
      <c r="G21" s="53"/>
      <c r="H21" s="52"/>
      <c r="I21" s="52"/>
      <c r="J21" s="52"/>
      <c r="K21" s="52"/>
      <c r="L21" s="52"/>
      <c r="M21" s="53"/>
      <c r="N21" s="53"/>
      <c r="O21" s="52"/>
      <c r="P21" s="52"/>
      <c r="Q21" s="52"/>
      <c r="R21" s="53"/>
      <c r="S21" s="54"/>
      <c r="T21" s="54"/>
      <c r="U21" s="54"/>
      <c r="V21" s="53"/>
      <c r="W21" s="53"/>
      <c r="X21" s="55"/>
      <c r="Y21" s="55"/>
      <c r="Z21" s="53"/>
      <c r="AA21" s="56"/>
      <c r="AB21" s="57"/>
      <c r="AD21" s="35" t="s">
        <v>102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103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104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96</v>
      </c>
      <c r="D25" s="55">
        <v>153553.67</v>
      </c>
      <c r="E25" s="55">
        <v>144370.8</v>
      </c>
      <c r="F25" s="52">
        <v>9182.870000000024</v>
      </c>
      <c r="G25" s="53">
        <v>0.05980234793476459</v>
      </c>
      <c r="H25" s="52">
        <v>104026.09</v>
      </c>
      <c r="I25" s="52">
        <v>90387.67</v>
      </c>
      <c r="J25" s="52">
        <v>63812.49</v>
      </c>
      <c r="K25" s="52">
        <v>59529.82</v>
      </c>
      <c r="L25" s="52">
        <v>4282.669999999998</v>
      </c>
      <c r="M25" s="53">
        <v>0.06711335038015283</v>
      </c>
      <c r="N25" s="53">
        <v>0.9</v>
      </c>
      <c r="O25" s="52">
        <v>40213.6</v>
      </c>
      <c r="P25" s="52">
        <v>30857.85</v>
      </c>
      <c r="Q25" s="52">
        <v>9355.75</v>
      </c>
      <c r="R25" s="53">
        <v>0.23265139156902143</v>
      </c>
      <c r="S25" s="54">
        <v>805.22</v>
      </c>
      <c r="T25" s="54">
        <v>625</v>
      </c>
      <c r="U25" s="54">
        <v>180.22000000000003</v>
      </c>
      <c r="V25" s="53">
        <v>0.22381460967189093</v>
      </c>
      <c r="W25" s="53">
        <v>0.6</v>
      </c>
      <c r="X25" s="55">
        <v>86.373008</v>
      </c>
      <c r="Y25" s="55">
        <v>61.50814037389784</v>
      </c>
      <c r="Z25" s="53">
        <v>0.3739</v>
      </c>
      <c r="AA25" s="56">
        <v>0.3225</v>
      </c>
      <c r="AB25" s="57"/>
      <c r="AD25" s="35" t="s">
        <v>97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98</v>
      </c>
      <c r="D26" s="55"/>
      <c r="E26" s="55"/>
      <c r="F26" s="52"/>
      <c r="G26" s="53"/>
      <c r="H26" s="52"/>
      <c r="I26" s="52"/>
      <c r="J26" s="52"/>
      <c r="K26" s="52"/>
      <c r="L26" s="52"/>
      <c r="M26" s="53"/>
      <c r="N26" s="53"/>
      <c r="O26" s="52"/>
      <c r="P26" s="52"/>
      <c r="Q26" s="52"/>
      <c r="R26" s="53"/>
      <c r="S26" s="54"/>
      <c r="T26" s="54"/>
      <c r="U26" s="54"/>
      <c r="V26" s="53"/>
      <c r="W26" s="53"/>
      <c r="X26" s="55"/>
      <c r="Y26" s="55"/>
      <c r="Z26" s="53"/>
      <c r="AA26" s="56"/>
      <c r="AB26" s="57"/>
      <c r="AD26" s="35" t="s">
        <v>99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100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101</v>
      </c>
      <c r="D28" s="55"/>
      <c r="E28" s="55"/>
      <c r="F28" s="52"/>
      <c r="G28" s="53"/>
      <c r="H28" s="52"/>
      <c r="I28" s="52"/>
      <c r="J28" s="52"/>
      <c r="K28" s="52"/>
      <c r="L28" s="52"/>
      <c r="M28" s="53"/>
      <c r="N28" s="53"/>
      <c r="O28" s="52"/>
      <c r="P28" s="52"/>
      <c r="Q28" s="52"/>
      <c r="R28" s="53"/>
      <c r="S28" s="54"/>
      <c r="T28" s="54"/>
      <c r="U28" s="54"/>
      <c r="V28" s="53"/>
      <c r="W28" s="53"/>
      <c r="X28" s="55"/>
      <c r="Y28" s="55"/>
      <c r="Z28" s="53"/>
      <c r="AA28" s="56"/>
      <c r="AB28" s="57"/>
      <c r="AD28" s="35" t="s">
        <v>102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103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104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96</v>
      </c>
      <c r="D32" s="52">
        <v>397238.61073204</v>
      </c>
      <c r="E32" s="52">
        <v>352623.79</v>
      </c>
      <c r="F32" s="52">
        <v>44614.82073204004</v>
      </c>
      <c r="G32" s="53">
        <v>0.112312397452561</v>
      </c>
      <c r="H32" s="52">
        <v>328046.93216</v>
      </c>
      <c r="I32" s="52">
        <v>278861.56</v>
      </c>
      <c r="J32" s="62">
        <v>271925.57216000004</v>
      </c>
      <c r="K32" s="52">
        <v>243385.51</v>
      </c>
      <c r="L32" s="52">
        <v>28540.06216000003</v>
      </c>
      <c r="M32" s="53">
        <v>0.10495541825395943</v>
      </c>
      <c r="N32" s="64"/>
      <c r="O32" s="52">
        <v>56121.36</v>
      </c>
      <c r="P32" s="52">
        <v>35476.05</v>
      </c>
      <c r="Q32" s="52">
        <v>20645.309999999998</v>
      </c>
      <c r="R32" s="53">
        <v>0.367869025269523</v>
      </c>
      <c r="S32" s="54">
        <v>1124.47</v>
      </c>
      <c r="T32" s="54">
        <v>821.5</v>
      </c>
      <c r="U32" s="54">
        <v>302.97</v>
      </c>
      <c r="V32" s="53">
        <v>0.2694335998292529</v>
      </c>
      <c r="W32" s="53">
        <v>0.4</v>
      </c>
      <c r="X32" s="55">
        <v>89.78968959220937</v>
      </c>
      <c r="Y32" s="55">
        <v>61.532703026350184</v>
      </c>
      <c r="Z32" s="53">
        <v>0.20920000000000002</v>
      </c>
      <c r="AA32" s="56">
        <v>0.1742</v>
      </c>
      <c r="AB32" s="57"/>
      <c r="AD32" s="35" t="s">
        <v>97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98</v>
      </c>
      <c r="D33" s="52">
        <v>397238.61073204</v>
      </c>
      <c r="E33" s="52">
        <v>352623.79</v>
      </c>
      <c r="F33" s="52">
        <v>44614.82073204004</v>
      </c>
      <c r="G33" s="53">
        <v>0.112312397452561</v>
      </c>
      <c r="H33" s="52">
        <v>328046.93216</v>
      </c>
      <c r="I33" s="65">
        <v>278861.56</v>
      </c>
      <c r="J33" s="52">
        <v>271925.57216000004</v>
      </c>
      <c r="K33" s="52">
        <v>243385.51</v>
      </c>
      <c r="L33" s="52">
        <v>28540.06216000003</v>
      </c>
      <c r="M33" s="53">
        <v>0.10495541825395943</v>
      </c>
      <c r="N33" s="53"/>
      <c r="O33" s="52">
        <v>56121.36</v>
      </c>
      <c r="P33" s="52">
        <v>35476.05</v>
      </c>
      <c r="Q33" s="52">
        <v>20645.309999999998</v>
      </c>
      <c r="R33" s="53">
        <v>0.367869025269523</v>
      </c>
      <c r="S33" s="54">
        <v>1124.47</v>
      </c>
      <c r="T33" s="54">
        <v>821.5</v>
      </c>
      <c r="U33" s="54">
        <v>302.97</v>
      </c>
      <c r="V33" s="53">
        <v>0.2694335998292529</v>
      </c>
      <c r="W33" s="53"/>
      <c r="X33" s="55">
        <v>89.78968959220937</v>
      </c>
      <c r="Y33" s="55">
        <v>61.532703026350184</v>
      </c>
      <c r="Z33" s="53">
        <v>0.20920000000000002</v>
      </c>
      <c r="AA33" s="56">
        <v>0.1742</v>
      </c>
      <c r="AB33" s="57"/>
      <c r="AD33" s="35" t="s">
        <v>99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100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101</v>
      </c>
      <c r="D35" s="52"/>
      <c r="E35" s="52"/>
      <c r="F35" s="52"/>
      <c r="G35" s="53"/>
      <c r="H35" s="52"/>
      <c r="I35" s="65"/>
      <c r="J35" s="52"/>
      <c r="K35" s="52"/>
      <c r="L35" s="52"/>
      <c r="M35" s="53"/>
      <c r="N35" s="53"/>
      <c r="O35" s="52"/>
      <c r="P35" s="52"/>
      <c r="Q35" s="52"/>
      <c r="R35" s="53"/>
      <c r="S35" s="54"/>
      <c r="T35" s="54"/>
      <c r="U35" s="54"/>
      <c r="V35" s="53"/>
      <c r="W35" s="53"/>
      <c r="X35" s="55"/>
      <c r="Y35" s="55"/>
      <c r="Z35" s="53"/>
      <c r="AA35" s="56"/>
      <c r="AB35" s="57"/>
      <c r="AD35" s="35" t="s">
        <v>102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103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104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96</v>
      </c>
      <c r="D39" s="52">
        <v>128258.49930985</v>
      </c>
      <c r="E39" s="52">
        <v>115314.55</v>
      </c>
      <c r="F39" s="52">
        <v>12943.949309849995</v>
      </c>
      <c r="G39" s="53">
        <v>0.10092079183446305</v>
      </c>
      <c r="H39" s="52">
        <v>94098.31685</v>
      </c>
      <c r="I39" s="52">
        <v>58609.37</v>
      </c>
      <c r="J39" s="52">
        <v>69042.08885</v>
      </c>
      <c r="K39" s="52">
        <v>42068.630000000005</v>
      </c>
      <c r="L39" s="52">
        <v>26973.458849999995</v>
      </c>
      <c r="M39" s="53">
        <v>0.39068138434516664</v>
      </c>
      <c r="N39" s="53"/>
      <c r="O39" s="52">
        <v>25056.228</v>
      </c>
      <c r="P39" s="52">
        <v>16540.74</v>
      </c>
      <c r="Q39" s="52">
        <v>8515.487999999998</v>
      </c>
      <c r="R39" s="53">
        <v>0.3398551449962859</v>
      </c>
      <c r="S39" s="54">
        <v>501.83</v>
      </c>
      <c r="T39" s="54">
        <v>373.25</v>
      </c>
      <c r="U39" s="54">
        <v>128.57999999999998</v>
      </c>
      <c r="V39" s="53">
        <v>0.2562222266504593</v>
      </c>
      <c r="W39" s="53">
        <v>0.4</v>
      </c>
      <c r="X39" s="55">
        <v>151.92278633623576</v>
      </c>
      <c r="Y39" s="55">
        <v>68.07122423898531</v>
      </c>
      <c r="Z39" s="53">
        <v>0.4917</v>
      </c>
      <c r="AA39" s="56">
        <v>0.2663</v>
      </c>
      <c r="AB39" s="57"/>
      <c r="AD39" s="35" t="s">
        <v>97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98</v>
      </c>
      <c r="D40" s="52">
        <v>128258.49930985</v>
      </c>
      <c r="E40" s="52">
        <v>115314.55</v>
      </c>
      <c r="F40" s="52">
        <v>12943.949309849995</v>
      </c>
      <c r="G40" s="53">
        <v>0.10092079183446305</v>
      </c>
      <c r="H40" s="52">
        <v>94098.31685</v>
      </c>
      <c r="I40" s="52">
        <v>59765.09</v>
      </c>
      <c r="J40" s="52">
        <v>69042.08885</v>
      </c>
      <c r="K40" s="52">
        <v>42207.67</v>
      </c>
      <c r="L40" s="52">
        <v>26834.418850000002</v>
      </c>
      <c r="M40" s="53">
        <v>0.38866754029270656</v>
      </c>
      <c r="N40" s="53"/>
      <c r="O40" s="52">
        <v>25056.228</v>
      </c>
      <c r="P40" s="52">
        <v>17557.42</v>
      </c>
      <c r="Q40" s="52">
        <v>7498.808000000001</v>
      </c>
      <c r="R40" s="53">
        <v>0.29927920515410383</v>
      </c>
      <c r="S40" s="54">
        <v>501.83</v>
      </c>
      <c r="T40" s="54">
        <v>393.75</v>
      </c>
      <c r="U40" s="54">
        <v>108.07999999999998</v>
      </c>
      <c r="V40" s="53">
        <v>0.21537173943367274</v>
      </c>
      <c r="W40" s="53"/>
      <c r="X40" s="55">
        <v>141.07799365079364</v>
      </c>
      <c r="Y40" s="55">
        <v>68.07122423898531</v>
      </c>
      <c r="Z40" s="53">
        <v>0.4817</v>
      </c>
      <c r="AA40" s="56">
        <v>0.2663</v>
      </c>
      <c r="AB40" s="57"/>
      <c r="AD40" s="35" t="s">
        <v>99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100</v>
      </c>
      <c r="D41" s="52"/>
      <c r="E41" s="52"/>
      <c r="F41" s="52"/>
      <c r="G41" s="53"/>
      <c r="H41" s="52"/>
      <c r="I41" s="52"/>
      <c r="J41" s="52"/>
      <c r="K41" s="52"/>
      <c r="L41" s="52"/>
      <c r="M41" s="53"/>
      <c r="N41" s="53"/>
      <c r="O41" s="52"/>
      <c r="P41" s="52"/>
      <c r="Q41" s="52"/>
      <c r="R41" s="53"/>
      <c r="S41" s="54"/>
      <c r="T41" s="54"/>
      <c r="U41" s="54"/>
      <c r="V41" s="53"/>
      <c r="W41" s="53"/>
      <c r="X41" s="55"/>
      <c r="Y41" s="55"/>
      <c r="Z41" s="53"/>
      <c r="AA41" s="56"/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101</v>
      </c>
      <c r="D42" s="52"/>
      <c r="E42" s="52"/>
      <c r="F42" s="52"/>
      <c r="G42" s="53"/>
      <c r="H42" s="52"/>
      <c r="I42" s="52"/>
      <c r="J42" s="52"/>
      <c r="K42" s="52"/>
      <c r="L42" s="52"/>
      <c r="M42" s="53"/>
      <c r="N42" s="53"/>
      <c r="O42" s="52"/>
      <c r="P42" s="52"/>
      <c r="Q42" s="52"/>
      <c r="R42" s="53"/>
      <c r="S42" s="54"/>
      <c r="T42" s="54"/>
      <c r="U42" s="54"/>
      <c r="V42" s="53"/>
      <c r="W42" s="53"/>
      <c r="X42" s="55"/>
      <c r="Y42" s="55"/>
      <c r="Z42" s="53"/>
      <c r="AA42" s="56"/>
      <c r="AB42" s="57"/>
      <c r="AD42" s="35" t="s">
        <v>102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103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104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96</v>
      </c>
      <c r="D46" s="52">
        <v>65693.35850319</v>
      </c>
      <c r="E46" s="52">
        <v>61277.97</v>
      </c>
      <c r="F46" s="52">
        <v>4415.388503189999</v>
      </c>
      <c r="G46" s="53">
        <v>0.06721209881476212</v>
      </c>
      <c r="H46" s="52">
        <v>50582.36785</v>
      </c>
      <c r="I46" s="52">
        <v>29601.04</v>
      </c>
      <c r="J46" s="52">
        <v>39438.99025</v>
      </c>
      <c r="K46" s="52">
        <v>20244.31</v>
      </c>
      <c r="L46" s="52">
        <v>19194.68025</v>
      </c>
      <c r="M46" s="53">
        <v>0.4866929941240065</v>
      </c>
      <c r="N46" s="53">
        <v>0</v>
      </c>
      <c r="O46" s="52">
        <v>11143.3776</v>
      </c>
      <c r="P46" s="52">
        <v>9356.73</v>
      </c>
      <c r="Q46" s="52">
        <v>1786.6476000000002</v>
      </c>
      <c r="R46" s="53">
        <v>0.1603326804612634</v>
      </c>
      <c r="S46" s="54">
        <v>223.22</v>
      </c>
      <c r="T46" s="54">
        <v>216.5</v>
      </c>
      <c r="U46" s="54">
        <v>6.719999999999999</v>
      </c>
      <c r="V46" s="53">
        <v>0.030104829316369496</v>
      </c>
      <c r="W46" s="53">
        <v>0.4</v>
      </c>
      <c r="X46" s="55">
        <v>146.31376443418014</v>
      </c>
      <c r="Y46" s="55">
        <v>67.69550512136009</v>
      </c>
      <c r="Z46" s="53">
        <v>0.5169</v>
      </c>
      <c r="AA46" s="56">
        <v>0.23</v>
      </c>
      <c r="AB46" s="57"/>
      <c r="AD46" s="35" t="s">
        <v>97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98</v>
      </c>
      <c r="D47" s="52">
        <v>65693.35850319</v>
      </c>
      <c r="E47" s="52">
        <v>61277.97</v>
      </c>
      <c r="F47" s="52">
        <v>4415.388503189999</v>
      </c>
      <c r="G47" s="53">
        <v>0.06721209881476212</v>
      </c>
      <c r="H47" s="52">
        <v>50582.36785</v>
      </c>
      <c r="I47" s="52">
        <v>30176.95</v>
      </c>
      <c r="J47" s="52">
        <v>39438.99025</v>
      </c>
      <c r="K47" s="52">
        <v>20820.22</v>
      </c>
      <c r="L47" s="52">
        <v>18618.77025</v>
      </c>
      <c r="M47" s="53">
        <v>0.47209043973938963</v>
      </c>
      <c r="N47" s="53"/>
      <c r="O47" s="52">
        <v>11143.3776</v>
      </c>
      <c r="P47" s="52">
        <v>9356.73</v>
      </c>
      <c r="Q47" s="52">
        <v>1786.6476000000002</v>
      </c>
      <c r="R47" s="53">
        <v>0.1603326804612634</v>
      </c>
      <c r="S47" s="54">
        <v>223.22</v>
      </c>
      <c r="T47" s="54">
        <v>216.5</v>
      </c>
      <c r="U47" s="54">
        <v>6.719999999999999</v>
      </c>
      <c r="V47" s="53">
        <v>0.030104829316369496</v>
      </c>
      <c r="W47" s="53"/>
      <c r="X47" s="55">
        <v>143.65367205542725</v>
      </c>
      <c r="Y47" s="55">
        <v>67.69550512136009</v>
      </c>
      <c r="Z47" s="53">
        <v>0.5075</v>
      </c>
      <c r="AA47" s="56">
        <v>0.23</v>
      </c>
      <c r="AB47" s="57"/>
      <c r="AD47" s="35" t="s">
        <v>99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100</v>
      </c>
      <c r="D48" s="52"/>
      <c r="E48" s="52"/>
      <c r="F48" s="52"/>
      <c r="G48" s="53"/>
      <c r="H48" s="52"/>
      <c r="I48" s="52"/>
      <c r="J48" s="52"/>
      <c r="K48" s="52"/>
      <c r="L48" s="52"/>
      <c r="M48" s="53"/>
      <c r="N48" s="53"/>
      <c r="O48" s="52"/>
      <c r="P48" s="52"/>
      <c r="Q48" s="52"/>
      <c r="R48" s="53"/>
      <c r="S48" s="54"/>
      <c r="T48" s="54"/>
      <c r="U48" s="54"/>
      <c r="V48" s="53"/>
      <c r="W48" s="53"/>
      <c r="X48" s="55"/>
      <c r="Y48" s="55"/>
      <c r="Z48" s="53"/>
      <c r="AA48" s="56"/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101</v>
      </c>
      <c r="D49" s="52"/>
      <c r="E49" s="52"/>
      <c r="F49" s="52"/>
      <c r="G49" s="53"/>
      <c r="H49" s="52"/>
      <c r="I49" s="52"/>
      <c r="J49" s="52"/>
      <c r="K49" s="52"/>
      <c r="L49" s="52"/>
      <c r="M49" s="53"/>
      <c r="N49" s="53"/>
      <c r="O49" s="52"/>
      <c r="P49" s="52"/>
      <c r="Q49" s="52"/>
      <c r="R49" s="53"/>
      <c r="S49" s="54"/>
      <c r="T49" s="54"/>
      <c r="U49" s="54"/>
      <c r="V49" s="53"/>
      <c r="W49" s="53"/>
      <c r="X49" s="55"/>
      <c r="Y49" s="55"/>
      <c r="Z49" s="53"/>
      <c r="AA49" s="56"/>
      <c r="AB49" s="57"/>
      <c r="AD49" s="35" t="s">
        <v>102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103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104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96</v>
      </c>
      <c r="D53" s="52">
        <v>155296.79012754</v>
      </c>
      <c r="E53" s="52">
        <v>155296.8</v>
      </c>
      <c r="F53" s="52">
        <v>-0.009872459981124848</v>
      </c>
      <c r="G53" s="53">
        <v>-6.357156495647419e-8</v>
      </c>
      <c r="H53" s="52">
        <v>109364.9721</v>
      </c>
      <c r="I53" s="52">
        <v>115053.73</v>
      </c>
      <c r="J53" s="52">
        <v>75135.0159</v>
      </c>
      <c r="K53" s="52">
        <v>81019.67</v>
      </c>
      <c r="L53" s="52">
        <v>-5884.6541</v>
      </c>
      <c r="M53" s="53">
        <v>-0.07832106015432413</v>
      </c>
      <c r="N53" s="53"/>
      <c r="O53" s="52">
        <v>34229.9562</v>
      </c>
      <c r="P53" s="52">
        <v>34034.06</v>
      </c>
      <c r="Q53" s="52">
        <v>195.89620000000286</v>
      </c>
      <c r="R53" s="53">
        <v>0.005722946265411899</v>
      </c>
      <c r="S53" s="54">
        <v>685.48</v>
      </c>
      <c r="T53" s="54">
        <v>718.75</v>
      </c>
      <c r="U53" s="54">
        <v>-33.26999999999998</v>
      </c>
      <c r="V53" s="53">
        <v>-0.04853533290540932</v>
      </c>
      <c r="W53" s="53">
        <v>0.3</v>
      </c>
      <c r="X53" s="55">
        <v>55.99035826086956</v>
      </c>
      <c r="Y53" s="55">
        <v>67.00679527854935</v>
      </c>
      <c r="Z53" s="53">
        <v>0.2591</v>
      </c>
      <c r="AA53" s="56">
        <v>0.2958</v>
      </c>
      <c r="AB53" s="57"/>
      <c r="AD53" s="35" t="s">
        <v>97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98</v>
      </c>
      <c r="D54" s="52">
        <v>155296.79012754</v>
      </c>
      <c r="E54" s="52">
        <v>155296.8</v>
      </c>
      <c r="F54" s="52">
        <v>-0.009872459981124848</v>
      </c>
      <c r="G54" s="53">
        <v>-6.357156495647419e-8</v>
      </c>
      <c r="H54" s="52">
        <v>109364.9721</v>
      </c>
      <c r="I54" s="52">
        <v>115851.63</v>
      </c>
      <c r="J54" s="52">
        <v>75135.0159</v>
      </c>
      <c r="K54" s="52">
        <v>81019.67000000001</v>
      </c>
      <c r="L54" s="52">
        <v>-5884.654100000014</v>
      </c>
      <c r="M54" s="53">
        <v>-0.07832106015432433</v>
      </c>
      <c r="N54" s="53"/>
      <c r="O54" s="52">
        <v>34229.9562</v>
      </c>
      <c r="P54" s="52">
        <v>34831.96</v>
      </c>
      <c r="Q54" s="52">
        <v>-602.0037999999986</v>
      </c>
      <c r="R54" s="53">
        <v>-0.01758704558319004</v>
      </c>
      <c r="S54" s="54">
        <v>685.48</v>
      </c>
      <c r="T54" s="54">
        <v>740.5</v>
      </c>
      <c r="U54" s="54">
        <v>-55.01999999999998</v>
      </c>
      <c r="V54" s="53">
        <v>-0.0802649238489817</v>
      </c>
      <c r="W54" s="53"/>
      <c r="X54" s="55">
        <v>53.26829169480081</v>
      </c>
      <c r="Y54" s="55">
        <v>67.00679527854935</v>
      </c>
      <c r="Z54" s="53">
        <v>0.254</v>
      </c>
      <c r="AA54" s="56">
        <v>0.2958</v>
      </c>
      <c r="AB54" s="57"/>
      <c r="AD54" s="35" t="s">
        <v>99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100</v>
      </c>
      <c r="D55" s="52"/>
      <c r="E55" s="52"/>
      <c r="F55" s="52"/>
      <c r="G55" s="53"/>
      <c r="H55" s="52"/>
      <c r="I55" s="52"/>
      <c r="J55" s="52"/>
      <c r="K55" s="52"/>
      <c r="L55" s="52"/>
      <c r="M55" s="53"/>
      <c r="N55" s="53"/>
      <c r="O55" s="52"/>
      <c r="P55" s="52"/>
      <c r="Q55" s="52"/>
      <c r="R55" s="53"/>
      <c r="S55" s="54"/>
      <c r="T55" s="54"/>
      <c r="U55" s="54"/>
      <c r="V55" s="53"/>
      <c r="W55" s="53"/>
      <c r="X55" s="55"/>
      <c r="Y55" s="55"/>
      <c r="Z55" s="53"/>
      <c r="AA55" s="56"/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101</v>
      </c>
      <c r="D56" s="52"/>
      <c r="E56" s="52"/>
      <c r="F56" s="52"/>
      <c r="G56" s="53"/>
      <c r="H56" s="52"/>
      <c r="I56" s="52"/>
      <c r="J56" s="52"/>
      <c r="K56" s="52"/>
      <c r="L56" s="52"/>
      <c r="M56" s="53"/>
      <c r="N56" s="53"/>
      <c r="O56" s="52"/>
      <c r="P56" s="52"/>
      <c r="Q56" s="52"/>
      <c r="R56" s="53"/>
      <c r="S56" s="54"/>
      <c r="T56" s="54"/>
      <c r="U56" s="54"/>
      <c r="V56" s="53"/>
      <c r="W56" s="53"/>
      <c r="X56" s="55"/>
      <c r="Y56" s="55"/>
      <c r="Z56" s="53"/>
      <c r="AA56" s="56"/>
      <c r="AB56" s="57"/>
      <c r="AD56" s="35" t="s">
        <v>102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103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104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96</v>
      </c>
      <c r="D60" s="52">
        <v>20420.56</v>
      </c>
      <c r="E60" s="52">
        <v>20420.56</v>
      </c>
      <c r="F60" s="52">
        <v>0</v>
      </c>
      <c r="G60" s="53">
        <v>0</v>
      </c>
      <c r="H60" s="52">
        <v>15859.68</v>
      </c>
      <c r="I60" s="52">
        <v>13435.12</v>
      </c>
      <c r="J60" s="52">
        <v>12689.1</v>
      </c>
      <c r="K60" s="52">
        <v>11478.25</v>
      </c>
      <c r="L60" s="52">
        <v>1210.8500000000004</v>
      </c>
      <c r="M60" s="53">
        <v>0.09542441938356545</v>
      </c>
      <c r="N60" s="53"/>
      <c r="O60" s="52">
        <v>3170.58</v>
      </c>
      <c r="P60" s="52">
        <v>1956.87</v>
      </c>
      <c r="Q60" s="52">
        <v>1213.71</v>
      </c>
      <c r="R60" s="53">
        <v>0.38280377722687964</v>
      </c>
      <c r="S60" s="54">
        <v>63.5</v>
      </c>
      <c r="T60" s="54">
        <v>48.25</v>
      </c>
      <c r="U60" s="54">
        <v>15.25</v>
      </c>
      <c r="V60" s="53">
        <v>0.24015748031496062</v>
      </c>
      <c r="W60" s="53">
        <v>0.4</v>
      </c>
      <c r="X60" s="55">
        <v>144.7759585492228</v>
      </c>
      <c r="Y60" s="55">
        <v>71.82495570677168</v>
      </c>
      <c r="Z60" s="53">
        <v>0.3421</v>
      </c>
      <c r="AA60" s="56">
        <v>0.2233</v>
      </c>
      <c r="AB60" s="57"/>
      <c r="AD60" s="35" t="s">
        <v>97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98</v>
      </c>
      <c r="D61" s="52"/>
      <c r="E61" s="52"/>
      <c r="F61" s="52"/>
      <c r="G61" s="53"/>
      <c r="H61" s="52"/>
      <c r="I61" s="52"/>
      <c r="J61" s="52"/>
      <c r="K61" s="52"/>
      <c r="L61" s="52"/>
      <c r="M61" s="53"/>
      <c r="N61" s="53"/>
      <c r="O61" s="52"/>
      <c r="P61" s="52"/>
      <c r="Q61" s="52"/>
      <c r="R61" s="53"/>
      <c r="S61" s="54"/>
      <c r="T61" s="54"/>
      <c r="U61" s="54"/>
      <c r="V61" s="53"/>
      <c r="W61" s="53"/>
      <c r="X61" s="55"/>
      <c r="Y61" s="55"/>
      <c r="Z61" s="53"/>
      <c r="AA61" s="56"/>
      <c r="AB61" s="57"/>
      <c r="AD61" s="35" t="s">
        <v>99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100</v>
      </c>
      <c r="D62" s="52"/>
      <c r="E62" s="52"/>
      <c r="F62" s="52"/>
      <c r="G62" s="53"/>
      <c r="H62" s="52"/>
      <c r="I62" s="52"/>
      <c r="J62" s="52"/>
      <c r="K62" s="52"/>
      <c r="L62" s="52"/>
      <c r="M62" s="53"/>
      <c r="N62" s="53"/>
      <c r="O62" s="52"/>
      <c r="P62" s="52"/>
      <c r="Q62" s="52"/>
      <c r="R62" s="53"/>
      <c r="S62" s="54"/>
      <c r="T62" s="54"/>
      <c r="U62" s="54"/>
      <c r="V62" s="53"/>
      <c r="W62" s="53"/>
      <c r="X62" s="55"/>
      <c r="Y62" s="55"/>
      <c r="Z62" s="53"/>
      <c r="AA62" s="56"/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101</v>
      </c>
      <c r="D63" s="52"/>
      <c r="E63" s="52"/>
      <c r="F63" s="52"/>
      <c r="G63" s="53"/>
      <c r="H63" s="52"/>
      <c r="I63" s="52"/>
      <c r="J63" s="52"/>
      <c r="K63" s="52"/>
      <c r="L63" s="52"/>
      <c r="M63" s="53"/>
      <c r="N63" s="53"/>
      <c r="O63" s="52"/>
      <c r="P63" s="52"/>
      <c r="Q63" s="52"/>
      <c r="R63" s="53"/>
      <c r="S63" s="54"/>
      <c r="T63" s="54"/>
      <c r="U63" s="54"/>
      <c r="V63" s="53"/>
      <c r="W63" s="53"/>
      <c r="X63" s="55"/>
      <c r="Y63" s="55"/>
      <c r="Z63" s="53"/>
      <c r="AA63" s="56"/>
      <c r="AB63" s="57"/>
      <c r="AD63" s="35" t="s">
        <v>102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103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104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96</v>
      </c>
      <c r="D67" s="52">
        <v>53029.71458947</v>
      </c>
      <c r="E67" s="52">
        <v>29715.67</v>
      </c>
      <c r="F67" s="52">
        <v>23314.044589470002</v>
      </c>
      <c r="G67" s="53">
        <v>0.43964114779715263</v>
      </c>
      <c r="H67" s="52">
        <v>39055.77825</v>
      </c>
      <c r="I67" s="52">
        <v>30684.03</v>
      </c>
      <c r="J67" s="52">
        <v>29537.289750000004</v>
      </c>
      <c r="K67" s="52">
        <v>26364.309999999998</v>
      </c>
      <c r="L67" s="52">
        <v>3172.979750000006</v>
      </c>
      <c r="M67" s="53">
        <v>0.10742284674239638</v>
      </c>
      <c r="N67" s="53"/>
      <c r="O67" s="52">
        <v>9518.4885</v>
      </c>
      <c r="P67" s="52">
        <v>4319.72</v>
      </c>
      <c r="Q67" s="52">
        <v>5198.768499999999</v>
      </c>
      <c r="R67" s="53">
        <v>0.5461758450409432</v>
      </c>
      <c r="S67" s="54">
        <v>193.32</v>
      </c>
      <c r="T67" s="54">
        <v>90.75</v>
      </c>
      <c r="U67" s="54">
        <v>102.57</v>
      </c>
      <c r="V67" s="53">
        <v>0.5305710738671633</v>
      </c>
      <c r="W67" s="53"/>
      <c r="X67" s="55">
        <v>-10.670633608815427</v>
      </c>
      <c r="Y67" s="55">
        <v>72.28396616733912</v>
      </c>
      <c r="Z67" s="53">
        <v>-0.0326</v>
      </c>
      <c r="AA67" s="56">
        <v>0.2635</v>
      </c>
      <c r="AB67" s="57"/>
      <c r="AD67" s="35" t="s">
        <v>97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98</v>
      </c>
      <c r="D68" s="52">
        <v>53029.71458947</v>
      </c>
      <c r="E68" s="52">
        <v>29715.67</v>
      </c>
      <c r="F68" s="52">
        <v>23314.044589470002</v>
      </c>
      <c r="G68" s="53">
        <v>0.43964114779715263</v>
      </c>
      <c r="H68" s="52">
        <v>39055.77825</v>
      </c>
      <c r="I68" s="52">
        <v>30684.03</v>
      </c>
      <c r="J68" s="52">
        <v>29537.289750000004</v>
      </c>
      <c r="K68" s="52">
        <v>26364.309999999998</v>
      </c>
      <c r="L68" s="52">
        <v>3172.979750000006</v>
      </c>
      <c r="M68" s="53">
        <v>0.10742284674239638</v>
      </c>
      <c r="N68" s="53"/>
      <c r="O68" s="52">
        <v>9518.4885</v>
      </c>
      <c r="P68" s="52">
        <v>4319.72</v>
      </c>
      <c r="Q68" s="52">
        <v>5198.768499999999</v>
      </c>
      <c r="R68" s="53">
        <v>0.5461758450409432</v>
      </c>
      <c r="S68" s="54">
        <v>193.32</v>
      </c>
      <c r="T68" s="54">
        <v>90.75</v>
      </c>
      <c r="U68" s="54">
        <v>102.57</v>
      </c>
      <c r="V68" s="53">
        <v>0.5305710738671633</v>
      </c>
      <c r="W68" s="53"/>
      <c r="X68" s="55">
        <v>-10.670633608815427</v>
      </c>
      <c r="Y68" s="55">
        <v>72.28396616733912</v>
      </c>
      <c r="Z68" s="53">
        <v>-0.0326</v>
      </c>
      <c r="AA68" s="56">
        <v>0.2635</v>
      </c>
      <c r="AB68" s="57"/>
      <c r="AD68" s="35" t="s">
        <v>99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100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101</v>
      </c>
      <c r="D70" s="52"/>
      <c r="E70" s="52"/>
      <c r="F70" s="52"/>
      <c r="G70" s="53"/>
      <c r="H70" s="52"/>
      <c r="I70" s="52"/>
      <c r="J70" s="52"/>
      <c r="K70" s="52"/>
      <c r="L70" s="52"/>
      <c r="M70" s="53"/>
      <c r="N70" s="53"/>
      <c r="O70" s="52"/>
      <c r="P70" s="52"/>
      <c r="Q70" s="52"/>
      <c r="R70" s="53"/>
      <c r="S70" s="54"/>
      <c r="T70" s="54"/>
      <c r="U70" s="54"/>
      <c r="V70" s="53"/>
      <c r="W70" s="53"/>
      <c r="X70" s="55"/>
      <c r="Y70" s="55"/>
      <c r="Z70" s="53"/>
      <c r="AA70" s="56"/>
      <c r="AB70" s="57"/>
      <c r="AD70" s="35" t="s">
        <v>102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103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104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96</v>
      </c>
      <c r="D74" s="52">
        <v>78753.06644148</v>
      </c>
      <c r="E74" s="52">
        <v>61764.82</v>
      </c>
      <c r="F74" s="52">
        <v>16988.246441479998</v>
      </c>
      <c r="G74" s="53">
        <v>0.21571536460873764</v>
      </c>
      <c r="H74" s="52">
        <v>55589.7822</v>
      </c>
      <c r="I74" s="52">
        <v>48815.57</v>
      </c>
      <c r="J74" s="52">
        <v>32594.7534</v>
      </c>
      <c r="K74" s="52">
        <v>35862.99</v>
      </c>
      <c r="L74" s="52">
        <v>-3268.2365999999965</v>
      </c>
      <c r="M74" s="53">
        <v>-0.10026879356602209</v>
      </c>
      <c r="N74" s="53"/>
      <c r="O74" s="52">
        <v>22995.0288</v>
      </c>
      <c r="P74" s="52">
        <v>12952.58</v>
      </c>
      <c r="Q74" s="52">
        <v>10042.4488</v>
      </c>
      <c r="R74" s="53">
        <v>0.43672260153899</v>
      </c>
      <c r="S74" s="54">
        <v>472.14</v>
      </c>
      <c r="T74" s="54">
        <v>257.25</v>
      </c>
      <c r="U74" s="54">
        <v>214.89</v>
      </c>
      <c r="V74" s="53">
        <v>0.4551404244503749</v>
      </c>
      <c r="W74" s="53">
        <v>0</v>
      </c>
      <c r="X74" s="55">
        <v>50.33722060252673</v>
      </c>
      <c r="Y74" s="55">
        <v>49.060202993773025</v>
      </c>
      <c r="Z74" s="53">
        <v>0.2097</v>
      </c>
      <c r="AA74" s="56">
        <v>0.2941</v>
      </c>
      <c r="AB74" s="57"/>
      <c r="AD74" s="35" t="s">
        <v>97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98</v>
      </c>
      <c r="D75" s="52">
        <v>78753.06644148</v>
      </c>
      <c r="E75" s="52">
        <v>61764.82</v>
      </c>
      <c r="F75" s="52">
        <v>16988.246441479998</v>
      </c>
      <c r="G75" s="53">
        <v>0.21571536460873764</v>
      </c>
      <c r="H75" s="52">
        <v>55589.7822</v>
      </c>
      <c r="I75" s="52">
        <v>49921.75</v>
      </c>
      <c r="J75" s="52">
        <v>32594.7534</v>
      </c>
      <c r="K75" s="52">
        <v>36088.43</v>
      </c>
      <c r="L75" s="52">
        <v>-3493.676599999999</v>
      </c>
      <c r="M75" s="53">
        <v>-0.10718524411355107</v>
      </c>
      <c r="N75" s="53"/>
      <c r="O75" s="52">
        <v>22995.0288</v>
      </c>
      <c r="P75" s="52">
        <v>13833.32</v>
      </c>
      <c r="Q75" s="52">
        <v>9161.7088</v>
      </c>
      <c r="R75" s="53">
        <v>0.3984212796463208</v>
      </c>
      <c r="S75" s="54">
        <v>472.14</v>
      </c>
      <c r="T75" s="54">
        <v>275.25</v>
      </c>
      <c r="U75" s="54">
        <v>196.89</v>
      </c>
      <c r="V75" s="53">
        <v>0.4170161392807218</v>
      </c>
      <c r="W75" s="53"/>
      <c r="X75" s="55">
        <v>43.02659400544959</v>
      </c>
      <c r="Y75" s="55">
        <v>49.060202993773025</v>
      </c>
      <c r="Z75" s="53">
        <v>0.1917</v>
      </c>
      <c r="AA75" s="56">
        <v>0.2941</v>
      </c>
      <c r="AB75" s="57"/>
      <c r="AD75" s="35" t="s">
        <v>99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100</v>
      </c>
      <c r="D76" s="52"/>
      <c r="E76" s="52"/>
      <c r="F76" s="52"/>
      <c r="G76" s="53"/>
      <c r="H76" s="52"/>
      <c r="I76" s="52"/>
      <c r="J76" s="52"/>
      <c r="K76" s="52"/>
      <c r="L76" s="52"/>
      <c r="M76" s="53"/>
      <c r="N76" s="53"/>
      <c r="O76" s="52"/>
      <c r="P76" s="52"/>
      <c r="Q76" s="52"/>
      <c r="R76" s="53"/>
      <c r="S76" s="54"/>
      <c r="T76" s="54"/>
      <c r="U76" s="54"/>
      <c r="V76" s="53"/>
      <c r="W76" s="53"/>
      <c r="X76" s="55"/>
      <c r="Y76" s="55"/>
      <c r="Z76" s="53"/>
      <c r="AA76" s="56"/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101</v>
      </c>
      <c r="D77" s="52"/>
      <c r="E77" s="52"/>
      <c r="F77" s="52"/>
      <c r="G77" s="53"/>
      <c r="H77" s="52"/>
      <c r="I77" s="52"/>
      <c r="J77" s="52"/>
      <c r="K77" s="52"/>
      <c r="L77" s="52"/>
      <c r="M77" s="53"/>
      <c r="N77" s="53"/>
      <c r="O77" s="52"/>
      <c r="P77" s="52"/>
      <c r="Q77" s="52"/>
      <c r="R77" s="53"/>
      <c r="S77" s="54"/>
      <c r="T77" s="54"/>
      <c r="U77" s="54"/>
      <c r="V77" s="53"/>
      <c r="W77" s="53"/>
      <c r="X77" s="55"/>
      <c r="Y77" s="55"/>
      <c r="Z77" s="53"/>
      <c r="AA77" s="56"/>
      <c r="AB77" s="57"/>
      <c r="AD77" s="35" t="s">
        <v>102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103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104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96</v>
      </c>
      <c r="D81" s="52">
        <v>26846.9041072</v>
      </c>
      <c r="E81" s="52">
        <v>20977.47</v>
      </c>
      <c r="F81" s="52">
        <v>5869.434107199999</v>
      </c>
      <c r="G81" s="53">
        <v>0.21862610615225056</v>
      </c>
      <c r="H81" s="52">
        <v>17678.176816</v>
      </c>
      <c r="I81" s="52">
        <v>16373.33</v>
      </c>
      <c r="J81" s="52">
        <v>10731.333616</v>
      </c>
      <c r="K81" s="52">
        <v>7553.74</v>
      </c>
      <c r="L81" s="52">
        <v>3177.593616</v>
      </c>
      <c r="M81" s="53">
        <v>0.2961042615674842</v>
      </c>
      <c r="N81" s="53">
        <v>0</v>
      </c>
      <c r="O81" s="52">
        <v>6946.8432</v>
      </c>
      <c r="P81" s="52">
        <v>8819.59</v>
      </c>
      <c r="Q81" s="52">
        <v>-1872.7468</v>
      </c>
      <c r="R81" s="53">
        <v>-0.26958241982487813</v>
      </c>
      <c r="S81" s="54">
        <v>139.07</v>
      </c>
      <c r="T81" s="54">
        <v>167.75</v>
      </c>
      <c r="U81" s="54">
        <v>-28.680000000000007</v>
      </c>
      <c r="V81" s="53">
        <v>-0.20622707988782632</v>
      </c>
      <c r="W81" s="53"/>
      <c r="X81" s="55">
        <v>27.446438152011925</v>
      </c>
      <c r="Y81" s="55">
        <v>65.92886525634573</v>
      </c>
      <c r="Z81" s="53">
        <v>0.2195</v>
      </c>
      <c r="AA81" s="56">
        <v>0.3415</v>
      </c>
      <c r="AB81" s="57"/>
      <c r="AD81" s="35" t="s">
        <v>97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98</v>
      </c>
      <c r="D82" s="52">
        <v>26846.9041072</v>
      </c>
      <c r="E82" s="52">
        <v>20977.47</v>
      </c>
      <c r="F82" s="52">
        <v>5869.434107199999</v>
      </c>
      <c r="G82" s="53">
        <v>0.21862610615225056</v>
      </c>
      <c r="H82" s="52">
        <v>17678.176816</v>
      </c>
      <c r="I82" s="52">
        <v>16373.33</v>
      </c>
      <c r="J82" s="52">
        <v>10731.333616</v>
      </c>
      <c r="K82" s="52">
        <v>7553.74</v>
      </c>
      <c r="L82" s="52">
        <v>3177.593616</v>
      </c>
      <c r="M82" s="53">
        <v>0.2961042615674842</v>
      </c>
      <c r="N82" s="53"/>
      <c r="O82" s="52">
        <v>6946.8432</v>
      </c>
      <c r="P82" s="52">
        <v>8819.59</v>
      </c>
      <c r="Q82" s="52">
        <v>-1872.7468</v>
      </c>
      <c r="R82" s="53">
        <v>-0.26958241982487813</v>
      </c>
      <c r="S82" s="54">
        <v>139.07</v>
      </c>
      <c r="T82" s="54">
        <v>167.75</v>
      </c>
      <c r="U82" s="54">
        <v>-28.680000000000007</v>
      </c>
      <c r="V82" s="53">
        <v>-0.20622707988782632</v>
      </c>
      <c r="W82" s="53"/>
      <c r="X82" s="55">
        <v>27.446438152011925</v>
      </c>
      <c r="Y82" s="55">
        <v>65.92886525634573</v>
      </c>
      <c r="Z82" s="53">
        <v>0.2195</v>
      </c>
      <c r="AA82" s="56">
        <v>0.3415</v>
      </c>
      <c r="AB82" s="57"/>
      <c r="AD82" s="35" t="s">
        <v>99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100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101</v>
      </c>
      <c r="D84" s="52"/>
      <c r="E84" s="52"/>
      <c r="F84" s="52"/>
      <c r="G84" s="53"/>
      <c r="H84" s="52"/>
      <c r="I84" s="52"/>
      <c r="J84" s="52"/>
      <c r="K84" s="52"/>
      <c r="L84" s="52"/>
      <c r="M84" s="53"/>
      <c r="N84" s="53"/>
      <c r="O84" s="52"/>
      <c r="P84" s="52"/>
      <c r="Q84" s="52"/>
      <c r="R84" s="53"/>
      <c r="S84" s="54"/>
      <c r="T84" s="54"/>
      <c r="U84" s="54"/>
      <c r="V84" s="53"/>
      <c r="W84" s="53"/>
      <c r="X84" s="55"/>
      <c r="Y84" s="55"/>
      <c r="Z84" s="53"/>
      <c r="AA84" s="56"/>
      <c r="AB84" s="57"/>
      <c r="AD84" s="35" t="s">
        <v>102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103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104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96</v>
      </c>
      <c r="D88" s="67">
        <v>37218.0313712</v>
      </c>
      <c r="E88" s="67">
        <v>36381.33</v>
      </c>
      <c r="F88" s="52">
        <v>836.7013711999971</v>
      </c>
      <c r="G88" s="53">
        <v>0.022481075445797277</v>
      </c>
      <c r="H88" s="52">
        <v>27090.14646</v>
      </c>
      <c r="I88" s="52">
        <v>25103.82</v>
      </c>
      <c r="J88" s="52">
        <v>15515.12046</v>
      </c>
      <c r="K88" s="52">
        <v>13974.73</v>
      </c>
      <c r="L88" s="52">
        <v>1540.3904600000005</v>
      </c>
      <c r="M88" s="53">
        <v>0.09928317759255094</v>
      </c>
      <c r="N88" s="53">
        <v>0</v>
      </c>
      <c r="O88" s="52">
        <v>11575.026</v>
      </c>
      <c r="P88" s="52">
        <v>11129.09</v>
      </c>
      <c r="Q88" s="52">
        <v>445.9359999999997</v>
      </c>
      <c r="R88" s="53">
        <v>0.038525701799719474</v>
      </c>
      <c r="S88" s="68">
        <v>232</v>
      </c>
      <c r="T88" s="68">
        <v>225.5</v>
      </c>
      <c r="U88" s="54">
        <v>6.5</v>
      </c>
      <c r="V88" s="53">
        <v>0.028017241379310345</v>
      </c>
      <c r="W88" s="53"/>
      <c r="X88" s="55">
        <v>50.01113082039912</v>
      </c>
      <c r="Y88" s="55">
        <v>43.65467634137931</v>
      </c>
      <c r="Z88" s="53">
        <v>0.31</v>
      </c>
      <c r="AA88" s="56">
        <v>0.2721</v>
      </c>
      <c r="AB88" s="57"/>
      <c r="AD88" s="35" t="s">
        <v>97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98</v>
      </c>
      <c r="D89" s="67">
        <v>37218.0313712</v>
      </c>
      <c r="E89" s="67">
        <v>36381.33</v>
      </c>
      <c r="F89" s="52">
        <v>836.7013711999971</v>
      </c>
      <c r="G89" s="53">
        <v>0.022481075445797277</v>
      </c>
      <c r="H89" s="52">
        <v>27090.14646</v>
      </c>
      <c r="I89" s="52">
        <v>26164.59</v>
      </c>
      <c r="J89" s="52">
        <v>15515.12046</v>
      </c>
      <c r="K89" s="52">
        <v>14571.4</v>
      </c>
      <c r="L89" s="52">
        <v>943.7204600000005</v>
      </c>
      <c r="M89" s="53">
        <v>0.060825854522562985</v>
      </c>
      <c r="N89" s="53"/>
      <c r="O89" s="52">
        <v>11575.026</v>
      </c>
      <c r="P89" s="52">
        <v>11593.19</v>
      </c>
      <c r="Q89" s="52">
        <v>-18.16400000000067</v>
      </c>
      <c r="R89" s="53">
        <v>-0.0015692405356152693</v>
      </c>
      <c r="S89" s="68">
        <v>232</v>
      </c>
      <c r="T89" s="68">
        <v>234</v>
      </c>
      <c r="U89" s="54">
        <v>-2</v>
      </c>
      <c r="V89" s="53">
        <v>-0.008620689655172414</v>
      </c>
      <c r="W89" s="53"/>
      <c r="X89" s="55">
        <v>43.66128205128205</v>
      </c>
      <c r="Y89" s="55">
        <v>43.65467634137931</v>
      </c>
      <c r="Z89" s="53">
        <v>0.2808</v>
      </c>
      <c r="AA89" s="56">
        <v>0.2721</v>
      </c>
      <c r="AB89" s="57"/>
      <c r="AD89" s="35" t="s">
        <v>99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100</v>
      </c>
      <c r="D90" s="67"/>
      <c r="E90" s="67"/>
      <c r="F90" s="52"/>
      <c r="G90" s="53"/>
      <c r="H90" s="52"/>
      <c r="I90" s="52"/>
      <c r="J90" s="52"/>
      <c r="K90" s="52"/>
      <c r="L90" s="52"/>
      <c r="M90" s="53"/>
      <c r="N90" s="53"/>
      <c r="O90" s="52"/>
      <c r="P90" s="52"/>
      <c r="Q90" s="52"/>
      <c r="R90" s="53"/>
      <c r="S90" s="68"/>
      <c r="T90" s="68"/>
      <c r="U90" s="54"/>
      <c r="V90" s="53"/>
      <c r="W90" s="53"/>
      <c r="X90" s="55"/>
      <c r="Y90" s="55"/>
      <c r="Z90" s="53"/>
      <c r="AA90" s="56"/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101</v>
      </c>
      <c r="D91" s="67"/>
      <c r="E91" s="67"/>
      <c r="F91" s="52"/>
      <c r="G91" s="53"/>
      <c r="H91" s="52"/>
      <c r="I91" s="52"/>
      <c r="J91" s="52"/>
      <c r="K91" s="52"/>
      <c r="L91" s="52"/>
      <c r="M91" s="53"/>
      <c r="N91" s="53"/>
      <c r="O91" s="52"/>
      <c r="P91" s="52"/>
      <c r="Q91" s="52"/>
      <c r="R91" s="53"/>
      <c r="S91" s="68"/>
      <c r="T91" s="68"/>
      <c r="U91" s="54"/>
      <c r="V91" s="53"/>
      <c r="W91" s="53"/>
      <c r="X91" s="55"/>
      <c r="Y91" s="55"/>
      <c r="Z91" s="53"/>
      <c r="AA91" s="56"/>
      <c r="AB91" s="57"/>
      <c r="AD91" s="35" t="s">
        <v>102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103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104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96</v>
      </c>
      <c r="D95" s="52">
        <v>26186.1354</v>
      </c>
      <c r="E95" s="52">
        <v>5762.27</v>
      </c>
      <c r="F95" s="52">
        <v>20423.8654</v>
      </c>
      <c r="G95" s="53">
        <v>0.7799495835494686</v>
      </c>
      <c r="H95" s="52">
        <v>19428.9760178</v>
      </c>
      <c r="I95" s="52">
        <v>8019.36</v>
      </c>
      <c r="J95" s="52">
        <v>12051.3142178</v>
      </c>
      <c r="K95" s="52">
        <v>7687.129999999999</v>
      </c>
      <c r="L95" s="52">
        <v>4364.184217800001</v>
      </c>
      <c r="M95" s="53">
        <v>0.3621334685103493</v>
      </c>
      <c r="N95" s="53">
        <v>0</v>
      </c>
      <c r="O95" s="52">
        <v>7377.6618</v>
      </c>
      <c r="P95" s="52">
        <v>332.23</v>
      </c>
      <c r="Q95" s="52">
        <v>7045.4318</v>
      </c>
      <c r="R95" s="53">
        <v>0.954968117405436</v>
      </c>
      <c r="S95" s="54">
        <v>147.9</v>
      </c>
      <c r="T95" s="54">
        <v>6.5</v>
      </c>
      <c r="U95" s="54">
        <v>141.4</v>
      </c>
      <c r="V95" s="53">
        <v>0.9560513860716701</v>
      </c>
      <c r="W95" s="53"/>
      <c r="X95" s="55">
        <v>-347.24461538461543</v>
      </c>
      <c r="Y95" s="55">
        <v>45.687352144692355</v>
      </c>
      <c r="Z95" s="53">
        <v>-0.3917</v>
      </c>
      <c r="AA95" s="56">
        <v>0.258</v>
      </c>
      <c r="AB95" s="57"/>
      <c r="AD95" s="35" t="s">
        <v>97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98</v>
      </c>
      <c r="D96" s="52">
        <v>26186.1354</v>
      </c>
      <c r="E96" s="52">
        <v>5762.27</v>
      </c>
      <c r="F96" s="52">
        <v>20423.8654</v>
      </c>
      <c r="G96" s="53">
        <v>0.7799495835494686</v>
      </c>
      <c r="H96" s="52">
        <v>19428.9760178</v>
      </c>
      <c r="I96" s="52">
        <v>8019.36</v>
      </c>
      <c r="J96" s="52">
        <v>12051.3142178</v>
      </c>
      <c r="K96" s="52">
        <v>7687.129999999999</v>
      </c>
      <c r="L96" s="52">
        <v>4364.184217800001</v>
      </c>
      <c r="M96" s="53">
        <v>0.3621334685103493</v>
      </c>
      <c r="N96" s="53"/>
      <c r="O96" s="52">
        <v>7377.6618</v>
      </c>
      <c r="P96" s="52">
        <v>332.23</v>
      </c>
      <c r="Q96" s="52">
        <v>7045.4318</v>
      </c>
      <c r="R96" s="53">
        <v>0.954968117405436</v>
      </c>
      <c r="S96" s="54">
        <v>147.9</v>
      </c>
      <c r="T96" s="54">
        <v>6.5</v>
      </c>
      <c r="U96" s="54">
        <v>141.4</v>
      </c>
      <c r="V96" s="53">
        <v>0.9560513860716701</v>
      </c>
      <c r="W96" s="53"/>
      <c r="X96" s="55">
        <v>-347.24461538461543</v>
      </c>
      <c r="Y96" s="55">
        <v>45.687352144692355</v>
      </c>
      <c r="Z96" s="53">
        <v>-0.3917</v>
      </c>
      <c r="AA96" s="56">
        <v>0.258</v>
      </c>
      <c r="AB96" s="57"/>
      <c r="AD96" s="35" t="s">
        <v>99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100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101</v>
      </c>
      <c r="D98" s="52"/>
      <c r="E98" s="52"/>
      <c r="F98" s="52"/>
      <c r="G98" s="53"/>
      <c r="H98" s="52"/>
      <c r="I98" s="52"/>
      <c r="J98" s="52"/>
      <c r="K98" s="52"/>
      <c r="L98" s="52"/>
      <c r="M98" s="53"/>
      <c r="N98" s="53"/>
      <c r="O98" s="52"/>
      <c r="P98" s="52"/>
      <c r="Q98" s="52"/>
      <c r="R98" s="53"/>
      <c r="S98" s="54"/>
      <c r="T98" s="54"/>
      <c r="U98" s="54"/>
      <c r="V98" s="53"/>
      <c r="W98" s="53"/>
      <c r="X98" s="55"/>
      <c r="Y98" s="55"/>
      <c r="Z98" s="53"/>
      <c r="AA98" s="56"/>
      <c r="AB98" s="57"/>
      <c r="AD98" s="35" t="s">
        <v>102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103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104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96</v>
      </c>
      <c r="D102" s="52">
        <v>32473.02</v>
      </c>
      <c r="E102" s="52">
        <v>32473.03</v>
      </c>
      <c r="F102" s="52">
        <v>-0.00999999999839929</v>
      </c>
      <c r="G102" s="53">
        <v>-3.0794795181967334e-7</v>
      </c>
      <c r="H102" s="52">
        <v>23075.07</v>
      </c>
      <c r="I102" s="52">
        <v>31170.94</v>
      </c>
      <c r="J102" s="52">
        <v>12691.21</v>
      </c>
      <c r="K102" s="52">
        <v>15089.13</v>
      </c>
      <c r="L102" s="52">
        <v>-2397.92</v>
      </c>
      <c r="M102" s="53">
        <v>-0.18894337104184708</v>
      </c>
      <c r="N102" s="53">
        <v>0</v>
      </c>
      <c r="O102" s="52">
        <v>10383.86</v>
      </c>
      <c r="P102" s="52">
        <v>16081.81</v>
      </c>
      <c r="Q102" s="52">
        <v>-5697.949999999999</v>
      </c>
      <c r="R102" s="53">
        <v>-0.5487313966097385</v>
      </c>
      <c r="S102" s="54">
        <v>208.2</v>
      </c>
      <c r="T102" s="54">
        <v>324.25</v>
      </c>
      <c r="U102" s="54">
        <v>-116.05000000000001</v>
      </c>
      <c r="V102" s="53">
        <v>-0.5573967339097023</v>
      </c>
      <c r="W102" s="53"/>
      <c r="X102" s="55">
        <v>4.015697764070933</v>
      </c>
      <c r="Y102" s="55">
        <v>45.139084580403456</v>
      </c>
      <c r="Z102" s="53">
        <v>0.0401</v>
      </c>
      <c r="AA102" s="56">
        <v>0.2894</v>
      </c>
      <c r="AB102" s="57"/>
      <c r="AD102" s="35" t="s">
        <v>97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98</v>
      </c>
      <c r="D103" s="52"/>
      <c r="E103" s="69"/>
      <c r="F103" s="52"/>
      <c r="G103" s="53"/>
      <c r="H103" s="52"/>
      <c r="I103" s="52"/>
      <c r="J103" s="52"/>
      <c r="K103" s="52"/>
      <c r="L103" s="52"/>
      <c r="M103" s="53"/>
      <c r="N103" s="53"/>
      <c r="O103" s="52"/>
      <c r="P103" s="52"/>
      <c r="Q103" s="52"/>
      <c r="R103" s="53"/>
      <c r="S103" s="54"/>
      <c r="T103" s="54"/>
      <c r="U103" s="54"/>
      <c r="V103" s="53"/>
      <c r="W103" s="53"/>
      <c r="X103" s="55"/>
      <c r="Y103" s="55"/>
      <c r="Z103" s="53"/>
      <c r="AA103" s="56"/>
      <c r="AB103" s="57"/>
      <c r="AD103" s="35" t="s">
        <v>99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100</v>
      </c>
      <c r="D104" s="52"/>
      <c r="E104" s="69"/>
      <c r="F104" s="52"/>
      <c r="G104" s="53"/>
      <c r="H104" s="52"/>
      <c r="I104" s="52"/>
      <c r="J104" s="52"/>
      <c r="K104" s="52"/>
      <c r="L104" s="52"/>
      <c r="M104" s="53"/>
      <c r="N104" s="53"/>
      <c r="O104" s="52"/>
      <c r="P104" s="52"/>
      <c r="Q104" s="52"/>
      <c r="R104" s="53"/>
      <c r="S104" s="54"/>
      <c r="T104" s="54"/>
      <c r="U104" s="54"/>
      <c r="V104" s="53"/>
      <c r="W104" s="53"/>
      <c r="X104" s="55"/>
      <c r="Y104" s="55"/>
      <c r="Z104" s="53"/>
      <c r="AA104" s="56"/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101</v>
      </c>
      <c r="D105" s="52"/>
      <c r="E105" s="69"/>
      <c r="F105" s="52"/>
      <c r="G105" s="53"/>
      <c r="H105" s="52"/>
      <c r="I105" s="52"/>
      <c r="J105" s="52"/>
      <c r="K105" s="52"/>
      <c r="L105" s="52"/>
      <c r="M105" s="53"/>
      <c r="N105" s="53"/>
      <c r="O105" s="52"/>
      <c r="P105" s="52"/>
      <c r="Q105" s="52"/>
      <c r="R105" s="53"/>
      <c r="S105" s="54"/>
      <c r="T105" s="54"/>
      <c r="U105" s="54"/>
      <c r="V105" s="53"/>
      <c r="W105" s="53"/>
      <c r="X105" s="55"/>
      <c r="Y105" s="55"/>
      <c r="Z105" s="53"/>
      <c r="AA105" s="56"/>
      <c r="AB105" s="57"/>
      <c r="AD105" s="35" t="s">
        <v>102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103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104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96</v>
      </c>
      <c r="D109" s="52">
        <v>58902.56</v>
      </c>
      <c r="E109" s="52">
        <v>0</v>
      </c>
      <c r="F109" s="52">
        <v>58902.56</v>
      </c>
      <c r="G109" s="53">
        <v>1</v>
      </c>
      <c r="H109" s="52">
        <v>37601.88</v>
      </c>
      <c r="I109" s="52">
        <v>45817.77</v>
      </c>
      <c r="J109" s="52">
        <v>21415.85</v>
      </c>
      <c r="K109" s="52">
        <v>23939.389999999996</v>
      </c>
      <c r="L109" s="52">
        <v>-2523.5399999999972</v>
      </c>
      <c r="M109" s="53">
        <v>-0.11783515480356826</v>
      </c>
      <c r="N109" s="53">
        <v>0</v>
      </c>
      <c r="O109" s="52">
        <v>16186.03</v>
      </c>
      <c r="P109" s="52">
        <v>21878.38</v>
      </c>
      <c r="Q109" s="52">
        <v>-5692.35</v>
      </c>
      <c r="R109" s="53">
        <v>-0.3516829018604315</v>
      </c>
      <c r="S109" s="54">
        <v>324.19</v>
      </c>
      <c r="T109" s="54">
        <v>472.75</v>
      </c>
      <c r="U109" s="54">
        <v>-148.56</v>
      </c>
      <c r="V109" s="53">
        <v>-0.45824979178876585</v>
      </c>
      <c r="W109" s="53">
        <v>0</v>
      </c>
      <c r="X109" s="55">
        <v>48.973178212585935</v>
      </c>
      <c r="Y109" s="55">
        <v>65.70431400737223</v>
      </c>
      <c r="Z109" s="53">
        <v>0.3357</v>
      </c>
      <c r="AA109" s="56">
        <v>0.3616</v>
      </c>
      <c r="AB109" s="57"/>
      <c r="AD109" s="35" t="s">
        <v>97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98</v>
      </c>
      <c r="D110" s="52"/>
      <c r="E110" s="52"/>
      <c r="F110" s="52"/>
      <c r="G110" s="53"/>
      <c r="H110" s="52"/>
      <c r="I110" s="52"/>
      <c r="J110" s="52"/>
      <c r="K110" s="52"/>
      <c r="L110" s="52"/>
      <c r="M110" s="53"/>
      <c r="N110" s="53"/>
      <c r="O110" s="52"/>
      <c r="P110" s="52"/>
      <c r="Q110" s="52"/>
      <c r="R110" s="53"/>
      <c r="S110" s="54"/>
      <c r="T110" s="54"/>
      <c r="U110" s="54"/>
      <c r="V110" s="53"/>
      <c r="W110" s="53"/>
      <c r="X110" s="55"/>
      <c r="Y110" s="55"/>
      <c r="Z110" s="53"/>
      <c r="AA110" s="56"/>
      <c r="AB110" s="57"/>
      <c r="AD110" s="35" t="s">
        <v>99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100</v>
      </c>
      <c r="D111" s="52"/>
      <c r="E111" s="52"/>
      <c r="F111" s="52"/>
      <c r="G111" s="53"/>
      <c r="H111" s="52"/>
      <c r="I111" s="52"/>
      <c r="J111" s="52"/>
      <c r="K111" s="52"/>
      <c r="L111" s="52"/>
      <c r="M111" s="53"/>
      <c r="N111" s="53"/>
      <c r="O111" s="52"/>
      <c r="P111" s="52"/>
      <c r="Q111" s="52"/>
      <c r="R111" s="53"/>
      <c r="S111" s="54"/>
      <c r="T111" s="54"/>
      <c r="U111" s="54"/>
      <c r="V111" s="53"/>
      <c r="W111" s="53"/>
      <c r="X111" s="55"/>
      <c r="Y111" s="55"/>
      <c r="Z111" s="53"/>
      <c r="AA111" s="56"/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101</v>
      </c>
      <c r="D112" s="52"/>
      <c r="E112" s="52"/>
      <c r="F112" s="52"/>
      <c r="G112" s="53"/>
      <c r="H112" s="52"/>
      <c r="I112" s="52"/>
      <c r="J112" s="52"/>
      <c r="K112" s="52"/>
      <c r="L112" s="52"/>
      <c r="M112" s="53"/>
      <c r="N112" s="53"/>
      <c r="O112" s="52"/>
      <c r="P112" s="52"/>
      <c r="Q112" s="52"/>
      <c r="R112" s="53"/>
      <c r="S112" s="54"/>
      <c r="T112" s="54"/>
      <c r="U112" s="54"/>
      <c r="V112" s="53"/>
      <c r="W112" s="53"/>
      <c r="X112" s="55"/>
      <c r="Y112" s="55"/>
      <c r="Z112" s="53"/>
      <c r="AA112" s="56"/>
      <c r="AB112" s="57"/>
      <c r="AD112" s="35" t="s">
        <v>102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103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104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96</v>
      </c>
      <c r="D116" s="52">
        <v>20278.45679756</v>
      </c>
      <c r="E116" s="52">
        <v>0</v>
      </c>
      <c r="F116" s="52">
        <v>20278.45679756</v>
      </c>
      <c r="G116" s="53">
        <v>1</v>
      </c>
      <c r="H116" s="52">
        <v>16648.056795</v>
      </c>
      <c r="I116" s="52">
        <v>58.32</v>
      </c>
      <c r="J116" s="52">
        <v>12536.982795</v>
      </c>
      <c r="K116" s="52">
        <v>58.32</v>
      </c>
      <c r="L116" s="52">
        <v>12478.662795</v>
      </c>
      <c r="M116" s="53">
        <v>0.9953481630346291</v>
      </c>
      <c r="N116" s="53">
        <v>0</v>
      </c>
      <c r="O116" s="52">
        <v>4111.074</v>
      </c>
      <c r="P116" s="52">
        <v>0</v>
      </c>
      <c r="Q116" s="52">
        <v>4111.074</v>
      </c>
      <c r="R116" s="53">
        <v>1</v>
      </c>
      <c r="S116" s="54">
        <v>82.37</v>
      </c>
      <c r="T116" s="54">
        <v>0</v>
      </c>
      <c r="U116" s="54">
        <v>82.37</v>
      </c>
      <c r="V116" s="53">
        <v>1</v>
      </c>
      <c r="W116" s="53">
        <v>0</v>
      </c>
      <c r="X116" s="55">
        <v>0</v>
      </c>
      <c r="Y116" s="55">
        <v>44.07429892630812</v>
      </c>
      <c r="Z116" s="53">
        <v>0</v>
      </c>
      <c r="AA116" s="56">
        <v>0.179</v>
      </c>
      <c r="AB116" s="57"/>
      <c r="AD116" s="35" t="s">
        <v>97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98</v>
      </c>
      <c r="D117" s="52">
        <v>20278.45679756</v>
      </c>
      <c r="E117" s="52">
        <v>0</v>
      </c>
      <c r="F117" s="52">
        <v>20278.45679756</v>
      </c>
      <c r="G117" s="53">
        <v>1</v>
      </c>
      <c r="H117" s="52">
        <v>16648.056795</v>
      </c>
      <c r="I117" s="52">
        <v>3100.1</v>
      </c>
      <c r="J117" s="52">
        <v>12536.982795</v>
      </c>
      <c r="K117" s="52">
        <v>1650.85</v>
      </c>
      <c r="L117" s="52">
        <v>10886.132795</v>
      </c>
      <c r="M117" s="53">
        <v>0.8683215868607244</v>
      </c>
      <c r="N117" s="53"/>
      <c r="O117" s="52">
        <v>4111.074</v>
      </c>
      <c r="P117" s="52">
        <v>1449.25</v>
      </c>
      <c r="Q117" s="52">
        <v>2661.8239999999996</v>
      </c>
      <c r="R117" s="53">
        <v>0.6474765474909963</v>
      </c>
      <c r="S117" s="54">
        <v>82.37</v>
      </c>
      <c r="T117" s="54">
        <v>31.75</v>
      </c>
      <c r="U117" s="54">
        <v>50.620000000000005</v>
      </c>
      <c r="V117" s="53">
        <v>0.6145441301444701</v>
      </c>
      <c r="W117" s="53"/>
      <c r="X117" s="55">
        <v>-97.64094488188977</v>
      </c>
      <c r="Y117" s="55">
        <v>44.07429892630812</v>
      </c>
      <c r="Z117" s="53">
        <v>0</v>
      </c>
      <c r="AA117" s="56">
        <v>0.179</v>
      </c>
      <c r="AB117" s="57"/>
      <c r="AD117" s="35" t="s">
        <v>99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100</v>
      </c>
      <c r="D118" s="52"/>
      <c r="E118" s="52"/>
      <c r="F118" s="52"/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101</v>
      </c>
      <c r="D119" s="52"/>
      <c r="E119" s="52"/>
      <c r="F119" s="52"/>
      <c r="G119" s="53"/>
      <c r="H119" s="52"/>
      <c r="I119" s="52"/>
      <c r="J119" s="52"/>
      <c r="K119" s="52"/>
      <c r="L119" s="52"/>
      <c r="M119" s="53"/>
      <c r="N119" s="53"/>
      <c r="O119" s="52"/>
      <c r="P119" s="52"/>
      <c r="Q119" s="52"/>
      <c r="R119" s="53"/>
      <c r="S119" s="54"/>
      <c r="T119" s="54"/>
      <c r="U119" s="54"/>
      <c r="V119" s="53"/>
      <c r="W119" s="53"/>
      <c r="X119" s="55"/>
      <c r="Y119" s="55"/>
      <c r="Z119" s="53"/>
      <c r="AA119" s="56"/>
      <c r="AB119" s="57"/>
      <c r="AD119" s="35" t="s">
        <v>102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103</v>
      </c>
      <c r="D120" s="52"/>
      <c r="E120" s="52"/>
      <c r="F120" s="52"/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104</v>
      </c>
      <c r="D121" s="52"/>
      <c r="E121" s="52"/>
      <c r="F121" s="52"/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96</v>
      </c>
      <c r="D123" s="52">
        <v>105896.9567712</v>
      </c>
      <c r="E123" s="52">
        <v>79457.73</v>
      </c>
      <c r="F123" s="52">
        <v>26439.226771200003</v>
      </c>
      <c r="G123" s="53">
        <v>0.2496693727311197</v>
      </c>
      <c r="H123" s="52">
        <v>85934.2000148</v>
      </c>
      <c r="I123" s="52">
        <v>64275.8</v>
      </c>
      <c r="J123" s="52">
        <v>70065.71561479999</v>
      </c>
      <c r="K123" s="52">
        <v>59394.21000000001</v>
      </c>
      <c r="L123" s="52">
        <v>10671.505614799986</v>
      </c>
      <c r="M123" s="53">
        <v>0.15230709514862703</v>
      </c>
      <c r="N123" s="53"/>
      <c r="O123" s="52">
        <v>15868.4844</v>
      </c>
      <c r="P123" s="52">
        <v>4881.59</v>
      </c>
      <c r="Q123" s="52">
        <v>10986.8944</v>
      </c>
      <c r="R123" s="53">
        <v>0.6923720074993425</v>
      </c>
      <c r="S123" s="54">
        <v>317.92</v>
      </c>
      <c r="T123" s="54">
        <v>106</v>
      </c>
      <c r="U123" s="54">
        <v>211.92000000000002</v>
      </c>
      <c r="V123" s="53">
        <v>0.6665827881227983</v>
      </c>
      <c r="W123" s="53"/>
      <c r="X123" s="55">
        <v>143.22575471698113</v>
      </c>
      <c r="Y123" s="55">
        <v>62.79176131227983</v>
      </c>
      <c r="Z123" s="53">
        <v>0.1911</v>
      </c>
      <c r="AA123" s="56">
        <v>0.1885</v>
      </c>
      <c r="AB123" s="57"/>
      <c r="AD123" s="35" t="s">
        <v>97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98</v>
      </c>
      <c r="D124" s="52">
        <v>105896.9567712</v>
      </c>
      <c r="E124" s="52">
        <v>79457.73</v>
      </c>
      <c r="F124" s="52">
        <v>26439.226771200003</v>
      </c>
      <c r="G124" s="53">
        <v>0.2496693727311197</v>
      </c>
      <c r="H124" s="52">
        <v>85934.2000148</v>
      </c>
      <c r="I124" s="52">
        <v>64324.38</v>
      </c>
      <c r="J124" s="52">
        <v>70065.71561479999</v>
      </c>
      <c r="K124" s="52">
        <v>59442.78999999999</v>
      </c>
      <c r="L124" s="52">
        <v>10622.925614799999</v>
      </c>
      <c r="M124" s="53">
        <v>0.15161374606093533</v>
      </c>
      <c r="N124" s="53"/>
      <c r="O124" s="52">
        <v>15868.4844</v>
      </c>
      <c r="P124" s="52">
        <v>4881.59</v>
      </c>
      <c r="Q124" s="52">
        <v>10986.8944</v>
      </c>
      <c r="R124" s="53">
        <v>0.6923720074993425</v>
      </c>
      <c r="S124" s="54">
        <v>317.92</v>
      </c>
      <c r="T124" s="54">
        <v>106</v>
      </c>
      <c r="U124" s="54">
        <v>211.92000000000002</v>
      </c>
      <c r="V124" s="53">
        <v>0.6665827881227983</v>
      </c>
      <c r="W124" s="53"/>
      <c r="X124" s="55">
        <v>142.7674528301887</v>
      </c>
      <c r="Y124" s="55">
        <v>62.79176131227983</v>
      </c>
      <c r="Z124" s="53">
        <v>0.1905</v>
      </c>
      <c r="AA124" s="56">
        <v>0.1885</v>
      </c>
      <c r="AB124" s="57"/>
      <c r="AD124" s="35" t="s">
        <v>99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100</v>
      </c>
      <c r="D125" s="52"/>
      <c r="E125" s="52"/>
      <c r="F125" s="52"/>
      <c r="G125" s="53"/>
      <c r="H125" s="52"/>
      <c r="I125" s="52"/>
      <c r="J125" s="52"/>
      <c r="K125" s="52"/>
      <c r="L125" s="52"/>
      <c r="M125" s="53"/>
      <c r="N125" s="53"/>
      <c r="O125" s="52"/>
      <c r="P125" s="52"/>
      <c r="Q125" s="52"/>
      <c r="R125" s="53"/>
      <c r="S125" s="54"/>
      <c r="T125" s="54"/>
      <c r="U125" s="54"/>
      <c r="V125" s="53"/>
      <c r="W125" s="53"/>
      <c r="X125" s="55"/>
      <c r="Y125" s="55"/>
      <c r="Z125" s="53"/>
      <c r="AA125" s="56"/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101</v>
      </c>
      <c r="D126" s="52"/>
      <c r="E126" s="52"/>
      <c r="F126" s="52"/>
      <c r="G126" s="53"/>
      <c r="H126" s="52"/>
      <c r="I126" s="52"/>
      <c r="J126" s="52"/>
      <c r="K126" s="52"/>
      <c r="L126" s="52"/>
      <c r="M126" s="53"/>
      <c r="N126" s="53"/>
      <c r="O126" s="52"/>
      <c r="P126" s="52"/>
      <c r="Q126" s="52"/>
      <c r="R126" s="53"/>
      <c r="S126" s="54"/>
      <c r="T126" s="54"/>
      <c r="U126" s="54"/>
      <c r="V126" s="53"/>
      <c r="W126" s="53"/>
      <c r="X126" s="55"/>
      <c r="Y126" s="55"/>
      <c r="Z126" s="53"/>
      <c r="AA126" s="56"/>
      <c r="AB126" s="57"/>
      <c r="AD126" s="35" t="s">
        <v>102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103</v>
      </c>
      <c r="D127" s="52"/>
      <c r="E127" s="52"/>
      <c r="F127" s="52"/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104</v>
      </c>
      <c r="D128" s="52"/>
      <c r="E128" s="52"/>
      <c r="F128" s="52"/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96</v>
      </c>
      <c r="D130" s="52">
        <v>31802.4136956</v>
      </c>
      <c r="E130" s="52">
        <v>16498.64</v>
      </c>
      <c r="F130" s="52">
        <v>15303.7736956</v>
      </c>
      <c r="G130" s="53">
        <v>0.48121421984134943</v>
      </c>
      <c r="H130" s="52">
        <v>23448.14263</v>
      </c>
      <c r="I130" s="52">
        <v>12360.83</v>
      </c>
      <c r="J130" s="52">
        <v>15632.028429999998</v>
      </c>
      <c r="K130" s="52">
        <v>11772.08</v>
      </c>
      <c r="L130" s="52">
        <v>3859.9484299999986</v>
      </c>
      <c r="M130" s="53">
        <v>0.24692562755273845</v>
      </c>
      <c r="N130" s="53"/>
      <c r="O130" s="52">
        <v>7816.1142</v>
      </c>
      <c r="P130" s="52">
        <v>588.75</v>
      </c>
      <c r="Q130" s="52">
        <v>7227.3642</v>
      </c>
      <c r="R130" s="53">
        <v>0.92467484674162</v>
      </c>
      <c r="S130" s="54">
        <v>156.69</v>
      </c>
      <c r="T130" s="54">
        <v>11.5</v>
      </c>
      <c r="U130" s="54">
        <v>145.19</v>
      </c>
      <c r="V130" s="53">
        <v>0.9266066756015061</v>
      </c>
      <c r="W130" s="53">
        <v>0</v>
      </c>
      <c r="X130" s="55">
        <v>359.80956521739137</v>
      </c>
      <c r="Y130" s="55">
        <v>53.31719360265494</v>
      </c>
      <c r="Z130" s="53">
        <v>0.25079999999999997</v>
      </c>
      <c r="AA130" s="56">
        <v>0.2627</v>
      </c>
      <c r="AB130" s="57"/>
      <c r="AD130" s="35" t="s">
        <v>97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98</v>
      </c>
      <c r="D131" s="52">
        <v>31802.4136956</v>
      </c>
      <c r="E131" s="52">
        <v>16498.64</v>
      </c>
      <c r="F131" s="52">
        <v>15303.7736956</v>
      </c>
      <c r="G131" s="53">
        <v>0.48121421984134943</v>
      </c>
      <c r="H131" s="52">
        <v>23448.14263</v>
      </c>
      <c r="I131" s="52">
        <v>12360.83</v>
      </c>
      <c r="J131" s="52">
        <v>15632.028429999998</v>
      </c>
      <c r="K131" s="52">
        <v>11772.08</v>
      </c>
      <c r="L131" s="52">
        <v>3859.9484299999986</v>
      </c>
      <c r="M131" s="53">
        <v>0.24692562755273845</v>
      </c>
      <c r="N131" s="53"/>
      <c r="O131" s="52">
        <v>7816.1142</v>
      </c>
      <c r="P131" s="52">
        <v>588.75</v>
      </c>
      <c r="Q131" s="52">
        <v>7227.3642</v>
      </c>
      <c r="R131" s="53">
        <v>0.92467484674162</v>
      </c>
      <c r="S131" s="54">
        <v>156.69</v>
      </c>
      <c r="T131" s="54">
        <v>11.5</v>
      </c>
      <c r="U131" s="54">
        <v>145.19</v>
      </c>
      <c r="V131" s="53">
        <v>0.9266066756015061</v>
      </c>
      <c r="W131" s="53"/>
      <c r="X131" s="55">
        <v>359.80956521739137</v>
      </c>
      <c r="Y131" s="55">
        <v>53.31719360265494</v>
      </c>
      <c r="Z131" s="53">
        <v>0.25079999999999997</v>
      </c>
      <c r="AA131" s="56">
        <v>0.2627</v>
      </c>
      <c r="AB131" s="57"/>
      <c r="AD131" s="35" t="s">
        <v>99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100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1:35" x14ac:dyDescent="0.25">
      <c r="B133" s="20"/>
      <c r="C133" s="51" t="s">
        <v>101</v>
      </c>
      <c r="D133" s="52"/>
      <c r="E133" s="52"/>
      <c r="F133" s="52"/>
      <c r="G133" s="53"/>
      <c r="H133" s="52"/>
      <c r="I133" s="52"/>
      <c r="J133" s="52"/>
      <c r="K133" s="52"/>
      <c r="L133" s="52"/>
      <c r="M133" s="53"/>
      <c r="N133" s="53"/>
      <c r="O133" s="52"/>
      <c r="P133" s="52"/>
      <c r="Q133" s="52"/>
      <c r="R133" s="53"/>
      <c r="S133" s="54"/>
      <c r="T133" s="54"/>
      <c r="U133" s="54"/>
      <c r="V133" s="53"/>
      <c r="W133" s="53"/>
      <c r="X133" s="55"/>
      <c r="Y133" s="55"/>
      <c r="Z133" s="53"/>
      <c r="AA133" s="56"/>
      <c r="AB133" s="57"/>
      <c r="AD133" s="35" t="s">
        <v>102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103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104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96</v>
      </c>
      <c r="D137" s="52">
        <v>30749.24</v>
      </c>
      <c r="E137" s="52">
        <v>30749.24</v>
      </c>
      <c r="F137" s="52">
        <v>0</v>
      </c>
      <c r="G137" s="53">
        <v>0</v>
      </c>
      <c r="H137" s="52">
        <v>22587.89</v>
      </c>
      <c r="I137" s="52">
        <v>25891.86</v>
      </c>
      <c r="J137" s="52">
        <v>12565.06</v>
      </c>
      <c r="K137" s="52">
        <v>11792.09</v>
      </c>
      <c r="L137" s="52">
        <v>772.9699999999993</v>
      </c>
      <c r="M137" s="53">
        <v>0.061517414162765585</v>
      </c>
      <c r="N137" s="53">
        <v>0</v>
      </c>
      <c r="O137" s="52">
        <v>10022.83</v>
      </c>
      <c r="P137" s="52">
        <v>14099.77</v>
      </c>
      <c r="Q137" s="52">
        <v>-4076.9400000000005</v>
      </c>
      <c r="R137" s="53">
        <v>-0.40676535469523084</v>
      </c>
      <c r="S137" s="54">
        <v>200.82</v>
      </c>
      <c r="T137" s="54">
        <v>283.75</v>
      </c>
      <c r="U137" s="54">
        <v>-82.93</v>
      </c>
      <c r="V137" s="53">
        <v>-0.4129568768050991</v>
      </c>
      <c r="W137" s="53"/>
      <c r="X137" s="55">
        <v>17.118519823788546</v>
      </c>
      <c r="Y137" s="55">
        <v>40.64013272149188</v>
      </c>
      <c r="Z137" s="53">
        <v>0.158</v>
      </c>
      <c r="AA137" s="56">
        <v>0.2654</v>
      </c>
      <c r="AB137" s="57"/>
      <c r="AD137" s="35" t="s">
        <v>97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98</v>
      </c>
      <c r="D138" s="52"/>
      <c r="E138" s="52"/>
      <c r="F138" s="52"/>
      <c r="G138" s="53"/>
      <c r="H138" s="52"/>
      <c r="I138" s="52"/>
      <c r="J138" s="52"/>
      <c r="K138" s="52"/>
      <c r="L138" s="52"/>
      <c r="M138" s="53"/>
      <c r="N138" s="53"/>
      <c r="O138" s="52"/>
      <c r="P138" s="52"/>
      <c r="Q138" s="52"/>
      <c r="R138" s="53"/>
      <c r="S138" s="54"/>
      <c r="T138" s="54"/>
      <c r="U138" s="54"/>
      <c r="V138" s="53"/>
      <c r="W138" s="53"/>
      <c r="X138" s="55"/>
      <c r="Y138" s="55"/>
      <c r="Z138" s="53"/>
      <c r="AA138" s="56"/>
      <c r="AB138" s="57"/>
      <c r="AD138" s="35" t="s">
        <v>99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100</v>
      </c>
      <c r="D139" s="52"/>
      <c r="E139" s="52"/>
      <c r="F139" s="52"/>
      <c r="G139" s="53"/>
      <c r="H139" s="52"/>
      <c r="I139" s="52"/>
      <c r="J139" s="52"/>
      <c r="K139" s="52"/>
      <c r="L139" s="52"/>
      <c r="M139" s="53"/>
      <c r="N139" s="53"/>
      <c r="O139" s="52"/>
      <c r="P139" s="52"/>
      <c r="Q139" s="52"/>
      <c r="R139" s="53"/>
      <c r="S139" s="54"/>
      <c r="T139" s="54"/>
      <c r="U139" s="54"/>
      <c r="V139" s="53"/>
      <c r="W139" s="53"/>
      <c r="X139" s="55"/>
      <c r="Y139" s="55"/>
      <c r="Z139" s="53"/>
      <c r="AA139" s="56"/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101</v>
      </c>
      <c r="D140" s="52"/>
      <c r="E140" s="52"/>
      <c r="F140" s="52"/>
      <c r="G140" s="53"/>
      <c r="H140" s="52"/>
      <c r="I140" s="52"/>
      <c r="J140" s="52"/>
      <c r="K140" s="52"/>
      <c r="L140" s="52"/>
      <c r="M140" s="53"/>
      <c r="N140" s="53"/>
      <c r="O140" s="52"/>
      <c r="P140" s="52"/>
      <c r="Q140" s="52"/>
      <c r="R140" s="53"/>
      <c r="S140" s="54"/>
      <c r="T140" s="54"/>
      <c r="U140" s="54"/>
      <c r="V140" s="53"/>
      <c r="W140" s="53"/>
      <c r="X140" s="55"/>
      <c r="Y140" s="55"/>
      <c r="Z140" s="53"/>
      <c r="AA140" s="56"/>
      <c r="AB140" s="57"/>
      <c r="AD140" s="35" t="s">
        <v>102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103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104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96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45.878969957081544</v>
      </c>
      <c r="Y144" s="55">
        <v>59.525035875791396</v>
      </c>
      <c r="Z144" s="53">
        <v>0.2958</v>
      </c>
      <c r="AA144" s="56">
        <v>0.1104</v>
      </c>
      <c r="AB144" s="57"/>
      <c r="AD144" s="35" t="s">
        <v>97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98</v>
      </c>
      <c r="D145" s="52"/>
      <c r="E145" s="52"/>
      <c r="F145" s="52"/>
      <c r="G145" s="53"/>
      <c r="H145" s="52"/>
      <c r="I145" s="52"/>
      <c r="J145" s="52"/>
      <c r="K145" s="52"/>
      <c r="L145" s="52"/>
      <c r="M145" s="53"/>
      <c r="N145" s="53"/>
      <c r="O145" s="52"/>
      <c r="P145" s="52"/>
      <c r="Q145" s="52"/>
      <c r="R145" s="53"/>
      <c r="S145" s="54"/>
      <c r="T145" s="54"/>
      <c r="U145" s="54"/>
      <c r="V145" s="53"/>
      <c r="W145" s="53"/>
      <c r="X145" s="55"/>
      <c r="Y145" s="55"/>
      <c r="Z145" s="53"/>
      <c r="AA145" s="56"/>
      <c r="AB145" s="57"/>
      <c r="AD145" s="35" t="s">
        <v>99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100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101</v>
      </c>
      <c r="D147" s="52"/>
      <c r="E147" s="52"/>
      <c r="F147" s="52"/>
      <c r="G147" s="53"/>
      <c r="H147" s="52"/>
      <c r="I147" s="52"/>
      <c r="J147" s="52"/>
      <c r="K147" s="52"/>
      <c r="L147" s="52"/>
      <c r="M147" s="53"/>
      <c r="N147" s="53"/>
      <c r="O147" s="52"/>
      <c r="P147" s="52"/>
      <c r="Q147" s="52"/>
      <c r="R147" s="53"/>
      <c r="S147" s="54"/>
      <c r="T147" s="54"/>
      <c r="U147" s="54"/>
      <c r="V147" s="53"/>
      <c r="W147" s="53"/>
      <c r="X147" s="55"/>
      <c r="Y147" s="55"/>
      <c r="Z147" s="53"/>
      <c r="AA147" s="56"/>
      <c r="AB147" s="57"/>
      <c r="AD147" s="35" t="s">
        <v>102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103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104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96</v>
      </c>
      <c r="D151" s="52">
        <v>32773.41</v>
      </c>
      <c r="E151" s="52">
        <v>32773.41</v>
      </c>
      <c r="F151" s="52">
        <v>0</v>
      </c>
      <c r="G151" s="53">
        <v>0</v>
      </c>
      <c r="H151" s="52">
        <v>22750.99</v>
      </c>
      <c r="I151" s="52">
        <v>22254.11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12929.7</v>
      </c>
      <c r="Q151" s="52">
        <v>-2422.120000000001</v>
      </c>
      <c r="R151" s="53">
        <v>-0.23051168775303169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40.342473633748796</v>
      </c>
      <c r="Y151" s="55">
        <v>47.58984852136751</v>
      </c>
      <c r="Z151" s="53">
        <v>0.321</v>
      </c>
      <c r="AA151" s="56">
        <v>0.3058</v>
      </c>
      <c r="AB151" s="57"/>
      <c r="AD151" s="35" t="s">
        <v>97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98</v>
      </c>
      <c r="D152" s="52"/>
      <c r="E152" s="52"/>
      <c r="F152" s="52"/>
      <c r="G152" s="53"/>
      <c r="H152" s="52"/>
      <c r="I152" s="52"/>
      <c r="J152" s="52"/>
      <c r="K152" s="52"/>
      <c r="L152" s="52"/>
      <c r="M152" s="53"/>
      <c r="N152" s="53"/>
      <c r="O152" s="52"/>
      <c r="P152" s="52"/>
      <c r="Q152" s="52"/>
      <c r="R152" s="53"/>
      <c r="S152" s="54"/>
      <c r="T152" s="54"/>
      <c r="U152" s="54"/>
      <c r="V152" s="53"/>
      <c r="W152" s="53"/>
      <c r="X152" s="55"/>
      <c r="Y152" s="55"/>
      <c r="Z152" s="53"/>
      <c r="AA152" s="56"/>
      <c r="AB152" s="57"/>
      <c r="AD152" s="35" t="s">
        <v>99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100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101</v>
      </c>
      <c r="D154" s="52"/>
      <c r="E154" s="52"/>
      <c r="F154" s="52"/>
      <c r="G154" s="53"/>
      <c r="H154" s="52"/>
      <c r="I154" s="52"/>
      <c r="J154" s="52"/>
      <c r="K154" s="52"/>
      <c r="L154" s="52"/>
      <c r="M154" s="53"/>
      <c r="N154" s="53"/>
      <c r="O154" s="52"/>
      <c r="P154" s="52"/>
      <c r="Q154" s="52"/>
      <c r="R154" s="53"/>
      <c r="S154" s="54"/>
      <c r="T154" s="54"/>
      <c r="U154" s="54"/>
      <c r="V154" s="53"/>
      <c r="W154" s="53"/>
      <c r="X154" s="55"/>
      <c r="Y154" s="55"/>
      <c r="Z154" s="53"/>
      <c r="AA154" s="56"/>
      <c r="AB154" s="57"/>
      <c r="AD154" s="35" t="s">
        <v>102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103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104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96</v>
      </c>
      <c r="D158" s="52">
        <v>19505.5188968</v>
      </c>
      <c r="E158" s="52">
        <v>19505.52</v>
      </c>
      <c r="F158" s="52">
        <v>-0.0011032000002160203</v>
      </c>
      <c r="G158" s="53">
        <v>-5.655835182098165e-8</v>
      </c>
      <c r="H158" s="52">
        <v>14923.5903884</v>
      </c>
      <c r="I158" s="52">
        <v>14052.73</v>
      </c>
      <c r="J158" s="52">
        <v>8915.0763884</v>
      </c>
      <c r="K158" s="52">
        <v>8190.78</v>
      </c>
      <c r="L158" s="52">
        <v>724.296388400001</v>
      </c>
      <c r="M158" s="53">
        <v>0.08124399128452015</v>
      </c>
      <c r="N158" s="53"/>
      <c r="O158" s="52">
        <v>6008.514</v>
      </c>
      <c r="P158" s="52">
        <v>5861.95</v>
      </c>
      <c r="Q158" s="52">
        <v>146.5640000000003</v>
      </c>
      <c r="R158" s="53">
        <v>0.02439272006356319</v>
      </c>
      <c r="S158" s="54">
        <v>120.44</v>
      </c>
      <c r="T158" s="54">
        <v>116.25</v>
      </c>
      <c r="U158" s="54">
        <v>4.189999999999998</v>
      </c>
      <c r="V158" s="53">
        <v>0.03478910660909995</v>
      </c>
      <c r="W158" s="53"/>
      <c r="X158" s="55">
        <v>46.90572043010753</v>
      </c>
      <c r="Y158" s="55">
        <v>38.04324566921289</v>
      </c>
      <c r="Z158" s="53">
        <v>0.2796</v>
      </c>
      <c r="AA158" s="56">
        <v>0.2349</v>
      </c>
      <c r="AB158" s="57"/>
      <c r="AD158" s="35" t="s">
        <v>97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98</v>
      </c>
      <c r="D159" s="52">
        <v>19505.5188968</v>
      </c>
      <c r="E159" s="52">
        <v>19505.52</v>
      </c>
      <c r="F159" s="52">
        <v>-0.0011032000002160203</v>
      </c>
      <c r="G159" s="53">
        <v>-5.655835182098165e-8</v>
      </c>
      <c r="H159" s="52">
        <v>14923.5903884</v>
      </c>
      <c r="I159" s="52">
        <v>14052.73</v>
      </c>
      <c r="J159" s="52">
        <v>8915.0763884</v>
      </c>
      <c r="K159" s="52">
        <v>8190.78</v>
      </c>
      <c r="L159" s="52">
        <v>724.296388400001</v>
      </c>
      <c r="M159" s="53">
        <v>0.08124399128452015</v>
      </c>
      <c r="N159" s="53"/>
      <c r="O159" s="52">
        <v>6008.514</v>
      </c>
      <c r="P159" s="52">
        <v>5861.95</v>
      </c>
      <c r="Q159" s="52">
        <v>146.5640000000003</v>
      </c>
      <c r="R159" s="53">
        <v>0.02439272006356319</v>
      </c>
      <c r="S159" s="54">
        <v>120.44</v>
      </c>
      <c r="T159" s="54">
        <v>116.25</v>
      </c>
      <c r="U159" s="54">
        <v>4.189999999999998</v>
      </c>
      <c r="V159" s="53">
        <v>0.03478910660909995</v>
      </c>
      <c r="W159" s="53"/>
      <c r="X159" s="55">
        <v>46.90572043010753</v>
      </c>
      <c r="Y159" s="55">
        <v>38.04324566921289</v>
      </c>
      <c r="Z159" s="53">
        <v>0.2796</v>
      </c>
      <c r="AA159" s="56">
        <v>0.2349</v>
      </c>
      <c r="AB159" s="57"/>
      <c r="AD159" s="35" t="s">
        <v>99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100</v>
      </c>
      <c r="D160" s="52"/>
      <c r="E160" s="52"/>
      <c r="F160" s="52"/>
      <c r="G160" s="53"/>
      <c r="H160" s="52"/>
      <c r="I160" s="52"/>
      <c r="J160" s="52"/>
      <c r="K160" s="52"/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101</v>
      </c>
      <c r="D161" s="52"/>
      <c r="E161" s="52"/>
      <c r="F161" s="52"/>
      <c r="G161" s="53"/>
      <c r="H161" s="52"/>
      <c r="I161" s="52"/>
      <c r="J161" s="52"/>
      <c r="K161" s="52"/>
      <c r="L161" s="52"/>
      <c r="M161" s="53"/>
      <c r="N161" s="53"/>
      <c r="O161" s="52"/>
      <c r="P161" s="52"/>
      <c r="Q161" s="52"/>
      <c r="R161" s="53"/>
      <c r="S161" s="54"/>
      <c r="T161" s="54"/>
      <c r="U161" s="54"/>
      <c r="V161" s="53"/>
      <c r="W161" s="53"/>
      <c r="X161" s="55"/>
      <c r="Y161" s="55"/>
      <c r="Z161" s="53"/>
      <c r="AA161" s="56"/>
      <c r="AB161" s="57"/>
      <c r="AD161" s="35" t="s">
        <v>102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103</v>
      </c>
      <c r="D162" s="52"/>
      <c r="E162" s="52"/>
      <c r="F162" s="52"/>
      <c r="G162" s="53"/>
      <c r="H162" s="52"/>
      <c r="I162" s="52"/>
      <c r="J162" s="52"/>
      <c r="K162" s="52"/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104</v>
      </c>
      <c r="D163" s="52"/>
      <c r="E163" s="52"/>
      <c r="F163" s="52"/>
      <c r="G163" s="53"/>
      <c r="H163" s="52"/>
      <c r="I163" s="52"/>
      <c r="J163" s="52"/>
      <c r="K163" s="52"/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96</v>
      </c>
      <c r="D165" s="52">
        <v>10827.20261235</v>
      </c>
      <c r="E165" s="52">
        <v>0</v>
      </c>
      <c r="F165" s="52">
        <v>10827.20261235</v>
      </c>
      <c r="G165" s="53">
        <v>1</v>
      </c>
      <c r="H165" s="52">
        <v>7687.765097</v>
      </c>
      <c r="I165" s="52">
        <v>2097.39</v>
      </c>
      <c r="J165" s="52">
        <v>4437.133697</v>
      </c>
      <c r="K165" s="52">
        <v>1010.6899999999998</v>
      </c>
      <c r="L165" s="52">
        <v>3426.4436970000006</v>
      </c>
      <c r="M165" s="53">
        <v>0.7722200706543192</v>
      </c>
      <c r="N165" s="53"/>
      <c r="O165" s="52">
        <v>3250.6314</v>
      </c>
      <c r="P165" s="52">
        <v>1086.7</v>
      </c>
      <c r="Q165" s="52">
        <v>2163.9314000000004</v>
      </c>
      <c r="R165" s="53">
        <v>0.6656957168382734</v>
      </c>
      <c r="S165" s="54">
        <v>65.13</v>
      </c>
      <c r="T165" s="54">
        <v>24.33</v>
      </c>
      <c r="U165" s="54">
        <v>40.8</v>
      </c>
      <c r="V165" s="53">
        <v>0.6264394288346384</v>
      </c>
      <c r="W165" s="53"/>
      <c r="X165" s="55">
        <v>53.18249075215784</v>
      </c>
      <c r="Y165" s="55">
        <v>48.202633430830645</v>
      </c>
      <c r="Z165" s="53">
        <v>0.3815</v>
      </c>
      <c r="AA165" s="56">
        <v>0.29</v>
      </c>
      <c r="AB165" s="57"/>
      <c r="AD165" s="35" t="s">
        <v>97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98</v>
      </c>
      <c r="D166" s="52">
        <v>10827.20261235</v>
      </c>
      <c r="E166" s="52">
        <v>0</v>
      </c>
      <c r="F166" s="52">
        <v>10827.20261235</v>
      </c>
      <c r="G166" s="53">
        <v>1</v>
      </c>
      <c r="H166" s="52">
        <v>7687.765097</v>
      </c>
      <c r="I166" s="52">
        <v>2097.39</v>
      </c>
      <c r="J166" s="52">
        <v>4437.133697</v>
      </c>
      <c r="K166" s="52">
        <v>1010.6899999999998</v>
      </c>
      <c r="L166" s="52">
        <v>3426.4436970000006</v>
      </c>
      <c r="M166" s="53">
        <v>0.7722200706543192</v>
      </c>
      <c r="N166" s="53"/>
      <c r="O166" s="52">
        <v>3250.6314</v>
      </c>
      <c r="P166" s="52">
        <v>1086.7</v>
      </c>
      <c r="Q166" s="52">
        <v>2163.9314000000004</v>
      </c>
      <c r="R166" s="53">
        <v>0.6656957168382734</v>
      </c>
      <c r="S166" s="54">
        <v>65.13</v>
      </c>
      <c r="T166" s="54">
        <v>24.33</v>
      </c>
      <c r="U166" s="54">
        <v>40.8</v>
      </c>
      <c r="V166" s="53">
        <v>0.6264394288346384</v>
      </c>
      <c r="W166" s="53"/>
      <c r="X166" s="55">
        <v>53.18249075215784</v>
      </c>
      <c r="Y166" s="55">
        <v>48.202633430830645</v>
      </c>
      <c r="Z166" s="53">
        <v>0.3815</v>
      </c>
      <c r="AA166" s="56">
        <v>0.29</v>
      </c>
      <c r="AB166" s="57"/>
      <c r="AD166" s="35" t="s">
        <v>99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100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101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102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103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104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96</v>
      </c>
      <c r="D172" s="52">
        <v>146237.1072</v>
      </c>
      <c r="E172" s="52">
        <v>125386.21</v>
      </c>
      <c r="F172" s="52">
        <v>20850.897199999992</v>
      </c>
      <c r="G172" s="53">
        <v>0.14258280678024784</v>
      </c>
      <c r="H172" s="52">
        <v>114651.8653946</v>
      </c>
      <c r="I172" s="52">
        <v>102580.79</v>
      </c>
      <c r="J172" s="52">
        <v>82888.0783946</v>
      </c>
      <c r="K172" s="52">
        <v>74954.88999999998</v>
      </c>
      <c r="L172" s="52">
        <v>7933.188394600016</v>
      </c>
      <c r="M172" s="53">
        <v>0.095709643030123</v>
      </c>
      <c r="N172" s="53"/>
      <c r="O172" s="52">
        <v>31763.787</v>
      </c>
      <c r="P172" s="52">
        <v>27625.9</v>
      </c>
      <c r="Q172" s="52">
        <v>4137.886999999999</v>
      </c>
      <c r="R172" s="53">
        <v>0.1302705814013927</v>
      </c>
      <c r="S172" s="54">
        <v>659.73</v>
      </c>
      <c r="T172" s="54">
        <v>550.75</v>
      </c>
      <c r="U172" s="54">
        <v>108.98000000000002</v>
      </c>
      <c r="V172" s="53">
        <v>0.1651887893532203</v>
      </c>
      <c r="W172" s="53"/>
      <c r="X172" s="55">
        <v>41.407934634589196</v>
      </c>
      <c r="Y172" s="55">
        <v>47.87601261940491</v>
      </c>
      <c r="Z172" s="53">
        <v>0.1819</v>
      </c>
      <c r="AA172" s="56">
        <v>0.216</v>
      </c>
      <c r="AB172" s="57"/>
      <c r="AD172" s="35" t="s">
        <v>97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98</v>
      </c>
      <c r="D173" s="52">
        <v>146237.1072</v>
      </c>
      <c r="E173" s="52">
        <v>129751.67</v>
      </c>
      <c r="F173" s="52">
        <v>16485.4372</v>
      </c>
      <c r="G173" s="53">
        <v>0.11273087601120163</v>
      </c>
      <c r="H173" s="52">
        <v>114651.8653946</v>
      </c>
      <c r="I173" s="52">
        <v>102580.79</v>
      </c>
      <c r="J173" s="52">
        <v>82888.0783946</v>
      </c>
      <c r="K173" s="52">
        <v>74954.88999999998</v>
      </c>
      <c r="L173" s="52">
        <v>7933.188394600016</v>
      </c>
      <c r="M173" s="53">
        <v>0.095709643030123</v>
      </c>
      <c r="N173" s="53"/>
      <c r="O173" s="52">
        <v>31763.787</v>
      </c>
      <c r="P173" s="52">
        <v>27625.9</v>
      </c>
      <c r="Q173" s="52">
        <v>4137.886999999999</v>
      </c>
      <c r="R173" s="53">
        <v>0.1302705814013927</v>
      </c>
      <c r="S173" s="54">
        <v>659.73</v>
      </c>
      <c r="T173" s="54">
        <v>550.75</v>
      </c>
      <c r="U173" s="54">
        <v>108.98000000000002</v>
      </c>
      <c r="V173" s="53">
        <v>0.1651887893532203</v>
      </c>
      <c r="W173" s="53"/>
      <c r="X173" s="55">
        <v>49.33432591920109</v>
      </c>
      <c r="Y173" s="55">
        <v>47.87601261940491</v>
      </c>
      <c r="Z173" s="53">
        <v>0.2094</v>
      </c>
      <c r="AA173" s="56">
        <v>0.216</v>
      </c>
      <c r="AB173" s="57"/>
      <c r="AD173" s="35" t="s">
        <v>99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100</v>
      </c>
      <c r="D174" s="52"/>
      <c r="E174" s="52"/>
      <c r="F174" s="52"/>
      <c r="G174" s="53"/>
      <c r="H174" s="52"/>
      <c r="I174" s="52"/>
      <c r="J174" s="52"/>
      <c r="K174" s="52"/>
      <c r="L174" s="52"/>
      <c r="M174" s="53"/>
      <c r="N174" s="53"/>
      <c r="O174" s="52"/>
      <c r="P174" s="52"/>
      <c r="Q174" s="52"/>
      <c r="R174" s="53"/>
      <c r="S174" s="54"/>
      <c r="T174" s="54"/>
      <c r="U174" s="54"/>
      <c r="V174" s="53"/>
      <c r="W174" s="53"/>
      <c r="X174" s="55"/>
      <c r="Y174" s="55"/>
      <c r="Z174" s="53"/>
      <c r="AA174" s="56"/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101</v>
      </c>
      <c r="D175" s="52"/>
      <c r="E175" s="52"/>
      <c r="F175" s="52"/>
      <c r="G175" s="53"/>
      <c r="H175" s="52"/>
      <c r="I175" s="52"/>
      <c r="J175" s="52"/>
      <c r="K175" s="52"/>
      <c r="L175" s="52"/>
      <c r="M175" s="53"/>
      <c r="N175" s="53"/>
      <c r="O175" s="52"/>
      <c r="P175" s="52"/>
      <c r="Q175" s="52"/>
      <c r="R175" s="53"/>
      <c r="S175" s="54"/>
      <c r="T175" s="54"/>
      <c r="U175" s="54"/>
      <c r="V175" s="53"/>
      <c r="W175" s="53"/>
      <c r="X175" s="55"/>
      <c r="Y175" s="55"/>
      <c r="Z175" s="53"/>
      <c r="AA175" s="56"/>
      <c r="AB175" s="57"/>
      <c r="AD175" s="35" t="s">
        <v>102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103</v>
      </c>
      <c r="D176" s="52"/>
      <c r="E176" s="52"/>
      <c r="F176" s="52"/>
      <c r="G176" s="53"/>
      <c r="H176" s="52"/>
      <c r="I176" s="52"/>
      <c r="J176" s="52"/>
      <c r="K176" s="52"/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104</v>
      </c>
      <c r="D177" s="52"/>
      <c r="E177" s="52"/>
      <c r="F177" s="52"/>
      <c r="G177" s="53"/>
      <c r="H177" s="52"/>
      <c r="I177" s="52"/>
      <c r="J177" s="52"/>
      <c r="K177" s="52"/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96</v>
      </c>
      <c r="D179" s="52">
        <v>16897.52982004</v>
      </c>
      <c r="E179" s="52">
        <v>9293.64</v>
      </c>
      <c r="F179" s="52">
        <v>7603.88982004</v>
      </c>
      <c r="G179" s="53">
        <v>0.450000082912829</v>
      </c>
      <c r="H179" s="52">
        <v>9226.2731</v>
      </c>
      <c r="I179" s="52">
        <v>6976.46</v>
      </c>
      <c r="J179" s="52">
        <v>2977.1135000000004</v>
      </c>
      <c r="K179" s="52">
        <v>3448.13</v>
      </c>
      <c r="L179" s="52">
        <v>-471.0164999999997</v>
      </c>
      <c r="M179" s="53">
        <v>-0.15821247661535232</v>
      </c>
      <c r="N179" s="53"/>
      <c r="O179" s="52">
        <v>6249.1596</v>
      </c>
      <c r="P179" s="52">
        <v>3528.33</v>
      </c>
      <c r="Q179" s="52">
        <v>2720.8296</v>
      </c>
      <c r="R179" s="53">
        <v>0.43539128045313485</v>
      </c>
      <c r="S179" s="54">
        <v>125.17</v>
      </c>
      <c r="T179" s="54">
        <v>65.75</v>
      </c>
      <c r="U179" s="54">
        <v>59.42</v>
      </c>
      <c r="V179" s="53">
        <v>0.47471438843173286</v>
      </c>
      <c r="W179" s="53"/>
      <c r="X179" s="55">
        <v>35.24228136882129</v>
      </c>
      <c r="Y179" s="55">
        <v>61.286703843093385</v>
      </c>
      <c r="Z179" s="53">
        <v>0.2493</v>
      </c>
      <c r="AA179" s="56">
        <v>0.454</v>
      </c>
      <c r="AB179" s="57"/>
      <c r="AD179" s="35" t="s">
        <v>97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98</v>
      </c>
      <c r="D180" s="52">
        <v>16897.52982004</v>
      </c>
      <c r="E180" s="52">
        <v>9293.64</v>
      </c>
      <c r="F180" s="52">
        <v>7603.88982004</v>
      </c>
      <c r="G180" s="53">
        <v>0.450000082912829</v>
      </c>
      <c r="H180" s="52">
        <v>9226.2731</v>
      </c>
      <c r="I180" s="52">
        <v>6976.46</v>
      </c>
      <c r="J180" s="52">
        <v>2977.1135000000004</v>
      </c>
      <c r="K180" s="52">
        <v>3448.13</v>
      </c>
      <c r="L180" s="52">
        <v>-471.0164999999997</v>
      </c>
      <c r="M180" s="53">
        <v>-0.15821247661535232</v>
      </c>
      <c r="N180" s="53"/>
      <c r="O180" s="52">
        <v>6249.1596</v>
      </c>
      <c r="P180" s="52">
        <v>3528.33</v>
      </c>
      <c r="Q180" s="52">
        <v>2720.8296</v>
      </c>
      <c r="R180" s="53">
        <v>0.43539128045313485</v>
      </c>
      <c r="S180" s="54">
        <v>125.17</v>
      </c>
      <c r="T180" s="54">
        <v>65.75</v>
      </c>
      <c r="U180" s="54">
        <v>59.42</v>
      </c>
      <c r="V180" s="53">
        <v>0.47471438843173286</v>
      </c>
      <c r="W180" s="53"/>
      <c r="X180" s="55">
        <v>35.24228136882129</v>
      </c>
      <c r="Y180" s="55">
        <v>61.286703843093385</v>
      </c>
      <c r="Z180" s="53">
        <v>0.2493</v>
      </c>
      <c r="AA180" s="56">
        <v>0.454</v>
      </c>
      <c r="AB180" s="57"/>
      <c r="AD180" s="35" t="s">
        <v>99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100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101</v>
      </c>
      <c r="D182" s="52"/>
      <c r="E182" s="52"/>
      <c r="F182" s="52"/>
      <c r="G182" s="53"/>
      <c r="H182" s="52"/>
      <c r="I182" s="52"/>
      <c r="J182" s="52"/>
      <c r="K182" s="52"/>
      <c r="L182" s="52"/>
      <c r="M182" s="53"/>
      <c r="N182" s="53"/>
      <c r="O182" s="52"/>
      <c r="P182" s="52"/>
      <c r="Q182" s="52"/>
      <c r="R182" s="53"/>
      <c r="S182" s="54"/>
      <c r="T182" s="54"/>
      <c r="U182" s="54"/>
      <c r="V182" s="53"/>
      <c r="W182" s="53"/>
      <c r="X182" s="55"/>
      <c r="Y182" s="55"/>
      <c r="Z182" s="53"/>
      <c r="AA182" s="56"/>
      <c r="AB182" s="57"/>
      <c r="AD182" s="35" t="s">
        <v>102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103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104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96</v>
      </c>
      <c r="D186" s="52">
        <v>20992.11525559</v>
      </c>
      <c r="E186" s="52">
        <v>14169.68</v>
      </c>
      <c r="F186" s="52">
        <v>6822.43525559</v>
      </c>
      <c r="G186" s="53">
        <v>0.3249998950807614</v>
      </c>
      <c r="H186" s="52">
        <v>16299.085174</v>
      </c>
      <c r="I186" s="52">
        <v>9699.51</v>
      </c>
      <c r="J186" s="52">
        <v>9784.324774</v>
      </c>
      <c r="K186" s="52">
        <v>8137.88</v>
      </c>
      <c r="L186" s="52">
        <v>1646.4447740000005</v>
      </c>
      <c r="M186" s="53">
        <v>0.16827372476178604</v>
      </c>
      <c r="N186" s="53"/>
      <c r="O186" s="52">
        <v>6514.7604</v>
      </c>
      <c r="P186" s="52">
        <v>1561.63</v>
      </c>
      <c r="Q186" s="52">
        <v>4953.1304</v>
      </c>
      <c r="R186" s="53">
        <v>0.7602935635207705</v>
      </c>
      <c r="S186" s="54">
        <v>130.62</v>
      </c>
      <c r="T186" s="54">
        <v>34.75</v>
      </c>
      <c r="U186" s="54">
        <v>95.87</v>
      </c>
      <c r="V186" s="53">
        <v>0.7339611085591793</v>
      </c>
      <c r="W186" s="53"/>
      <c r="X186" s="55">
        <v>128.6379856115108</v>
      </c>
      <c r="Y186" s="55">
        <v>35.92887828502527</v>
      </c>
      <c r="Z186" s="53">
        <v>0.3155</v>
      </c>
      <c r="AA186" s="56">
        <v>0.2236</v>
      </c>
      <c r="AB186" s="57"/>
      <c r="AD186" s="35" t="s">
        <v>97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98</v>
      </c>
      <c r="D187" s="52">
        <v>20992.11525559</v>
      </c>
      <c r="E187" s="52">
        <v>14169.68</v>
      </c>
      <c r="F187" s="52">
        <v>6822.43525559</v>
      </c>
      <c r="G187" s="53">
        <v>0.3249998950807614</v>
      </c>
      <c r="H187" s="52">
        <v>16299.085174</v>
      </c>
      <c r="I187" s="52">
        <v>9699.51</v>
      </c>
      <c r="J187" s="52">
        <v>9784.324774</v>
      </c>
      <c r="K187" s="52">
        <v>8137.88</v>
      </c>
      <c r="L187" s="52">
        <v>1646.4447740000005</v>
      </c>
      <c r="M187" s="53">
        <v>0.16827372476178604</v>
      </c>
      <c r="N187" s="53"/>
      <c r="O187" s="52">
        <v>6514.7604</v>
      </c>
      <c r="P187" s="52">
        <v>1561.63</v>
      </c>
      <c r="Q187" s="52">
        <v>4953.1304</v>
      </c>
      <c r="R187" s="53">
        <v>0.7602935635207705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128.6379856115108</v>
      </c>
      <c r="Y187" s="55">
        <v>35.92887828502527</v>
      </c>
      <c r="Z187" s="53">
        <v>0.3155</v>
      </c>
      <c r="AA187" s="56">
        <v>0.2236</v>
      </c>
      <c r="AB187" s="57"/>
      <c r="AD187" s="35" t="s">
        <v>99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100</v>
      </c>
      <c r="D188" s="52"/>
      <c r="E188" s="52"/>
      <c r="F188" s="52"/>
      <c r="G188" s="53"/>
      <c r="H188" s="52"/>
      <c r="I188" s="52"/>
      <c r="J188" s="52"/>
      <c r="K188" s="52"/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101</v>
      </c>
      <c r="D189" s="52"/>
      <c r="E189" s="52"/>
      <c r="F189" s="52"/>
      <c r="G189" s="53"/>
      <c r="H189" s="52"/>
      <c r="I189" s="52"/>
      <c r="J189" s="52"/>
      <c r="K189" s="52"/>
      <c r="L189" s="52"/>
      <c r="M189" s="53"/>
      <c r="N189" s="53"/>
      <c r="O189" s="52"/>
      <c r="P189" s="52"/>
      <c r="Q189" s="52"/>
      <c r="R189" s="53"/>
      <c r="S189" s="54"/>
      <c r="T189" s="54"/>
      <c r="U189" s="54"/>
      <c r="V189" s="53"/>
      <c r="W189" s="53"/>
      <c r="X189" s="55"/>
      <c r="Y189" s="55"/>
      <c r="Z189" s="53"/>
      <c r="AA189" s="56"/>
      <c r="AB189" s="57"/>
      <c r="AD189" s="35" t="s">
        <v>102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103</v>
      </c>
      <c r="D190" s="52"/>
      <c r="E190" s="52"/>
      <c r="F190" s="52"/>
      <c r="G190" s="53"/>
      <c r="H190" s="52"/>
      <c r="I190" s="52"/>
      <c r="J190" s="52"/>
      <c r="K190" s="52"/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104</v>
      </c>
      <c r="D191" s="52"/>
      <c r="E191" s="52"/>
      <c r="F191" s="52"/>
      <c r="G191" s="53"/>
      <c r="H191" s="52"/>
      <c r="I191" s="52"/>
      <c r="J191" s="52"/>
      <c r="K191" s="52"/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96</v>
      </c>
      <c r="D193" s="52">
        <v>23770.94615247</v>
      </c>
      <c r="E193" s="52">
        <v>10204.54</v>
      </c>
      <c r="F193" s="52">
        <v>13566.406152469997</v>
      </c>
      <c r="G193" s="53">
        <v>0.5707137639980029</v>
      </c>
      <c r="H193" s="52">
        <v>14310.9577</v>
      </c>
      <c r="I193" s="52">
        <v>7116.73</v>
      </c>
      <c r="J193" s="52">
        <v>7389.335500000001</v>
      </c>
      <c r="K193" s="52">
        <v>6605.049999999999</v>
      </c>
      <c r="L193" s="52">
        <v>784.2855000000018</v>
      </c>
      <c r="M193" s="53">
        <v>0.10613748692287713</v>
      </c>
      <c r="N193" s="53"/>
      <c r="O193" s="52">
        <v>6921.6222</v>
      </c>
      <c r="P193" s="52">
        <v>511.68</v>
      </c>
      <c r="Q193" s="52">
        <v>6409.9421999999995</v>
      </c>
      <c r="R193" s="53">
        <v>0.9260751330807971</v>
      </c>
      <c r="S193" s="54">
        <v>140.15</v>
      </c>
      <c r="T193" s="54">
        <v>9.25</v>
      </c>
      <c r="U193" s="54">
        <v>130.9</v>
      </c>
      <c r="V193" s="53">
        <v>0.9339992864787727</v>
      </c>
      <c r="W193" s="53"/>
      <c r="X193" s="55">
        <v>333.8172972972973</v>
      </c>
      <c r="Y193" s="55">
        <v>67.49902570438813</v>
      </c>
      <c r="Z193" s="53">
        <v>0.30260000000000004</v>
      </c>
      <c r="AA193" s="56">
        <v>0.398</v>
      </c>
      <c r="AB193" s="57"/>
      <c r="AD193" s="35" t="s">
        <v>97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98</v>
      </c>
      <c r="D194" s="52">
        <v>23770.94615247</v>
      </c>
      <c r="E194" s="52">
        <v>10204.54</v>
      </c>
      <c r="F194" s="52">
        <v>13566.406152469997</v>
      </c>
      <c r="G194" s="53">
        <v>0.5707137639980029</v>
      </c>
      <c r="H194" s="52">
        <v>14310.9577</v>
      </c>
      <c r="I194" s="52">
        <v>7116.73</v>
      </c>
      <c r="J194" s="52">
        <v>7389.335500000001</v>
      </c>
      <c r="K194" s="52">
        <v>6605.049999999999</v>
      </c>
      <c r="L194" s="52">
        <v>784.2855000000018</v>
      </c>
      <c r="M194" s="53">
        <v>0.10613748692287713</v>
      </c>
      <c r="N194" s="53"/>
      <c r="O194" s="52">
        <v>6921.6222</v>
      </c>
      <c r="P194" s="52">
        <v>511.68</v>
      </c>
      <c r="Q194" s="52">
        <v>6409.9421999999995</v>
      </c>
      <c r="R194" s="53">
        <v>0.9260751330807971</v>
      </c>
      <c r="S194" s="54">
        <v>140.15</v>
      </c>
      <c r="T194" s="54">
        <v>9.25</v>
      </c>
      <c r="U194" s="54">
        <v>130.9</v>
      </c>
      <c r="V194" s="53">
        <v>0.9339992864787727</v>
      </c>
      <c r="W194" s="53"/>
      <c r="X194" s="55">
        <v>333.8172972972973</v>
      </c>
      <c r="Y194" s="55">
        <v>67.49902570438813</v>
      </c>
      <c r="Z194" s="53">
        <v>0.30260000000000004</v>
      </c>
      <c r="AA194" s="56">
        <v>0.398</v>
      </c>
      <c r="AB194" s="57"/>
      <c r="AD194" s="35" t="s">
        <v>99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100</v>
      </c>
      <c r="D195" s="52"/>
      <c r="E195" s="52"/>
      <c r="F195" s="52"/>
      <c r="G195" s="53"/>
      <c r="H195" s="52"/>
      <c r="I195" s="52"/>
      <c r="J195" s="52"/>
      <c r="K195" s="52"/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101</v>
      </c>
      <c r="D196" s="52"/>
      <c r="E196" s="52"/>
      <c r="F196" s="52"/>
      <c r="G196" s="53"/>
      <c r="H196" s="52"/>
      <c r="I196" s="52"/>
      <c r="J196" s="52"/>
      <c r="K196" s="52"/>
      <c r="L196" s="52"/>
      <c r="M196" s="53"/>
      <c r="N196" s="53"/>
      <c r="O196" s="52"/>
      <c r="P196" s="52"/>
      <c r="Q196" s="52"/>
      <c r="R196" s="53"/>
      <c r="S196" s="54"/>
      <c r="T196" s="54"/>
      <c r="U196" s="54"/>
      <c r="V196" s="53"/>
      <c r="W196" s="53"/>
      <c r="X196" s="55"/>
      <c r="Y196" s="55"/>
      <c r="Z196" s="53"/>
      <c r="AA196" s="56"/>
      <c r="AB196" s="57"/>
      <c r="AD196" s="35" t="s">
        <v>102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103</v>
      </c>
      <c r="D197" s="52"/>
      <c r="E197" s="52"/>
      <c r="F197" s="52"/>
      <c r="G197" s="53"/>
      <c r="H197" s="52"/>
      <c r="I197" s="52"/>
      <c r="J197" s="52"/>
      <c r="K197" s="52"/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104</v>
      </c>
      <c r="D198" s="52"/>
      <c r="E198" s="52"/>
      <c r="F198" s="52"/>
      <c r="G198" s="53"/>
      <c r="H198" s="52"/>
      <c r="I198" s="52"/>
      <c r="J198" s="52"/>
      <c r="K198" s="52"/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96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97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98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99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100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101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102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103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104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96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97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98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99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100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101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102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103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104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96</v>
      </c>
      <c r="D214" s="52">
        <v>137109.56054889</v>
      </c>
      <c r="E214" s="52">
        <v>42368.33</v>
      </c>
      <c r="F214" s="52">
        <v>94741.23054889</v>
      </c>
      <c r="G214" s="53">
        <v>0.6909892364151188</v>
      </c>
      <c r="H214" s="52">
        <v>117394.569232</v>
      </c>
      <c r="I214" s="52">
        <v>37161.14</v>
      </c>
      <c r="J214" s="52">
        <v>99479.615032</v>
      </c>
      <c r="K214" s="52">
        <v>37161.14</v>
      </c>
      <c r="L214" s="52">
        <v>62318.475032</v>
      </c>
      <c r="M214" s="53">
        <v>0.6264446742375689</v>
      </c>
      <c r="N214" s="53"/>
      <c r="O214" s="52">
        <v>17914.9542</v>
      </c>
      <c r="P214" s="52">
        <v>0</v>
      </c>
      <c r="Q214" s="52">
        <v>17914.9542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>
        <v>0</v>
      </c>
      <c r="Y214" s="55">
        <v>54.93783457863793</v>
      </c>
      <c r="Z214" s="53">
        <v>0.1229</v>
      </c>
      <c r="AA214" s="56">
        <v>0.1438</v>
      </c>
      <c r="AB214" s="57"/>
      <c r="AD214" s="35" t="s">
        <v>97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98</v>
      </c>
      <c r="D215" s="52">
        <v>137109.56054889</v>
      </c>
      <c r="E215" s="52">
        <v>42368.33</v>
      </c>
      <c r="F215" s="52">
        <v>94741.23054889</v>
      </c>
      <c r="G215" s="53">
        <v>0.6909892364151188</v>
      </c>
      <c r="H215" s="52">
        <v>117394.569232</v>
      </c>
      <c r="I215" s="52">
        <v>37161.14</v>
      </c>
      <c r="J215" s="52">
        <v>99479.615032</v>
      </c>
      <c r="K215" s="52">
        <v>37161.14</v>
      </c>
      <c r="L215" s="52">
        <v>62318.475032</v>
      </c>
      <c r="M215" s="53">
        <v>0.6264446742375689</v>
      </c>
      <c r="N215" s="53"/>
      <c r="O215" s="52">
        <v>17914.9542</v>
      </c>
      <c r="P215" s="52">
        <v>0</v>
      </c>
      <c r="Q215" s="52">
        <v>17914.9542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0.1229</v>
      </c>
      <c r="AA215" s="56">
        <v>0.1438</v>
      </c>
      <c r="AB215" s="57"/>
      <c r="AD215" s="35" t="s">
        <v>99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100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101</v>
      </c>
      <c r="D217" s="52"/>
      <c r="E217" s="52"/>
      <c r="F217" s="52"/>
      <c r="G217" s="53"/>
      <c r="H217" s="52"/>
      <c r="I217" s="52"/>
      <c r="J217" s="52"/>
      <c r="K217" s="52"/>
      <c r="L217" s="52"/>
      <c r="M217" s="53"/>
      <c r="N217" s="53"/>
      <c r="O217" s="52"/>
      <c r="P217" s="52"/>
      <c r="Q217" s="52"/>
      <c r="R217" s="53"/>
      <c r="S217" s="54"/>
      <c r="T217" s="54"/>
      <c r="U217" s="54"/>
      <c r="V217" s="53"/>
      <c r="W217" s="53"/>
      <c r="X217" s="55"/>
      <c r="Y217" s="55"/>
      <c r="Z217" s="53"/>
      <c r="AA217" s="56"/>
      <c r="AB217" s="57"/>
      <c r="AD217" s="35" t="s">
        <v>102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103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104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96</v>
      </c>
      <c r="D221" s="52">
        <v>412300.73261827</v>
      </c>
      <c r="E221" s="52">
        <v>353667.87</v>
      </c>
      <c r="F221" s="52">
        <v>58632.86261826998</v>
      </c>
      <c r="G221" s="53">
        <v>0.1422089702483149</v>
      </c>
      <c r="H221" s="52">
        <v>306356.278672</v>
      </c>
      <c r="I221" s="52">
        <v>252680.7</v>
      </c>
      <c r="J221" s="52">
        <v>186357.488872</v>
      </c>
      <c r="K221" s="52">
        <v>180716.68</v>
      </c>
      <c r="L221" s="52">
        <v>5640.808871999994</v>
      </c>
      <c r="M221" s="53">
        <v>0.03026875338438583</v>
      </c>
      <c r="N221" s="53"/>
      <c r="O221" s="52">
        <v>119998.7898</v>
      </c>
      <c r="P221" s="52">
        <v>71964.02</v>
      </c>
      <c r="Q221" s="52">
        <v>48034.769799999995</v>
      </c>
      <c r="R221" s="53">
        <v>0.400293785296158</v>
      </c>
      <c r="S221" s="54">
        <v>2412.45</v>
      </c>
      <c r="T221" s="54">
        <v>1535.92</v>
      </c>
      <c r="U221" s="54">
        <v>876.5299999999997</v>
      </c>
      <c r="V221" s="53">
        <v>0.363336027689693</v>
      </c>
      <c r="W221" s="53"/>
      <c r="X221" s="55">
        <v>65.75027996249804</v>
      </c>
      <c r="Y221" s="55">
        <v>43.91570973337064</v>
      </c>
      <c r="Z221" s="53">
        <v>0.28550000000000003</v>
      </c>
      <c r="AA221" s="56">
        <v>0.257</v>
      </c>
      <c r="AB221" s="57"/>
      <c r="AD221" s="35" t="s">
        <v>97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98</v>
      </c>
      <c r="D222" s="52">
        <v>412300.73261827</v>
      </c>
      <c r="E222" s="52">
        <v>353667.87</v>
      </c>
      <c r="F222" s="52">
        <v>58632.86261826998</v>
      </c>
      <c r="G222" s="53">
        <v>0.1422089702483149</v>
      </c>
      <c r="H222" s="52">
        <v>306356.278672</v>
      </c>
      <c r="I222" s="52">
        <v>253033.2</v>
      </c>
      <c r="J222" s="52">
        <v>186357.488872</v>
      </c>
      <c r="K222" s="52">
        <v>180716.68</v>
      </c>
      <c r="L222" s="52">
        <v>5640.808871999994</v>
      </c>
      <c r="M222" s="53">
        <v>0.03026875338438583</v>
      </c>
      <c r="N222" s="53"/>
      <c r="O222" s="52">
        <v>119998.7898</v>
      </c>
      <c r="P222" s="52">
        <v>72316.52</v>
      </c>
      <c r="Q222" s="52">
        <v>47682.269799999995</v>
      </c>
      <c r="R222" s="53">
        <v>0.3973562556711717</v>
      </c>
      <c r="S222" s="54">
        <v>2412.45</v>
      </c>
      <c r="T222" s="54">
        <v>1543.42</v>
      </c>
      <c r="U222" s="54">
        <v>869.0299999999997</v>
      </c>
      <c r="V222" s="53">
        <v>0.36022715496694224</v>
      </c>
      <c r="W222" s="53"/>
      <c r="X222" s="55">
        <v>65.2023882028223</v>
      </c>
      <c r="Y222" s="55">
        <v>43.91570973337064</v>
      </c>
      <c r="Z222" s="53">
        <v>0.2845</v>
      </c>
      <c r="AA222" s="56">
        <v>0.257</v>
      </c>
      <c r="AB222" s="57"/>
      <c r="AD222" s="35" t="s">
        <v>99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100</v>
      </c>
      <c r="D223" s="52"/>
      <c r="E223" s="52"/>
      <c r="F223" s="52"/>
      <c r="G223" s="53"/>
      <c r="H223" s="52"/>
      <c r="I223" s="52"/>
      <c r="J223" s="52"/>
      <c r="K223" s="52"/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101</v>
      </c>
      <c r="D224" s="52"/>
      <c r="E224" s="52"/>
      <c r="F224" s="52"/>
      <c r="G224" s="53"/>
      <c r="H224" s="52"/>
      <c r="I224" s="52"/>
      <c r="J224" s="52"/>
      <c r="K224" s="52"/>
      <c r="L224" s="52"/>
      <c r="M224" s="53"/>
      <c r="N224" s="53"/>
      <c r="O224" s="52"/>
      <c r="P224" s="52"/>
      <c r="Q224" s="52"/>
      <c r="R224" s="53"/>
      <c r="S224" s="54"/>
      <c r="T224" s="54"/>
      <c r="U224" s="54"/>
      <c r="V224" s="53"/>
      <c r="W224" s="53"/>
      <c r="X224" s="55"/>
      <c r="Y224" s="55"/>
      <c r="Z224" s="53"/>
      <c r="AA224" s="56"/>
      <c r="AB224" s="57"/>
      <c r="AD224" s="35" t="s">
        <v>102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103</v>
      </c>
      <c r="D225" s="52"/>
      <c r="E225" s="52"/>
      <c r="F225" s="52"/>
      <c r="G225" s="53"/>
      <c r="H225" s="52"/>
      <c r="I225" s="52"/>
      <c r="J225" s="52"/>
      <c r="K225" s="52"/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104</v>
      </c>
      <c r="D226" s="52"/>
      <c r="E226" s="52"/>
      <c r="F226" s="52"/>
      <c r="G226" s="53"/>
      <c r="H226" s="52"/>
      <c r="I226" s="52"/>
      <c r="J226" s="52"/>
      <c r="K226" s="52"/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  <row r="227" ht="9" customHeight="1" spans="1:35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D227" s="35"/>
      <c r="AE227" s="35"/>
      <c r="AH227" s="35"/>
      <c r="AI227" s="35"/>
    </row>
    <row r="228" ht="15" customHeight="1" spans="1:35" x14ac:dyDescent="0.25">
      <c r="A228" s="19">
        <v>8530</v>
      </c>
      <c r="B228" s="19" t="s">
        <v>63</v>
      </c>
      <c r="C228" s="51" t="s">
        <v>96</v>
      </c>
      <c r="D228" s="52">
        <v>8795.02836582</v>
      </c>
      <c r="E228" s="52">
        <v>1740.2</v>
      </c>
      <c r="F228" s="52">
        <v>7054.828365820001</v>
      </c>
      <c r="G228" s="53">
        <v>0.8021382163174237</v>
      </c>
      <c r="H228" s="52">
        <v>6369.1218</v>
      </c>
      <c r="I228" s="52">
        <v>584.85</v>
      </c>
      <c r="J228" s="52">
        <v>4527.894</v>
      </c>
      <c r="K228" s="52">
        <v>239.55</v>
      </c>
      <c r="L228" s="52">
        <v>4288.344</v>
      </c>
      <c r="M228" s="53">
        <v>0.9470946095469549</v>
      </c>
      <c r="N228" s="53"/>
      <c r="O228" s="52">
        <v>1841.2278</v>
      </c>
      <c r="P228" s="52">
        <v>345.3</v>
      </c>
      <c r="Q228" s="52">
        <v>1495.9278</v>
      </c>
      <c r="R228" s="53">
        <v>0.8124620973026804</v>
      </c>
      <c r="S228" s="54">
        <v>36.92</v>
      </c>
      <c r="T228" s="54">
        <v>6</v>
      </c>
      <c r="U228" s="54">
        <v>30.92</v>
      </c>
      <c r="V228" s="53">
        <v>0.8374864572047671</v>
      </c>
      <c r="W228" s="53"/>
      <c r="X228" s="55">
        <v>192.5583333333333</v>
      </c>
      <c r="Y228" s="55">
        <v>65.70711175027087</v>
      </c>
      <c r="Z228" s="53">
        <v>0.6639</v>
      </c>
      <c r="AA228" s="56">
        <v>0.2758</v>
      </c>
      <c r="AB228" s="57"/>
      <c r="AD228" s="35"/>
      <c r="AE228" s="35"/>
      <c r="AH228" s="19"/>
      <c r="AI228" s="58"/>
    </row>
    <row r="229" ht="15" customHeight="1" spans="1:35" x14ac:dyDescent="0.25">
      <c r="A229" s="19"/>
      <c r="B229" s="20"/>
      <c r="C229" s="51" t="s">
        <v>98</v>
      </c>
      <c r="D229" s="52">
        <v>8795.02836582</v>
      </c>
      <c r="E229" s="52">
        <v>1740.2</v>
      </c>
      <c r="F229" s="52">
        <v>7054.828365820001</v>
      </c>
      <c r="G229" s="53">
        <v>0.8021382163174237</v>
      </c>
      <c r="H229" s="52">
        <v>6369.1218</v>
      </c>
      <c r="I229" s="52">
        <v>757.35</v>
      </c>
      <c r="J229" s="52">
        <v>4527.894</v>
      </c>
      <c r="K229" s="52">
        <v>311.34000000000003</v>
      </c>
      <c r="L229" s="52">
        <v>4216.554</v>
      </c>
      <c r="M229" s="53">
        <v>0.931239556403043</v>
      </c>
      <c r="N229" s="53"/>
      <c r="O229" s="52">
        <v>1841.2278</v>
      </c>
      <c r="P229" s="52">
        <v>446.01</v>
      </c>
      <c r="Q229" s="52">
        <v>1395.2178</v>
      </c>
      <c r="R229" s="53">
        <v>0.7577649001389182</v>
      </c>
      <c r="S229" s="54">
        <v>36.92</v>
      </c>
      <c r="T229" s="54">
        <v>7.75</v>
      </c>
      <c r="U229" s="54">
        <v>29.17</v>
      </c>
      <c r="V229" s="53">
        <v>0.7900866738894908</v>
      </c>
      <c r="W229" s="53"/>
      <c r="X229" s="55">
        <v>126.81935483870969</v>
      </c>
      <c r="Y229" s="55">
        <v>65.70711175027087</v>
      </c>
      <c r="Z229" s="53">
        <v>0.5648</v>
      </c>
      <c r="AA229" s="56">
        <v>0.2758</v>
      </c>
      <c r="AB229" s="57"/>
      <c r="AD229" s="35"/>
      <c r="AE229" s="36"/>
      <c r="AH229" s="19"/>
      <c r="AI229" s="58"/>
    </row>
    <row r="230" ht="15" customHeight="1" spans="1:35" x14ac:dyDescent="0.25">
      <c r="A230" s="19"/>
      <c r="B230" s="20"/>
      <c r="C230" s="51" t="s">
        <v>100</v>
      </c>
      <c r="D230" s="52"/>
      <c r="E230" s="52"/>
      <c r="F230" s="52"/>
      <c r="G230" s="53"/>
      <c r="H230" s="52"/>
      <c r="I230" s="52"/>
      <c r="J230" s="52"/>
      <c r="K230" s="52"/>
      <c r="L230" s="52"/>
      <c r="M230" s="53"/>
      <c r="N230" s="53"/>
      <c r="O230" s="52"/>
      <c r="P230" s="52"/>
      <c r="Q230" s="52"/>
      <c r="R230" s="53"/>
      <c r="S230" s="54"/>
      <c r="T230" s="54"/>
      <c r="U230" s="54"/>
      <c r="V230" s="53"/>
      <c r="W230" s="53"/>
      <c r="X230" s="55"/>
      <c r="Y230" s="55"/>
      <c r="Z230" s="53"/>
      <c r="AA230" s="56"/>
      <c r="AB230" s="57"/>
      <c r="AD230" s="35"/>
      <c r="AE230" s="35"/>
      <c r="AH230" s="19"/>
      <c r="AI230" s="58"/>
    </row>
    <row r="231" ht="15" customHeight="1" spans="1:35" x14ac:dyDescent="0.25">
      <c r="A231" s="19"/>
      <c r="B231" s="20"/>
      <c r="C231" s="51" t="s">
        <v>101</v>
      </c>
      <c r="D231" s="52"/>
      <c r="E231" s="52"/>
      <c r="F231" s="52"/>
      <c r="G231" s="53"/>
      <c r="H231" s="52"/>
      <c r="I231" s="52"/>
      <c r="J231" s="52"/>
      <c r="K231" s="52"/>
      <c r="L231" s="52"/>
      <c r="M231" s="53"/>
      <c r="N231" s="53"/>
      <c r="O231" s="52"/>
      <c r="P231" s="52"/>
      <c r="Q231" s="52"/>
      <c r="R231" s="53"/>
      <c r="S231" s="54"/>
      <c r="T231" s="54"/>
      <c r="U231" s="54"/>
      <c r="V231" s="53"/>
      <c r="W231" s="53"/>
      <c r="X231" s="55"/>
      <c r="Y231" s="55"/>
      <c r="Z231" s="53"/>
      <c r="AA231" s="56"/>
      <c r="AB231" s="57"/>
      <c r="AD231" s="35"/>
      <c r="AE231" s="36"/>
      <c r="AH231" s="19"/>
      <c r="AI231" s="58"/>
    </row>
    <row r="232" ht="15" customHeight="1" spans="1:35" x14ac:dyDescent="0.25">
      <c r="A232" s="19"/>
      <c r="B232" s="20"/>
      <c r="C232" s="51" t="s">
        <v>103</v>
      </c>
      <c r="D232" s="52"/>
      <c r="E232" s="52"/>
      <c r="F232" s="52"/>
      <c r="G232" s="53"/>
      <c r="H232" s="52"/>
      <c r="I232" s="52"/>
      <c r="J232" s="52"/>
      <c r="K232" s="52"/>
      <c r="L232" s="52"/>
      <c r="M232" s="53"/>
      <c r="N232" s="53"/>
      <c r="O232" s="52"/>
      <c r="P232" s="52"/>
      <c r="Q232" s="52"/>
      <c r="R232" s="53"/>
      <c r="S232" s="54"/>
      <c r="T232" s="54"/>
      <c r="U232" s="54"/>
      <c r="V232" s="53"/>
      <c r="W232" s="53"/>
      <c r="X232" s="55"/>
      <c r="Y232" s="55"/>
      <c r="Z232" s="53"/>
      <c r="AA232" s="56"/>
      <c r="AB232" s="57"/>
      <c r="AD232" s="35"/>
      <c r="AE232" s="35"/>
      <c r="AH232" s="19"/>
      <c r="AI232" s="58"/>
    </row>
    <row r="233" ht="15.75" customHeight="1" spans="1:35" x14ac:dyDescent="0.25">
      <c r="A233" s="59"/>
      <c r="B233" s="75"/>
      <c r="C233" s="76" t="s">
        <v>104</v>
      </c>
      <c r="D233" s="52"/>
      <c r="E233" s="52"/>
      <c r="F233" s="52"/>
      <c r="G233" s="53"/>
      <c r="H233" s="52"/>
      <c r="I233" s="52"/>
      <c r="J233" s="52"/>
      <c r="K233" s="52"/>
      <c r="L233" s="52"/>
      <c r="M233" s="53"/>
      <c r="N233" s="53"/>
      <c r="O233" s="52"/>
      <c r="P233" s="52"/>
      <c r="Q233" s="52"/>
      <c r="R233" s="53"/>
      <c r="S233" s="54"/>
      <c r="T233" s="54"/>
      <c r="U233" s="54"/>
      <c r="V233" s="53"/>
      <c r="W233" s="53"/>
      <c r="X233" s="55"/>
      <c r="Y233" s="55"/>
      <c r="Z233" s="53"/>
      <c r="AA233" s="56"/>
      <c r="AB233" s="57"/>
      <c r="AD233" s="35"/>
      <c r="AE233" s="35"/>
      <c r="AH233" s="59"/>
      <c r="AI233" s="60"/>
    </row>
    <row r="234" ht="9" customHeight="1" spans="1:35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D234" s="35"/>
      <c r="AE234" s="35"/>
      <c r="AH234" s="35"/>
      <c r="AI234" s="35"/>
    </row>
    <row r="235" ht="15" customHeight="1" spans="1:35" x14ac:dyDescent="0.25">
      <c r="A235" s="19">
        <v>8386</v>
      </c>
      <c r="B235" s="19" t="s">
        <v>65</v>
      </c>
      <c r="C235" s="51" t="s">
        <v>96</v>
      </c>
      <c r="D235" s="52">
        <v>27503.13664251</v>
      </c>
      <c r="E235" s="52">
        <v>0</v>
      </c>
      <c r="F235" s="52">
        <v>27503.13664251</v>
      </c>
      <c r="G235" s="53">
        <v>1</v>
      </c>
      <c r="H235" s="52">
        <v>19683.280628</v>
      </c>
      <c r="I235" s="52">
        <v>0</v>
      </c>
      <c r="J235" s="52">
        <v>10693.531628</v>
      </c>
      <c r="K235" s="52">
        <v>0</v>
      </c>
      <c r="L235" s="52">
        <v>10693.531628</v>
      </c>
      <c r="M235" s="53">
        <v>1</v>
      </c>
      <c r="N235" s="53"/>
      <c r="O235" s="52">
        <v>8989.749</v>
      </c>
      <c r="P235" s="52">
        <v>0</v>
      </c>
      <c r="Q235" s="52">
        <v>8989.749</v>
      </c>
      <c r="R235" s="53">
        <v>1</v>
      </c>
      <c r="S235" s="54">
        <v>180.16</v>
      </c>
      <c r="T235" s="54">
        <v>0</v>
      </c>
      <c r="U235" s="54">
        <v>180.16</v>
      </c>
      <c r="V235" s="53">
        <v>1</v>
      </c>
      <c r="W235" s="53"/>
      <c r="X235" s="55">
        <v>0</v>
      </c>
      <c r="Y235" s="55">
        <v>43.40506224750221</v>
      </c>
      <c r="Z235" s="53">
        <v>0</v>
      </c>
      <c r="AA235" s="56">
        <v>0.2843</v>
      </c>
      <c r="AB235" s="57"/>
      <c r="AD235" s="35"/>
      <c r="AE235" s="35"/>
      <c r="AH235" s="19"/>
      <c r="AI235" s="58"/>
    </row>
    <row r="236" ht="15" customHeight="1" spans="1:35" x14ac:dyDescent="0.25">
      <c r="A236" s="19"/>
      <c r="B236" s="20"/>
      <c r="C236" s="51" t="s">
        <v>98</v>
      </c>
      <c r="D236" s="52">
        <v>27503.13664251</v>
      </c>
      <c r="E236" s="52">
        <v>0</v>
      </c>
      <c r="F236" s="52">
        <v>27503.13664251</v>
      </c>
      <c r="G236" s="53">
        <v>1</v>
      </c>
      <c r="H236" s="52">
        <v>19683.280628</v>
      </c>
      <c r="I236" s="52">
        <v>0</v>
      </c>
      <c r="J236" s="52">
        <v>10693.531628</v>
      </c>
      <c r="K236" s="52">
        <v>0</v>
      </c>
      <c r="L236" s="52">
        <v>10693.531628</v>
      </c>
      <c r="M236" s="53">
        <v>1</v>
      </c>
      <c r="N236" s="53"/>
      <c r="O236" s="52">
        <v>8989.749</v>
      </c>
      <c r="P236" s="52">
        <v>0</v>
      </c>
      <c r="Q236" s="52">
        <v>8989.749</v>
      </c>
      <c r="R236" s="53">
        <v>1</v>
      </c>
      <c r="S236" s="54">
        <v>180.16</v>
      </c>
      <c r="T236" s="54">
        <v>0</v>
      </c>
      <c r="U236" s="54">
        <v>180.16</v>
      </c>
      <c r="V236" s="53">
        <v>1</v>
      </c>
      <c r="W236" s="53"/>
      <c r="X236" s="55">
        <v>0</v>
      </c>
      <c r="Y236" s="55">
        <v>43.40506224750221</v>
      </c>
      <c r="Z236" s="53">
        <v>0</v>
      </c>
      <c r="AA236" s="56">
        <v>0.2843</v>
      </c>
      <c r="AB236" s="57"/>
      <c r="AD236" s="35"/>
      <c r="AE236" s="36"/>
      <c r="AH236" s="19"/>
      <c r="AI236" s="58"/>
    </row>
    <row r="237" ht="15" customHeight="1" spans="1:35" x14ac:dyDescent="0.25">
      <c r="A237" s="19"/>
      <c r="B237" s="20"/>
      <c r="C237" s="51" t="s">
        <v>100</v>
      </c>
      <c r="D237" s="52"/>
      <c r="E237" s="52"/>
      <c r="F237" s="52"/>
      <c r="G237" s="53"/>
      <c r="H237" s="52"/>
      <c r="I237" s="52"/>
      <c r="J237" s="52"/>
      <c r="K237" s="52"/>
      <c r="L237" s="52"/>
      <c r="M237" s="53"/>
      <c r="N237" s="53"/>
      <c r="O237" s="52"/>
      <c r="P237" s="52"/>
      <c r="Q237" s="52"/>
      <c r="R237" s="53"/>
      <c r="S237" s="54"/>
      <c r="T237" s="54"/>
      <c r="U237" s="54"/>
      <c r="V237" s="53"/>
      <c r="W237" s="53"/>
      <c r="X237" s="55"/>
      <c r="Y237" s="55"/>
      <c r="Z237" s="53"/>
      <c r="AA237" s="56"/>
      <c r="AB237" s="57"/>
      <c r="AD237" s="35"/>
      <c r="AE237" s="35"/>
      <c r="AH237" s="19"/>
      <c r="AI237" s="58"/>
    </row>
    <row r="238" ht="15" customHeight="1" spans="1:35" x14ac:dyDescent="0.25">
      <c r="A238" s="19"/>
      <c r="B238" s="20"/>
      <c r="C238" s="51" t="s">
        <v>101</v>
      </c>
      <c r="D238" s="52"/>
      <c r="E238" s="52"/>
      <c r="F238" s="52"/>
      <c r="G238" s="53"/>
      <c r="H238" s="52"/>
      <c r="I238" s="52"/>
      <c r="J238" s="52"/>
      <c r="K238" s="52"/>
      <c r="L238" s="52"/>
      <c r="M238" s="53"/>
      <c r="N238" s="53"/>
      <c r="O238" s="52"/>
      <c r="P238" s="52"/>
      <c r="Q238" s="52"/>
      <c r="R238" s="53"/>
      <c r="S238" s="54"/>
      <c r="T238" s="54"/>
      <c r="U238" s="54"/>
      <c r="V238" s="53"/>
      <c r="W238" s="53"/>
      <c r="X238" s="55"/>
      <c r="Y238" s="55"/>
      <c r="Z238" s="53"/>
      <c r="AA238" s="56"/>
      <c r="AB238" s="57"/>
      <c r="AD238" s="35"/>
      <c r="AE238" s="36"/>
      <c r="AH238" s="19"/>
      <c r="AI238" s="58"/>
    </row>
    <row r="239" ht="15" customHeight="1" spans="1:35" x14ac:dyDescent="0.25">
      <c r="A239" s="19"/>
      <c r="B239" s="20"/>
      <c r="C239" s="51" t="s">
        <v>103</v>
      </c>
      <c r="D239" s="52"/>
      <c r="E239" s="52"/>
      <c r="F239" s="52"/>
      <c r="G239" s="53"/>
      <c r="H239" s="52"/>
      <c r="I239" s="52"/>
      <c r="J239" s="52"/>
      <c r="K239" s="52"/>
      <c r="L239" s="52"/>
      <c r="M239" s="53"/>
      <c r="N239" s="53"/>
      <c r="O239" s="52"/>
      <c r="P239" s="52"/>
      <c r="Q239" s="52"/>
      <c r="R239" s="53"/>
      <c r="S239" s="54"/>
      <c r="T239" s="54"/>
      <c r="U239" s="54"/>
      <c r="V239" s="53"/>
      <c r="W239" s="53"/>
      <c r="X239" s="55"/>
      <c r="Y239" s="55"/>
      <c r="Z239" s="53"/>
      <c r="AA239" s="56"/>
      <c r="AB239" s="57"/>
      <c r="AD239" s="35"/>
      <c r="AE239" s="35"/>
      <c r="AH239" s="19"/>
      <c r="AI239" s="58"/>
    </row>
    <row r="240" ht="15.75" customHeight="1" spans="1:35" x14ac:dyDescent="0.25">
      <c r="A240" s="59"/>
      <c r="B240" s="75"/>
      <c r="C240" s="76" t="s">
        <v>104</v>
      </c>
      <c r="D240" s="52"/>
      <c r="E240" s="52"/>
      <c r="F240" s="52"/>
      <c r="G240" s="53"/>
      <c r="H240" s="52"/>
      <c r="I240" s="52"/>
      <c r="J240" s="52"/>
      <c r="K240" s="52"/>
      <c r="L240" s="52"/>
      <c r="M240" s="53"/>
      <c r="N240" s="53"/>
      <c r="O240" s="52"/>
      <c r="P240" s="52"/>
      <c r="Q240" s="52"/>
      <c r="R240" s="53"/>
      <c r="S240" s="54"/>
      <c r="T240" s="54"/>
      <c r="U240" s="54"/>
      <c r="V240" s="53"/>
      <c r="W240" s="53"/>
      <c r="X240" s="55"/>
      <c r="Y240" s="55"/>
      <c r="Z240" s="53"/>
      <c r="AA240" s="56"/>
      <c r="AB240" s="57"/>
      <c r="AD240" s="35"/>
      <c r="AE240" s="35"/>
      <c r="AH240" s="59"/>
      <c r="AI240" s="60"/>
    </row>
    <row r="241" ht="9" customHeight="1" spans="1:35" x14ac:dyDescent="0.2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D241" s="35"/>
      <c r="AE241" s="35"/>
      <c r="AH241" s="35"/>
      <c r="AI241" s="35"/>
    </row>
    <row r="242" ht="15" customHeight="1" spans="1:35" x14ac:dyDescent="0.25">
      <c r="A242" s="19">
        <v>8829</v>
      </c>
      <c r="B242" s="19" t="s">
        <v>66</v>
      </c>
      <c r="C242" s="51" t="s">
        <v>96</v>
      </c>
      <c r="D242" s="52">
        <v>40670.1518342</v>
      </c>
      <c r="E242" s="52">
        <v>0</v>
      </c>
      <c r="F242" s="52">
        <v>40670.1518342</v>
      </c>
      <c r="G242" s="53">
        <v>1</v>
      </c>
      <c r="H242" s="52">
        <v>29498.3116992</v>
      </c>
      <c r="I242" s="52">
        <v>0</v>
      </c>
      <c r="J242" s="52">
        <v>24964.3288992</v>
      </c>
      <c r="K242" s="52">
        <v>0</v>
      </c>
      <c r="L242" s="52">
        <v>24964.3288992</v>
      </c>
      <c r="M242" s="53">
        <v>1</v>
      </c>
      <c r="N242" s="53"/>
      <c r="O242" s="52">
        <v>4533.9828</v>
      </c>
      <c r="P242" s="52">
        <v>0</v>
      </c>
      <c r="Q242" s="52">
        <v>4533.9828</v>
      </c>
      <c r="R242" s="53">
        <v>1</v>
      </c>
      <c r="S242" s="54">
        <v>90.88</v>
      </c>
      <c r="T242" s="54">
        <v>0</v>
      </c>
      <c r="U242" s="54">
        <v>90.88</v>
      </c>
      <c r="V242" s="53">
        <v>1</v>
      </c>
      <c r="W242" s="53"/>
      <c r="X242" s="55">
        <v>0</v>
      </c>
      <c r="Y242" s="55">
        <v>122.92957895026407</v>
      </c>
      <c r="Z242" s="53">
        <v>0</v>
      </c>
      <c r="AA242" s="56">
        <v>0.2747</v>
      </c>
      <c r="AB242" s="57"/>
      <c r="AD242" s="35"/>
      <c r="AE242" s="35"/>
      <c r="AH242" s="19"/>
      <c r="AI242" s="58"/>
    </row>
    <row r="243" ht="15" customHeight="1" spans="1:35" x14ac:dyDescent="0.25">
      <c r="A243" s="19"/>
      <c r="B243" s="20"/>
      <c r="C243" s="51" t="s">
        <v>98</v>
      </c>
      <c r="D243" s="52">
        <v>40670.1518342</v>
      </c>
      <c r="E243" s="52">
        <v>0</v>
      </c>
      <c r="F243" s="52">
        <v>40670.1518342</v>
      </c>
      <c r="G243" s="53">
        <v>1</v>
      </c>
      <c r="H243" s="52">
        <v>29498.3116992</v>
      </c>
      <c r="I243" s="52">
        <v>0</v>
      </c>
      <c r="J243" s="52">
        <v>24964.3288992</v>
      </c>
      <c r="K243" s="52">
        <v>0</v>
      </c>
      <c r="L243" s="52">
        <v>24964.3288992</v>
      </c>
      <c r="M243" s="53">
        <v>1</v>
      </c>
      <c r="N243" s="53"/>
      <c r="O243" s="52">
        <v>4533.9828</v>
      </c>
      <c r="P243" s="52">
        <v>0</v>
      </c>
      <c r="Q243" s="52">
        <v>4533.9828</v>
      </c>
      <c r="R243" s="53">
        <v>1</v>
      </c>
      <c r="S243" s="54">
        <v>90.88</v>
      </c>
      <c r="T243" s="54">
        <v>0</v>
      </c>
      <c r="U243" s="54">
        <v>90.88</v>
      </c>
      <c r="V243" s="53">
        <v>1</v>
      </c>
      <c r="W243" s="53"/>
      <c r="X243" s="55">
        <v>0</v>
      </c>
      <c r="Y243" s="55">
        <v>122.92957895026407</v>
      </c>
      <c r="Z243" s="53">
        <v>0</v>
      </c>
      <c r="AA243" s="56">
        <v>0.2747</v>
      </c>
      <c r="AB243" s="57"/>
      <c r="AD243" s="35"/>
      <c r="AE243" s="36"/>
      <c r="AH243" s="19"/>
      <c r="AI243" s="58"/>
    </row>
    <row r="244" ht="15" customHeight="1" spans="1:35" x14ac:dyDescent="0.25">
      <c r="A244" s="19"/>
      <c r="B244" s="20"/>
      <c r="C244" s="51" t="s">
        <v>100</v>
      </c>
      <c r="D244" s="52"/>
      <c r="E244" s="52"/>
      <c r="F244" s="52"/>
      <c r="G244" s="53"/>
      <c r="H244" s="52"/>
      <c r="I244" s="52"/>
      <c r="J244" s="52"/>
      <c r="K244" s="52"/>
      <c r="L244" s="52"/>
      <c r="M244" s="53"/>
      <c r="N244" s="53"/>
      <c r="O244" s="52"/>
      <c r="P244" s="52"/>
      <c r="Q244" s="52"/>
      <c r="R244" s="53"/>
      <c r="S244" s="54"/>
      <c r="T244" s="54"/>
      <c r="U244" s="54"/>
      <c r="V244" s="53"/>
      <c r="W244" s="53"/>
      <c r="X244" s="55"/>
      <c r="Y244" s="55"/>
      <c r="Z244" s="53"/>
      <c r="AA244" s="56"/>
      <c r="AB244" s="57"/>
      <c r="AD244" s="35"/>
      <c r="AE244" s="35"/>
      <c r="AH244" s="19"/>
      <c r="AI244" s="58"/>
    </row>
    <row r="245" ht="15" customHeight="1" spans="1:35" x14ac:dyDescent="0.25">
      <c r="A245" s="19"/>
      <c r="B245" s="20"/>
      <c r="C245" s="51" t="s">
        <v>101</v>
      </c>
      <c r="D245" s="52"/>
      <c r="E245" s="52"/>
      <c r="F245" s="52"/>
      <c r="G245" s="53"/>
      <c r="H245" s="52"/>
      <c r="I245" s="52"/>
      <c r="J245" s="52"/>
      <c r="K245" s="52"/>
      <c r="L245" s="52"/>
      <c r="M245" s="53"/>
      <c r="N245" s="53"/>
      <c r="O245" s="52"/>
      <c r="P245" s="52"/>
      <c r="Q245" s="52"/>
      <c r="R245" s="53"/>
      <c r="S245" s="54"/>
      <c r="T245" s="54"/>
      <c r="U245" s="54"/>
      <c r="V245" s="53"/>
      <c r="W245" s="53"/>
      <c r="X245" s="55"/>
      <c r="Y245" s="55"/>
      <c r="Z245" s="53"/>
      <c r="AA245" s="56"/>
      <c r="AB245" s="57"/>
      <c r="AD245" s="35"/>
      <c r="AE245" s="36"/>
      <c r="AH245" s="19"/>
      <c r="AI245" s="58"/>
    </row>
    <row r="246" ht="15" customHeight="1" spans="1:35" x14ac:dyDescent="0.25">
      <c r="A246" s="19"/>
      <c r="B246" s="20"/>
      <c r="C246" s="51" t="s">
        <v>103</v>
      </c>
      <c r="D246" s="52"/>
      <c r="E246" s="52"/>
      <c r="F246" s="52"/>
      <c r="G246" s="53"/>
      <c r="H246" s="52"/>
      <c r="I246" s="52"/>
      <c r="J246" s="52"/>
      <c r="K246" s="52"/>
      <c r="L246" s="52"/>
      <c r="M246" s="53"/>
      <c r="N246" s="53"/>
      <c r="O246" s="52"/>
      <c r="P246" s="52"/>
      <c r="Q246" s="52"/>
      <c r="R246" s="53"/>
      <c r="S246" s="54"/>
      <c r="T246" s="54"/>
      <c r="U246" s="54"/>
      <c r="V246" s="53"/>
      <c r="W246" s="53"/>
      <c r="X246" s="55"/>
      <c r="Y246" s="55"/>
      <c r="Z246" s="53"/>
      <c r="AA246" s="56"/>
      <c r="AB246" s="57"/>
      <c r="AD246" s="35"/>
      <c r="AE246" s="35"/>
      <c r="AH246" s="19"/>
      <c r="AI246" s="58"/>
    </row>
    <row r="247" ht="15.75" customHeight="1" spans="1:35" x14ac:dyDescent="0.25">
      <c r="A247" s="59"/>
      <c r="B247" s="75"/>
      <c r="C247" s="76" t="s">
        <v>104</v>
      </c>
      <c r="D247" s="52"/>
      <c r="E247" s="52"/>
      <c r="F247" s="52"/>
      <c r="G247" s="53"/>
      <c r="H247" s="52"/>
      <c r="I247" s="52"/>
      <c r="J247" s="52"/>
      <c r="K247" s="52"/>
      <c r="L247" s="52"/>
      <c r="M247" s="53"/>
      <c r="N247" s="53"/>
      <c r="O247" s="52"/>
      <c r="P247" s="52"/>
      <c r="Q247" s="52"/>
      <c r="R247" s="53"/>
      <c r="S247" s="54"/>
      <c r="T247" s="54"/>
      <c r="U247" s="54"/>
      <c r="V247" s="53"/>
      <c r="W247" s="53"/>
      <c r="X247" s="55"/>
      <c r="Y247" s="55"/>
      <c r="Z247" s="53"/>
      <c r="AA247" s="56"/>
      <c r="AB247" s="57"/>
      <c r="AD247" s="35"/>
      <c r="AE247" s="35"/>
      <c r="AH247" s="59"/>
      <c r="AI247" s="60"/>
    </row>
    <row r="248" ht="9" customHeight="1" spans="1:35" x14ac:dyDescent="0.2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D248" s="35"/>
      <c r="AE248" s="35"/>
      <c r="AH248" s="35"/>
      <c r="AI248" s="35"/>
    </row>
    <row r="249" ht="15" customHeight="1" spans="1:35" x14ac:dyDescent="0.25">
      <c r="A249" s="19">
        <v>7480</v>
      </c>
      <c r="B249" s="19" t="s">
        <v>67</v>
      </c>
      <c r="C249" s="51" t="s">
        <v>96</v>
      </c>
      <c r="D249" s="52">
        <v>21396.50036782</v>
      </c>
      <c r="E249" s="52">
        <v>0</v>
      </c>
      <c r="F249" s="52">
        <v>21396.50036782</v>
      </c>
      <c r="G249" s="53">
        <v>1</v>
      </c>
      <c r="H249" s="52">
        <v>15378.244372</v>
      </c>
      <c r="I249" s="52">
        <v>0</v>
      </c>
      <c r="J249" s="52">
        <v>8344.608772</v>
      </c>
      <c r="K249" s="52">
        <v>0</v>
      </c>
      <c r="L249" s="52">
        <v>8344.608772</v>
      </c>
      <c r="M249" s="53">
        <v>1</v>
      </c>
      <c r="N249" s="53"/>
      <c r="O249" s="52">
        <v>7033.6356</v>
      </c>
      <c r="P249" s="52">
        <v>0</v>
      </c>
      <c r="Q249" s="52">
        <v>7033.6356</v>
      </c>
      <c r="R249" s="53">
        <v>1</v>
      </c>
      <c r="S249" s="54">
        <v>140.9</v>
      </c>
      <c r="T249" s="54">
        <v>0</v>
      </c>
      <c r="U249" s="54">
        <v>140.9</v>
      </c>
      <c r="V249" s="53">
        <v>1</v>
      </c>
      <c r="W249" s="53"/>
      <c r="X249" s="55">
        <v>0</v>
      </c>
      <c r="Y249" s="55">
        <v>42.71295951611073</v>
      </c>
      <c r="Z249" s="53">
        <v>0</v>
      </c>
      <c r="AA249" s="56">
        <v>0.2813</v>
      </c>
      <c r="AB249" s="57"/>
      <c r="AD249" s="35"/>
      <c r="AE249" s="35"/>
      <c r="AH249" s="19"/>
      <c r="AI249" s="58"/>
    </row>
    <row r="250" ht="15" customHeight="1" spans="1:35" x14ac:dyDescent="0.25">
      <c r="A250" s="19"/>
      <c r="B250" s="20"/>
      <c r="C250" s="51" t="s">
        <v>98</v>
      </c>
      <c r="D250" s="52">
        <v>21396.50036782</v>
      </c>
      <c r="E250" s="52">
        <v>0</v>
      </c>
      <c r="F250" s="52">
        <v>21396.50036782</v>
      </c>
      <c r="G250" s="53">
        <v>1</v>
      </c>
      <c r="H250" s="52">
        <v>15378.244372</v>
      </c>
      <c r="I250" s="52">
        <v>0</v>
      </c>
      <c r="J250" s="52">
        <v>8344.608772</v>
      </c>
      <c r="K250" s="52">
        <v>0</v>
      </c>
      <c r="L250" s="52">
        <v>8344.608772</v>
      </c>
      <c r="M250" s="53">
        <v>1</v>
      </c>
      <c r="N250" s="53"/>
      <c r="O250" s="52">
        <v>7033.6356</v>
      </c>
      <c r="P250" s="52">
        <v>0</v>
      </c>
      <c r="Q250" s="52">
        <v>7033.6356</v>
      </c>
      <c r="R250" s="53">
        <v>1</v>
      </c>
      <c r="S250" s="54">
        <v>140.9</v>
      </c>
      <c r="T250" s="54">
        <v>0</v>
      </c>
      <c r="U250" s="54">
        <v>140.9</v>
      </c>
      <c r="V250" s="53">
        <v>1</v>
      </c>
      <c r="W250" s="53"/>
      <c r="X250" s="55">
        <v>0</v>
      </c>
      <c r="Y250" s="55">
        <v>42.71295951611073</v>
      </c>
      <c r="Z250" s="53">
        <v>0</v>
      </c>
      <c r="AA250" s="56">
        <v>0.2813</v>
      </c>
      <c r="AB250" s="57"/>
      <c r="AD250" s="35"/>
      <c r="AE250" s="36"/>
      <c r="AH250" s="19"/>
      <c r="AI250" s="58"/>
    </row>
    <row r="251" ht="15" customHeight="1" spans="1:35" x14ac:dyDescent="0.25">
      <c r="A251" s="19"/>
      <c r="B251" s="20"/>
      <c r="C251" s="51" t="s">
        <v>100</v>
      </c>
      <c r="D251" s="52"/>
      <c r="E251" s="52"/>
      <c r="F251" s="52"/>
      <c r="G251" s="53"/>
      <c r="H251" s="52"/>
      <c r="I251" s="52"/>
      <c r="J251" s="52"/>
      <c r="K251" s="52"/>
      <c r="L251" s="52"/>
      <c r="M251" s="53"/>
      <c r="N251" s="53"/>
      <c r="O251" s="52"/>
      <c r="P251" s="52"/>
      <c r="Q251" s="52"/>
      <c r="R251" s="53"/>
      <c r="S251" s="54"/>
      <c r="T251" s="54"/>
      <c r="U251" s="54"/>
      <c r="V251" s="53"/>
      <c r="W251" s="53"/>
      <c r="X251" s="55"/>
      <c r="Y251" s="55"/>
      <c r="Z251" s="53"/>
      <c r="AA251" s="56"/>
      <c r="AB251" s="57"/>
      <c r="AD251" s="35"/>
      <c r="AE251" s="35"/>
      <c r="AH251" s="19"/>
      <c r="AI251" s="58"/>
    </row>
    <row r="252" ht="15" customHeight="1" spans="1:35" x14ac:dyDescent="0.25">
      <c r="A252" s="19"/>
      <c r="B252" s="20"/>
      <c r="C252" s="51" t="s">
        <v>101</v>
      </c>
      <c r="D252" s="52"/>
      <c r="E252" s="52"/>
      <c r="F252" s="52"/>
      <c r="G252" s="53"/>
      <c r="H252" s="52"/>
      <c r="I252" s="52"/>
      <c r="J252" s="52"/>
      <c r="K252" s="52"/>
      <c r="L252" s="52"/>
      <c r="M252" s="53"/>
      <c r="N252" s="53"/>
      <c r="O252" s="52"/>
      <c r="P252" s="52"/>
      <c r="Q252" s="52"/>
      <c r="R252" s="53"/>
      <c r="S252" s="54"/>
      <c r="T252" s="54"/>
      <c r="U252" s="54"/>
      <c r="V252" s="53"/>
      <c r="W252" s="53"/>
      <c r="X252" s="55"/>
      <c r="Y252" s="55"/>
      <c r="Z252" s="53"/>
      <c r="AA252" s="56"/>
      <c r="AB252" s="57"/>
      <c r="AD252" s="35"/>
      <c r="AE252" s="36"/>
      <c r="AH252" s="19"/>
      <c r="AI252" s="58"/>
    </row>
    <row r="253" ht="15" customHeight="1" spans="1:35" x14ac:dyDescent="0.25">
      <c r="A253" s="19"/>
      <c r="B253" s="20"/>
      <c r="C253" s="51" t="s">
        <v>103</v>
      </c>
      <c r="D253" s="52"/>
      <c r="E253" s="52"/>
      <c r="F253" s="52"/>
      <c r="G253" s="53"/>
      <c r="H253" s="52"/>
      <c r="I253" s="52"/>
      <c r="J253" s="52"/>
      <c r="K253" s="52"/>
      <c r="L253" s="52"/>
      <c r="M253" s="53"/>
      <c r="N253" s="53"/>
      <c r="O253" s="52"/>
      <c r="P253" s="52"/>
      <c r="Q253" s="52"/>
      <c r="R253" s="53"/>
      <c r="S253" s="54"/>
      <c r="T253" s="54"/>
      <c r="U253" s="54"/>
      <c r="V253" s="53"/>
      <c r="W253" s="53"/>
      <c r="X253" s="55"/>
      <c r="Y253" s="55"/>
      <c r="Z253" s="53"/>
      <c r="AA253" s="56"/>
      <c r="AB253" s="57"/>
      <c r="AD253" s="35"/>
      <c r="AE253" s="35"/>
      <c r="AH253" s="19"/>
      <c r="AI253" s="58"/>
    </row>
    <row r="254" ht="15.75" customHeight="1" spans="1:35" x14ac:dyDescent="0.25">
      <c r="A254" s="59"/>
      <c r="B254" s="75"/>
      <c r="C254" s="76" t="s">
        <v>104</v>
      </c>
      <c r="D254" s="52"/>
      <c r="E254" s="52"/>
      <c r="F254" s="52"/>
      <c r="G254" s="53"/>
      <c r="H254" s="52"/>
      <c r="I254" s="52"/>
      <c r="J254" s="52"/>
      <c r="K254" s="52"/>
      <c r="L254" s="52"/>
      <c r="M254" s="53"/>
      <c r="N254" s="53"/>
      <c r="O254" s="52"/>
      <c r="P254" s="52"/>
      <c r="Q254" s="52"/>
      <c r="R254" s="53"/>
      <c r="S254" s="54"/>
      <c r="T254" s="54"/>
      <c r="U254" s="54"/>
      <c r="V254" s="53"/>
      <c r="W254" s="53"/>
      <c r="X254" s="55"/>
      <c r="Y254" s="55"/>
      <c r="Z254" s="53"/>
      <c r="AA254" s="56"/>
      <c r="AB254" s="57"/>
      <c r="AD254" s="35"/>
      <c r="AE254" s="35"/>
      <c r="AH254" s="59"/>
      <c r="AI254" s="60"/>
    </row>
    <row r="255" ht="9" customHeight="1" spans="1:35" x14ac:dyDescent="0.2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D255" s="35"/>
      <c r="AE255" s="35"/>
      <c r="AH255" s="35"/>
      <c r="AI255" s="35"/>
    </row>
    <row r="256" ht="15" customHeight="1" spans="1:35" x14ac:dyDescent="0.25">
      <c r="A256" s="19">
        <v>9437</v>
      </c>
      <c r="B256" s="19" t="s">
        <v>68</v>
      </c>
      <c r="C256" s="51" t="s">
        <v>96</v>
      </c>
      <c r="D256" s="52">
        <v>239296.88379393</v>
      </c>
      <c r="E256" s="52">
        <v>19872.16</v>
      </c>
      <c r="F256" s="52">
        <v>219424.72379393</v>
      </c>
      <c r="G256" s="53">
        <v>0.916956043534972</v>
      </c>
      <c r="H256" s="52">
        <v>203192.691868</v>
      </c>
      <c r="I256" s="52">
        <v>18292.87</v>
      </c>
      <c r="J256" s="52">
        <v>175849.529668</v>
      </c>
      <c r="K256" s="52">
        <v>16897.46</v>
      </c>
      <c r="L256" s="52">
        <v>158952.069668</v>
      </c>
      <c r="M256" s="53">
        <v>0.9039095524912576</v>
      </c>
      <c r="N256" s="53"/>
      <c r="O256" s="52">
        <v>27343.1622</v>
      </c>
      <c r="P256" s="52">
        <v>1395.41</v>
      </c>
      <c r="Q256" s="52">
        <v>25947.7522</v>
      </c>
      <c r="R256" s="53">
        <v>0.9489667658117465</v>
      </c>
      <c r="S256" s="54">
        <v>547.57</v>
      </c>
      <c r="T256" s="54">
        <v>27.84</v>
      </c>
      <c r="U256" s="54">
        <v>519.73</v>
      </c>
      <c r="V256" s="53">
        <v>0.9491571853826908</v>
      </c>
      <c r="W256" s="53"/>
      <c r="X256" s="55">
        <v>56.727370689655174</v>
      </c>
      <c r="Y256" s="55">
        <v>65.93529946112827</v>
      </c>
      <c r="Z256" s="53">
        <v>0.0795</v>
      </c>
      <c r="AA256" s="56">
        <v>0.1509</v>
      </c>
      <c r="AB256" s="57"/>
      <c r="AD256" s="35"/>
      <c r="AE256" s="35"/>
      <c r="AH256" s="19"/>
      <c r="AI256" s="58"/>
    </row>
    <row r="257" ht="15" customHeight="1" spans="1:35" x14ac:dyDescent="0.25">
      <c r="A257" s="19"/>
      <c r="B257" s="20"/>
      <c r="C257" s="51" t="s">
        <v>98</v>
      </c>
      <c r="D257" s="52">
        <v>239296.88379393</v>
      </c>
      <c r="E257" s="52">
        <v>19872.16</v>
      </c>
      <c r="F257" s="52">
        <v>219424.72379393</v>
      </c>
      <c r="G257" s="53">
        <v>0.916956043534972</v>
      </c>
      <c r="H257" s="52">
        <v>203192.691868</v>
      </c>
      <c r="I257" s="52">
        <v>18292.87</v>
      </c>
      <c r="J257" s="52">
        <v>175849.529668</v>
      </c>
      <c r="K257" s="52">
        <v>16897.46</v>
      </c>
      <c r="L257" s="52">
        <v>158952.069668</v>
      </c>
      <c r="M257" s="53">
        <v>0.9039095524912576</v>
      </c>
      <c r="N257" s="53"/>
      <c r="O257" s="52">
        <v>27343.1622</v>
      </c>
      <c r="P257" s="52">
        <v>1395.41</v>
      </c>
      <c r="Q257" s="52">
        <v>25947.7522</v>
      </c>
      <c r="R257" s="53">
        <v>0.9489667658117465</v>
      </c>
      <c r="S257" s="54">
        <v>547.57</v>
      </c>
      <c r="T257" s="54">
        <v>27.84</v>
      </c>
      <c r="U257" s="54">
        <v>519.73</v>
      </c>
      <c r="V257" s="53">
        <v>0.9491571853826908</v>
      </c>
      <c r="W257" s="53"/>
      <c r="X257" s="55">
        <v>56.727370689655174</v>
      </c>
      <c r="Y257" s="55">
        <v>65.93529946112827</v>
      </c>
      <c r="Z257" s="53">
        <v>0.0795</v>
      </c>
      <c r="AA257" s="56">
        <v>0.1509</v>
      </c>
      <c r="AB257" s="57"/>
      <c r="AD257" s="35"/>
      <c r="AE257" s="36"/>
      <c r="AH257" s="19"/>
      <c r="AI257" s="58"/>
    </row>
    <row r="258" ht="15" customHeight="1" spans="1:35" x14ac:dyDescent="0.25">
      <c r="A258" s="19"/>
      <c r="B258" s="20"/>
      <c r="C258" s="51" t="s">
        <v>100</v>
      </c>
      <c r="D258" s="52"/>
      <c r="E258" s="52"/>
      <c r="F258" s="52"/>
      <c r="G258" s="53"/>
      <c r="H258" s="52"/>
      <c r="I258" s="52"/>
      <c r="J258" s="52"/>
      <c r="K258" s="52"/>
      <c r="L258" s="52"/>
      <c r="M258" s="53"/>
      <c r="N258" s="53"/>
      <c r="O258" s="52"/>
      <c r="P258" s="52"/>
      <c r="Q258" s="52"/>
      <c r="R258" s="53"/>
      <c r="S258" s="54"/>
      <c r="T258" s="54"/>
      <c r="U258" s="54"/>
      <c r="V258" s="53"/>
      <c r="W258" s="53"/>
      <c r="X258" s="55"/>
      <c r="Y258" s="55"/>
      <c r="Z258" s="53"/>
      <c r="AA258" s="56"/>
      <c r="AB258" s="57"/>
      <c r="AD258" s="35"/>
      <c r="AE258" s="35"/>
      <c r="AH258" s="19"/>
      <c r="AI258" s="58"/>
    </row>
    <row r="259" ht="15" customHeight="1" spans="1:35" x14ac:dyDescent="0.25">
      <c r="A259" s="19"/>
      <c r="B259" s="20"/>
      <c r="C259" s="51" t="s">
        <v>101</v>
      </c>
      <c r="D259" s="52"/>
      <c r="E259" s="52"/>
      <c r="F259" s="52"/>
      <c r="G259" s="53"/>
      <c r="H259" s="52"/>
      <c r="I259" s="52"/>
      <c r="J259" s="52"/>
      <c r="K259" s="52"/>
      <c r="L259" s="52"/>
      <c r="M259" s="53"/>
      <c r="N259" s="53"/>
      <c r="O259" s="52"/>
      <c r="P259" s="52"/>
      <c r="Q259" s="52"/>
      <c r="R259" s="53"/>
      <c r="S259" s="54"/>
      <c r="T259" s="54"/>
      <c r="U259" s="54"/>
      <c r="V259" s="53"/>
      <c r="W259" s="53"/>
      <c r="X259" s="55"/>
      <c r="Y259" s="55"/>
      <c r="Z259" s="53"/>
      <c r="AA259" s="56"/>
      <c r="AB259" s="57"/>
      <c r="AD259" s="35"/>
      <c r="AE259" s="36"/>
      <c r="AH259" s="19"/>
      <c r="AI259" s="58"/>
    </row>
    <row r="260" ht="15" customHeight="1" spans="1:35" x14ac:dyDescent="0.25">
      <c r="A260" s="19"/>
      <c r="B260" s="20"/>
      <c r="C260" s="51" t="s">
        <v>103</v>
      </c>
      <c r="D260" s="52"/>
      <c r="E260" s="52"/>
      <c r="F260" s="52"/>
      <c r="G260" s="53"/>
      <c r="H260" s="52"/>
      <c r="I260" s="52"/>
      <c r="J260" s="52"/>
      <c r="K260" s="52"/>
      <c r="L260" s="52"/>
      <c r="M260" s="53"/>
      <c r="N260" s="53"/>
      <c r="O260" s="52"/>
      <c r="P260" s="52"/>
      <c r="Q260" s="52"/>
      <c r="R260" s="53"/>
      <c r="S260" s="54"/>
      <c r="T260" s="54"/>
      <c r="U260" s="54"/>
      <c r="V260" s="53"/>
      <c r="W260" s="53"/>
      <c r="X260" s="55"/>
      <c r="Y260" s="55"/>
      <c r="Z260" s="53"/>
      <c r="AA260" s="56"/>
      <c r="AB260" s="57"/>
      <c r="AD260" s="35"/>
      <c r="AE260" s="35"/>
      <c r="AH260" s="19"/>
      <c r="AI260" s="58"/>
    </row>
    <row r="261" ht="15.75" customHeight="1" spans="1:35" x14ac:dyDescent="0.25">
      <c r="A261" s="59"/>
      <c r="B261" s="75"/>
      <c r="C261" s="76" t="s">
        <v>104</v>
      </c>
      <c r="D261" s="52"/>
      <c r="E261" s="52"/>
      <c r="F261" s="52"/>
      <c r="G261" s="53"/>
      <c r="H261" s="52"/>
      <c r="I261" s="52"/>
      <c r="J261" s="52"/>
      <c r="K261" s="52"/>
      <c r="L261" s="52"/>
      <c r="M261" s="53"/>
      <c r="N261" s="53"/>
      <c r="O261" s="52"/>
      <c r="P261" s="52"/>
      <c r="Q261" s="52"/>
      <c r="R261" s="53"/>
      <c r="S261" s="54"/>
      <c r="T261" s="54"/>
      <c r="U261" s="54"/>
      <c r="V261" s="53"/>
      <c r="W261" s="53"/>
      <c r="X261" s="55"/>
      <c r="Y261" s="55"/>
      <c r="Z261" s="53"/>
      <c r="AA261" s="56"/>
      <c r="AB261" s="57"/>
      <c r="AD261" s="35"/>
      <c r="AE261" s="35"/>
      <c r="AH261" s="59"/>
      <c r="AI261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30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30" x14ac:dyDescent="0.25">
      <c r="A2" s="80" t="s">
        <v>105</v>
      </c>
      <c r="B2" s="81" t="s">
        <v>106</v>
      </c>
      <c r="C2" s="82" t="s">
        <v>107</v>
      </c>
      <c r="D2" s="82" t="s">
        <v>108</v>
      </c>
      <c r="E2" s="82" t="s">
        <v>109</v>
      </c>
      <c r="F2" s="82" t="s">
        <v>110</v>
      </c>
      <c r="G2" s="83" t="s">
        <v>111</v>
      </c>
      <c r="H2" s="83" t="s">
        <v>112</v>
      </c>
      <c r="I2" s="81" t="s">
        <v>113</v>
      </c>
      <c r="J2" s="82" t="s">
        <v>114</v>
      </c>
      <c r="K2" s="82" t="s">
        <v>115</v>
      </c>
      <c r="L2" s="83" t="s">
        <v>116</v>
      </c>
      <c r="M2" s="83" t="s">
        <v>117</v>
      </c>
      <c r="N2" s="81" t="s">
        <v>118</v>
      </c>
      <c r="O2" s="84" t="s">
        <v>119</v>
      </c>
      <c r="P2" s="35"/>
    </row>
    <row r="3" ht="15" customHeight="1" spans="1:30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30" x14ac:dyDescent="0.25">
      <c r="A4" s="85">
        <v>7658</v>
      </c>
      <c r="B4" s="54" t="s">
        <v>25</v>
      </c>
      <c r="C4" s="52">
        <v>0</v>
      </c>
      <c r="D4" s="52">
        <v>0</v>
      </c>
      <c r="E4" s="52">
        <v>0</v>
      </c>
      <c r="F4" s="52">
        <v>0</v>
      </c>
      <c r="G4" s="53">
        <v>0</v>
      </c>
      <c r="H4" s="53">
        <v>0.2149</v>
      </c>
      <c r="I4" s="86">
        <v>50</v>
      </c>
      <c r="J4" s="87">
        <v>5000</v>
      </c>
      <c r="K4" s="52">
        <v>7000</v>
      </c>
      <c r="L4" s="53">
        <v>0</v>
      </c>
      <c r="M4" s="52">
        <v>-7000</v>
      </c>
      <c r="N4" s="54">
        <v>20</v>
      </c>
      <c r="O4" s="58">
        <v>-100</v>
      </c>
    </row>
    <row r="5" ht="7.5" customHeight="1" spans="1:30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30" x14ac:dyDescent="0.25">
      <c r="A6" s="85">
        <v>8142</v>
      </c>
      <c r="B6" s="54" t="s">
        <v>29</v>
      </c>
      <c r="C6" s="52">
        <v>0</v>
      </c>
      <c r="D6" s="52">
        <v>44.070000000006985</v>
      </c>
      <c r="E6" s="52">
        <v>-44.070000000006985</v>
      </c>
      <c r="F6" s="52">
        <v>7</v>
      </c>
      <c r="G6" s="53">
        <v>0</v>
      </c>
      <c r="H6" s="53">
        <v>0.239214585617637</v>
      </c>
      <c r="I6" s="54">
        <v>500</v>
      </c>
      <c r="J6" s="52">
        <v>272.6</v>
      </c>
      <c r="K6" s="52">
        <v>20272.6</v>
      </c>
      <c r="L6" s="53">
        <v>0</v>
      </c>
      <c r="M6" s="52">
        <v>-20309.670000000006</v>
      </c>
      <c r="N6" s="54">
        <v>-52.5</v>
      </c>
      <c r="O6" s="58">
        <v>-45.38473743016761</v>
      </c>
      <c r="Q6" s="35" t="s">
        <v>120</v>
      </c>
    </row>
    <row r="7" ht="7.5" customHeight="1" spans="1:30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30" x14ac:dyDescent="0.25">
      <c r="A8" s="85">
        <v>8824</v>
      </c>
      <c r="B8" s="54" t="s">
        <v>31</v>
      </c>
      <c r="C8" s="52">
        <v>0</v>
      </c>
      <c r="D8" s="52">
        <v>768.4200000000001</v>
      </c>
      <c r="E8" s="52">
        <v>-768.4200000000001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-1408.42</v>
      </c>
      <c r="N8" s="54">
        <v>-34.75</v>
      </c>
      <c r="O8" s="58">
        <v>75.11573333333334</v>
      </c>
    </row>
    <row r="9" ht="7.5" customHeight="1" spans="1:30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30" x14ac:dyDescent="0.25">
      <c r="A10" s="85">
        <v>8127</v>
      </c>
      <c r="B10" s="54" t="s">
        <v>32</v>
      </c>
      <c r="C10" s="52">
        <v>0</v>
      </c>
      <c r="D10" s="52">
        <v>0</v>
      </c>
      <c r="E10" s="52">
        <v>0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-4920</v>
      </c>
      <c r="N10" s="54">
        <v>-388.25</v>
      </c>
      <c r="O10" s="58">
        <v>14.459955914768553</v>
      </c>
    </row>
    <row r="11" ht="7.5" customHeight="1" spans="1:30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30" x14ac:dyDescent="0.25">
      <c r="A12" s="85">
        <v>8183</v>
      </c>
      <c r="B12" s="54" t="s">
        <v>121</v>
      </c>
      <c r="C12" s="52">
        <v>0</v>
      </c>
      <c r="D12" s="52">
        <v>0</v>
      </c>
      <c r="E12" s="52">
        <v>0</v>
      </c>
      <c r="F12" s="52">
        <v>3</v>
      </c>
      <c r="G12" s="53">
        <v>0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-2637</v>
      </c>
      <c r="N12" s="54">
        <v>53</v>
      </c>
      <c r="O12" s="58">
        <v>-38.21739130434783</v>
      </c>
      <c r="Q12" s="35" t="s">
        <v>122</v>
      </c>
    </row>
    <row r="13" ht="7.5" customHeight="1" spans="1:30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30" x14ac:dyDescent="0.25">
      <c r="A14" s="85">
        <v>8886</v>
      </c>
      <c r="B14" s="54" t="s">
        <v>35</v>
      </c>
      <c r="C14" s="52">
        <v>0</v>
      </c>
      <c r="D14" s="52">
        <v>1155.719999999994</v>
      </c>
      <c r="E14" s="52">
        <v>-1155.719999999994</v>
      </c>
      <c r="F14" s="52">
        <v>0</v>
      </c>
      <c r="G14" s="53">
        <v>0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-4155.719999999994</v>
      </c>
      <c r="N14" s="54">
        <v>-112</v>
      </c>
      <c r="O14" s="58">
        <v>37.1046428571428</v>
      </c>
    </row>
    <row r="15" ht="7.5" customHeight="1" spans="1:30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30" x14ac:dyDescent="0.25">
      <c r="A16" s="85">
        <v>8887</v>
      </c>
      <c r="B16" s="54" t="s">
        <v>36</v>
      </c>
      <c r="C16" s="52">
        <v>0</v>
      </c>
      <c r="D16" s="52">
        <v>575.9099999999999</v>
      </c>
      <c r="E16" s="52">
        <v>-575.9099999999999</v>
      </c>
      <c r="F16" s="52"/>
      <c r="G16" s="53">
        <v>0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-3575.91</v>
      </c>
      <c r="N16" s="54">
        <v>-86.75</v>
      </c>
      <c r="O16" s="58">
        <v>41.22086455331412</v>
      </c>
    </row>
    <row r="17" ht="7.5" customHeight="1" spans="1:30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30" x14ac:dyDescent="0.25">
      <c r="A18" s="85">
        <v>8670</v>
      </c>
      <c r="B18" s="54" t="s">
        <v>37</v>
      </c>
      <c r="C18" s="52">
        <v>0</v>
      </c>
      <c r="D18" s="52">
        <v>797.9000000000087</v>
      </c>
      <c r="E18" s="52">
        <v>-797.9000000000087</v>
      </c>
      <c r="F18" s="52">
        <v>0</v>
      </c>
      <c r="G18" s="53">
        <v>0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-8997.900000000009</v>
      </c>
      <c r="N18" s="54">
        <v>-269</v>
      </c>
      <c r="O18" s="58">
        <v>47.60793650793656</v>
      </c>
      <c r="Q18" s="35" t="s">
        <v>123</v>
      </c>
    </row>
    <row r="19" ht="7.5" customHeight="1" spans="1:30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30" x14ac:dyDescent="0.25">
      <c r="A20" s="85">
        <v>8907</v>
      </c>
      <c r="B20" s="54" t="s">
        <v>38</v>
      </c>
      <c r="C20" s="52">
        <v>0</v>
      </c>
      <c r="D20" s="52">
        <v>0</v>
      </c>
      <c r="E20" s="52">
        <v>0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0</v>
      </c>
      <c r="N20" s="54"/>
      <c r="O20" s="58">
        <v>0</v>
      </c>
    </row>
    <row r="21" ht="7.5" customHeight="1" spans="1:30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30" x14ac:dyDescent="0.25">
      <c r="A22" s="85">
        <v>9065</v>
      </c>
      <c r="B22" s="54" t="s">
        <v>39</v>
      </c>
      <c r="C22" s="52">
        <v>0</v>
      </c>
      <c r="D22" s="52">
        <v>0</v>
      </c>
      <c r="E22" s="52">
        <v>0</v>
      </c>
      <c r="F22" s="52">
        <v>3</v>
      </c>
      <c r="G22" s="53">
        <v>0</v>
      </c>
      <c r="H22" s="53">
        <v>0.252488256827238</v>
      </c>
      <c r="I22" s="54"/>
      <c r="J22" s="52"/>
      <c r="K22" s="52">
        <v>0</v>
      </c>
      <c r="L22" s="53">
        <v>0</v>
      </c>
      <c r="M22" s="52">
        <v>3</v>
      </c>
      <c r="N22" s="54"/>
      <c r="O22" s="58">
        <v>0</v>
      </c>
    </row>
    <row r="23" ht="7.5" customHeight="1" spans="1:30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30" x14ac:dyDescent="0.25">
      <c r="A24" s="19">
        <v>9259</v>
      </c>
      <c r="B24" s="54" t="s">
        <v>40</v>
      </c>
      <c r="C24" s="52">
        <v>0</v>
      </c>
      <c r="D24" s="52">
        <v>1106.1800000000003</v>
      </c>
      <c r="E24" s="52">
        <v>-1106.1800000000003</v>
      </c>
      <c r="F24" s="52">
        <v>3</v>
      </c>
      <c r="G24" s="53">
        <v>0</v>
      </c>
      <c r="H24" s="53"/>
      <c r="I24" s="54"/>
      <c r="J24" s="52"/>
      <c r="K24" s="52">
        <v>0</v>
      </c>
      <c r="L24" s="53">
        <v>0</v>
      </c>
      <c r="M24" s="52">
        <v>-1103.1800000000003</v>
      </c>
      <c r="N24" s="54"/>
      <c r="O24" s="58">
        <v>0</v>
      </c>
    </row>
    <row r="25" ht="7.5" customHeight="1" spans="1:30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30" x14ac:dyDescent="0.25">
      <c r="A26" s="19">
        <v>8352</v>
      </c>
      <c r="B26" s="54" t="s">
        <v>41</v>
      </c>
      <c r="C26" s="52">
        <v>0</v>
      </c>
      <c r="D26" s="52">
        <v>0</v>
      </c>
      <c r="E26" s="52">
        <v>0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0</v>
      </c>
      <c r="N26" s="54">
        <v>-143.25</v>
      </c>
      <c r="O26" s="58">
        <v>0</v>
      </c>
    </row>
    <row r="27" ht="7.5" customHeight="1" spans="1:30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30" x14ac:dyDescent="0.25">
      <c r="A28" s="19">
        <v>8234</v>
      </c>
      <c r="B28" s="54" t="s">
        <v>43</v>
      </c>
      <c r="C28" s="52">
        <v>0</v>
      </c>
      <c r="D28" s="52">
        <v>1060.7700000000004</v>
      </c>
      <c r="E28" s="52">
        <v>-1060.7700000000004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-1060.7700000000004</v>
      </c>
      <c r="N28" s="54">
        <v>-148.5</v>
      </c>
      <c r="O28" s="58">
        <v>7.1432323232323265</v>
      </c>
    </row>
    <row r="29" ht="7.5" customHeight="1" spans="1:30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30" x14ac:dyDescent="0.25">
      <c r="A30" s="19">
        <v>8214</v>
      </c>
      <c r="B30" s="54" t="s">
        <v>44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v>-5</v>
      </c>
      <c r="O30" s="58">
        <v>0</v>
      </c>
    </row>
    <row r="31" ht="7.5" customHeight="1" spans="1:30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30" x14ac:dyDescent="0.25">
      <c r="A32" s="19">
        <v>6792</v>
      </c>
      <c r="B32" s="54" t="s">
        <v>45</v>
      </c>
      <c r="C32" s="52">
        <v>0</v>
      </c>
      <c r="D32" s="52">
        <v>0</v>
      </c>
      <c r="E32" s="52">
        <v>0</v>
      </c>
      <c r="F32" s="52">
        <v>0</v>
      </c>
      <c r="G32" s="53">
        <v>0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0</v>
      </c>
      <c r="M32" s="52">
        <v>-2560</v>
      </c>
      <c r="N32" s="54">
        <v>-317.25</v>
      </c>
      <c r="O32" s="58">
        <v>10.108588351431392</v>
      </c>
    </row>
    <row r="33" ht="7.5" customHeight="1" spans="1:30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30" x14ac:dyDescent="0.25">
      <c r="A34" s="19">
        <v>8840</v>
      </c>
      <c r="B34" s="54" t="s">
        <v>47</v>
      </c>
      <c r="C34" s="52">
        <v>0</v>
      </c>
      <c r="D34" s="52">
        <v>0</v>
      </c>
      <c r="E34" s="52">
        <v>0</v>
      </c>
      <c r="F34" s="52">
        <v>0</v>
      </c>
      <c r="G34" s="53">
        <v>0</v>
      </c>
      <c r="H34" s="53">
        <v>0.364182044343228</v>
      </c>
      <c r="I34" s="54"/>
      <c r="J34" s="52">
        <v>0</v>
      </c>
      <c r="K34" s="52">
        <v>0</v>
      </c>
      <c r="L34" s="53">
        <v>0</v>
      </c>
      <c r="M34" s="52">
        <v>0</v>
      </c>
      <c r="N34" s="54">
        <v>-204.75</v>
      </c>
      <c r="O34" s="58">
        <v>0</v>
      </c>
    </row>
    <row r="35" ht="7.5" customHeight="1" spans="1:30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30" x14ac:dyDescent="0.25">
      <c r="A36" s="19">
        <v>8769</v>
      </c>
      <c r="B36" s="54" t="s">
        <v>48</v>
      </c>
      <c r="C36" s="52">
        <v>0</v>
      </c>
      <c r="D36" s="52">
        <v>3041.7799999999997</v>
      </c>
      <c r="E36" s="52">
        <v>-3041.7799999999997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-6241.78</v>
      </c>
      <c r="N36" s="54"/>
      <c r="O36" s="58">
        <v>-78.02225</v>
      </c>
    </row>
    <row r="37" ht="7.5" customHeight="1" spans="1:30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30" x14ac:dyDescent="0.25">
      <c r="A38" s="19">
        <v>7901</v>
      </c>
      <c r="B38" s="54" t="s">
        <v>49</v>
      </c>
      <c r="C38" s="52">
        <v>0</v>
      </c>
      <c r="D38" s="52">
        <v>48.57999999999447</v>
      </c>
      <c r="E38" s="52">
        <v>-48.57999999999447</v>
      </c>
      <c r="F38" s="52">
        <v>0</v>
      </c>
      <c r="G38" s="53">
        <v>0</v>
      </c>
      <c r="H38" s="53">
        <v>0.1750921737769</v>
      </c>
      <c r="I38" s="54"/>
      <c r="J38" s="52"/>
      <c r="K38" s="52">
        <v>0</v>
      </c>
      <c r="L38" s="53">
        <v>0</v>
      </c>
      <c r="M38" s="52">
        <v>-48.57999999999447</v>
      </c>
      <c r="N38" s="54"/>
      <c r="O38" s="58">
        <v>0</v>
      </c>
    </row>
    <row r="39" ht="7.5" customHeight="1" spans="1:30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30" x14ac:dyDescent="0.25">
      <c r="A40" s="19">
        <v>8923</v>
      </c>
      <c r="B40" s="54" t="s">
        <v>50</v>
      </c>
      <c r="C40" s="52">
        <v>0</v>
      </c>
      <c r="D40" s="52">
        <v>0</v>
      </c>
      <c r="E40" s="52">
        <v>0</v>
      </c>
      <c r="F40" s="52">
        <v>0</v>
      </c>
      <c r="G40" s="53">
        <v>0</v>
      </c>
      <c r="H40" s="53">
        <v>0.262692984588275</v>
      </c>
      <c r="I40" s="54"/>
      <c r="J40" s="52">
        <v>0</v>
      </c>
      <c r="K40" s="52">
        <v>0</v>
      </c>
      <c r="L40" s="53">
        <v>0</v>
      </c>
      <c r="M40" s="52">
        <v>0</v>
      </c>
      <c r="N40" s="54">
        <v>-2</v>
      </c>
      <c r="O40" s="58">
        <v>0</v>
      </c>
    </row>
    <row r="41" ht="7.5" customHeight="1" spans="1:30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30" x14ac:dyDescent="0.25">
      <c r="A42" s="19">
        <v>7864</v>
      </c>
      <c r="B42" s="54" t="s">
        <v>51</v>
      </c>
      <c r="C42" s="52">
        <v>0</v>
      </c>
      <c r="D42" s="52">
        <v>0</v>
      </c>
      <c r="E42" s="52">
        <v>0</v>
      </c>
      <c r="F42" s="52"/>
      <c r="G42" s="53">
        <v>0</v>
      </c>
      <c r="H42" s="53">
        <v>0.257245709794332</v>
      </c>
      <c r="I42" s="54">
        <v>0</v>
      </c>
      <c r="J42" s="52"/>
      <c r="K42" s="52">
        <v>0</v>
      </c>
      <c r="L42" s="53">
        <v>0</v>
      </c>
      <c r="M42" s="52">
        <v>0</v>
      </c>
      <c r="N42" s="54">
        <v>-266.75</v>
      </c>
      <c r="O42" s="58">
        <v>0</v>
      </c>
    </row>
    <row r="43" ht="7.5" customHeight="1" spans="1:30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30" x14ac:dyDescent="0.25">
      <c r="A44" s="19">
        <v>7912</v>
      </c>
      <c r="B44" s="54" t="s">
        <v>52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30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30" x14ac:dyDescent="0.25">
      <c r="A46" s="59">
        <v>8360</v>
      </c>
      <c r="B46" s="98" t="s">
        <v>53</v>
      </c>
      <c r="C46" s="99">
        <v>0</v>
      </c>
      <c r="D46" s="99">
        <v>0</v>
      </c>
      <c r="E46" s="99">
        <v>0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0</v>
      </c>
      <c r="N46" s="98">
        <v>-260.75</v>
      </c>
      <c r="O46" s="60">
        <v>0</v>
      </c>
    </row>
    <row r="47" ht="7.5" customHeight="1" spans="1:30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30" x14ac:dyDescent="0.25">
      <c r="A48" s="59">
        <v>8337</v>
      </c>
      <c r="B48" s="98" t="s">
        <v>54</v>
      </c>
      <c r="C48" s="99">
        <v>0</v>
      </c>
      <c r="D48" s="99">
        <v>0</v>
      </c>
      <c r="E48" s="99">
        <v>0</v>
      </c>
      <c r="F48" s="99"/>
      <c r="G48" s="100">
        <v>0</v>
      </c>
      <c r="H48" s="100">
        <v>0.222350780727547</v>
      </c>
      <c r="I48" s="98"/>
      <c r="J48" s="99">
        <v>2530</v>
      </c>
      <c r="K48" s="99">
        <v>2530</v>
      </c>
      <c r="L48" s="100">
        <v>0</v>
      </c>
      <c r="M48" s="99">
        <v>-2530</v>
      </c>
      <c r="N48" s="98">
        <v>-44.75</v>
      </c>
      <c r="O48" s="60">
        <v>56.53631284916201</v>
      </c>
    </row>
    <row r="49" ht="7.5" customHeight="1" spans="1:30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30" x14ac:dyDescent="0.25">
      <c r="A50" s="59">
        <v>9240</v>
      </c>
      <c r="B50" s="98" t="s">
        <v>55</v>
      </c>
      <c r="C50" s="99">
        <v>0</v>
      </c>
      <c r="D50" s="99">
        <v>0</v>
      </c>
      <c r="E50" s="99">
        <v>0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0</v>
      </c>
      <c r="N50" s="98"/>
      <c r="O50" s="60">
        <v>0</v>
      </c>
      <c r="Q50" s="35" t="s">
        <v>124</v>
      </c>
    </row>
    <row r="51" ht="7.5" customHeight="1" spans="1:30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30" x14ac:dyDescent="0.25">
      <c r="A52" s="101">
        <v>7428</v>
      </c>
      <c r="B52" s="98" t="s">
        <v>56</v>
      </c>
      <c r="C52" s="99">
        <v>4365.459999999992</v>
      </c>
      <c r="D52" s="99">
        <v>0</v>
      </c>
      <c r="E52" s="99">
        <v>4365.459999999992</v>
      </c>
      <c r="F52" s="99"/>
      <c r="G52" s="100">
        <v>1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0.7067892043450169</v>
      </c>
      <c r="M52" s="99">
        <v>3085.459999999992</v>
      </c>
      <c r="N52" s="98">
        <v>-304.75</v>
      </c>
      <c r="O52" s="60">
        <v>-11.312410632447266</v>
      </c>
    </row>
    <row r="53" ht="7.5" customHeight="1" spans="1:30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30" x14ac:dyDescent="0.25">
      <c r="A54" s="59">
        <v>9351</v>
      </c>
      <c r="B54" s="98" t="s">
        <v>57</v>
      </c>
      <c r="C54" s="99">
        <v>0</v>
      </c>
      <c r="D54" s="99">
        <v>0</v>
      </c>
      <c r="E54" s="99">
        <v>0</v>
      </c>
      <c r="F54" s="99"/>
      <c r="G54" s="100">
        <v>0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0</v>
      </c>
      <c r="M54" s="99">
        <v>-640</v>
      </c>
      <c r="N54" s="98">
        <v>-11.25</v>
      </c>
      <c r="O54" s="60">
        <v>-134.73684210526315</v>
      </c>
    </row>
    <row r="55" ht="7.5" customHeight="1" spans="1:30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30" x14ac:dyDescent="0.25">
      <c r="A56" s="59">
        <v>7429</v>
      </c>
      <c r="B56" s="98" t="s">
        <v>58</v>
      </c>
      <c r="C56" s="99">
        <v>0</v>
      </c>
      <c r="D56" s="99">
        <v>0</v>
      </c>
      <c r="E56" s="99">
        <v>0</v>
      </c>
      <c r="F56" s="99"/>
      <c r="G56" s="100">
        <v>0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</v>
      </c>
      <c r="M56" s="99">
        <v>-5400</v>
      </c>
      <c r="N56" s="98">
        <v>-32.25</v>
      </c>
      <c r="O56" s="60">
        <v>242.69662921348313</v>
      </c>
    </row>
    <row r="57" ht="7.5" customHeight="1" spans="1:30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30" x14ac:dyDescent="0.25">
      <c r="A58" s="59">
        <v>9508</v>
      </c>
      <c r="B58" s="98" t="s">
        <v>59</v>
      </c>
      <c r="C58" s="99">
        <v>0</v>
      </c>
      <c r="D58" s="99">
        <v>0</v>
      </c>
      <c r="E58" s="99">
        <v>0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0</v>
      </c>
      <c r="N58" s="98"/>
      <c r="O58" s="60">
        <v>0</v>
      </c>
    </row>
    <row r="59" ht="7.5" customHeight="1" spans="1:30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30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30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30" x14ac:dyDescent="0.25">
      <c r="A62" s="59"/>
      <c r="B62" s="98" t="s">
        <v>60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30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30" x14ac:dyDescent="0.25">
      <c r="A64" s="59">
        <v>8946</v>
      </c>
      <c r="B64" s="98" t="s">
        <v>61</v>
      </c>
      <c r="C64" s="99">
        <v>0</v>
      </c>
      <c r="D64" s="99">
        <v>0</v>
      </c>
      <c r="E64" s="99">
        <v>0</v>
      </c>
      <c r="F64" s="99"/>
      <c r="G64" s="100">
        <v>0</v>
      </c>
      <c r="H64" s="100">
        <v>0.143790046441692</v>
      </c>
      <c r="I64" s="98"/>
      <c r="J64" s="99">
        <v>1750</v>
      </c>
      <c r="K64" s="99">
        <v>1750</v>
      </c>
      <c r="L64" s="100">
        <v>0</v>
      </c>
      <c r="M64" s="99">
        <v>-1750</v>
      </c>
      <c r="N64" s="98"/>
      <c r="O64" s="60">
        <v>0</v>
      </c>
    </row>
    <row r="65" ht="7.5" customHeight="1" spans="1:30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30" x14ac:dyDescent="0.25">
      <c r="A66" s="102">
        <v>8308</v>
      </c>
      <c r="B66" s="98" t="s">
        <v>62</v>
      </c>
      <c r="C66" s="99">
        <v>0</v>
      </c>
      <c r="D66" s="99">
        <v>352.5</v>
      </c>
      <c r="E66" s="99">
        <v>-352.5</v>
      </c>
      <c r="F66" s="99"/>
      <c r="G66" s="100">
        <v>0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</v>
      </c>
      <c r="M66" s="99">
        <v>-3552.5</v>
      </c>
      <c r="N66" s="98">
        <v>-1014.25</v>
      </c>
      <c r="O66" s="60">
        <v>3.8025153866738024</v>
      </c>
    </row>
    <row r="67" ht="15" customHeight="1" spans="1:30" x14ac:dyDescent="0.25">
      <c r="A67" s="102">
        <v>9437</v>
      </c>
      <c r="B67" s="98" t="s">
        <v>68</v>
      </c>
      <c r="C67" s="99">
        <v>0</v>
      </c>
      <c r="D67" s="99">
        <v>0</v>
      </c>
      <c r="E67" s="99">
        <v>0</v>
      </c>
      <c r="F67" s="99"/>
      <c r="G67" s="100">
        <v>0</v>
      </c>
      <c r="H67" s="100">
        <f>'Deliverables Sheet'!AA256</f>
      </c>
      <c r="I67" s="98"/>
      <c r="J67" s="99"/>
      <c r="K67" s="99">
        <v>0</v>
      </c>
      <c r="L67" s="100">
        <v>0</v>
      </c>
      <c r="M67" s="99">
        <v>0</v>
      </c>
      <c r="N67" s="98"/>
      <c r="O67" s="60">
        <v>0</v>
      </c>
    </row>
    <row r="68" ht="15" customHeight="1" spans="1:30" x14ac:dyDescent="0.25">
      <c r="A68" s="102">
        <v>7480</v>
      </c>
      <c r="B68" s="98" t="s">
        <v>67</v>
      </c>
      <c r="C68" s="99">
        <v>0</v>
      </c>
      <c r="D68" s="99">
        <v>0</v>
      </c>
      <c r="E68" s="99">
        <v>0</v>
      </c>
      <c r="F68" s="99"/>
      <c r="G68" s="100">
        <v>0</v>
      </c>
      <c r="H68" s="100">
        <f>'Deliverables Sheet'!AA249</f>
      </c>
      <c r="I68" s="98"/>
      <c r="J68" s="99"/>
      <c r="K68" s="99">
        <v>0</v>
      </c>
      <c r="L68" s="100">
        <v>0</v>
      </c>
      <c r="M68" s="99">
        <v>0</v>
      </c>
      <c r="N68" s="98"/>
      <c r="O68" s="60">
        <v>0</v>
      </c>
    </row>
    <row r="69" ht="15" customHeight="1" spans="1:30" x14ac:dyDescent="0.25">
      <c r="A69" s="102">
        <v>8829</v>
      </c>
      <c r="B69" s="98" t="s">
        <v>66</v>
      </c>
      <c r="C69" s="99">
        <v>0</v>
      </c>
      <c r="D69" s="99">
        <v>0</v>
      </c>
      <c r="E69" s="99">
        <v>0</v>
      </c>
      <c r="F69" s="99"/>
      <c r="G69" s="100">
        <v>0</v>
      </c>
      <c r="H69" s="100">
        <f>'Deliverables Sheet'!AA242</f>
      </c>
      <c r="I69" s="98"/>
      <c r="J69" s="99"/>
      <c r="K69" s="99">
        <v>0</v>
      </c>
      <c r="L69" s="100">
        <v>0</v>
      </c>
      <c r="M69" s="99">
        <v>0</v>
      </c>
      <c r="N69" s="98"/>
      <c r="O69" s="60">
        <v>0</v>
      </c>
    </row>
    <row r="70" ht="15" customHeight="1" spans="1:30" x14ac:dyDescent="0.25">
      <c r="A70" s="102">
        <v>8386</v>
      </c>
      <c r="B70" s="98" t="s">
        <v>65</v>
      </c>
      <c r="C70" s="99">
        <v>0</v>
      </c>
      <c r="D70" s="99">
        <v>0</v>
      </c>
      <c r="E70" s="99">
        <v>0</v>
      </c>
      <c r="F70" s="99"/>
      <c r="G70" s="100">
        <v>0</v>
      </c>
      <c r="H70" s="100">
        <f>'Deliverables Sheet'!AA235</f>
      </c>
      <c r="I70" s="98"/>
      <c r="J70" s="99"/>
      <c r="K70" s="99">
        <v>0</v>
      </c>
      <c r="L70" s="100">
        <v>0</v>
      </c>
      <c r="M70" s="99">
        <v>0</v>
      </c>
      <c r="N70" s="98"/>
      <c r="O70" s="60">
        <v>0</v>
      </c>
    </row>
    <row r="71" ht="15" customHeight="1" spans="1:30" x14ac:dyDescent="0.25">
      <c r="A71" s="102">
        <v>8530</v>
      </c>
      <c r="B71" s="98" t="s">
        <v>63</v>
      </c>
      <c r="C71" s="99">
        <v>0</v>
      </c>
      <c r="D71" s="99">
        <v>172.5</v>
      </c>
      <c r="E71" s="99">
        <v>-172.5</v>
      </c>
      <c r="F71" s="99"/>
      <c r="G71" s="100">
        <v>0</v>
      </c>
      <c r="H71" s="100">
        <f>'Deliverables Sheet'!AA228</f>
      </c>
      <c r="I71" s="98"/>
      <c r="J71" s="99"/>
      <c r="K71" s="99">
        <v>0</v>
      </c>
      <c r="L71" s="100">
        <v>0</v>
      </c>
      <c r="M71" s="99">
        <v>-172.5</v>
      </c>
      <c r="N71" s="98"/>
      <c r="O71" s="60">
        <v>0</v>
      </c>
    </row>
    <row r="72" ht="15" customHeight="1" spans="1:30" x14ac:dyDescent="0.25">
      <c r="A72" s="35"/>
      <c r="B72" s="35"/>
      <c r="C72" s="36"/>
      <c r="D72" s="36"/>
      <c r="E72" s="36"/>
      <c r="F72" s="36"/>
      <c r="G72" s="37"/>
      <c r="H72" s="37"/>
      <c r="I72" s="35"/>
      <c r="J72" s="36"/>
      <c r="K72" s="36"/>
      <c r="L72" s="37"/>
      <c r="M72" s="36"/>
      <c r="N72" s="35"/>
      <c r="O72" s="36"/>
    </row>
    <row r="73" spans="1:30" x14ac:dyDescent="0.25">
      <c r="A73" s="35"/>
      <c r="B73" s="35"/>
      <c r="C73" s="36"/>
      <c r="D73" s="36"/>
      <c r="E73" s="36"/>
      <c r="F73" s="36"/>
      <c r="G73" s="37"/>
      <c r="H73" s="37"/>
      <c r="I73" s="35"/>
      <c r="J73" s="36"/>
      <c r="K73" s="36"/>
      <c r="L73" s="37"/>
      <c r="M73" s="37"/>
      <c r="N73" s="35"/>
      <c r="O73" s="35"/>
    </row>
    <row r="74" ht="15" customHeight="1" spans="1:30" x14ac:dyDescent="0.25">
      <c r="A74" s="49" t="s">
        <v>125</v>
      </c>
      <c r="B74" s="103" t="s">
        <v>126</v>
      </c>
      <c r="C74" s="104">
        <v>4365.459999999992</v>
      </c>
      <c r="D74" s="104">
        <v>9124.330000000005</v>
      </c>
      <c r="E74" s="105">
        <v>-4758.8700000000135</v>
      </c>
      <c r="F74" s="106" t="s">
        <v>127</v>
      </c>
      <c r="G74" s="107">
        <v>-1.0901187961864323</v>
      </c>
      <c r="H74" s="108" t="s">
        <v>128</v>
      </c>
      <c r="I74" s="109">
        <v>-17.178366082841247</v>
      </c>
      <c r="J74" s="36"/>
      <c r="K74" s="36"/>
      <c r="L74" s="37"/>
      <c r="M74" s="37"/>
      <c r="N74" s="35"/>
      <c r="O74" s="35"/>
    </row>
    <row r="75" ht="15" customHeight="1" spans="1:30" x14ac:dyDescent="0.25">
      <c r="A75" s="59"/>
      <c r="B75" s="98" t="s">
        <v>129</v>
      </c>
      <c r="C75" s="99">
        <v>-22865.6</v>
      </c>
      <c r="D75" s="99">
        <v>32774.04000000001</v>
      </c>
      <c r="E75" s="110">
        <v>-55639.640000000014</v>
      </c>
      <c r="F75" s="111"/>
      <c r="G75" s="112">
        <v>2.433333916450914</v>
      </c>
      <c r="H75" s="113" t="s">
        <v>128</v>
      </c>
      <c r="I75" s="114">
        <v>2.685240710936954</v>
      </c>
      <c r="J75" s="36"/>
      <c r="K75" s="36"/>
      <c r="L75" s="37"/>
      <c r="M75" s="37"/>
      <c r="N75" s="35"/>
      <c r="O75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4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30" x14ac:dyDescent="0.25">
      <c r="A2" s="115"/>
      <c r="B2" s="116" t="s">
        <v>130</v>
      </c>
      <c r="C2" s="117" t="s">
        <v>131</v>
      </c>
      <c r="D2" s="117" t="s">
        <v>132</v>
      </c>
      <c r="E2" s="117" t="s">
        <v>133</v>
      </c>
      <c r="F2" s="117" t="s">
        <v>134</v>
      </c>
      <c r="G2" s="117" t="s">
        <v>135</v>
      </c>
      <c r="H2" s="117" t="s">
        <v>136</v>
      </c>
      <c r="I2" s="117" t="s">
        <v>137</v>
      </c>
      <c r="J2" s="117" t="s">
        <v>138</v>
      </c>
      <c r="K2" s="117" t="s">
        <v>139</v>
      </c>
      <c r="L2" s="117" t="s">
        <v>140</v>
      </c>
      <c r="M2" s="117" t="s">
        <v>141</v>
      </c>
      <c r="N2" s="117" t="s">
        <v>142</v>
      </c>
      <c r="O2" s="117" t="s">
        <v>143</v>
      </c>
      <c r="P2" s="117" t="s">
        <v>144</v>
      </c>
      <c r="Q2" s="118" t="s">
        <v>145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30" x14ac:dyDescent="0.25">
      <c r="A3" s="122" t="s">
        <v>146</v>
      </c>
      <c r="B3" s="123" t="s">
        <v>147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30" x14ac:dyDescent="0.25">
      <c r="A4" s="19">
        <v>7658</v>
      </c>
      <c r="B4" s="20" t="s">
        <v>25</v>
      </c>
      <c r="C4" s="54">
        <v>638.02</v>
      </c>
      <c r="D4" s="54">
        <v>625.25</v>
      </c>
      <c r="E4" s="54">
        <v>12.769999999999982</v>
      </c>
      <c r="F4" s="54">
        <v>0</v>
      </c>
      <c r="G4" s="54">
        <v>0</v>
      </c>
      <c r="H4" s="54">
        <v>0</v>
      </c>
      <c r="I4" s="54"/>
      <c r="J4" s="54"/>
      <c r="K4" s="54"/>
      <c r="L4" s="54"/>
      <c r="M4" s="54">
        <v>0</v>
      </c>
      <c r="N4" s="54"/>
      <c r="O4" s="54"/>
      <c r="P4" s="54"/>
      <c r="Q4" s="131"/>
      <c r="S4" s="35" t="s">
        <v>148</v>
      </c>
    </row>
    <row r="5" ht="6" customHeight="1" spans="1:3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30" x14ac:dyDescent="0.25">
      <c r="A6" s="19">
        <v>8142</v>
      </c>
      <c r="B6" s="20" t="s">
        <v>29</v>
      </c>
      <c r="C6" s="54">
        <v>363.57</v>
      </c>
      <c r="D6" s="54">
        <v>331.25</v>
      </c>
      <c r="E6" s="54">
        <v>32.31999999999999</v>
      </c>
      <c r="F6" s="54"/>
      <c r="G6" s="54"/>
      <c r="H6" s="54"/>
      <c r="I6" s="54"/>
      <c r="J6" s="54"/>
      <c r="K6" s="54"/>
      <c r="L6" s="54"/>
      <c r="M6" s="54"/>
      <c r="N6" s="54">
        <v>0</v>
      </c>
      <c r="O6" s="54">
        <v>60</v>
      </c>
      <c r="P6" s="54"/>
      <c r="Q6" s="131"/>
      <c r="S6" s="35" t="s">
        <v>149</v>
      </c>
    </row>
    <row r="7" ht="6" customHeight="1" spans="1:30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30" x14ac:dyDescent="0.25">
      <c r="A8" s="19">
        <v>8824</v>
      </c>
      <c r="B8" s="20" t="s">
        <v>31</v>
      </c>
      <c r="C8" s="54">
        <v>125.39</v>
      </c>
      <c r="D8" s="54">
        <v>42.75</v>
      </c>
      <c r="E8" s="54">
        <v>82.64</v>
      </c>
      <c r="F8" s="54"/>
      <c r="G8" s="54"/>
      <c r="H8" s="54"/>
      <c r="I8" s="54"/>
      <c r="J8" s="54"/>
      <c r="K8" s="54"/>
      <c r="L8" s="54"/>
      <c r="M8" s="54"/>
      <c r="N8" s="54">
        <v>0</v>
      </c>
      <c r="O8" s="54">
        <v>58</v>
      </c>
      <c r="P8" s="54"/>
      <c r="Q8" s="131"/>
      <c r="S8" s="35" t="s">
        <v>148</v>
      </c>
    </row>
    <row r="9" ht="6" customHeight="1" spans="1:30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30" x14ac:dyDescent="0.25">
      <c r="A10" s="19">
        <v>8127</v>
      </c>
      <c r="B10" s="20" t="s">
        <v>32</v>
      </c>
      <c r="C10" s="54">
        <v>805.22</v>
      </c>
      <c r="D10" s="54">
        <v>625</v>
      </c>
      <c r="E10" s="54">
        <v>180.22000000000003</v>
      </c>
      <c r="F10" s="54"/>
      <c r="G10" s="54"/>
      <c r="H10" s="54"/>
      <c r="I10" s="54"/>
      <c r="J10" s="54"/>
      <c r="K10" s="54"/>
      <c r="L10" s="54"/>
      <c r="M10" s="54">
        <v>0</v>
      </c>
      <c r="N10" s="54">
        <v>0</v>
      </c>
      <c r="O10" s="54">
        <v>0</v>
      </c>
      <c r="P10" s="54"/>
      <c r="Q10" s="131"/>
      <c r="S10" s="35" t="s">
        <v>148</v>
      </c>
    </row>
    <row r="11" ht="6" customHeight="1" spans="1:30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30" x14ac:dyDescent="0.25">
      <c r="A12" s="19">
        <v>8183</v>
      </c>
      <c r="B12" s="20" t="s">
        <v>121</v>
      </c>
      <c r="C12" s="54">
        <v>1124.47</v>
      </c>
      <c r="D12" s="54">
        <v>821.5</v>
      </c>
      <c r="E12" s="54">
        <v>302.97</v>
      </c>
      <c r="F12" s="54"/>
      <c r="G12" s="54"/>
      <c r="H12" s="54"/>
      <c r="I12" s="54"/>
      <c r="J12" s="54"/>
      <c r="K12" s="54"/>
      <c r="L12" s="54"/>
      <c r="M12" s="54">
        <v>0</v>
      </c>
      <c r="N12" s="54">
        <v>0</v>
      </c>
      <c r="O12" s="86">
        <v>80</v>
      </c>
      <c r="P12" s="54">
        <v>0</v>
      </c>
      <c r="Q12" s="131"/>
      <c r="S12" s="35" t="s">
        <v>30</v>
      </c>
    </row>
    <row r="13" ht="6" customHeight="1" spans="1:30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30" x14ac:dyDescent="0.25">
      <c r="A14" s="19">
        <v>8886</v>
      </c>
      <c r="B14" s="20" t="s">
        <v>35</v>
      </c>
      <c r="C14" s="54">
        <v>501.83</v>
      </c>
      <c r="D14" s="54">
        <v>393.75</v>
      </c>
      <c r="E14" s="54">
        <v>108.07999999999998</v>
      </c>
      <c r="F14" s="54"/>
      <c r="G14" s="54"/>
      <c r="H14" s="54"/>
      <c r="I14" s="54"/>
      <c r="J14" s="54"/>
      <c r="K14" s="54"/>
      <c r="L14" s="54">
        <v>0</v>
      </c>
      <c r="M14" s="54">
        <v>0</v>
      </c>
      <c r="N14" s="54">
        <v>0</v>
      </c>
      <c r="O14" s="54">
        <v>30</v>
      </c>
      <c r="P14" s="54"/>
      <c r="Q14" s="131"/>
      <c r="S14" s="35" t="s">
        <v>148</v>
      </c>
    </row>
    <row r="15" ht="6" customHeight="1" spans="1:30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30" x14ac:dyDescent="0.25">
      <c r="A16" s="19">
        <v>8887</v>
      </c>
      <c r="B16" s="20" t="s">
        <v>36</v>
      </c>
      <c r="C16" s="54">
        <v>223.22</v>
      </c>
      <c r="D16" s="54">
        <v>216.5</v>
      </c>
      <c r="E16" s="54">
        <v>6.719999999999999</v>
      </c>
      <c r="F16" s="54"/>
      <c r="G16" s="54"/>
      <c r="H16" s="54"/>
      <c r="I16" s="54"/>
      <c r="J16" s="54"/>
      <c r="K16" s="54"/>
      <c r="L16" s="54"/>
      <c r="M16" s="54">
        <v>0</v>
      </c>
      <c r="N16" s="54">
        <v>0</v>
      </c>
      <c r="O16" s="54"/>
      <c r="P16" s="54"/>
      <c r="Q16" s="131"/>
    </row>
    <row r="17" ht="6" customHeight="1" spans="1:30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30" x14ac:dyDescent="0.25">
      <c r="A18" s="19">
        <v>8670</v>
      </c>
      <c r="B18" s="20" t="s">
        <v>37</v>
      </c>
      <c r="C18" s="54">
        <v>685.48</v>
      </c>
      <c r="D18" s="54">
        <v>740.5</v>
      </c>
      <c r="E18" s="54">
        <v>-55.01999999999998</v>
      </c>
      <c r="F18" s="54"/>
      <c r="G18" s="54"/>
      <c r="H18" s="54"/>
      <c r="I18" s="54"/>
      <c r="J18" s="54"/>
      <c r="K18" s="54"/>
      <c r="L18" s="54"/>
      <c r="M18" s="54">
        <v>0</v>
      </c>
      <c r="N18" s="54">
        <v>0</v>
      </c>
      <c r="O18" s="54"/>
      <c r="P18" s="54"/>
      <c r="Q18" s="131"/>
    </row>
    <row r="19" ht="6" customHeight="1" spans="1:30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30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0</v>
      </c>
      <c r="N20" s="54"/>
      <c r="O20" s="54"/>
      <c r="P20" s="54"/>
      <c r="Q20" s="131"/>
    </row>
    <row r="21" ht="6" customHeight="1" spans="1:30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30" x14ac:dyDescent="0.25">
      <c r="A22" s="19">
        <v>9065</v>
      </c>
      <c r="B22" s="20" t="s">
        <v>39</v>
      </c>
      <c r="C22" s="54">
        <v>193.32</v>
      </c>
      <c r="D22" s="54">
        <v>90.75</v>
      </c>
      <c r="E22" s="54">
        <v>102.57</v>
      </c>
      <c r="F22" s="54"/>
      <c r="G22" s="54"/>
      <c r="H22" s="54"/>
      <c r="I22" s="54"/>
      <c r="J22" s="54"/>
      <c r="K22" s="54"/>
      <c r="L22" s="54"/>
      <c r="M22" s="54">
        <v>0</v>
      </c>
      <c r="N22" s="54">
        <v>0</v>
      </c>
      <c r="O22" s="54">
        <v>160</v>
      </c>
      <c r="P22" s="54">
        <v>30</v>
      </c>
      <c r="Q22" s="131"/>
    </row>
    <row r="23" ht="6" customHeight="1" spans="1:30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30" x14ac:dyDescent="0.25">
      <c r="A24" s="19">
        <v>9259</v>
      </c>
      <c r="B24" s="20" t="s">
        <v>40</v>
      </c>
      <c r="C24" s="54">
        <v>472.14</v>
      </c>
      <c r="D24" s="54">
        <v>275.25</v>
      </c>
      <c r="E24" s="54">
        <v>196.89</v>
      </c>
      <c r="F24" s="54"/>
      <c r="G24" s="54"/>
      <c r="H24" s="54"/>
      <c r="I24" s="54"/>
      <c r="J24" s="54"/>
      <c r="K24" s="54"/>
      <c r="L24" s="54"/>
      <c r="M24" s="54">
        <v>0</v>
      </c>
      <c r="N24" s="54">
        <v>0</v>
      </c>
      <c r="O24" s="54">
        <v>80</v>
      </c>
      <c r="P24" s="54"/>
      <c r="Q24" s="131"/>
    </row>
    <row r="25" ht="6" customHeight="1" spans="1:30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30" x14ac:dyDescent="0.25">
      <c r="A26" s="19">
        <v>8352</v>
      </c>
      <c r="B26" s="20" t="s">
        <v>41</v>
      </c>
      <c r="C26" s="54">
        <v>139.07</v>
      </c>
      <c r="D26" s="54">
        <v>167.75</v>
      </c>
      <c r="E26" s="54">
        <v>-28.680000000000007</v>
      </c>
      <c r="F26" s="54"/>
      <c r="G26" s="54"/>
      <c r="H26" s="54"/>
      <c r="I26" s="54"/>
      <c r="J26" s="54"/>
      <c r="K26" s="54"/>
      <c r="L26" s="54"/>
      <c r="M26" s="54">
        <v>0</v>
      </c>
      <c r="N26" s="54"/>
      <c r="O26" s="54"/>
      <c r="P26" s="54"/>
      <c r="Q26" s="131"/>
    </row>
    <row r="27" ht="6" customHeight="1" spans="1:30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30" x14ac:dyDescent="0.25">
      <c r="A28" s="19">
        <v>8234</v>
      </c>
      <c r="B28" s="20" t="s">
        <v>43</v>
      </c>
      <c r="C28" s="54">
        <v>232</v>
      </c>
      <c r="D28" s="54">
        <v>234</v>
      </c>
      <c r="E28" s="54">
        <v>-2</v>
      </c>
      <c r="F28" s="54"/>
      <c r="G28" s="54"/>
      <c r="H28" s="54"/>
      <c r="I28" s="54"/>
      <c r="J28" s="54"/>
      <c r="K28" s="54"/>
      <c r="L28" s="54"/>
      <c r="M28" s="54">
        <v>0</v>
      </c>
      <c r="N28" s="54"/>
      <c r="O28" s="54"/>
      <c r="P28" s="54"/>
      <c r="Q28" s="131"/>
      <c r="S28" s="138"/>
    </row>
    <row r="29" ht="6" customHeight="1" spans="1:30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30" x14ac:dyDescent="0.25">
      <c r="A30" s="19">
        <v>8214</v>
      </c>
      <c r="B30" s="20" t="s">
        <v>44</v>
      </c>
      <c r="C30" s="54">
        <v>147.9</v>
      </c>
      <c r="D30" s="54">
        <v>6.5</v>
      </c>
      <c r="E30" s="54">
        <v>141.4</v>
      </c>
      <c r="F30" s="54"/>
      <c r="G30" s="54"/>
      <c r="H30" s="54"/>
      <c r="I30" s="54"/>
      <c r="J30" s="54"/>
      <c r="K30" s="54"/>
      <c r="L30" s="54"/>
      <c r="M30" s="54"/>
      <c r="N30" s="54">
        <v>0</v>
      </c>
      <c r="O30" s="54">
        <v>0</v>
      </c>
      <c r="P30" s="54">
        <v>48</v>
      </c>
      <c r="Q30" s="131">
        <v>16</v>
      </c>
      <c r="S30" s="139"/>
    </row>
    <row r="31" ht="6" customHeight="1" spans="1:30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30" x14ac:dyDescent="0.25">
      <c r="A32" s="19">
        <v>6792</v>
      </c>
      <c r="B32" s="20" t="s">
        <v>45</v>
      </c>
      <c r="C32" s="54">
        <v>208.2</v>
      </c>
      <c r="D32" s="54">
        <v>324.25</v>
      </c>
      <c r="E32" s="54">
        <v>-116.05000000000001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30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30" x14ac:dyDescent="0.25">
      <c r="A34" s="19">
        <v>8840</v>
      </c>
      <c r="B34" s="20" t="s">
        <v>47</v>
      </c>
      <c r="C34" s="54">
        <v>324.19</v>
      </c>
      <c r="D34" s="54">
        <v>472.75</v>
      </c>
      <c r="E34" s="54">
        <v>-148.56</v>
      </c>
      <c r="F34" s="54"/>
      <c r="G34" s="54"/>
      <c r="H34" s="54"/>
      <c r="I34" s="54"/>
      <c r="J34" s="54"/>
      <c r="K34" s="54"/>
      <c r="L34" s="54"/>
      <c r="M34" s="54">
        <v>0</v>
      </c>
      <c r="N34" s="54"/>
      <c r="O34" s="54"/>
      <c r="P34" s="54"/>
      <c r="Q34" s="131"/>
    </row>
    <row r="35" ht="6" customHeight="1" spans="1:30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30" x14ac:dyDescent="0.25">
      <c r="A36" s="19">
        <v>8769</v>
      </c>
      <c r="B36" s="20" t="s">
        <v>48</v>
      </c>
      <c r="C36" s="54">
        <v>82.37</v>
      </c>
      <c r="D36" s="54">
        <v>31.75</v>
      </c>
      <c r="E36" s="54">
        <v>50.620000000000005</v>
      </c>
      <c r="F36" s="54"/>
      <c r="G36" s="54"/>
      <c r="H36" s="54"/>
      <c r="I36" s="54"/>
      <c r="J36" s="54"/>
      <c r="K36" s="54"/>
      <c r="L36" s="54"/>
      <c r="M36" s="54">
        <v>0</v>
      </c>
      <c r="N36" s="54">
        <v>0</v>
      </c>
      <c r="O36" s="54">
        <v>30</v>
      </c>
      <c r="P36" s="54">
        <v>50</v>
      </c>
      <c r="Q36" s="131"/>
    </row>
    <row r="37" ht="6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30" x14ac:dyDescent="0.25">
      <c r="A38" s="19">
        <v>7901</v>
      </c>
      <c r="B38" s="20" t="s">
        <v>49</v>
      </c>
      <c r="C38" s="54">
        <v>317.92</v>
      </c>
      <c r="D38" s="54">
        <v>106</v>
      </c>
      <c r="E38" s="54">
        <v>211.92000000000002</v>
      </c>
      <c r="F38" s="54"/>
      <c r="G38" s="54"/>
      <c r="H38" s="54"/>
      <c r="I38" s="54"/>
      <c r="J38" s="54"/>
      <c r="K38" s="54"/>
      <c r="L38" s="54"/>
      <c r="M38" s="54">
        <v>0</v>
      </c>
      <c r="N38" s="54">
        <v>0</v>
      </c>
      <c r="O38" s="54">
        <v>170</v>
      </c>
      <c r="P38" s="54"/>
      <c r="Q38" s="131"/>
      <c r="S38" s="139"/>
    </row>
    <row r="39" ht="6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30" x14ac:dyDescent="0.25">
      <c r="A40" s="19">
        <v>8923</v>
      </c>
      <c r="B40" s="20" t="s">
        <v>50</v>
      </c>
      <c r="C40" s="54">
        <v>156.69</v>
      </c>
      <c r="D40" s="54">
        <v>11.5</v>
      </c>
      <c r="E40" s="54">
        <v>145.19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>
        <v>58</v>
      </c>
      <c r="P40" s="54">
        <v>16</v>
      </c>
      <c r="Q40" s="131">
        <v>72</v>
      </c>
    </row>
    <row r="41" ht="6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30" x14ac:dyDescent="0.25">
      <c r="A42" s="19">
        <v>7864</v>
      </c>
      <c r="B42" s="20" t="s">
        <v>51</v>
      </c>
      <c r="C42" s="54">
        <v>200.82</v>
      </c>
      <c r="D42" s="54">
        <v>283.75</v>
      </c>
      <c r="E42" s="54">
        <v>-82.93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30" x14ac:dyDescent="0.25">
      <c r="A44" s="19">
        <v>7912</v>
      </c>
      <c r="B44" s="20" t="s">
        <v>52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0</v>
      </c>
      <c r="O44" s="54">
        <v>0</v>
      </c>
      <c r="P44" s="54">
        <v>0</v>
      </c>
      <c r="Q44" s="131">
        <v>0</v>
      </c>
      <c r="S44" s="139"/>
    </row>
    <row r="45" ht="6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30" x14ac:dyDescent="0.25">
      <c r="A46" s="59">
        <v>8360</v>
      </c>
      <c r="B46" s="75" t="s">
        <v>53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30" x14ac:dyDescent="0.25">
      <c r="A48" s="19">
        <v>8337</v>
      </c>
      <c r="B48" s="20" t="s">
        <v>54</v>
      </c>
      <c r="C48" s="54">
        <v>120.44</v>
      </c>
      <c r="D48" s="54">
        <v>116.25</v>
      </c>
      <c r="E48" s="54">
        <v>4.189999999999998</v>
      </c>
      <c r="F48" s="54"/>
      <c r="G48" s="54"/>
      <c r="H48" s="54"/>
      <c r="I48" s="54"/>
      <c r="J48" s="54"/>
      <c r="K48" s="54"/>
      <c r="L48" s="54"/>
      <c r="M48" s="54">
        <v>0</v>
      </c>
      <c r="N48" s="54">
        <v>0</v>
      </c>
      <c r="O48" s="54">
        <v>18</v>
      </c>
      <c r="P48" s="54"/>
      <c r="Q48" s="131"/>
    </row>
    <row r="49" ht="6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30" x14ac:dyDescent="0.25">
      <c r="A50" s="19">
        <v>9240</v>
      </c>
      <c r="B50" s="20" t="s">
        <v>55</v>
      </c>
      <c r="C50" s="54">
        <v>65.13</v>
      </c>
      <c r="D50" s="54">
        <v>24.33</v>
      </c>
      <c r="E50" s="54">
        <v>40.8</v>
      </c>
      <c r="F50" s="54"/>
      <c r="G50" s="54"/>
      <c r="H50" s="54"/>
      <c r="I50" s="54"/>
      <c r="J50" s="54"/>
      <c r="K50" s="54"/>
      <c r="L50" s="54"/>
      <c r="M50" s="54">
        <v>0</v>
      </c>
      <c r="N50" s="54">
        <v>0</v>
      </c>
      <c r="O50" s="54">
        <v>40</v>
      </c>
      <c r="P50" s="54"/>
      <c r="Q50" s="131"/>
    </row>
    <row r="51" ht="6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30" x14ac:dyDescent="0.25">
      <c r="A52" s="19">
        <v>7428</v>
      </c>
      <c r="B52" s="20" t="s">
        <v>56</v>
      </c>
      <c r="C52" s="54">
        <v>659.73</v>
      </c>
      <c r="D52" s="54">
        <v>550.75</v>
      </c>
      <c r="E52" s="54">
        <v>108.98000000000002</v>
      </c>
      <c r="F52" s="54"/>
      <c r="G52" s="54"/>
      <c r="H52" s="54"/>
      <c r="I52" s="54"/>
      <c r="J52" s="54"/>
      <c r="K52" s="54"/>
      <c r="L52" s="54"/>
      <c r="M52" s="54">
        <v>0</v>
      </c>
      <c r="N52" s="54">
        <v>0</v>
      </c>
      <c r="O52" s="141">
        <v>110</v>
      </c>
      <c r="P52" s="54"/>
      <c r="Q52" s="131"/>
      <c r="S52" s="139"/>
    </row>
    <row r="53" ht="6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30" x14ac:dyDescent="0.25">
      <c r="A54" s="19">
        <v>9351</v>
      </c>
      <c r="B54" s="20" t="s">
        <v>57</v>
      </c>
      <c r="C54" s="54">
        <v>125.17</v>
      </c>
      <c r="D54" s="54">
        <v>65.75</v>
      </c>
      <c r="E54" s="54">
        <v>59.42</v>
      </c>
      <c r="F54" s="54"/>
      <c r="G54" s="54"/>
      <c r="H54" s="54"/>
      <c r="I54" s="54"/>
      <c r="J54" s="54"/>
      <c r="K54" s="54"/>
      <c r="L54" s="54">
        <v>0</v>
      </c>
      <c r="M54" s="54">
        <v>0</v>
      </c>
      <c r="N54" s="54">
        <v>0</v>
      </c>
      <c r="O54" s="54">
        <v>60</v>
      </c>
      <c r="P54" s="54"/>
      <c r="Q54" s="131"/>
      <c r="S54" s="138"/>
    </row>
    <row r="55" ht="6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30" x14ac:dyDescent="0.25">
      <c r="A56" s="19">
        <v>7429</v>
      </c>
      <c r="B56" s="20" t="s">
        <v>58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0</v>
      </c>
      <c r="N56" s="54">
        <v>0</v>
      </c>
      <c r="O56" s="54">
        <v>16</v>
      </c>
      <c r="P56" s="54">
        <v>70</v>
      </c>
      <c r="Q56" s="131"/>
      <c r="S56" s="139"/>
    </row>
    <row r="57" ht="6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30" x14ac:dyDescent="0.25">
      <c r="A58" s="19">
        <v>9508</v>
      </c>
      <c r="B58" s="20" t="s">
        <v>59</v>
      </c>
      <c r="C58" s="54">
        <v>140.15</v>
      </c>
      <c r="D58" s="54">
        <v>9.25</v>
      </c>
      <c r="E58" s="54">
        <v>130.9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30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30" x14ac:dyDescent="0.25">
      <c r="A62" s="19"/>
      <c r="B62" s="20" t="s">
        <v>60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30" x14ac:dyDescent="0.25">
      <c r="A64" s="19">
        <v>8946</v>
      </c>
      <c r="B64" s="20" t="s">
        <v>61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0</v>
      </c>
      <c r="O64" s="54">
        <v>140</v>
      </c>
      <c r="P64" s="54">
        <v>40</v>
      </c>
      <c r="Q64" s="131">
        <v>178</v>
      </c>
    </row>
    <row r="65" ht="6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30" x14ac:dyDescent="0.25">
      <c r="A66" s="19">
        <v>8308</v>
      </c>
      <c r="B66" s="20" t="s">
        <v>62</v>
      </c>
      <c r="C66" s="54">
        <v>2412.45</v>
      </c>
      <c r="D66" s="54">
        <v>1543.42</v>
      </c>
      <c r="E66" s="54">
        <v>869.0299999999997</v>
      </c>
      <c r="F66" s="54"/>
      <c r="G66" s="54"/>
      <c r="H66" s="54"/>
      <c r="I66" s="54"/>
      <c r="J66" s="54"/>
      <c r="K66" s="54"/>
      <c r="L66" s="54"/>
      <c r="M66" s="54">
        <v>0</v>
      </c>
      <c r="N66" s="54">
        <v>0</v>
      </c>
      <c r="O66" s="54">
        <v>320</v>
      </c>
      <c r="P66" s="54">
        <v>80</v>
      </c>
      <c r="Q66" s="54">
        <v>80</v>
      </c>
    </row>
    <row r="67" ht="15" customHeight="1" spans="1:30" x14ac:dyDescent="0.25">
      <c r="A67" s="19">
        <v>9437</v>
      </c>
      <c r="B67" s="20" t="s">
        <v>68</v>
      </c>
      <c r="C67" s="54">
        <v>547.57</v>
      </c>
      <c r="D67" s="54">
        <v>27.84</v>
      </c>
      <c r="E67" s="54">
        <v>519.73</v>
      </c>
      <c r="F67" s="54">
        <v>240</v>
      </c>
      <c r="G67" s="54"/>
      <c r="H67" s="54"/>
      <c r="I67" s="54"/>
      <c r="J67" s="54"/>
      <c r="K67" s="54"/>
      <c r="L67" s="54"/>
      <c r="M67" s="54"/>
      <c r="N67" s="54"/>
      <c r="O67" s="54">
        <v>0</v>
      </c>
      <c r="P67" s="54">
        <v>0</v>
      </c>
      <c r="Q67" s="54">
        <v>240</v>
      </c>
    </row>
    <row r="68" ht="15" customHeight="1" spans="1:30" x14ac:dyDescent="0.25">
      <c r="A68" s="19">
        <v>7480</v>
      </c>
      <c r="B68" s="20" t="s">
        <v>67</v>
      </c>
      <c r="C68" s="54">
        <v>140.9</v>
      </c>
      <c r="D68" s="54">
        <v>0</v>
      </c>
      <c r="E68" s="54">
        <v>140.9</v>
      </c>
      <c r="F68" s="54"/>
      <c r="G68" s="54"/>
      <c r="H68" s="54"/>
      <c r="I68" s="54"/>
      <c r="J68" s="54"/>
      <c r="K68" s="54"/>
      <c r="L68" s="54"/>
      <c r="M68" s="54"/>
      <c r="N68" s="54"/>
      <c r="O68" s="54">
        <v>56</v>
      </c>
      <c r="P68" s="54">
        <v>16</v>
      </c>
      <c r="Q68" s="54">
        <v>68</v>
      </c>
    </row>
    <row r="69" ht="15" customHeight="1" spans="1:30" x14ac:dyDescent="0.25">
      <c r="A69" s="19">
        <v>8829</v>
      </c>
      <c r="B69" s="20" t="s">
        <v>66</v>
      </c>
      <c r="C69" s="54">
        <v>90.88</v>
      </c>
      <c r="D69" s="54">
        <v>0</v>
      </c>
      <c r="E69" s="54">
        <v>90.88</v>
      </c>
      <c r="F69" s="54"/>
      <c r="G69" s="54"/>
      <c r="H69" s="54"/>
      <c r="I69" s="54"/>
      <c r="J69" s="54"/>
      <c r="K69" s="54"/>
      <c r="L69" s="54"/>
      <c r="M69" s="54"/>
      <c r="N69" s="54"/>
      <c r="O69" s="54">
        <v>56</v>
      </c>
      <c r="P69" s="54"/>
      <c r="Q69" s="54">
        <v>16</v>
      </c>
    </row>
    <row r="70" ht="15" customHeight="1" spans="1:30" x14ac:dyDescent="0.25">
      <c r="A70" s="19">
        <v>8386</v>
      </c>
      <c r="B70" s="20" t="s">
        <v>65</v>
      </c>
      <c r="C70" s="54">
        <v>180.16</v>
      </c>
      <c r="D70" s="54">
        <v>0</v>
      </c>
      <c r="E70" s="54">
        <v>180.16</v>
      </c>
      <c r="F70" s="54"/>
      <c r="G70" s="54"/>
      <c r="H70" s="54"/>
      <c r="I70" s="54"/>
      <c r="J70" s="54"/>
      <c r="K70" s="54"/>
      <c r="L70" s="54"/>
      <c r="M70" s="54"/>
      <c r="N70" s="54"/>
      <c r="O70" s="54">
        <v>72</v>
      </c>
      <c r="P70" s="54">
        <v>18</v>
      </c>
      <c r="Q70" s="54">
        <v>90</v>
      </c>
    </row>
    <row r="71" ht="15" customHeight="1" spans="1:30" x14ac:dyDescent="0.25">
      <c r="A71" s="19">
        <v>8530</v>
      </c>
      <c r="B71" s="20" t="s">
        <v>63</v>
      </c>
      <c r="C71" s="54">
        <v>36.92</v>
      </c>
      <c r="D71" s="54">
        <v>7.75</v>
      </c>
      <c r="E71" s="54">
        <v>29.17</v>
      </c>
      <c r="F71" s="54"/>
      <c r="G71" s="54"/>
      <c r="H71" s="54"/>
      <c r="I71" s="54"/>
      <c r="J71" s="54"/>
      <c r="K71" s="54"/>
      <c r="L71" s="54"/>
      <c r="M71" s="54"/>
      <c r="N71" s="54"/>
      <c r="O71" s="54">
        <v>20</v>
      </c>
      <c r="P71" s="54">
        <v>16</v>
      </c>
      <c r="Q71" s="54"/>
    </row>
    <row r="72" ht="15" customHeight="1" spans="1:30" x14ac:dyDescent="0.25">
      <c r="A72" s="142"/>
      <c r="B72" s="14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144"/>
    </row>
    <row r="73" ht="15" customHeight="1" spans="1:30" x14ac:dyDescent="0.25">
      <c r="A73" s="142"/>
      <c r="B73" s="14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144"/>
    </row>
    <row r="74" ht="15.75" customHeight="1" spans="1:30" x14ac:dyDescent="0.25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</row>
    <row r="75" ht="15" customHeight="1" spans="1:30" x14ac:dyDescent="0.25">
      <c r="A75" s="142"/>
      <c r="B75" s="146" t="s">
        <v>150</v>
      </c>
      <c r="C75" s="147"/>
      <c r="D75" s="147"/>
      <c r="E75" s="147"/>
      <c r="F75" s="147">
        <v>640</v>
      </c>
      <c r="G75" s="147">
        <v>715</v>
      </c>
      <c r="H75" s="147">
        <v>790</v>
      </c>
      <c r="I75" s="147">
        <v>700</v>
      </c>
      <c r="J75" s="147">
        <v>700</v>
      </c>
      <c r="K75" s="147">
        <v>700</v>
      </c>
      <c r="L75" s="147">
        <v>716</v>
      </c>
      <c r="M75" s="147">
        <v>2520</v>
      </c>
      <c r="N75" s="147">
        <v>3060</v>
      </c>
      <c r="O75" s="147">
        <v>1316</v>
      </c>
      <c r="P75" s="147">
        <v>914</v>
      </c>
      <c r="Q75" s="147">
        <v>650</v>
      </c>
    </row>
    <row r="76" ht="15" customHeight="1" spans="1:30" x14ac:dyDescent="0.25">
      <c r="A76" s="142"/>
      <c r="B76" s="77" t="s">
        <v>151</v>
      </c>
      <c r="C76" s="20"/>
      <c r="D76" s="20"/>
      <c r="E76" s="20"/>
      <c r="F76" s="20">
        <v>140</v>
      </c>
      <c r="G76" s="20">
        <v>15</v>
      </c>
      <c r="H76" s="20">
        <v>90</v>
      </c>
      <c r="I76" s="20"/>
      <c r="J76" s="20"/>
      <c r="K76" s="20"/>
      <c r="L76" s="20">
        <v>16</v>
      </c>
      <c r="M76" s="20">
        <v>800</v>
      </c>
      <c r="N76" s="20">
        <v>858</v>
      </c>
      <c r="O76" s="20">
        <v>476</v>
      </c>
      <c r="P76" s="20">
        <v>214</v>
      </c>
      <c r="Q76" s="20">
        <v>150</v>
      </c>
    </row>
    <row r="77" ht="15" customHeight="1" spans="1:30" x14ac:dyDescent="0.25">
      <c r="A77" s="142"/>
      <c r="B77" s="77" t="s">
        <v>152</v>
      </c>
      <c r="C77" s="20">
        <v>4490.26</v>
      </c>
      <c r="D77" s="20"/>
      <c r="E77" s="20"/>
      <c r="F77" s="20"/>
      <c r="G77" s="20"/>
      <c r="H77" s="20"/>
      <c r="I77" s="20"/>
      <c r="J77" s="20"/>
      <c r="K77" s="20"/>
      <c r="L77" s="20"/>
      <c r="M77" s="20">
        <v>1020</v>
      </c>
      <c r="N77" s="20">
        <v>1502</v>
      </c>
      <c r="O77" s="20">
        <v>140</v>
      </c>
      <c r="P77" s="20"/>
      <c r="Q77" s="20"/>
    </row>
    <row r="78" ht="15" customHeight="1" spans="1:30" x14ac:dyDescent="0.25">
      <c r="A78" s="142"/>
      <c r="B78" s="148" t="s">
        <v>153</v>
      </c>
      <c r="C78" s="149"/>
      <c r="D78" s="149"/>
      <c r="E78" s="149"/>
      <c r="F78" s="149">
        <v>1488</v>
      </c>
      <c r="G78" s="149">
        <v>2112</v>
      </c>
      <c r="H78" s="149">
        <v>1984</v>
      </c>
      <c r="I78" s="149">
        <v>1884.8</v>
      </c>
      <c r="J78" s="149">
        <v>1948.8</v>
      </c>
      <c r="K78" s="149">
        <v>2083.2</v>
      </c>
      <c r="L78" s="149">
        <v>2604.8</v>
      </c>
      <c r="M78" s="149">
        <v>2486.4</v>
      </c>
      <c r="N78" s="149">
        <v>2604.8</v>
      </c>
      <c r="O78" s="149">
        <v>2217.6</v>
      </c>
      <c r="P78" s="149">
        <v>2112</v>
      </c>
      <c r="Q78" s="150">
        <v>1478.4</v>
      </c>
    </row>
    <row r="79" ht="15" customHeight="1" spans="1:30" x14ac:dyDescent="0.25">
      <c r="A79" s="142"/>
      <c r="B79" s="151" t="s">
        <v>154</v>
      </c>
      <c r="C79" s="152"/>
      <c r="D79" s="152"/>
      <c r="E79" s="152"/>
      <c r="F79" s="153">
        <v>-848</v>
      </c>
      <c r="G79" s="153">
        <v>-1397</v>
      </c>
      <c r="H79" s="154">
        <v>-1194</v>
      </c>
      <c r="I79" s="153">
        <v>-1184.8</v>
      </c>
      <c r="J79" s="153">
        <v>-1248.8</v>
      </c>
      <c r="K79" s="153">
        <v>-1383.2</v>
      </c>
      <c r="L79" s="153">
        <v>-1888.8</v>
      </c>
      <c r="M79" s="153">
        <v>33.5999999999999</v>
      </c>
      <c r="N79" s="153">
        <v>455.2</v>
      </c>
      <c r="O79" s="153">
        <v>-901.6</v>
      </c>
      <c r="P79" s="153">
        <v>-1198</v>
      </c>
      <c r="Q79" s="155">
        <v>-828.4</v>
      </c>
    </row>
    <row r="80" ht="15" customHeight="1" spans="1:30" x14ac:dyDescent="0.25">
      <c r="A80" s="142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144"/>
    </row>
    <row r="81" ht="15" customHeight="1" spans="1:30" x14ac:dyDescent="0.25">
      <c r="A81" s="142"/>
      <c r="B81" s="156" t="s">
        <v>155</v>
      </c>
      <c r="C81" s="157" t="s">
        <v>156</v>
      </c>
      <c r="D81" s="157"/>
      <c r="E81" s="157"/>
      <c r="F81" s="158">
        <v>15</v>
      </c>
      <c r="G81" s="159">
        <v>20</v>
      </c>
      <c r="H81" s="159">
        <v>20</v>
      </c>
      <c r="I81" s="159">
        <v>19</v>
      </c>
      <c r="J81" s="159">
        <v>21</v>
      </c>
      <c r="K81" s="159">
        <v>21</v>
      </c>
      <c r="L81" s="159">
        <v>22</v>
      </c>
      <c r="M81" s="159">
        <v>21</v>
      </c>
      <c r="N81" s="159">
        <v>22</v>
      </c>
      <c r="O81" s="159">
        <v>21</v>
      </c>
      <c r="P81" s="159">
        <v>20</v>
      </c>
      <c r="Q81" s="160">
        <v>14</v>
      </c>
    </row>
    <row r="82" ht="15" customHeight="1" spans="1:30" x14ac:dyDescent="0.25">
      <c r="A82" s="161"/>
      <c r="B82" s="162" t="s">
        <v>157</v>
      </c>
      <c r="C82" s="157"/>
      <c r="D82" s="157"/>
      <c r="E82" s="157"/>
      <c r="F82" s="163">
        <v>15.5</v>
      </c>
      <c r="G82" s="163">
        <v>16.5</v>
      </c>
      <c r="H82" s="163">
        <v>15.5</v>
      </c>
      <c r="I82" s="163">
        <v>15.5</v>
      </c>
      <c r="J82" s="163">
        <v>14.5</v>
      </c>
      <c r="K82" s="163">
        <v>15.5</v>
      </c>
      <c r="L82" s="163">
        <v>18.5</v>
      </c>
      <c r="M82" s="163">
        <v>18.5</v>
      </c>
      <c r="N82" s="163">
        <v>18.5</v>
      </c>
      <c r="O82" s="163">
        <v>16.5</v>
      </c>
      <c r="P82" s="163">
        <v>16.5</v>
      </c>
      <c r="Q82" s="163">
        <v>16.5</v>
      </c>
    </row>
    <row r="83" spans="1:30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30" x14ac:dyDescent="0.25">
      <c r="A84" s="35"/>
      <c r="B84" s="164" t="s">
        <v>158</v>
      </c>
      <c r="C84" s="165"/>
      <c r="D84" s="35"/>
      <c r="E84" s="35"/>
      <c r="F84" s="35"/>
      <c r="G84" s="35"/>
      <c r="H84" s="35"/>
      <c r="I84" s="35"/>
      <c r="J84" s="35"/>
      <c r="K84" s="35"/>
      <c r="L84" s="166" t="s">
        <v>159</v>
      </c>
      <c r="M84" s="166"/>
      <c r="N84" s="35"/>
      <c r="O84" s="35"/>
      <c r="P84" s="35"/>
      <c r="Q84" s="35"/>
    </row>
    <row r="85" ht="15" customHeight="1" spans="1:30" x14ac:dyDescent="0.25">
      <c r="A85" s="35"/>
      <c r="B85" s="167" t="s">
        <v>160</v>
      </c>
      <c r="C85" s="168">
        <v>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30" x14ac:dyDescent="0.25">
      <c r="A86" s="35"/>
      <c r="B86" s="19" t="s">
        <v>161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30" x14ac:dyDescent="0.25">
      <c r="A87" s="35"/>
      <c r="B87" s="19" t="s">
        <v>162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30" x14ac:dyDescent="0.25">
      <c r="A88" s="35"/>
      <c r="B88" s="19" t="s">
        <v>163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30" x14ac:dyDescent="0.25">
      <c r="A89" s="35"/>
      <c r="B89" s="19" t="s">
        <v>164</v>
      </c>
      <c r="C89" s="131">
        <v>1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30" x14ac:dyDescent="0.25">
      <c r="A90" s="35"/>
      <c r="B90" s="19" t="s">
        <v>165</v>
      </c>
      <c r="C90" s="131">
        <v>0.5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30" x14ac:dyDescent="0.25">
      <c r="A91" s="35"/>
      <c r="B91" s="19" t="s">
        <v>166</v>
      </c>
      <c r="C91" s="131">
        <v>1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30" x14ac:dyDescent="0.25">
      <c r="A92" s="35"/>
      <c r="B92" s="19" t="s">
        <v>167</v>
      </c>
      <c r="C92" s="131">
        <v>1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30" x14ac:dyDescent="0.25">
      <c r="A93" s="35"/>
      <c r="B93" s="19" t="s">
        <v>168</v>
      </c>
      <c r="C93" s="131">
        <v>1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30" x14ac:dyDescent="0.25">
      <c r="A94" s="35"/>
      <c r="B94" s="19" t="s">
        <v>169</v>
      </c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30" x14ac:dyDescent="0.25">
      <c r="A95" s="35"/>
      <c r="B95" s="19" t="s">
        <v>170</v>
      </c>
      <c r="C95" s="131">
        <v>1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30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30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30" x14ac:dyDescent="0.25">
      <c r="A98" s="35"/>
      <c r="B98" s="19"/>
      <c r="C98" s="131"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30" x14ac:dyDescent="0.25">
      <c r="A99" s="35"/>
      <c r="B99" s="19"/>
      <c r="C99" s="131"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30" x14ac:dyDescent="0.25">
      <c r="A100" s="35"/>
      <c r="B100" s="19"/>
      <c r="C100" s="131"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30" x14ac:dyDescent="0.25">
      <c r="A101" s="35"/>
      <c r="B101" s="19"/>
      <c r="C101" s="131"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30" x14ac:dyDescent="0.25">
      <c r="A102" s="35"/>
      <c r="B102" s="19"/>
      <c r="C102" s="131"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30" x14ac:dyDescent="0.25">
      <c r="A103" s="35"/>
      <c r="B103" s="19" t="s">
        <v>171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30" x14ac:dyDescent="0.25">
      <c r="A104" s="35"/>
      <c r="B104" s="19" t="s">
        <v>172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30" x14ac:dyDescent="0.25">
      <c r="A105" s="35"/>
      <c r="B105" s="19" t="s">
        <v>173</v>
      </c>
      <c r="C105" s="131">
        <v>1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30" x14ac:dyDescent="0.25">
      <c r="A106" s="35"/>
      <c r="B106" s="19" t="s">
        <v>174</v>
      </c>
      <c r="C106" s="131">
        <v>1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30" x14ac:dyDescent="0.25">
      <c r="A107" s="35"/>
      <c r="B107" s="19" t="s">
        <v>175</v>
      </c>
      <c r="C107" s="131">
        <v>1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30" x14ac:dyDescent="0.25">
      <c r="A108" s="35"/>
      <c r="B108" s="19" t="s">
        <v>176</v>
      </c>
      <c r="C108" s="131">
        <v>1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30" x14ac:dyDescent="0.25">
      <c r="A109" s="35"/>
      <c r="B109" s="19" t="s">
        <v>177</v>
      </c>
      <c r="C109" s="131">
        <v>1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  <row r="110" ht="15" customHeight="1" spans="1:30" x14ac:dyDescent="0.25">
      <c r="A110" s="35"/>
      <c r="B110" s="19"/>
      <c r="C110" s="131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  <row r="111" ht="15" customHeight="1" spans="1:30" x14ac:dyDescent="0.25">
      <c r="A111" s="35"/>
      <c r="B111" s="19"/>
      <c r="C111" s="131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</row>
    <row r="112" ht="15" customHeight="1" spans="1:30" x14ac:dyDescent="0.25">
      <c r="A112" s="35"/>
      <c r="B112" s="19"/>
      <c r="C112" s="131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</row>
    <row r="113" ht="15" customHeight="1" spans="1:30" x14ac:dyDescent="0.25">
      <c r="A113" s="35"/>
      <c r="B113" s="169"/>
      <c r="C113" s="150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</row>
    <row r="114" ht="15" customHeight="1" spans="1:30" x14ac:dyDescent="0.25">
      <c r="A114" s="35"/>
      <c r="B114" s="164" t="s">
        <v>178</v>
      </c>
      <c r="C114" s="170">
        <v>16.5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74:Q74"/>
    <mergeCell ref="C81:E82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179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 t="s">
        <v>180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 t="s">
        <v>181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175" t="s">
        <v>182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30" x14ac:dyDescent="0.25">
      <c r="A6" s="176" t="s">
        <v>183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177" t="s">
        <v>184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30" x14ac:dyDescent="0.25">
      <c r="A8" s="176" t="s">
        <v>185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178" t="s">
        <v>186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30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30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30" x14ac:dyDescent="0.25">
      <c r="A12" s="181" t="s">
        <v>187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30" x14ac:dyDescent="0.25">
      <c r="A13" s="182" t="s">
        <v>188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30" x14ac:dyDescent="0.25">
      <c r="A14" s="183" t="s">
        <v>189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30" x14ac:dyDescent="0.25">
      <c r="A15" s="172" t="s">
        <v>190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30" x14ac:dyDescent="0.25">
      <c r="A16" s="184" t="s">
        <v>191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30" x14ac:dyDescent="0.25">
      <c r="A17" s="185" t="s">
        <v>192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30" x14ac:dyDescent="0.25">
      <c r="A18" s="186" t="s">
        <v>193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30" x14ac:dyDescent="0.25">
      <c r="A19" s="178" t="s">
        <v>194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30" x14ac:dyDescent="0.25">
      <c r="A20" s="187" t="s">
        <v>195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30" x14ac:dyDescent="0.25">
      <c r="A21" s="188" t="s">
        <v>196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30" x14ac:dyDescent="0.25">
      <c r="A22" s="188" t="s">
        <v>197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30" x14ac:dyDescent="0.25">
      <c r="A23" s="188" t="s">
        <v>198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30" x14ac:dyDescent="0.25">
      <c r="A24" s="188" t="s">
        <v>199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30" x14ac:dyDescent="0.25">
      <c r="A25" s="189" t="s">
        <v>200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30" x14ac:dyDescent="0.25">
      <c r="A26" s="181" t="s">
        <v>201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30" x14ac:dyDescent="0.25">
      <c r="A27" s="190" t="s">
        <v>202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30" x14ac:dyDescent="0.25">
      <c r="A28" s="172" t="s">
        <v>203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190" t="s">
        <v>204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30" x14ac:dyDescent="0.25">
      <c r="A30" s="191" t="s">
        <v>205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30" x14ac:dyDescent="0.25">
      <c r="A31" s="191" t="s">
        <v>206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30" x14ac:dyDescent="0.25">
      <c r="A32" s="191" t="s">
        <v>207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30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30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30" x14ac:dyDescent="0.25">
      <c r="A35" s="192" t="s">
        <v>208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30" x14ac:dyDescent="0.25">
      <c r="A36" s="193" t="s">
        <v>209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30" x14ac:dyDescent="0.25">
      <c r="A37" s="194" t="s">
        <v>210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30" x14ac:dyDescent="0.25">
      <c r="A38" s="179" t="s">
        <v>211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30" x14ac:dyDescent="0.25">
      <c r="A39" s="181" t="s">
        <v>212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30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30" x14ac:dyDescent="0.25">
      <c r="A41" s="172" t="s">
        <v>213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30" x14ac:dyDescent="0.25">
      <c r="A42" s="196" t="s">
        <v>214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30" x14ac:dyDescent="0.25">
      <c r="A43" s="172" t="s">
        <v>215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30" x14ac:dyDescent="0.25">
      <c r="A44" s="197" t="s">
        <v>216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30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30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30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30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30" x14ac:dyDescent="0.25">
      <c r="A49" s="172" t="s">
        <v>217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30" x14ac:dyDescent="0.25">
      <c r="A50" s="200" t="s">
        <v>218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30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30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30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30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30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30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1" spans="1:30" x14ac:dyDescent="0.25"/>
    <row r="2" ht="15" customHeight="1" spans="1:30" x14ac:dyDescent="0.25">
      <c r="A2" s="171" t="s">
        <v>219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30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30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30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30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30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30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30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30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30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30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30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30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30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30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30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30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30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30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30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30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30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30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30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30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30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30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30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30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30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30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30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30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30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30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30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30" x14ac:dyDescent="0.25">
      <c r="A38" s="172" t="s">
        <v>217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30" x14ac:dyDescent="0.25">
      <c r="A39" s="200" t="s">
        <v>218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30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30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30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30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30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30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69</v>
      </c>
      <c r="D2" s="43" t="s">
        <v>70</v>
      </c>
      <c r="E2" s="43" t="s">
        <v>71</v>
      </c>
      <c r="F2" s="39" t="s">
        <v>72</v>
      </c>
      <c r="G2" s="40" t="s">
        <v>73</v>
      </c>
      <c r="H2" s="43" t="s">
        <v>74</v>
      </c>
      <c r="I2" s="43" t="s">
        <v>75</v>
      </c>
      <c r="J2" s="41" t="s">
        <v>76</v>
      </c>
      <c r="K2" s="41" t="s">
        <v>77</v>
      </c>
      <c r="L2" s="39" t="s">
        <v>78</v>
      </c>
      <c r="M2" s="40" t="s">
        <v>79</v>
      </c>
      <c r="N2" s="42" t="s">
        <v>80</v>
      </c>
      <c r="O2" s="42" t="s">
        <v>220</v>
      </c>
      <c r="P2" s="42" t="s">
        <v>221</v>
      </c>
      <c r="Q2" s="42" t="s">
        <v>222</v>
      </c>
      <c r="R2" s="43" t="s">
        <v>81</v>
      </c>
      <c r="S2" s="43" t="s">
        <v>82</v>
      </c>
      <c r="T2" s="39" t="s">
        <v>83</v>
      </c>
      <c r="U2" s="40" t="s">
        <v>84</v>
      </c>
      <c r="V2" s="214" t="s">
        <v>85</v>
      </c>
      <c r="W2" s="214" t="s">
        <v>86</v>
      </c>
      <c r="X2" s="45" t="s">
        <v>87</v>
      </c>
      <c r="Y2" s="40" t="s">
        <v>88</v>
      </c>
      <c r="Z2" s="42" t="s">
        <v>89</v>
      </c>
      <c r="AA2" s="46" t="s">
        <v>90</v>
      </c>
      <c r="AB2" s="47" t="s">
        <v>91</v>
      </c>
      <c r="AC2" s="46" t="s">
        <v>92</v>
      </c>
      <c r="AD2" s="48" t="s">
        <v>93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94</v>
      </c>
      <c r="AL3" s="50" t="s">
        <v>95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96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97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98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99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100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101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102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103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104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96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97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98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99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100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101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102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103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104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96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97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98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99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100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101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102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103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104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96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97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98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99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100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101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102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103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104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96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97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98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99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100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101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102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103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104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96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97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98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99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100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101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102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103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104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96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97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98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99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100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101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102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103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104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96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97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98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99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100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101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102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103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104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96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97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98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99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100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101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102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103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104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96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97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98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99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100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101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102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103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104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96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97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98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99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100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101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102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103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104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96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97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98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99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100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101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102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103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104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96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97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98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99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100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101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102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103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104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96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97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98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99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100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101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102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103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104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96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97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98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99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100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101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102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103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104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96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97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98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99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100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101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102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103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104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96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97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98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99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100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101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102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103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104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96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97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98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99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100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101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102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103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104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96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97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98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99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100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101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102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103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104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96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97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98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99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100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101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102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103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104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96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97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98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99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100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101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102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103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104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96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97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98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99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100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101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102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103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104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96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97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98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99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100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101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102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103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104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96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97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98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99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100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101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102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103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104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96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97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98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99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100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101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102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103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104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96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97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98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99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100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101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102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103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104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96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97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98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99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100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101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102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103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104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96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97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98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99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100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101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102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103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104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96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97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98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99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100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101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102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103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104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96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97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98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99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100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101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102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103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104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96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97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98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99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100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101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102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103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104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96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97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98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99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100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101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102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103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104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30" x14ac:dyDescent="0.25">
      <c r="A1" s="35"/>
    </row>
    <row r="2" spans="1:30" x14ac:dyDescent="0.25">
      <c r="A2" s="35"/>
    </row>
    <row r="3" ht="15" customHeight="1" spans="1:30" x14ac:dyDescent="0.25">
      <c r="A3" s="35">
        <v>340</v>
      </c>
      <c r="B3" s="35" t="s">
        <v>223</v>
      </c>
      <c r="C3" s="35" t="s">
        <v>224</v>
      </c>
      <c r="D3" s="35" t="s">
        <v>225</v>
      </c>
    </row>
    <row r="4" ht="15" customHeight="1" spans="1:30" x14ac:dyDescent="0.25">
      <c r="A4" s="35" t="s">
        <v>226</v>
      </c>
      <c r="B4" s="35">
        <v>30</v>
      </c>
      <c r="D4" s="37">
        <f>SUM(B4/A3)</f>
        <v>0.0882352941176471</v>
      </c>
    </row>
    <row r="5" ht="15" customHeight="1" spans="1:30" x14ac:dyDescent="0.25">
      <c r="A5" s="35" t="s">
        <v>227</v>
      </c>
      <c r="B5" s="35">
        <v>60</v>
      </c>
      <c r="P5" s="35">
        <v>95.35</v>
      </c>
    </row>
    <row r="6" ht="15" customHeight="1" spans="1:30" x14ac:dyDescent="0.25">
      <c r="A6" s="35" t="s">
        <v>228</v>
      </c>
      <c r="B6" s="35">
        <v>100</v>
      </c>
      <c r="P6" s="35">
        <v>102.69</v>
      </c>
    </row>
    <row r="7" ht="15" customHeight="1" spans="1:30" x14ac:dyDescent="0.25">
      <c r="A7" s="35" t="s">
        <v>229</v>
      </c>
      <c r="B7" s="35">
        <v>150</v>
      </c>
      <c r="P7" s="35">
        <v>134.82</v>
      </c>
    </row>
    <row r="8" ht="15" customHeight="1" spans="1:30" x14ac:dyDescent="0.25">
      <c r="A8" s="35"/>
      <c r="P8" s="35">
        <v>324.19</v>
      </c>
    </row>
    <row r="9" ht="15" customHeight="1" spans="1:30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